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132.201.0.2\fasundaram\DEBT_BACKOFFICE\Debt_Factsheets\2023 - Monthly Portfolio\02. 28022023\"/>
    </mc:Choice>
  </mc:AlternateContent>
  <xr:revisionPtr revIDLastSave="0" documentId="13_ncr:1_{7FF8A8C6-92C3-4787-B5C1-0EFEE889D67E}" xr6:coauthVersionLast="47" xr6:coauthVersionMax="47" xr10:uidLastSave="{00000000-0000-0000-0000-000000000000}"/>
  <bookViews>
    <workbookView xWindow="-120" yWindow="-120" windowWidth="19440" windowHeight="15000" tabRatio="828" xr2:uid="{00000000-000D-0000-FFFF-FFFF00000000}"/>
  </bookViews>
  <sheets>
    <sheet name="Index" sheetId="37" r:id="rId1"/>
    <sheet name="CAPEXG" sheetId="1" r:id="rId2"/>
    <sheet name="MIDCAP" sheetId="2" r:id="rId3"/>
    <sheet name="MULTI1" sheetId="3" r:id="rId4"/>
    <sheet name="MULTI2" sheetId="4" r:id="rId5"/>
    <sheet name="MULTIP" sheetId="5" r:id="rId6"/>
    <sheet name="SESCAP1" sheetId="6" r:id="rId7"/>
    <sheet name="SESCAP2" sheetId="7" r:id="rId8"/>
    <sheet name="SESCAP3" sheetId="8" r:id="rId9"/>
    <sheet name="SESCAP4" sheetId="9" r:id="rId10"/>
    <sheet name="SESCAP5" sheetId="10" r:id="rId11"/>
    <sheet name="SESCAP6" sheetId="11" r:id="rId12"/>
    <sheet name="SESCAP7" sheetId="12" r:id="rId13"/>
    <sheet name="SLTADV3" sheetId="13" r:id="rId14"/>
    <sheet name="SLTADV4" sheetId="14" r:id="rId15"/>
    <sheet name="SLTAX1" sheetId="15" r:id="rId16"/>
    <sheet name="SLTAX2" sheetId="16" r:id="rId17"/>
    <sheet name="SLTAX3" sheetId="17" r:id="rId18"/>
    <sheet name="SLTAX4" sheetId="18" r:id="rId19"/>
    <sheet name="SLTAX5" sheetId="19" r:id="rId20"/>
    <sheet name="SLTAX6" sheetId="20" r:id="rId21"/>
    <sheet name="SMILE" sheetId="21" r:id="rId22"/>
    <sheet name="SPAHF" sheetId="22" r:id="rId23"/>
    <sheet name="SPARF" sheetId="23" r:id="rId24"/>
    <sheet name="SPBAF" sheetId="24" r:id="rId25"/>
    <sheet name="SPDYF" sheetId="25" r:id="rId26"/>
    <sheet name="SPESF" sheetId="26" r:id="rId27"/>
    <sheet name="SPFOCUS" sheetId="27" r:id="rId28"/>
    <sheet name="SPMUCF" sheetId="28" r:id="rId29"/>
    <sheet name="SPSN100" sheetId="29" r:id="rId30"/>
    <sheet name="SPTAX" sheetId="30" r:id="rId31"/>
    <sheet name="SRURAL" sheetId="31" r:id="rId32"/>
    <sheet name="SSFUND" sheetId="32" r:id="rId33"/>
    <sheet name="STAX" sheetId="33" r:id="rId34"/>
    <sheet name="SUNBCF" sheetId="34" r:id="rId35"/>
    <sheet name="SUNFCF" sheetId="35" r:id="rId36"/>
    <sheet name="SUNFOP" sheetId="36" r:id="rId37"/>
    <sheet name="GLOB" sheetId="38" r:id="rId38"/>
    <sheet name="Annexure-A" sheetId="39" r:id="rId39"/>
  </sheets>
  <definedNames>
    <definedName name="_xlnm._FilterDatabase" localSheetId="3" hidden="1">MULTI1!$A$4:$G$136</definedName>
    <definedName name="_xlnm._FilterDatabase" localSheetId="5" hidden="1">MULTIP!$A$4:$G$160</definedName>
    <definedName name="_xlnm._FilterDatabase" localSheetId="6" hidden="1">SESCAP1!$A$4:$G$90</definedName>
    <definedName name="_xlnm._FilterDatabase" localSheetId="7" hidden="1">SESCAP2!$A$4:$G$90</definedName>
    <definedName name="_xlnm._FilterDatabase" localSheetId="8" hidden="1">SESCAP3!$A$4:$G$109</definedName>
    <definedName name="_xlnm._FilterDatabase" localSheetId="9" hidden="1">SESCAP4!$A$4:$G$134</definedName>
    <definedName name="_xlnm._FilterDatabase" localSheetId="10" hidden="1">SESCAP5!$A$4:$G$152</definedName>
    <definedName name="_xlnm._FilterDatabase" localSheetId="11" hidden="1">SESCAP6!$A$4:$G$154</definedName>
    <definedName name="_xlnm._FilterDatabase" localSheetId="12" hidden="1">SESCAP7!$A$4:$G$153</definedName>
    <definedName name="_xlnm._FilterDatabase" localSheetId="13" hidden="1">SLTADV3!$A$4:$G$142</definedName>
    <definedName name="_xlnm._FilterDatabase" localSheetId="14" hidden="1">SLTADV4!$A$4:$G$143</definedName>
    <definedName name="_xlnm._FilterDatabase" localSheetId="15" hidden="1">SLTAX1!$A$4:$G$127</definedName>
    <definedName name="_xlnm._FilterDatabase" localSheetId="17" hidden="1">SLTAX3!$A$4:$G$142</definedName>
    <definedName name="_xlnm._FilterDatabase" localSheetId="18" hidden="1">SLTAX4!$A$4:$G$141</definedName>
    <definedName name="_xlnm._FilterDatabase" localSheetId="19" hidden="1">SLTAX5!$A$4:$G$144</definedName>
    <definedName name="_xlnm._FilterDatabase" localSheetId="20" hidden="1">SLTAX6!$A$4:$G$145</definedName>
    <definedName name="_xlnm._FilterDatabase" localSheetId="21" hidden="1">SMILE!$A$4:$G$163</definedName>
    <definedName name="_xlnm._FilterDatabase" localSheetId="22" hidden="1">SPAHF!$A$4:$G$190</definedName>
    <definedName name="_xlnm._FilterDatabase" localSheetId="23" hidden="1">SPARF!$A$4:$H$145</definedName>
    <definedName name="_xlnm._FilterDatabase" localSheetId="24" hidden="1">SPBAF!$A$4:$O$194</definedName>
    <definedName name="_xlnm._FilterDatabase" localSheetId="25" hidden="1">SPDYF!$A$4:$G$150</definedName>
    <definedName name="_xlnm._FilterDatabase" localSheetId="26" hidden="1">SPESF!$A$4:$H$185</definedName>
    <definedName name="_xlnm._FilterDatabase" localSheetId="27" hidden="1">SPFOCUS!$A$4:$G$118</definedName>
    <definedName name="_xlnm._FilterDatabase" localSheetId="28" hidden="1">SPMUCF!$A$4:$G$158</definedName>
    <definedName name="_xlnm._FilterDatabase" localSheetId="29" hidden="1">SPSN100!$A$4:$G$196</definedName>
    <definedName name="_xlnm._FilterDatabase" localSheetId="30" hidden="1">SPTAX!$A$4:$G$156</definedName>
    <definedName name="_xlnm._FilterDatabase" localSheetId="31" hidden="1">SRURAL!$A$4:$G$127</definedName>
    <definedName name="_xlnm._FilterDatabase" localSheetId="32" hidden="1">SSFUND!$A$4:$G$137</definedName>
    <definedName name="_xlnm._FilterDatabase" localSheetId="33" hidden="1">STAX!$A$4:$G$150</definedName>
    <definedName name="_xlnm._FilterDatabase" localSheetId="34" hidden="1">SUNBCF!$A$4:$G$148</definedName>
    <definedName name="_xlnm._FilterDatabase" localSheetId="35" hidden="1">SUNFCF!$A$4:$G$157</definedName>
    <definedName name="_xlnm._FilterDatabase" localSheetId="36" hidden="1">SUNFOP!$A$4:$G$117</definedName>
  </definedName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7" i="39" l="1"/>
  <c r="G120" i="39"/>
  <c r="G119" i="39"/>
  <c r="G118" i="39"/>
  <c r="G117" i="39"/>
  <c r="F116" i="39"/>
  <c r="E116" i="39"/>
  <c r="G116" i="39" s="1"/>
  <c r="D116" i="39"/>
  <c r="C116" i="39"/>
  <c r="G115" i="39"/>
  <c r="F114" i="39"/>
  <c r="G114" i="39" s="1"/>
  <c r="E114" i="39"/>
  <c r="D114" i="39"/>
  <c r="C114" i="39"/>
  <c r="F113" i="39"/>
  <c r="G113" i="39" s="1"/>
  <c r="E113" i="39"/>
  <c r="D113" i="39"/>
  <c r="C113" i="39"/>
  <c r="G112" i="39"/>
  <c r="F112" i="39"/>
  <c r="E112" i="39"/>
  <c r="D112" i="39"/>
  <c r="C112" i="39"/>
  <c r="F111" i="39"/>
  <c r="E111" i="39"/>
  <c r="D111" i="39"/>
  <c r="C111" i="39"/>
  <c r="F94" i="39"/>
  <c r="G94" i="39" s="1"/>
  <c r="E94" i="39"/>
  <c r="D94" i="39"/>
  <c r="C94" i="39"/>
  <c r="F93" i="39"/>
  <c r="E93" i="39"/>
  <c r="G93" i="39" s="1"/>
  <c r="D93" i="39"/>
  <c r="C93" i="39"/>
  <c r="F92" i="39"/>
  <c r="E92" i="39"/>
  <c r="D92" i="39"/>
  <c r="C92" i="39"/>
  <c r="G91" i="39"/>
  <c r="F90" i="39"/>
  <c r="E90" i="39"/>
  <c r="D90" i="39"/>
  <c r="C90" i="39"/>
  <c r="F89" i="39"/>
  <c r="G89" i="39" s="1"/>
  <c r="E89" i="39"/>
  <c r="D89" i="39"/>
  <c r="C89" i="39"/>
  <c r="F88" i="39"/>
  <c r="E88" i="39"/>
  <c r="D88" i="39"/>
  <c r="C88" i="39"/>
  <c r="F87" i="39"/>
  <c r="G87" i="39" s="1"/>
  <c r="E87" i="39"/>
  <c r="D87" i="39"/>
  <c r="C87" i="39"/>
  <c r="G92" i="39" l="1"/>
  <c r="G90" i="39"/>
  <c r="G88" i="39"/>
  <c r="G111" i="39"/>
  <c r="G158" i="26" l="1"/>
  <c r="G157" i="26"/>
  <c r="G159" i="26" s="1"/>
  <c r="G121" i="23"/>
  <c r="G120" i="23"/>
  <c r="F114" i="29" l="1"/>
  <c r="F64" i="1"/>
</calcChain>
</file>

<file path=xl/sharedStrings.xml><?xml version="1.0" encoding="utf-8"?>
<sst xmlns="http://schemas.openxmlformats.org/spreadsheetml/2006/main" count="10031" uniqueCount="1143">
  <si>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</si>
  <si>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</si>
  <si>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</si>
  <si>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</si>
  <si>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</si>
  <si>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</si>
  <si>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</si>
  <si>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</si>
  <si>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</si>
  <si>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</si>
  <si>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</si>
  <si>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</si>
  <si>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</si>
  <si>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</si>
  <si>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INE397D01024</t>
  </si>
  <si>
    <t>Bharti Airtel Ltd</t>
  </si>
  <si>
    <t>Telecom - Services</t>
  </si>
  <si>
    <t>INE002A01018</t>
  </si>
  <si>
    <t>Reliance Industries Ltd</t>
  </si>
  <si>
    <t>Petroleum Products</t>
  </si>
  <si>
    <t>INE090A01021</t>
  </si>
  <si>
    <t>ICICI Bank Ltd</t>
  </si>
  <si>
    <t>Banks</t>
  </si>
  <si>
    <t>INE481G01011</t>
  </si>
  <si>
    <t>Ultratech Cement Ltd</t>
  </si>
  <si>
    <t>Cement &amp; Cement Products</t>
  </si>
  <si>
    <t>INE733E01010</t>
  </si>
  <si>
    <t>NTPC LTD</t>
  </si>
  <si>
    <t>Power</t>
  </si>
  <si>
    <t>INE999A01015</t>
  </si>
  <si>
    <t>KSB LTD</t>
  </si>
  <si>
    <t>Industrial Products</t>
  </si>
  <si>
    <t>INE062A01020</t>
  </si>
  <si>
    <t>State Bank of India</t>
  </si>
  <si>
    <t>INE117A01022</t>
  </si>
  <si>
    <t>ABB India Ltd</t>
  </si>
  <si>
    <t>Electrical Equipment</t>
  </si>
  <si>
    <t>INE536A01023</t>
  </si>
  <si>
    <t>Grindwell Norton Ltd</t>
  </si>
  <si>
    <t>INE284A01012</t>
  </si>
  <si>
    <t>ESAB India Ltd</t>
  </si>
  <si>
    <t>INE752E01010</t>
  </si>
  <si>
    <t>Power Grid Corporation of India Ltd</t>
  </si>
  <si>
    <t>INE455K01017</t>
  </si>
  <si>
    <t>Polycab India Ltd</t>
  </si>
  <si>
    <t>INE208A01029</t>
  </si>
  <si>
    <t>Ashok Leyland Ltd</t>
  </si>
  <si>
    <t>Ction Vehicles</t>
  </si>
  <si>
    <t>INE195J01029</t>
  </si>
  <si>
    <t>PNC Infratech Ltd</t>
  </si>
  <si>
    <t>INE263A01024</t>
  </si>
  <si>
    <t>Bharat Electronics Ltd</t>
  </si>
  <si>
    <t>Aerospace &amp; Defense</t>
  </si>
  <si>
    <t>INE003A01024</t>
  </si>
  <si>
    <t>Siemens Ltd</t>
  </si>
  <si>
    <t>INE111A01025</t>
  </si>
  <si>
    <t>Container Corporation of India Ltd</t>
  </si>
  <si>
    <t>Transport Services</t>
  </si>
  <si>
    <t>INE868B01028</t>
  </si>
  <si>
    <t>NCC Ltd</t>
  </si>
  <si>
    <t>INE671A01010</t>
  </si>
  <si>
    <t>Honeywell Automation India Ltd</t>
  </si>
  <si>
    <t>Industrial Manufacturing</t>
  </si>
  <si>
    <t>INE152M01016</t>
  </si>
  <si>
    <t>Triveni Turbine Ltd</t>
  </si>
  <si>
    <t>INE634I01029</t>
  </si>
  <si>
    <t>KNR Construction Ltd</t>
  </si>
  <si>
    <t>INE245A01021</t>
  </si>
  <si>
    <t>TATA Power Company Ltd</t>
  </si>
  <si>
    <t>INE585B01010</t>
  </si>
  <si>
    <t>Maruti Suzuki India Ltd</t>
  </si>
  <si>
    <t>Automobiles</t>
  </si>
  <si>
    <t>INE878B01027</t>
  </si>
  <si>
    <t>KEI Industries Ltd</t>
  </si>
  <si>
    <t>INE702C01027</t>
  </si>
  <si>
    <t>APL Apollo Tubes Ltd</t>
  </si>
  <si>
    <t>INE00R701025</t>
  </si>
  <si>
    <t>Dalmia Cement (Bharat) Ltd.</t>
  </si>
  <si>
    <t>INE513A01022</t>
  </si>
  <si>
    <t>Schaeffler India Ltd</t>
  </si>
  <si>
    <t>Auto Components</t>
  </si>
  <si>
    <t>INE541A01023</t>
  </si>
  <si>
    <t>GMM Pfaudler Ltd</t>
  </si>
  <si>
    <t>INE298A01020</t>
  </si>
  <si>
    <t>Cummins India Ltd</t>
  </si>
  <si>
    <t>INE070A01015</t>
  </si>
  <si>
    <t>Shree Cement Ltd</t>
  </si>
  <si>
    <t>INE823G01014</t>
  </si>
  <si>
    <t>JK Cement Ltd</t>
  </si>
  <si>
    <t>INE129A01019</t>
  </si>
  <si>
    <t>GAIL (India) Ltd</t>
  </si>
  <si>
    <t>Gas</t>
  </si>
  <si>
    <t>INE213A01029</t>
  </si>
  <si>
    <t>Oil &amp; Natural Gas Corporation Ltd</t>
  </si>
  <si>
    <t>Oil</t>
  </si>
  <si>
    <t>INE791I01019</t>
  </si>
  <si>
    <t>Brigade Enterprises Ltd</t>
  </si>
  <si>
    <t>Realty</t>
  </si>
  <si>
    <t>INE093I01010</t>
  </si>
  <si>
    <t>Oberoi Realty Ltd</t>
  </si>
  <si>
    <t>INE646L01027</t>
  </si>
  <si>
    <t>Interglobe Aviation Ltd</t>
  </si>
  <si>
    <t>INE258A01016</t>
  </si>
  <si>
    <t>BEML Ltd</t>
  </si>
  <si>
    <t>INE073K01018</t>
  </si>
  <si>
    <t>Sona BLW Precision Forgings Ltd</t>
  </si>
  <si>
    <t>INE038A01020</t>
  </si>
  <si>
    <t>Hindalco Industries Ltd</t>
  </si>
  <si>
    <t>Non - Ferrous Metals</t>
  </si>
  <si>
    <t>INE811K01011</t>
  </si>
  <si>
    <t>Prestige Estates Projects Ltd</t>
  </si>
  <si>
    <t>INE766P01016</t>
  </si>
  <si>
    <t>Mahindra Logistics Ltd</t>
  </si>
  <si>
    <t>INE08ZM01014</t>
  </si>
  <si>
    <t>Green Panel Industries Ltd</t>
  </si>
  <si>
    <t>Consumer Durables</t>
  </si>
  <si>
    <t>INE029A01011</t>
  </si>
  <si>
    <t>Bharat Petroleum Corporation Ltd</t>
  </si>
  <si>
    <t>INE121A01024</t>
  </si>
  <si>
    <t>Cholamandalam Investment and Finance Company Ltd</t>
  </si>
  <si>
    <t>Finance</t>
  </si>
  <si>
    <t>INE201P01022</t>
  </si>
  <si>
    <t>GR Infraprojects Ltd</t>
  </si>
  <si>
    <t>INE371P01015</t>
  </si>
  <si>
    <t>Amber Enterprises India Ltd</t>
  </si>
  <si>
    <t>INE079A01024</t>
  </si>
  <si>
    <t>Ambuja Cements Ltd</t>
  </si>
  <si>
    <t>INE742F01042</t>
  </si>
  <si>
    <t>Adani Ports and Special Economic Zone Ltd</t>
  </si>
  <si>
    <t>Transport Infrastructure</t>
  </si>
  <si>
    <t>INE0N7W01012</t>
  </si>
  <si>
    <t>BEML Land and Assets Ltd</t>
  </si>
  <si>
    <t>INE551A01022</t>
  </si>
  <si>
    <t>Engineering Services</t>
  </si>
  <si>
    <t>#</t>
  </si>
  <si>
    <t>Sub Total</t>
  </si>
  <si>
    <t/>
  </si>
  <si>
    <t>(b) Overseas Security</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</si>
  <si>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</si>
  <si>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</si>
  <si>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</si>
  <si>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</si>
  <si>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</si>
  <si>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</si>
  <si>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</si>
  <si>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</si>
  <si>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</si>
  <si>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</si>
  <si>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</si>
  <si>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</si>
  <si>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</si>
  <si>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</si>
  <si>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</si>
  <si>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</si>
  <si>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</si>
  <si>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</si>
  <si>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</si>
  <si>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</si>
  <si>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</si>
  <si>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</si>
  <si>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</si>
  <si>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</si>
  <si>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 percentage to NAV of security is less than 0.01%</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</si>
  <si>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</si>
  <si>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</si>
  <si>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</si>
  <si>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</si>
  <si>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</si>
  <si>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</si>
  <si>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</si>
  <si>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</si>
  <si>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31/01/2023</t>
  </si>
  <si>
    <t>28/02/2023</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</si>
  <si>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</si>
  <si>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</si>
  <si>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</si>
  <si>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</si>
  <si>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</si>
  <si>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</si>
  <si>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Sundaram Mid Cap Fund</t>
  </si>
  <si>
    <t>INE171A01029</t>
  </si>
  <si>
    <t>The Federal Bank  Ltd</t>
  </si>
  <si>
    <t>INE721A01013</t>
  </si>
  <si>
    <t>Shriram Finance Ltd</t>
  </si>
  <si>
    <t>INE262H01013</t>
  </si>
  <si>
    <t>Persistent Systems Ltd</t>
  </si>
  <si>
    <t>INE048G01026</t>
  </si>
  <si>
    <t>Navin Fluorine International Ltd</t>
  </si>
  <si>
    <t>Chemicals &amp; Petrochemicals</t>
  </si>
  <si>
    <t>INE169A01031</t>
  </si>
  <si>
    <t>Coromandel International Ltd</t>
  </si>
  <si>
    <t>Fertilizers &amp; Agrochemicals</t>
  </si>
  <si>
    <t>INE974X01010</t>
  </si>
  <si>
    <t>Tube Investments of India Ltd</t>
  </si>
  <si>
    <t>INE200M01013</t>
  </si>
  <si>
    <t>Varun Beverages Ltd</t>
  </si>
  <si>
    <t>Beverages</t>
  </si>
  <si>
    <t>INE238A01034</t>
  </si>
  <si>
    <t>Axis Bank Ltd</t>
  </si>
  <si>
    <t>INE949L01017</t>
  </si>
  <si>
    <t>AU Small Finance Bank Ltd</t>
  </si>
  <si>
    <t>INE849A01020</t>
  </si>
  <si>
    <t>Trent Ltd</t>
  </si>
  <si>
    <t>Retailing</t>
  </si>
  <si>
    <t>INE299U01018</t>
  </si>
  <si>
    <t>Crompton Greaves Consumer Electricals Ltd</t>
  </si>
  <si>
    <t>INE246F01010</t>
  </si>
  <si>
    <t>Gujarat State Petronet Ltd</t>
  </si>
  <si>
    <t>INE061F01013</t>
  </si>
  <si>
    <t>Fortis Health Care Ltd</t>
  </si>
  <si>
    <t>Healthcare Services</t>
  </si>
  <si>
    <t>INE749A01030</t>
  </si>
  <si>
    <t>Jindal Steel &amp; Power Ltd</t>
  </si>
  <si>
    <t>Ferrous Metals</t>
  </si>
  <si>
    <t>INE180A01020</t>
  </si>
  <si>
    <t>Max Financial Services Ltd</t>
  </si>
  <si>
    <t>Insurance</t>
  </si>
  <si>
    <t>INE303R01014</t>
  </si>
  <si>
    <t>Kalyan Jewellers India Ltd</t>
  </si>
  <si>
    <t>INE010B01027</t>
  </si>
  <si>
    <t>Zydus Lifesciences Ltd</t>
  </si>
  <si>
    <t>Pharmaceuticals &amp; Biotechnology</t>
  </si>
  <si>
    <t>INE028A01039</t>
  </si>
  <si>
    <t>Bank of Baroda</t>
  </si>
  <si>
    <t>INE686F01025</t>
  </si>
  <si>
    <t>United Breweries Ltd</t>
  </si>
  <si>
    <t>INE761H01022</t>
  </si>
  <si>
    <t>Page Industries Ltd</t>
  </si>
  <si>
    <t>Textiles &amp; Apparels</t>
  </si>
  <si>
    <t>INE226A01021</t>
  </si>
  <si>
    <t>Voltas Ltd</t>
  </si>
  <si>
    <t>INE105A01035</t>
  </si>
  <si>
    <t>Sundaram Clayton Ltd</t>
  </si>
  <si>
    <t>INE797F01020</t>
  </si>
  <si>
    <t>Jubilant Foodworks Ltd</t>
  </si>
  <si>
    <t>Leisure Services</t>
  </si>
  <si>
    <t>INE342J01019</t>
  </si>
  <si>
    <t>ZF Commercial Vehicle Control Systems I Ltd</t>
  </si>
  <si>
    <t>INE437A01024</t>
  </si>
  <si>
    <t>Apollo Hospitals Enterprise Ltd</t>
  </si>
  <si>
    <t>INE256A01028</t>
  </si>
  <si>
    <t>Zee Entertainment Enterprises Ltd</t>
  </si>
  <si>
    <t>Entertainment</t>
  </si>
  <si>
    <t>INE006I01046</t>
  </si>
  <si>
    <t>Astral Ltd</t>
  </si>
  <si>
    <t>INE149A01033</t>
  </si>
  <si>
    <t>Cholamandalam Financial Holdings Ltd</t>
  </si>
  <si>
    <t>INE571A01038</t>
  </si>
  <si>
    <t>IPCA Laboratories Ltd</t>
  </si>
  <si>
    <t>INE465A01025</t>
  </si>
  <si>
    <t>Bharat Forge Ltd</t>
  </si>
  <si>
    <t>INE473B01035</t>
  </si>
  <si>
    <t>Hatsun Agro Product Ltd</t>
  </si>
  <si>
    <t>Food Products</t>
  </si>
  <si>
    <t>INE647A01010</t>
  </si>
  <si>
    <t>SRF Ltd</t>
  </si>
  <si>
    <t>INE947Q01028</t>
  </si>
  <si>
    <t>Laurus Labs Ltd</t>
  </si>
  <si>
    <t>INE603J01030</t>
  </si>
  <si>
    <t>PI Industries Ltd</t>
  </si>
  <si>
    <t>INE216P01012</t>
  </si>
  <si>
    <t>Aavas Financiers Ltd</t>
  </si>
  <si>
    <t>INE317I01021</t>
  </si>
  <si>
    <t>Metro Brands Ltd</t>
  </si>
  <si>
    <t>INE214T01019</t>
  </si>
  <si>
    <t>LTIMindtree Ltd</t>
  </si>
  <si>
    <t>INE405E01023</t>
  </si>
  <si>
    <t>UNO Minda Ltd</t>
  </si>
  <si>
    <t>INE068V01023</t>
  </si>
  <si>
    <t>Gland Pharma Ltd</t>
  </si>
  <si>
    <t>INE427F01016</t>
  </si>
  <si>
    <t>INE326A01037</t>
  </si>
  <si>
    <t>Lupin Ltd</t>
  </si>
  <si>
    <t>INE494B01023</t>
  </si>
  <si>
    <t>TVS Motor Company Ltd</t>
  </si>
  <si>
    <t>INE548C01032</t>
  </si>
  <si>
    <t>Emami Ltd</t>
  </si>
  <si>
    <t>Personal Products</t>
  </si>
  <si>
    <t>INE217B01036</t>
  </si>
  <si>
    <t>Kajaria Ceramics Ltd</t>
  </si>
  <si>
    <t>INE203G01027</t>
  </si>
  <si>
    <t>Indraprastha Gas Ltd</t>
  </si>
  <si>
    <t>INE787D01026</t>
  </si>
  <si>
    <t>Balkrishna Industries Ltd</t>
  </si>
  <si>
    <t>INE356A01018</t>
  </si>
  <si>
    <t>MphasiS Ltd</t>
  </si>
  <si>
    <t>INE094A01015</t>
  </si>
  <si>
    <t>Hindustan Petroleum Corporation Ltd</t>
  </si>
  <si>
    <t>INE930H01031</t>
  </si>
  <si>
    <t>K.P.R. Mill Ltd</t>
  </si>
  <si>
    <t>INE935N01020</t>
  </si>
  <si>
    <t>Dixon Technologies (India) Ltd</t>
  </si>
  <si>
    <t>Sundaram Multi Cap Fund Series I</t>
  </si>
  <si>
    <t>INE009A01021</t>
  </si>
  <si>
    <t>Infosys Ltd</t>
  </si>
  <si>
    <t>INE001A01036</t>
  </si>
  <si>
    <t>Housing Development Finance Corporation Ltd</t>
  </si>
  <si>
    <t>INE040A01034</t>
  </si>
  <si>
    <t>HDFC Bank Ltd</t>
  </si>
  <si>
    <t>INE467B01029</t>
  </si>
  <si>
    <t>Tata Consultancy Services Ltd</t>
  </si>
  <si>
    <t>INE123W01016</t>
  </si>
  <si>
    <t>SBI Life Insurance Company Ltd</t>
  </si>
  <si>
    <t>INE044A01036</t>
  </si>
  <si>
    <t>Sun Pharmaceutical Industries Ltd</t>
  </si>
  <si>
    <t>INE191H01014</t>
  </si>
  <si>
    <t>PVR Ltd</t>
  </si>
  <si>
    <t>INE030A01027</t>
  </si>
  <si>
    <t>Hindustan UniLever Ltd</t>
  </si>
  <si>
    <t>Diversified Fmcg</t>
  </si>
  <si>
    <t>INE101A01026</t>
  </si>
  <si>
    <t>Mahindra &amp; Mahindra Ltd</t>
  </si>
  <si>
    <t>INE154A01025</t>
  </si>
  <si>
    <t>ITC Ltd</t>
  </si>
  <si>
    <t>INE860A01027</t>
  </si>
  <si>
    <t>HCL Technologies Ltd</t>
  </si>
  <si>
    <t>INE075A01022</t>
  </si>
  <si>
    <t>Wipro Ltd</t>
  </si>
  <si>
    <t>INE806T01012</t>
  </si>
  <si>
    <t>Sapphire Foods India Ltd</t>
  </si>
  <si>
    <t>INE488A01050</t>
  </si>
  <si>
    <t>Chemplast Sanmar Ltd</t>
  </si>
  <si>
    <t>INE669C01036</t>
  </si>
  <si>
    <t>Tech Mahindra Ltd</t>
  </si>
  <si>
    <t>INE237A01028</t>
  </si>
  <si>
    <t>Kotak Mahindra Bank Ltd</t>
  </si>
  <si>
    <t>INE081A01020</t>
  </si>
  <si>
    <t>Tata Steel Ltd</t>
  </si>
  <si>
    <t>INE095A01012</t>
  </si>
  <si>
    <t>IndusInd Bank Ltd</t>
  </si>
  <si>
    <t>INE217L01019</t>
  </si>
  <si>
    <t>Shriram Properties Ltd</t>
  </si>
  <si>
    <t>INE732I01013</t>
  </si>
  <si>
    <t>Angel One Ltd</t>
  </si>
  <si>
    <t>Capital Markets</t>
  </si>
  <si>
    <t>IN9397D01014</t>
  </si>
  <si>
    <t>Sundaram Multi Cap Fund -Series II</t>
  </si>
  <si>
    <t>Sundaram Large and Mid Cap Fund</t>
  </si>
  <si>
    <t>INE476A01014</t>
  </si>
  <si>
    <t>Canara Bank</t>
  </si>
  <si>
    <t>INE053A01029</t>
  </si>
  <si>
    <t>The Indian Hotels Company Ltd</t>
  </si>
  <si>
    <t>INE893J01029</t>
  </si>
  <si>
    <t>Mold-Tek Packaging Ltd</t>
  </si>
  <si>
    <t>INE918I01026</t>
  </si>
  <si>
    <t>Bajaj Finserv Ltd</t>
  </si>
  <si>
    <t>INE296A01024</t>
  </si>
  <si>
    <t>Bajaj Finance Ltd</t>
  </si>
  <si>
    <t>INE155A01022</t>
  </si>
  <si>
    <t>Tata Motors Ltd</t>
  </si>
  <si>
    <t>INE361B01024</t>
  </si>
  <si>
    <t>Divis Laboratories Ltd</t>
  </si>
  <si>
    <t>INE586V01016</t>
  </si>
  <si>
    <t>TCI Express Ltd</t>
  </si>
  <si>
    <t>INE280A01028</t>
  </si>
  <si>
    <t>Titan Company Ltd</t>
  </si>
  <si>
    <t>INE192R01011</t>
  </si>
  <si>
    <t>Avenue Supermarts Ltd</t>
  </si>
  <si>
    <t>INE257A01026</t>
  </si>
  <si>
    <t>Bharat Heavy Electricals Ltd</t>
  </si>
  <si>
    <t>INE387A01021</t>
  </si>
  <si>
    <t>Sundram Fasteners Ltd</t>
  </si>
  <si>
    <t>INE131B01039</t>
  </si>
  <si>
    <t>Relaxo Footwears Ltd</t>
  </si>
  <si>
    <t>INE100A01010</t>
  </si>
  <si>
    <t>Atul Ltd</t>
  </si>
  <si>
    <t>INE388Y01029</t>
  </si>
  <si>
    <t>FSN E–Commerce Ventures Ltd(NYKAA)</t>
  </si>
  <si>
    <t>Sundaram Emerging Small Cap Series I</t>
  </si>
  <si>
    <t>Sundaram Emerging Small Cap Series II</t>
  </si>
  <si>
    <t>Sundaram Emerging Small Cap Series III</t>
  </si>
  <si>
    <t>INE063P01018</t>
  </si>
  <si>
    <t>Equitas Small Finance Bank Limited</t>
  </si>
  <si>
    <t>INE00WC01027</t>
  </si>
  <si>
    <t>Affle (India) Ltd</t>
  </si>
  <si>
    <t>INE481N01025</t>
  </si>
  <si>
    <t>Home First Finance Company Ltd</t>
  </si>
  <si>
    <t>INE442H01029</t>
  </si>
  <si>
    <t>Ashoka Buildcon Ltd</t>
  </si>
  <si>
    <t>INE717A01029</t>
  </si>
  <si>
    <t>Kennametal India Ltd</t>
  </si>
  <si>
    <t>INE060A01024</t>
  </si>
  <si>
    <t>Navneet Education Ltd</t>
  </si>
  <si>
    <t>Printing &amp; Publication</t>
  </si>
  <si>
    <t>INE745G01035</t>
  </si>
  <si>
    <t>Multi Commodity Exchange of India Ltd</t>
  </si>
  <si>
    <t>INE296E01026</t>
  </si>
  <si>
    <t>Rajapalayam Mills Ltd</t>
  </si>
  <si>
    <t>INE00IN01015</t>
  </si>
  <si>
    <t>Stove Kraft Ltd</t>
  </si>
  <si>
    <t>INE285J01028</t>
  </si>
  <si>
    <t>SIS Ltd</t>
  </si>
  <si>
    <t>Commercial Services &amp; Supplies</t>
  </si>
  <si>
    <t>INE126A01031</t>
  </si>
  <si>
    <t>EID Parry India Ltd</t>
  </si>
  <si>
    <t>INE834I01025</t>
  </si>
  <si>
    <t>Khadim India Ltd</t>
  </si>
  <si>
    <t>Sundaram Emerging Small Cap Series IV</t>
  </si>
  <si>
    <t>INE211B01039</t>
  </si>
  <si>
    <t>The Phoenix Mills Ltd</t>
  </si>
  <si>
    <t>INE075I01017</t>
  </si>
  <si>
    <t>Healthcare Global Enterprises Ltd</t>
  </si>
  <si>
    <t>INE477A01020</t>
  </si>
  <si>
    <t>Can Fin Homes Ltd</t>
  </si>
  <si>
    <t>INE045A01017</t>
  </si>
  <si>
    <t>Ador Welding Ltd</t>
  </si>
  <si>
    <t>INE864I01014</t>
  </si>
  <si>
    <t>MTAR Technologies Ltd</t>
  </si>
  <si>
    <t>INE429E01023</t>
  </si>
  <si>
    <t>Safari Industries (India) Ltd</t>
  </si>
  <si>
    <t>INE274F01020</t>
  </si>
  <si>
    <t>Westlife Foodworld Ltd</t>
  </si>
  <si>
    <t>INE873D01024</t>
  </si>
  <si>
    <t>Indoco Remedies Ltd</t>
  </si>
  <si>
    <t>INE688A01022</t>
  </si>
  <si>
    <t>Transport Corporation of India Ltd</t>
  </si>
  <si>
    <t>INE348B01021</t>
  </si>
  <si>
    <t>Century Plyboards (India) Ltd</t>
  </si>
  <si>
    <t>INE741K01010</t>
  </si>
  <si>
    <t>Creditaccess Grameen Ltd</t>
  </si>
  <si>
    <t>INE679A01013</t>
  </si>
  <si>
    <t>CSB Bank Ltd</t>
  </si>
  <si>
    <t>INE199A01012</t>
  </si>
  <si>
    <t>Procter &amp; Gamble Health Ltd</t>
  </si>
  <si>
    <t>INE978A01027</t>
  </si>
  <si>
    <t>Heritage Foods Ltd</t>
  </si>
  <si>
    <t>INE782A01015</t>
  </si>
  <si>
    <t>Johnson Controls-Hitachi AirConditioning India Ltd</t>
  </si>
  <si>
    <t>INE056C01010</t>
  </si>
  <si>
    <t>Tata Metaliks Ltd</t>
  </si>
  <si>
    <t>INE565V01010</t>
  </si>
  <si>
    <t>Valiant Organics Ltd</t>
  </si>
  <si>
    <t>Sundaram Emerging Small Cap Series V</t>
  </si>
  <si>
    <t>INE136B01020</t>
  </si>
  <si>
    <t>Cyient Ltd</t>
  </si>
  <si>
    <t>INE731H01025</t>
  </si>
  <si>
    <t>Action Construction Equipment Ltd</t>
  </si>
  <si>
    <t>INE472A01039</t>
  </si>
  <si>
    <t>Blue Star Ltd</t>
  </si>
  <si>
    <t>INE120A01034</t>
  </si>
  <si>
    <t>Carborundum Universal Ltd</t>
  </si>
  <si>
    <t>INE043D01016</t>
  </si>
  <si>
    <t>IDFC Ltd</t>
  </si>
  <si>
    <t>INE421D01022</t>
  </si>
  <si>
    <t>CCL Products (India) Ltd</t>
  </si>
  <si>
    <t>Agricultural Food &amp; Other Products</t>
  </si>
  <si>
    <t>INE220B01022</t>
  </si>
  <si>
    <t>Kalpataru Power Transmission Ltd</t>
  </si>
  <si>
    <t>INE572A01028</t>
  </si>
  <si>
    <t>JB Chemicals &amp; Pharmaceuticals Ltd</t>
  </si>
  <si>
    <t>INE934S01014</t>
  </si>
  <si>
    <t>GNA Axles Ltd</t>
  </si>
  <si>
    <t>INE615P01015</t>
  </si>
  <si>
    <t>Quess Corp Ltd</t>
  </si>
  <si>
    <t>INE227C01017</t>
  </si>
  <si>
    <t>MM Forgings Ltd</t>
  </si>
  <si>
    <t>INE0H5O01029</t>
  </si>
  <si>
    <t>Windlas Biotech Ltd</t>
  </si>
  <si>
    <t>INE0JS101016</t>
  </si>
  <si>
    <t>Dreamfolks Services Ltd</t>
  </si>
  <si>
    <t>Sundaram Emerging Small Cap Series VI</t>
  </si>
  <si>
    <t>INE04I401011</t>
  </si>
  <si>
    <t>KPIT Technologies Ltd</t>
  </si>
  <si>
    <t>INE930P01018</t>
  </si>
  <si>
    <t>Anupam Rasayan India Ltd</t>
  </si>
  <si>
    <t>Sundaram Emerging Small Cap Series VII</t>
  </si>
  <si>
    <t>INE435A01028</t>
  </si>
  <si>
    <t>International Paper APPM Ltd</t>
  </si>
  <si>
    <t>Paper, Forest &amp; Jute Products</t>
  </si>
  <si>
    <t>INE058A01010</t>
  </si>
  <si>
    <t>Sanofi India Ltd</t>
  </si>
  <si>
    <t>INE586B01026</t>
  </si>
  <si>
    <t>Taj GVK Hotels &amp; Resorts Ltd</t>
  </si>
  <si>
    <t>INE517F01014</t>
  </si>
  <si>
    <t>Gujarat Pipavav Port Ltd</t>
  </si>
  <si>
    <t>INE716A01013</t>
  </si>
  <si>
    <t>Whirlpool of India Ltd</t>
  </si>
  <si>
    <t>INE182A01018</t>
  </si>
  <si>
    <t>Pfizer Ltd</t>
  </si>
  <si>
    <t>Sundaram Long Term Tax Advantage Fund Series III</t>
  </si>
  <si>
    <t>INE743M01012</t>
  </si>
  <si>
    <t>RHI Magnesita India Ltd</t>
  </si>
  <si>
    <t>Sundaram Long Term Tax Advantage Fund Series IV</t>
  </si>
  <si>
    <t>Sundaram Long Term Tax Advantage Fund Series-I</t>
  </si>
  <si>
    <t>INE059A01026</t>
  </si>
  <si>
    <t>Cipla Ltd</t>
  </si>
  <si>
    <t>INE340A01012</t>
  </si>
  <si>
    <t>Birla Corporation Ltd</t>
  </si>
  <si>
    <t>INE192A01025</t>
  </si>
  <si>
    <t>TATA Consumer Products Ltd</t>
  </si>
  <si>
    <t>INE647O01011</t>
  </si>
  <si>
    <t>Aditya Birla Fashion and Retail Ltd</t>
  </si>
  <si>
    <t>Sundaram Long Term Tax Advantage Fund Series-II</t>
  </si>
  <si>
    <t>Sundaram Long Term Micro Cap Tax Advantage Fund Series III</t>
  </si>
  <si>
    <t>INE386C01029</t>
  </si>
  <si>
    <t>Astra Microwave Products Ltd</t>
  </si>
  <si>
    <t>Sundaram Long Term Micro Cap Tax Advantage Fund Series IV</t>
  </si>
  <si>
    <t>Sundaram Long Term Micro Cap Tax Advantage Fund Series V</t>
  </si>
  <si>
    <t>Sundaram Long Term Micro Cap Tax Advantage Fund Series VI</t>
  </si>
  <si>
    <t>Sundaram Small Cap Fund</t>
  </si>
  <si>
    <t>INE944F01028</t>
  </si>
  <si>
    <t>Radico Khaitan Ltd</t>
  </si>
  <si>
    <t>INE725G01011</t>
  </si>
  <si>
    <t>ICRA Ltd</t>
  </si>
  <si>
    <t>INE136S01016</t>
  </si>
  <si>
    <t>Neogen Chemicals Ltd</t>
  </si>
  <si>
    <t>INE098F01031</t>
  </si>
  <si>
    <t>Amrutanjan Health Care Ltd</t>
  </si>
  <si>
    <t>INE094J01016</t>
  </si>
  <si>
    <t>UTI Asset Management Co Ltd</t>
  </si>
  <si>
    <t>INE596I01012</t>
  </si>
  <si>
    <t>Computer Age Management Services Ltd</t>
  </si>
  <si>
    <t>INE03QK01018</t>
  </si>
  <si>
    <t>Suven Pharmaceuticals Ltd</t>
  </si>
  <si>
    <t>IN9155A01020</t>
  </si>
  <si>
    <t>INE142Z01019</t>
  </si>
  <si>
    <t>Orient Electric Ltd</t>
  </si>
  <si>
    <t>INE0BV301023</t>
  </si>
  <si>
    <t>CE Info Systems Private Limited</t>
  </si>
  <si>
    <t>INE739E01017</t>
  </si>
  <si>
    <t>Cera Sanitaryware Ltd</t>
  </si>
  <si>
    <t>INE334L01012</t>
  </si>
  <si>
    <t>INE295F01017</t>
  </si>
  <si>
    <t>Butterfly Gandhimathi Appliances Ltd</t>
  </si>
  <si>
    <t>INE177F01017</t>
  </si>
  <si>
    <t>Kovai Medical Center &amp; Hospital Ltd</t>
  </si>
  <si>
    <t>INE00F201020</t>
  </si>
  <si>
    <t>Prudent Corporate Advisory Services Ltd</t>
  </si>
  <si>
    <t>INE451A01017</t>
  </si>
  <si>
    <t>Force Motors Ltd</t>
  </si>
  <si>
    <t>INE119A01028</t>
  </si>
  <si>
    <t>Balrampur Chini Mills Ltd</t>
  </si>
  <si>
    <t>INE736A01011</t>
  </si>
  <si>
    <t>Central Depository Services (India) Ltd</t>
  </si>
  <si>
    <t>INE287B01021</t>
  </si>
  <si>
    <t>Subros Ltd</t>
  </si>
  <si>
    <t>INE836A01035</t>
  </si>
  <si>
    <t>Birlasoft Ltd</t>
  </si>
  <si>
    <t>INE054A01027</t>
  </si>
  <si>
    <t>VIP Industries Ltd</t>
  </si>
  <si>
    <t>INE0BJS01011</t>
  </si>
  <si>
    <t>Go Fashion (India ) Ltd</t>
  </si>
  <si>
    <t>INE825V01034</t>
  </si>
  <si>
    <t>Vedant Fashions Ltd</t>
  </si>
  <si>
    <t>Sundaram Aggressive Hybrid Fund</t>
  </si>
  <si>
    <t>INE854D01024</t>
  </si>
  <si>
    <t>United Spirits Ltd</t>
  </si>
  <si>
    <t>INE102D01028</t>
  </si>
  <si>
    <t>Godrej Consumer Products Ltd</t>
  </si>
  <si>
    <t>INE066A01021</t>
  </si>
  <si>
    <t>Eicher Motors Ltd</t>
  </si>
  <si>
    <t>INE179A01014</t>
  </si>
  <si>
    <t>Procter &amp; Gamble Hygiene and Health Care Ltd</t>
  </si>
  <si>
    <t>INE852S01026</t>
  </si>
  <si>
    <t>INE134E08KO6</t>
  </si>
  <si>
    <t>Power Finance Corporation Ltd - 6.83% - 24/04/2023</t>
  </si>
  <si>
    <t>ICRA AAA</t>
  </si>
  <si>
    <t>INE261F08DX0</t>
  </si>
  <si>
    <t>National Bank for Agricultural &amp; Rural Development - 7.58% - 31/07/2026</t>
  </si>
  <si>
    <t>CRISIL AAA</t>
  </si>
  <si>
    <t>INE020B08DR1</t>
  </si>
  <si>
    <t>REC LTD - 5.74% - 20/06/2024**</t>
  </si>
  <si>
    <t>INE020B08906</t>
  </si>
  <si>
    <t>REC LTD - 8.27% - 06/02/2025**</t>
  </si>
  <si>
    <t>INE261F08DV4</t>
  </si>
  <si>
    <t>National Bank for Agricultural &amp; Rural Development - 7.62% - 31/01/2028**</t>
  </si>
  <si>
    <t>INE028A08158</t>
  </si>
  <si>
    <t>CARE AAA</t>
  </si>
  <si>
    <t>INE001A07SG6</t>
  </si>
  <si>
    <t>Housing Development Finance Corporation Ltd - 7.35% - 10/02/2025**</t>
  </si>
  <si>
    <t>INE557F08FG1</t>
  </si>
  <si>
    <t>National Housing Bank  - 7.05% - 18/12/2024**</t>
  </si>
  <si>
    <t>INE134E08KD9</t>
  </si>
  <si>
    <t>Power Finance Corporation Ltd - 8.1% - 04/06/2024**</t>
  </si>
  <si>
    <t>INE115A07PC9</t>
  </si>
  <si>
    <t>LIC Housing Finance Ltd - 5.35% - 20/03/2023**</t>
  </si>
  <si>
    <t>INE261F08BK1</t>
  </si>
  <si>
    <t>National Bank for Agricultural &amp; Rural Development - 7.69% - 29/05/2024**</t>
  </si>
  <si>
    <t>INE018A08BA7</t>
  </si>
  <si>
    <t>INE556F08KE8</t>
  </si>
  <si>
    <t>INE261F08DI1</t>
  </si>
  <si>
    <t>National Bank for Agricultural &amp; Rural Development - 5.23% - 31/01/2025**</t>
  </si>
  <si>
    <t>INE895D07487</t>
  </si>
  <si>
    <t>Tata Sons Pvt Ltd - 9.3% - 19/06/2024**</t>
  </si>
  <si>
    <t>INE090A08TU6</t>
  </si>
  <si>
    <t>ICICI Bank Ltd - 7.6% - 07/10/2023**</t>
  </si>
  <si>
    <t>INE115A07OV2</t>
  </si>
  <si>
    <t>LIC Housing Finance Ltd - 5.45% - 25/08/2023**</t>
  </si>
  <si>
    <t>INE557F08FI7</t>
  </si>
  <si>
    <t>National Housing Bank  - 6.55% - 17/04/2023**</t>
  </si>
  <si>
    <t>INE261F08DF7</t>
  </si>
  <si>
    <t>National Bank for Agricultural &amp; Rural Development - 5.27% - 23/07/2024**</t>
  </si>
  <si>
    <t>IN0020220052</t>
  </si>
  <si>
    <t>6.69% Central Government Securities 27/06/2024</t>
  </si>
  <si>
    <t>Sovereign</t>
  </si>
  <si>
    <t>IN0020220151</t>
  </si>
  <si>
    <t>IN0020220102</t>
  </si>
  <si>
    <t>IN0020220037</t>
  </si>
  <si>
    <t>7.38% Central Government Securities 20/06/2027</t>
  </si>
  <si>
    <t>IN0020220060</t>
  </si>
  <si>
    <t xml:space="preserve">7.26% Central Government Securities 22/08/2032 </t>
  </si>
  <si>
    <t>IN0020220011</t>
  </si>
  <si>
    <t>IN0020200112</t>
  </si>
  <si>
    <t>5.22% Central Government Securities 15/06/2025</t>
  </si>
  <si>
    <t>IN0020210186</t>
  </si>
  <si>
    <t>5.74% Central Government Securities 15/11/2026</t>
  </si>
  <si>
    <t>IN0020210160</t>
  </si>
  <si>
    <t>IN0020190396</t>
  </si>
  <si>
    <t>6.18% Central Government Securities 04/11/2024</t>
  </si>
  <si>
    <t>IN2220150030</t>
  </si>
  <si>
    <t>8.25% Maharashtra State Development Loan 10/06/2025</t>
  </si>
  <si>
    <t>IN1920140119</t>
  </si>
  <si>
    <t>8.08% Karnataka State Development Loan 11/03/2025</t>
  </si>
  <si>
    <t>IN2220140205</t>
  </si>
  <si>
    <t>8.06% Maharashtra State Development Loan 11/02/2025</t>
  </si>
  <si>
    <t>INE028A16CW1</t>
  </si>
  <si>
    <t>IND A1+</t>
  </si>
  <si>
    <t>INE028A16CT7</t>
  </si>
  <si>
    <t>INE476A16TV8</t>
  </si>
  <si>
    <t>Canara Bank - 18/08/2023**</t>
  </si>
  <si>
    <t>CRISIL A1+</t>
  </si>
  <si>
    <t>INE556F16994</t>
  </si>
  <si>
    <t>INE062A16465</t>
  </si>
  <si>
    <t>State Bank of India - 12/09/2023</t>
  </si>
  <si>
    <t>INE001A14ZQ6</t>
  </si>
  <si>
    <t>Housing Development Finance Corporation Ltd - 18/10/2023**</t>
  </si>
  <si>
    <t>INE001A14A04</t>
  </si>
  <si>
    <t>Housing Development Finance Corporation Ltd - 25/01/2024**</t>
  </si>
  <si>
    <t>Individual &amp; HUF</t>
  </si>
  <si>
    <t>Others</t>
  </si>
  <si>
    <t>Sundaram Arbitrage Fund</t>
  </si>
  <si>
    <t>INE271C01023</t>
  </si>
  <si>
    <t>DLF Ltd</t>
  </si>
  <si>
    <t>INE021A01026</t>
  </si>
  <si>
    <t>Asian Paints Ltd</t>
  </si>
  <si>
    <t>INE016A01026</t>
  </si>
  <si>
    <t>Dabur India Ltd</t>
  </si>
  <si>
    <t>INE406A01037</t>
  </si>
  <si>
    <t>Aurobindo Pharma Ltd</t>
  </si>
  <si>
    <t>INE498L01015</t>
  </si>
  <si>
    <t>L&amp;T Finance Holdings Ltd</t>
  </si>
  <si>
    <t>Stock Future</t>
  </si>
  <si>
    <t>IN002022Y476</t>
  </si>
  <si>
    <t>IN002022Z093</t>
  </si>
  <si>
    <t>IN002022Y393</t>
  </si>
  <si>
    <t>INF173K01GU0</t>
  </si>
  <si>
    <t>Margin Money For Derivatives</t>
  </si>
  <si>
    <t>Sundaram Balanced Advantage Fund</t>
  </si>
  <si>
    <t>Index Future</t>
  </si>
  <si>
    <t>INE001A07TL4</t>
  </si>
  <si>
    <t>Housing Development Finance Corporation Ltd - 7.4% - 02/06/2025**</t>
  </si>
  <si>
    <t>INE094A08085</t>
  </si>
  <si>
    <t>Hindustan Petroleum Corporation Ltd - 4.79% - 23/10/2023**</t>
  </si>
  <si>
    <t>INE261F08BW6</t>
  </si>
  <si>
    <t>National Bank for Agricultural &amp; Rural Development - 6.72% - 14/04/2023**</t>
  </si>
  <si>
    <t>INE020B08CN2</t>
  </si>
  <si>
    <t>REC LTD - 6.8% - 30/06/2023**</t>
  </si>
  <si>
    <t>INE001A07TS9</t>
  </si>
  <si>
    <t>Housing Development Finance Corporation Ltd - 7.7% - 18/11/2025**</t>
  </si>
  <si>
    <t>INE020B08DC3</t>
  </si>
  <si>
    <t>REC LTD - 5.69% - 30/09/2023**</t>
  </si>
  <si>
    <t>INE134E08KJ6</t>
  </si>
  <si>
    <t>Power Finance Corporation Ltd - 7.04% - 14/04/2023**</t>
  </si>
  <si>
    <t>INE053F07BZ2</t>
  </si>
  <si>
    <t>INE261F08CA0</t>
  </si>
  <si>
    <t>National Bank for Agricultural &amp; Rural Development - 6.4% - 31/07/2023**</t>
  </si>
  <si>
    <t>INE053F07BB3</t>
  </si>
  <si>
    <t>INE733E07JD2</t>
  </si>
  <si>
    <t>NTPC LTD - 8.8% - 04/04/2023**</t>
  </si>
  <si>
    <t>IN0020210046</t>
  </si>
  <si>
    <t>4.26% Central Government Securities 17/05/2023</t>
  </si>
  <si>
    <t>INE040A16DF9</t>
  </si>
  <si>
    <t>HDFC Bank Ltd - 15/05/2023</t>
  </si>
  <si>
    <t>Sundaram Dividend Yield Fund</t>
  </si>
  <si>
    <t>INE522F01014</t>
  </si>
  <si>
    <t>Coal India Ltd</t>
  </si>
  <si>
    <t>Consumable Fuels</t>
  </si>
  <si>
    <t>INE212H01026</t>
  </si>
  <si>
    <t>AIA Engineering Ltd</t>
  </si>
  <si>
    <t>INE917I01010</t>
  </si>
  <si>
    <t>Bajaj Auto Ltd</t>
  </si>
  <si>
    <t>INE216A01030</t>
  </si>
  <si>
    <t>Britannia Industries Ltd</t>
  </si>
  <si>
    <t>INE591G01017</t>
  </si>
  <si>
    <t>Coforge Ltd</t>
  </si>
  <si>
    <t>INE710A01016</t>
  </si>
  <si>
    <t>VST Industries Ltd</t>
  </si>
  <si>
    <t>Cigarettes &amp; Tobacco Products</t>
  </si>
  <si>
    <t>INE916U01025</t>
  </si>
  <si>
    <t>Sheela Foam Ltd</t>
  </si>
  <si>
    <t>INE763G01038</t>
  </si>
  <si>
    <t>ICICI Securities Ltd</t>
  </si>
  <si>
    <t>IDIA00069480</t>
  </si>
  <si>
    <t>IDIA00069477</t>
  </si>
  <si>
    <t>INE759J01022</t>
  </si>
  <si>
    <t>INE02CF01010</t>
  </si>
  <si>
    <t>INE216A08027</t>
  </si>
  <si>
    <t>Britannia Industries Ltd - 5.5% - 03/06/2024**</t>
  </si>
  <si>
    <t>Sundaram Equity Savings Fund</t>
  </si>
  <si>
    <t>INE138Y01010</t>
  </si>
  <si>
    <t>INE227W01023</t>
  </si>
  <si>
    <t>Clean Science &amp; Technology Ltd</t>
  </si>
  <si>
    <t>INE205A01025</t>
  </si>
  <si>
    <t>Vedanta Ltd</t>
  </si>
  <si>
    <t>Diversified Metals</t>
  </si>
  <si>
    <t>INE795G01014</t>
  </si>
  <si>
    <t>HDFC Life Insurance Company Ltd</t>
  </si>
  <si>
    <t>IN0020200278</t>
  </si>
  <si>
    <t>5.15% Central Government Securities 09/11/2025</t>
  </si>
  <si>
    <t>IN2220150022</t>
  </si>
  <si>
    <t>8.14% Maharashtra State Development Loan 27/05/2025</t>
  </si>
  <si>
    <t>IN002022Z143</t>
  </si>
  <si>
    <t>IN002022Z085</t>
  </si>
  <si>
    <t>Sundaram Focused  Fund</t>
  </si>
  <si>
    <t>Sundaram Multi Cap Fund</t>
  </si>
  <si>
    <t>INE470A01017</t>
  </si>
  <si>
    <t>3M India Ltd</t>
  </si>
  <si>
    <t>Diversified</t>
  </si>
  <si>
    <t>INE147E01013</t>
  </si>
  <si>
    <t>INE348C01011</t>
  </si>
  <si>
    <t>IDIA00069359</t>
  </si>
  <si>
    <t>INE406B01019</t>
  </si>
  <si>
    <t>IDIA00069356</t>
  </si>
  <si>
    <t>INE604A01011</t>
  </si>
  <si>
    <t>INE431E01011</t>
  </si>
  <si>
    <t>Sundaram Nifty 100 Equal Weight Fund</t>
  </si>
  <si>
    <t>INE982J01020</t>
  </si>
  <si>
    <t>One 97 Communications Ltd</t>
  </si>
  <si>
    <t>Financial Technology (Fintech)</t>
  </si>
  <si>
    <t>INE775A01035</t>
  </si>
  <si>
    <t>Samvardhana Motherson International Ltd</t>
  </si>
  <si>
    <t>INE176B01034</t>
  </si>
  <si>
    <t>Havells India Ltd</t>
  </si>
  <si>
    <t>INE118A01012</t>
  </si>
  <si>
    <t>Bajaj Holdings &amp; Investment Ltd</t>
  </si>
  <si>
    <t>INE323A01026</t>
  </si>
  <si>
    <t>Bosch Ltd</t>
  </si>
  <si>
    <t>INE066F01012</t>
  </si>
  <si>
    <t>Hindustan Aeronautics Ltd</t>
  </si>
  <si>
    <t>INE089A01023</t>
  </si>
  <si>
    <t>Dr. Reddys Laboratories Ltd</t>
  </si>
  <si>
    <t>INE242A01010</t>
  </si>
  <si>
    <t>Indian Oil Corporation Ltd</t>
  </si>
  <si>
    <t>INE463A01038</t>
  </si>
  <si>
    <t>Berger Paints (I) Ltd</t>
  </si>
  <si>
    <t>INE545U01014</t>
  </si>
  <si>
    <t>Bandhan Bank Ltd</t>
  </si>
  <si>
    <t>INE628A01036</t>
  </si>
  <si>
    <t>UPL Ltd</t>
  </si>
  <si>
    <t>INE335Y01020</t>
  </si>
  <si>
    <t>Indian Railway Catering &amp; Tourism Corporation Ltd</t>
  </si>
  <si>
    <t>INE196A01026</t>
  </si>
  <si>
    <t>Marico Ltd</t>
  </si>
  <si>
    <t>INE239A01016</t>
  </si>
  <si>
    <t>Nestle India Ltd</t>
  </si>
  <si>
    <t>INE018E01016</t>
  </si>
  <si>
    <t>SBI Cards and Payment Services Ltd</t>
  </si>
  <si>
    <t>INE259A01022</t>
  </si>
  <si>
    <t>Colgate Palmolive (India) Ltd</t>
  </si>
  <si>
    <t>INE685A01028</t>
  </si>
  <si>
    <t>Torrent Pharmaceuticals Ltd</t>
  </si>
  <si>
    <t>INE414G01012</t>
  </si>
  <si>
    <t>Muthoot Finance Ltd</t>
  </si>
  <si>
    <t>INE726G01019</t>
  </si>
  <si>
    <t>ICICI Prudential Life Insurance Company Ltd</t>
  </si>
  <si>
    <t>INE758T01015</t>
  </si>
  <si>
    <t>Zomato Ltd</t>
  </si>
  <si>
    <t>INE047A01021</t>
  </si>
  <si>
    <t>Grasim Industries Ltd</t>
  </si>
  <si>
    <t>INE318A01026</t>
  </si>
  <si>
    <t>Pidilite Industries Ltd</t>
  </si>
  <si>
    <t>INE158A01026</t>
  </si>
  <si>
    <t>Hero MotoCorp Ltd</t>
  </si>
  <si>
    <t>INE663F01024</t>
  </si>
  <si>
    <t>Info Edge (India) Ltd</t>
  </si>
  <si>
    <t>INE765G01017</t>
  </si>
  <si>
    <t>ICICI Lombard General Insurance Company Ltd</t>
  </si>
  <si>
    <t>INE121J01017</t>
  </si>
  <si>
    <t>Indus Towers Ltd (Prev Bharti Infratel Ltd)</t>
  </si>
  <si>
    <t>INE019A01038</t>
  </si>
  <si>
    <t>JSW Steel Ltd</t>
  </si>
  <si>
    <t>INE376G01013</t>
  </si>
  <si>
    <t>Biocon Ltd</t>
  </si>
  <si>
    <t>INE127D01025</t>
  </si>
  <si>
    <t>HDFC Asset Management Company Ltd</t>
  </si>
  <si>
    <t>INE0J1Y01017</t>
  </si>
  <si>
    <t>LIC of India Ltd</t>
  </si>
  <si>
    <t>INE012A01025</t>
  </si>
  <si>
    <t>ACC Ltd</t>
  </si>
  <si>
    <t>INE423A01024</t>
  </si>
  <si>
    <t>Adani Enterprises</t>
  </si>
  <si>
    <t>Metals &amp; Minerals Trading</t>
  </si>
  <si>
    <t>INE931S01010</t>
  </si>
  <si>
    <t>Adani Transmission Ltd</t>
  </si>
  <si>
    <t>INE364U01010</t>
  </si>
  <si>
    <t>Adani Green Energy Ltd</t>
  </si>
  <si>
    <t>INE399L01023</t>
  </si>
  <si>
    <t>Adani Total Gas Ltd</t>
  </si>
  <si>
    <t>INEDUMMYYESB</t>
  </si>
  <si>
    <t>Sundaram Tax Savings Fund (ELSS)</t>
  </si>
  <si>
    <t>INE768C01010</t>
  </si>
  <si>
    <t>Zydus Wellness Ltd</t>
  </si>
  <si>
    <t>Sundaram Consumption Fund</t>
  </si>
  <si>
    <t>INE02YR01019</t>
  </si>
  <si>
    <t>Electronics Mart India Ltd</t>
  </si>
  <si>
    <t>INE872J01023</t>
  </si>
  <si>
    <t>Devyani international limited</t>
  </si>
  <si>
    <t>INE355A01028</t>
  </si>
  <si>
    <t>Sundaram Services Fund</t>
  </si>
  <si>
    <t>INE474Q01031</t>
  </si>
  <si>
    <t>Global Health Ltd</t>
  </si>
  <si>
    <t>INE112L01020</t>
  </si>
  <si>
    <t>Metropolis Healthcare Ltd</t>
  </si>
  <si>
    <t>MU0295S00016</t>
  </si>
  <si>
    <t>Sundaram Diversified Equity</t>
  </si>
  <si>
    <t>Sundaram Large Cap Fund</t>
  </si>
  <si>
    <t>Sundaram Flexi Cap Fund</t>
  </si>
  <si>
    <t>INE0JUS01029</t>
  </si>
  <si>
    <t>Harsha Engineers International Ltd</t>
  </si>
  <si>
    <t>Sundaram Financial Services Opportunities Fund</t>
  </si>
  <si>
    <t>INE115A01026</t>
  </si>
  <si>
    <t>LIC Housing Finance Ltd</t>
  </si>
  <si>
    <t>INE134E01011</t>
  </si>
  <si>
    <t>Power Finance Corporation Ltd</t>
  </si>
  <si>
    <t>Institutional Plan - Growth</t>
  </si>
  <si>
    <t>S.NO.</t>
  </si>
  <si>
    <t>ACRONYM</t>
  </si>
  <si>
    <t>SCHEME NAME</t>
  </si>
  <si>
    <t>CAPEXG</t>
  </si>
  <si>
    <t>MIDCAP</t>
  </si>
  <si>
    <t>MULTI1</t>
  </si>
  <si>
    <t>MULTI2</t>
  </si>
  <si>
    <t>Sundaram Multi Cap Fund Series II</t>
  </si>
  <si>
    <t>MULTIP</t>
  </si>
  <si>
    <t>Sundaram Large And Mid Cap Fund</t>
  </si>
  <si>
    <t>SESCAP1</t>
  </si>
  <si>
    <t>SESCAP2</t>
  </si>
  <si>
    <t>SESCAP3</t>
  </si>
  <si>
    <t>SESCAP4</t>
  </si>
  <si>
    <t>SESCAP5</t>
  </si>
  <si>
    <t>SESCAP6</t>
  </si>
  <si>
    <t>SESCAP7</t>
  </si>
  <si>
    <t>SLTADV3</t>
  </si>
  <si>
    <t>Sundaram Long Term Advantage Fund Series III</t>
  </si>
  <si>
    <t>SLTADV4</t>
  </si>
  <si>
    <t>Sundaram Long Term Advantage Fund Series IV</t>
  </si>
  <si>
    <t>SLTAX1</t>
  </si>
  <si>
    <t>Sundaram Long Term Tax Advantage Fund Series I</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</si>
  <si>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</si>
  <si>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</si>
  <si>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</si>
  <si>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</si>
  <si>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</si>
  <si>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</si>
  <si>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</si>
  <si>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</si>
  <si>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</si>
  <si>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</si>
  <si>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</si>
  <si>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</si>
  <si>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</si>
  <si>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</si>
  <si>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</si>
  <si>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</si>
  <si>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</si>
  <si>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Sundaram NIFTY 100 Equal Weight Fund</t>
  </si>
  <si>
    <t>SPTAX</t>
  </si>
  <si>
    <t>SRURAL</t>
  </si>
  <si>
    <t>SSFUND</t>
  </si>
  <si>
    <t>STAX</t>
  </si>
  <si>
    <t>SUNBCF</t>
  </si>
  <si>
    <t>SUNFCF</t>
  </si>
  <si>
    <t>SUNFOP</t>
  </si>
  <si>
    <t>GLOB</t>
  </si>
  <si>
    <t>Sundaram Global Brand Fund</t>
  </si>
  <si>
    <t>SUNDARAM GLOBAL BRAND FUND</t>
  </si>
  <si>
    <t>Monthly Portfolio Statement for the period ended 28 Feb 2023</t>
  </si>
  <si>
    <t>S.NO</t>
  </si>
  <si>
    <t>ISIN CODE</t>
  </si>
  <si>
    <t>Name of the Instrument</t>
  </si>
  <si>
    <t>Industry/ Rating</t>
  </si>
  <si>
    <t>YTM (%)</t>
  </si>
  <si>
    <t>A) Investments in Foreign Securities - Units of Mutual Funds</t>
  </si>
  <si>
    <t>SG9999013908</t>
  </si>
  <si>
    <t>Mutual Funds</t>
  </si>
  <si>
    <t>Total for Investments in Foreign Securities - Units of Mutual Funds</t>
  </si>
  <si>
    <t>B) Money Market Investments</t>
  </si>
  <si>
    <t>ReverseRepo / TREPS</t>
  </si>
  <si>
    <t>Cash and Other Net Curent Assets</t>
  </si>
  <si>
    <t>a) Total securities below investment grade or default  - Nil</t>
  </si>
  <si>
    <t>b) Total value and percentage of illiquid equity shares - Nil</t>
  </si>
  <si>
    <t>Options</t>
  </si>
  <si>
    <t>d) IDCW declared during the period (Rupees per unit) - Nil</t>
  </si>
  <si>
    <t>e) Total outstanding exposure in derivative instruments at the end of the period - Nil</t>
  </si>
  <si>
    <t>f) Total investments in foreign securities /ADR'S/GDR'S  at the end of the period - Rs. 11385.03 lacs</t>
  </si>
  <si>
    <t>g) Repo in Corporate Debt - Nil</t>
  </si>
  <si>
    <t>Ujjivan Financial Services Ltd</t>
  </si>
  <si>
    <t>KFIN Technologies Ltd</t>
  </si>
  <si>
    <t>Somany Ceramics Ltd</t>
  </si>
  <si>
    <t>Make My Trip Ltd (USD)</t>
  </si>
  <si>
    <t>Sundaram Global Brand Fund - Master Class (Singapore)</t>
  </si>
  <si>
    <t>Chalet Hotels Ltd</t>
  </si>
  <si>
    <t>7.10% Central Government Securities 18/04/2029</t>
  </si>
  <si>
    <t>7.01%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</si>
  <si>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</si>
  <si>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7.41% Central Government Securities 19/12/2036</t>
  </si>
  <si>
    <t>7.26% Central Government Securities 06/02/2033</t>
  </si>
  <si>
    <t>Bank of Baroda - 05/05/2023**</t>
  </si>
  <si>
    <t>Bank of Baroda - 17/08/2023**</t>
  </si>
  <si>
    <t>Small Industries Development Bank of India - 7.47% - 25/11/2025</t>
  </si>
  <si>
    <t>Small Industries Development Bank of India - 01/09/2023</t>
  </si>
  <si>
    <t>Indian Railway Finance Corporation Ltd - 6.59% - 14/04/2023</t>
  </si>
  <si>
    <t>Indian Railway Finance Corporation Ltd - 8.25% - 28/02/2024**</t>
  </si>
  <si>
    <t>Larsen &amp; Toubro Ltd - 7.7% - 28/04/2025**</t>
  </si>
  <si>
    <t>Hindustan Dorr - Oliver Ltd @</t>
  </si>
  <si>
    <t>b) Total value and percentage of illiquid equity shares @</t>
  </si>
  <si>
    <t>0.00 / #</t>
  </si>
  <si>
    <t>Sundaram Liquid Fund - Direct Growth @@</t>
  </si>
  <si>
    <t xml:space="preserve"> @@ Placed as margin for derivatives</t>
  </si>
  <si>
    <t>INE041025011</t>
  </si>
  <si>
    <t>Embassy Office Parks (REIT)</t>
  </si>
  <si>
    <t>INE0GGX23010</t>
  </si>
  <si>
    <t>Power Grid Infrastructure Investment Trust (InvIT)</t>
  </si>
  <si>
    <t>Chennai Super Kings Ltd @</t>
  </si>
  <si>
    <t>Entertainment And Electronic Media</t>
  </si>
  <si>
    <t>Rs. 1.62 lacs / 0.00%</t>
  </si>
  <si>
    <t>Tirrihannah Company Ltd @</t>
  </si>
  <si>
    <t>Crystal Cable Industries Ltd @</t>
  </si>
  <si>
    <t>Minerava Holdings Ltd @</t>
  </si>
  <si>
    <t>Sandur Laminates Ltd @</t>
  </si>
  <si>
    <t>Rs. 5.21 lacs/ 0.01%</t>
  </si>
  <si>
    <t>** Thinly traded / Non Traded Securities</t>
  </si>
  <si>
    <t>^ Net current assets includes interest accrued on fixed income securities</t>
  </si>
  <si>
    <t>Cash and Other Net Current Assets^</t>
  </si>
  <si>
    <t>Crescent Finstock Ltd @</t>
  </si>
  <si>
    <t>Mukerian Papers Ltd @</t>
  </si>
  <si>
    <t>Paper, Forest And Jute Products</t>
  </si>
  <si>
    <t>Balmer Lawrie Freight Containers Ltd @</t>
  </si>
  <si>
    <t>Precision Fasteners Ltd @</t>
  </si>
  <si>
    <t>Noble Brothers Impex Ltd @</t>
  </si>
  <si>
    <t>Sangam Health Care Products Ltd @</t>
  </si>
  <si>
    <t>Healthcare Equipment And Supplies</t>
  </si>
  <si>
    <t>Virtual Dynamics Software Ltd @</t>
  </si>
  <si>
    <t>Rs.50.31 lacs / 0.03%</t>
  </si>
  <si>
    <t>Yes Bank Ltd ~</t>
  </si>
  <si>
    <t>~ Any realization beyond the carrying value shall be distributed to the investors existed as on March 13, 2020.</t>
  </si>
  <si>
    <t>Rs. 19.78 lacs / 0.02%</t>
  </si>
  <si>
    <t>Bharti Airtel Ltd - Partly Paid Right Shares</t>
  </si>
  <si>
    <t xml:space="preserve"> </t>
  </si>
  <si>
    <t>L&amp;T Finance Holdings Limited March 2023</t>
  </si>
  <si>
    <t>Housing Development Fin Corp Limited March 2023</t>
  </si>
  <si>
    <t>Titan Company Limited March 2023</t>
  </si>
  <si>
    <t>Zydus Lifesciences Limited March 2023</t>
  </si>
  <si>
    <t>Aurobindo Pharma Limited March 2023</t>
  </si>
  <si>
    <t>Wipro Limited March 2023</t>
  </si>
  <si>
    <t>Aditya Birla Fashion And Retail Limited March 2023</t>
  </si>
  <si>
    <t>Jindal Steel &amp; Power Limited March 2023</t>
  </si>
  <si>
    <t>Tata Power Company Limited March 2023</t>
  </si>
  <si>
    <t>Siemens Limited March 2023</t>
  </si>
  <si>
    <t>Ambuja Cements Limited March 2023</t>
  </si>
  <si>
    <t>Axis Bank Limited March 2023</t>
  </si>
  <si>
    <t>Dabur India Limited March 2023</t>
  </si>
  <si>
    <t>Asian Paints Limited March 2023</t>
  </si>
  <si>
    <t>Adani Ports &amp; SEZ Limited March 2023</t>
  </si>
  <si>
    <t>Zee Entertainment Enterprises Limited March 2023</t>
  </si>
  <si>
    <t>Bharti Airtel Limited March 2023</t>
  </si>
  <si>
    <t>DLF Limited March 2023</t>
  </si>
  <si>
    <t>Reliance Industries Limited March 2023</t>
  </si>
  <si>
    <t>Bajaj Finance Limited March 2023</t>
  </si>
  <si>
    <t>Oil &amp; Natural Gas Corporation Limited March 2023</t>
  </si>
  <si>
    <t>Maruti Suzuki India Limited March 2023</t>
  </si>
  <si>
    <t>ICICI Bank Limited March 2023</t>
  </si>
  <si>
    <t>Kotak Mahindra Bank Limited March 2023</t>
  </si>
  <si>
    <t>Bajaj Finserv Limited March 2023</t>
  </si>
  <si>
    <t>Shriram Finance Limited March 2023</t>
  </si>
  <si>
    <t>Cipla Limited March 2023</t>
  </si>
  <si>
    <t>UltraTech Cement Limited March 2023</t>
  </si>
  <si>
    <t>Bank of Baroda March 2023</t>
  </si>
  <si>
    <t>State Bank of India March 2023</t>
  </si>
  <si>
    <t>United Spirits Limited March 2023</t>
  </si>
  <si>
    <t>HDFC Bank Limited March 2023</t>
  </si>
  <si>
    <t>Nifty March 2023</t>
  </si>
  <si>
    <t>Hindustan Petroleum Corporation Limited March 2023</t>
  </si>
  <si>
    <t>Divis Labarotories Limited March 2023</t>
  </si>
  <si>
    <t>Mahindra &amp; Mahindra Limited March 2023</t>
  </si>
  <si>
    <t>HDFC Life Insurance Company Limited March 2023</t>
  </si>
  <si>
    <t>TATA Consumer Products Limited March 2023</t>
  </si>
  <si>
    <t>Vedanta Limited March 2023</t>
  </si>
  <si>
    <t>TATA Consultancy Services Limited March 2023</t>
  </si>
  <si>
    <t>Ashok Leyland Limited March 2023</t>
  </si>
  <si>
    <t>Tata Steel Limited March 2023</t>
  </si>
  <si>
    <t>Infosys Limited March 2023</t>
  </si>
  <si>
    <t>Hindustan Unilever Limited March 2023</t>
  </si>
  <si>
    <t>Tech Mahindra Limited March 2023</t>
  </si>
  <si>
    <t>Direct Plan - IDCW</t>
  </si>
  <si>
    <t>Regular Plan - IDCW</t>
  </si>
  <si>
    <t>IT - Software</t>
  </si>
  <si>
    <t>IT - Services</t>
  </si>
  <si>
    <t>Annexure-A</t>
  </si>
  <si>
    <t>790.39 Lacs</t>
  </si>
  <si>
    <t>Tata Motors Ltd - DVR</t>
  </si>
  <si>
    <t>182 Days - T Bill - 17/08/2023*</t>
  </si>
  <si>
    <t>364 Days - T Bill - 01/06/2023*</t>
  </si>
  <si>
    <t>182 Days - T Bill - 22/06/2023*</t>
  </si>
  <si>
    <t xml:space="preserve">* Investment earmarked for Derivative Margin </t>
  </si>
  <si>
    <t>364 Days - T Bill - 06/07/2023*</t>
  </si>
  <si>
    <t>364 Days - T Bill - 25/05/2023*</t>
  </si>
  <si>
    <t>Name of The security</t>
  </si>
  <si>
    <t xml:space="preserve">ISIN </t>
  </si>
  <si>
    <t>Net receivable/Market value  (Rs. Lakh)</t>
  </si>
  <si>
    <t>% to NAV</t>
  </si>
  <si>
    <t>Total Amount(Principal &amp; Interest)  (Rs. Lakh)</t>
  </si>
  <si>
    <t xml:space="preserve">IL&amp;FS Financial Services Ltd. 24SEP18 CP </t>
  </si>
  <si>
    <t>INE121H14JU3</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</si>
  <si>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</si>
  <si>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</si>
  <si>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</si>
  <si>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</si>
  <si>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</si>
  <si>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</si>
  <si>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</si>
  <si>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</si>
  <si>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</si>
  <si>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</si>
  <si>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</si>
  <si>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</si>
  <si>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</si>
  <si>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</si>
  <si>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</si>
  <si>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</si>
  <si>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</si>
  <si>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</si>
  <si>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</si>
  <si>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 in case of semi annual YTM,  it will be annualised </t>
  </si>
  <si>
    <t>% to AUM as on 28/02/2023</t>
  </si>
  <si>
    <t>Refer below point i)</t>
  </si>
  <si>
    <t>21.50% Dewan Rubber Ltd</t>
  </si>
  <si>
    <t>Not Available</t>
  </si>
  <si>
    <t>Chemox Chemicals Industries</t>
  </si>
  <si>
    <t>15% Premier Vinyl Ltd</t>
  </si>
  <si>
    <t>i) Exposure to securities classified as below investment grade or default as on February 28, 2023</t>
  </si>
  <si>
    <t>18% Jord Engineering Ltd</t>
  </si>
  <si>
    <t>Bank of Baroda - 8.55% - Call Dt 14/02/2024 (Tier II Bond under Basel III)**</t>
  </si>
  <si>
    <t>Yield to call date %</t>
  </si>
  <si>
    <t>d) IDCW declared during the period (Rupees per unit)</t>
  </si>
  <si>
    <t>Direct Plan - Halfyearly IDCW</t>
  </si>
  <si>
    <t>Regular Plan - Halfyearly IDCW</t>
  </si>
  <si>
    <t>Direct Plan - Monthly IDCW</t>
  </si>
  <si>
    <t>Direct Plan - Quarterly IDCW</t>
  </si>
  <si>
    <t>Regular Plan - Monthly IDCW</t>
  </si>
  <si>
    <t>Regular Plan - Quarterly IDCW</t>
  </si>
  <si>
    <t>Institutional Plan - IDCW</t>
  </si>
  <si>
    <t>Monthly Portfolio Statement for the month ended 28 February 2023</t>
  </si>
  <si>
    <t>Direct Plan - Half Yearly IDCW</t>
  </si>
  <si>
    <t>Regular Plan- Half Yearly IDCW</t>
  </si>
  <si>
    <t>Index</t>
  </si>
  <si>
    <t>Scheme Riskometer</t>
  </si>
  <si>
    <t>Benchmark Riskometer - NIFTY Infrastructure TRI</t>
  </si>
  <si>
    <t>Tier I Benchmark Riskometer - Nifty Mid Cap 150 TRI</t>
  </si>
  <si>
    <t>Tier II Benchmark Riskometer - Nifty Mid Cap 100 TRI</t>
  </si>
  <si>
    <t>Benchmark Riskometer - S&amp;P BSE 500 INDEX</t>
  </si>
  <si>
    <t>Tier I Benchmark Riskometer - Nifty Large Mid Cap 250 INDEX</t>
  </si>
  <si>
    <t>Tier II Benchmark Riskometer - Nifty Large Mid Cap 250 INDEX</t>
  </si>
  <si>
    <t>Benchmark Riskometer - S&amp;P BSE Small Cap INDEX</t>
  </si>
  <si>
    <t>Benchmark Riskometer - S&amp;P BSE 250 SmallCap</t>
  </si>
  <si>
    <t xml:space="preserve">       Benchmark Riskometer - S&amp;P BSE 500 INDEX</t>
  </si>
  <si>
    <t>Benchmark Riskometer - Nifty Small Cap 100</t>
  </si>
  <si>
    <t>Tier I Benchmark Riskometer - Nifty Small Cap 250 TRI</t>
  </si>
  <si>
    <t>Tier II Benchmark Riskometer - Nifty Small Cap 100 TRI</t>
  </si>
  <si>
    <t>Benchmark Riskometer - CRISIL Hybrid 35+65 - Aggressive Index</t>
  </si>
  <si>
    <t>Benchmark Riskometer - NIFTY 50 Arbitrage INDEX</t>
  </si>
  <si>
    <t>Benchmark Riskometer - NIFTY 50 Hybrid Composite Debt 50 : 50 INDEX</t>
  </si>
  <si>
    <t>Tier I Benchmark Riskometer - NIFTY 500</t>
  </si>
  <si>
    <t>Tier II Benchmark Riskometer - NIFTY Dividend Opportunities 50 TRI</t>
  </si>
  <si>
    <t>Benchmark Riskometer - Nifty Equity Savings INDEX</t>
  </si>
  <si>
    <t>Tier I Benchmark Riskometer - Nifty 500 TRI</t>
  </si>
  <si>
    <t>Tier II Benchmark Riskometer - Nifty Large MID CAP 250 TRI</t>
  </si>
  <si>
    <t>Tier I Benchmark Riskometer - Nifty 500 MultiCap 50:25:25</t>
  </si>
  <si>
    <t>Tier II Benchmark Riskometer - Nifty 500 MultiCap 50:25:25</t>
  </si>
  <si>
    <t>Benchmark Riskometer - Nifty 100 Equal Weight TRI</t>
  </si>
  <si>
    <t>Tier II Benchmark Riskometer - NIFTY 500</t>
  </si>
  <si>
    <t>Benchmark Riskometer - Nifty India Consumption TRI</t>
  </si>
  <si>
    <t>Tier I Benchmark Riskometer - NIFTY Services Sector Index</t>
  </si>
  <si>
    <t>Tier II Benchmark Riskometer - NIFTY 500 MULTICAP 50:25:25</t>
  </si>
  <si>
    <t>Tier I Benchmark Riskometer - Nifty 100 TRI INDEX</t>
  </si>
  <si>
    <t>Tier II Benchmark Riskometer - Nifty 100 TRI INDEX</t>
  </si>
  <si>
    <t xml:space="preserve">           Tier I Benchmark Riskometer - Nifty 500 TRI</t>
  </si>
  <si>
    <t xml:space="preserve">            Tier II Benchmark Riskometer - Nifty 500 TRI</t>
  </si>
  <si>
    <t>Benchmark Riskometer - Nifty Financial Services</t>
  </si>
  <si>
    <t xml:space="preserve">          Benchmark Riskometer - MSCI ACWI TRI</t>
  </si>
  <si>
    <t>Regular Plan -Monthly IDCW</t>
  </si>
  <si>
    <t>DERIVATIVES DISCLOSURE</t>
  </si>
  <si>
    <t>Disclosure regarding Derivative positions pursuant to SEBI Circular no CIR/IMD/DF/11/2010 dated August18,2010</t>
  </si>
  <si>
    <t>DETAILS OF INVESTMENTS IN DERIVATIVE INSTRUMENTS</t>
  </si>
  <si>
    <t>A. Hedging Positions through Futures as on February 28,2023 :</t>
  </si>
  <si>
    <t>Scheme Name</t>
  </si>
  <si>
    <t>Underlying</t>
  </si>
  <si>
    <t>Long/Short</t>
  </si>
  <si>
    <t>Futures Price When Purchased</t>
  </si>
  <si>
    <t>Current Price of the contract</t>
  </si>
  <si>
    <t>Margin maintained in       (Rs in Lakhs)*</t>
  </si>
  <si>
    <t>Short</t>
  </si>
  <si>
    <t xml:space="preserve">Total percentage of existing assets hedged through futures as a percentage of net assets </t>
  </si>
  <si>
    <t>%</t>
  </si>
  <si>
    <t>For the period ended February 28,2023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</si>
  <si>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</si>
  <si>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</si>
  <si>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</si>
  <si>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</si>
  <si>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</si>
  <si>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B. Other than hedging positions through futures as on February 28,2023 :</t>
  </si>
  <si>
    <t>Margin maintained in       (Rs. in Lakhs) *</t>
  </si>
  <si>
    <t>LONG</t>
  </si>
  <si>
    <t>Total percentage of existing assets due to non-hedging positions as a percentage of net assets</t>
  </si>
  <si>
    <t>For the period ended February 28,2023 following were the non-hedging transactions through futures which have been squared off / expired</t>
  </si>
  <si>
    <t>Gross Notional value of contracts where futures were sold      ( Rs. in Lakhs)</t>
  </si>
  <si>
    <t>Net Profit / (Loss) value on all contracts combined      (Rs. in lakhs)</t>
  </si>
  <si>
    <t>C. Hedging Positions through Put Options as on February 28,2023 :</t>
  </si>
  <si>
    <t>Call/Put</t>
  </si>
  <si>
    <t>Number of Contracts</t>
  </si>
  <si>
    <t>Option Price when purchased</t>
  </si>
  <si>
    <t>Current Option Price</t>
  </si>
  <si>
    <t>-</t>
  </si>
  <si>
    <t>Total % of existing assets hedged through Put Options</t>
  </si>
  <si>
    <t>For the period ended  February 28,2023 ,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</si>
  <si>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</si>
  <si>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</si>
  <si>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</si>
  <si>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</si>
  <si>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D. Other than Hedging Positions through options as on February 28,2023 :</t>
  </si>
  <si>
    <t xml:space="preserve">Total Exposure through Options other than hedging as a percentage of net assets </t>
  </si>
  <si>
    <t>For the period ended February 28,2023 , the following non hedging transactions through options which have been already exercised/expired</t>
  </si>
  <si>
    <t>Gross Notional value of contracts  bought(Rs. in Lakhs)</t>
  </si>
  <si>
    <t>Gross Notional value of contracts  sold (Rs. in Lakhs)</t>
  </si>
  <si>
    <t>E. Hedging Positions through Swaps as on February 28,2023 - Nil</t>
  </si>
  <si>
    <t>F. Hedging Positions through Interest Rate Futures as on February 28,2023 :</t>
  </si>
  <si>
    <t xml:space="preserve">Futures Price
When Purchased </t>
  </si>
  <si>
    <t>Current Price of
the contract</t>
  </si>
  <si>
    <t>Margin maintained
in (Rs. in Lakhs)</t>
  </si>
  <si>
    <t>Total percentage of existing assets hedged through Interest Rate Futures a Percentage of net assets</t>
  </si>
  <si>
    <t>For the period ended February 28,2023 following were the hedging transactions through Interest Rate Futures which have been squared off/ expired</t>
  </si>
  <si>
    <t>For the period ended February 28,2023 following were the Non Hedging transactions through Interest Rate Futures which have been squared off/ expired</t>
  </si>
  <si>
    <t>* Note: Margin maintained denotes security specific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</si>
</sst>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 #,##0.00_ ;_ * \-#,##0.00_ ;_ * &quot;-&quot;??_ ;_ @_ "/>
    <numFmt numFmtId="164" formatCode="[$-1014009]General"/>
    <numFmt numFmtId="165" formatCode="[$-1014009]###0;\(###0\)"/>
    <numFmt numFmtId="166" formatCode="[$-1014009]###0.00;\(###0.00\)"/>
    <numFmt numFmtId="167" formatCode="[$-1014009]###0.00%;\(###0.00%\)"/>
    <numFmt numFmtId="168" formatCode="[$-1014009]#,##0.00\ %;\(#,##0.00\)"/>
    <numFmt numFmtId="169" formatCode="[$-1014009]#.0000"/>
    <numFmt numFmtId="170" formatCode="[$-1014009]#,##0.00%"/>
    <numFmt numFmtId="171" formatCode="[$-1014009]#,##0.000000;\-#,##0.000000"/>
    <numFmt numFmtId="172" formatCode="0.000"/>
    <numFmt numFmtId="173" formatCode="#,##0.000"/>
    <numFmt numFmtId="174" formatCode="_(* #,##0.00_);_(* \(#,##0.00\);_(* &quot;-&quot;??_);_(@_)"/>
    <numFmt numFmtId="175" formatCode="0.00000"/>
    <numFmt numFmtId="176" formatCode="0.0000"/>
    <numFmt numFmtId="177" formatCode="[$-1014009]#,##0.00;\-#,##0.00"/>
    <numFmt numFmtId="178" formatCode="[$-1014009]#,##0.00;\(#,##0.00\)"/>
    <numFmt numFmtId="179" formatCode="_(* #,##0_);_(* \(#,##0\);_(* &quot;-&quot;??_);_(@_)"/>
    <numFmt numFmtId="181" formatCode="#,##0.0000;\(#,##0.0000\)"/>
    <numFmt numFmtId="182" formatCode="_(* #,##0.000_);_(* \(#,##0.000\);_(* &quot;-&quot;??_);_(@_)"/>
  </numFmts>
  <fonts count="33" x14ac:knownFonts="1">
    <font>
      <sz val="10"/>
      <name val="Arial"/>
      <charset val="1"/>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b/>
      <sz val="11"/>
      <name val="Calibri"/>
      <family val="2"/>
      <scheme val="minor"/>
    </font>
    <font>
      <sz val="10"/>
      <name val="Arial"/>
      <family val="2"/>
    </font>
    <font>
      <sz val="11"/>
      <name val="Calibri"/>
      <family val="2"/>
      <scheme val="minor"/>
    </font>
    <font>
      <u/>
      <sz val="10"/>
      <color theme="10"/>
      <name val="Arial"/>
      <family val="2"/>
    </font>
    <font>
      <u/>
      <sz val="11"/>
      <color theme="10"/>
      <name val="Calibri"/>
      <family val="2"/>
      <scheme val="minor"/>
    </font>
    <font>
      <b/>
      <sz val="11"/>
      <name val="Calibri"/>
      <family val="2"/>
    </font>
    <font>
      <sz val="10"/>
      <name val="Calibri"/>
      <family val="2"/>
      <scheme val="minor"/>
    </font>
    <font>
      <b/>
      <sz val="10"/>
      <name val="Calibri"/>
      <family val="2"/>
      <scheme val="minor"/>
    </font>
    <font>
      <b/>
      <sz val="10"/>
      <color indexed="8"/>
      <name val="Calibri"/>
      <family val="2"/>
    </font>
    <font>
      <sz val="10"/>
      <color theme="1"/>
      <name val="Calibri"/>
      <family val="2"/>
      <scheme val="minor"/>
    </font>
    <font>
      <b/>
      <sz val="10"/>
      <color theme="1"/>
      <name val="Arial"/>
      <family val="2"/>
    </font>
    <font>
      <b/>
      <sz val="10"/>
      <color indexed="8"/>
      <name val="Calibri"/>
      <family val="2"/>
      <scheme val="minor"/>
    </font>
    <font>
      <sz val="10"/>
      <color indexed="8"/>
      <name val="Calibri"/>
      <family val="2"/>
      <scheme val="minor"/>
    </font>
    <font>
      <b/>
      <u/>
      <sz val="10"/>
      <name val="Calibri"/>
      <family val="2"/>
      <scheme val="minor"/>
    </font>
    <font>
      <sz val="10"/>
      <color indexed="8"/>
      <name val="Calibri"/>
      <family val="2"/>
    </font>
    <font>
      <b/>
      <i/>
      <sz val="10"/>
      <color indexed="8"/>
      <name val="Calibri"/>
      <family val="2"/>
    </font>
    <font>
      <sz val="10"/>
      <name val="Arial"/>
      <family val="2"/>
    </font>
    <font>
      <b/>
      <sz val="10"/>
      <color theme="1"/>
      <name val="Calibri"/>
      <family val="2"/>
      <scheme val="minor"/>
    </font>
    <font>
      <b/>
      <sz val="11"/>
      <color theme="0"/>
      <name val="Calibri"/>
      <family val="2"/>
      <scheme val="minor"/>
    </font>
    <font>
      <sz val="11"/>
      <color theme="0"/>
      <name val="Calibri"/>
      <family val="2"/>
      <scheme val="minor"/>
    </font>
    <font>
      <u/>
      <sz val="11"/>
      <color rgb="FF002060"/>
      <name val="Calibri"/>
      <family val="2"/>
      <scheme val="minor"/>
    </font>
    <font>
      <sz val="11"/>
      <name val="Calibri"/>
      <family val="2"/>
    </font>
    <font>
      <b/>
      <sz val="10"/>
      <name val="Arial"/>
      <family val="2"/>
    </font>
  </fonts>
  <fills count="5">
    <fill>
      <patternFill patternType="none"/>
    </fill>
    <fill>
      <patternFill patternType="gray125"/>
    </fill>
    <fill>
      <patternFill patternType="solid">
        <fgColor indexed="9"/>
      </patternFill>
    </fill>
    <fill>
      <patternFill patternType="solid">
        <fgColor indexed="9"/>
        <bgColor indexed="64"/>
      </patternFill>
    </fill>
    <fill>
      <patternFill patternType="solid">
        <fgColor theme="8" tint="0.79998168889431442"/>
        <bgColor indexed="64"/>
      </patternFill>
    </fill>
  </fills>
  <borders count="13">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diagonal/>
    </border>
  </borders>
  <cellStyleXfs count="15">
    <xf numFmtId="0" fontId="0" fillId="0" borderId="0">
      <alignment wrapText="1"/>
    </xf>
    <xf numFmtId="0" fontId="3" fillId="0" borderId="0"/>
    <xf numFmtId="0" fontId="11" fillId="0" borderId="0">
      <alignment wrapText="1"/>
    </xf>
    <xf numFmtId="0" fontId="13" fillId="0" borderId="0" applyNumberFormat="0" applyFill="0" applyBorder="0" applyAlignment="0" applyProtection="0">
      <alignment wrapText="1"/>
    </xf>
    <xf numFmtId="0" fontId="3" fillId="0" borderId="0"/>
    <xf numFmtId="0" fontId="11" fillId="0" borderId="0"/>
    <xf numFmtId="174" fontId="11" fillId="0" borderId="0" applyFont="0" applyFill="0" applyBorder="0" applyAlignment="0" applyProtection="0"/>
    <xf numFmtId="43" fontId="3" fillId="0" borderId="0" applyFont="0" applyFill="0" applyBorder="0" applyAlignment="0" applyProtection="0"/>
    <xf numFmtId="0" fontId="11" fillId="0" borderId="0"/>
    <xf numFmtId="0" fontId="11" fillId="0" borderId="0"/>
    <xf numFmtId="43" fontId="26" fillId="0" borderId="0" applyFont="0" applyFill="0" applyBorder="0" applyAlignment="0" applyProtection="0"/>
    <xf numFmtId="9" fontId="26" fillId="0" borderId="0" applyFont="0" applyFill="0" applyBorder="0" applyAlignment="0" applyProtection="0"/>
    <xf numFmtId="0" fontId="2" fillId="0" borderId="0"/>
    <xf numFmtId="0" fontId="11" fillId="0" borderId="0">
      <alignment wrapText="1"/>
    </xf>
    <xf numFmtId="0" fontId="1" fillId="0" borderId="0"/>
  </cellStyleXfs>
  <cellXfs count="307">
    <xf numFmtId="0" fontId="0" fillId="0" borderId="0" xfId="0">
      <alignment wrapText="1"/>
    </xf>
    <xf numFmtId="0" fontId="5" fillId="2" borderId="4" xfId="0" applyFont="1" applyFill="1" applyBorder="1" applyAlignment="1">
      <alignment horizontal="right" vertical="top" wrapText="1" readingOrder="1"/>
    </xf>
    <xf numFmtId="0" fontId="6" fillId="2" borderId="4" xfId="0" applyFont="1" applyFill="1" applyBorder="1" applyAlignment="1">
      <alignment horizontal="left" vertical="center" wrapText="1" readingOrder="1"/>
    </xf>
    <xf numFmtId="0" fontId="5" fillId="2" borderId="4" xfId="0" applyFont="1" applyFill="1" applyBorder="1" applyAlignment="1">
      <alignment horizontal="left" vertical="center" wrapText="1" readingOrder="1"/>
    </xf>
    <xf numFmtId="165" fontId="5" fillId="2" borderId="4" xfId="0" applyNumberFormat="1" applyFont="1" applyFill="1" applyBorder="1" applyAlignment="1">
      <alignment horizontal="right" vertical="center" wrapText="1" readingOrder="1"/>
    </xf>
    <xf numFmtId="166" fontId="5" fillId="2" borderId="4" xfId="0" applyNumberFormat="1" applyFont="1" applyFill="1" applyBorder="1" applyAlignment="1">
      <alignment horizontal="right" vertical="center" wrapText="1" readingOrder="1"/>
    </xf>
    <xf numFmtId="167" fontId="5" fillId="2" borderId="4" xfId="0" applyNumberFormat="1" applyFont="1" applyFill="1" applyBorder="1" applyAlignment="1">
      <alignment horizontal="right" vertical="center" wrapText="1" readingOrder="1"/>
    </xf>
    <xf numFmtId="0" fontId="5" fillId="2" borderId="4" xfId="0" applyFont="1" applyFill="1" applyBorder="1" applyAlignment="1">
      <alignment horizontal="right" vertical="center" wrapText="1" readingOrder="1"/>
    </xf>
    <xf numFmtId="166" fontId="6" fillId="2" borderId="4" xfId="0" applyNumberFormat="1" applyFont="1" applyFill="1" applyBorder="1" applyAlignment="1">
      <alignment horizontal="right" vertical="center" wrapText="1" readingOrder="1"/>
    </xf>
    <xf numFmtId="167" fontId="6" fillId="2" borderId="4" xfId="0" applyNumberFormat="1" applyFont="1" applyFill="1" applyBorder="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68" fontId="6" fillId="2" borderId="4" xfId="0" applyNumberFormat="1" applyFont="1" applyFill="1" applyBorder="1" applyAlignment="1">
      <alignment horizontal="right" vertical="center" wrapText="1" readingOrder="1"/>
    </xf>
    <xf numFmtId="0" fontId="7" fillId="2" borderId="5" xfId="0" applyFont="1" applyFill="1" applyBorder="1" applyAlignment="1">
      <alignment horizontal="left" vertical="center" wrapText="1" readingOrder="1"/>
    </xf>
    <xf numFmtId="0" fontId="7" fillId="2" borderId="5" xfId="0" applyFont="1" applyFill="1" applyBorder="1" applyAlignment="1">
      <alignment horizontal="right" vertical="center" wrapText="1" readingOrder="1"/>
    </xf>
    <xf numFmtId="0" fontId="7" fillId="2" borderId="0" xfId="0" applyFont="1" applyFill="1" applyAlignment="1">
      <alignment horizontal="left" vertical="center" wrapText="1" readingOrder="1"/>
    </xf>
    <xf numFmtId="0" fontId="5" fillId="2" borderId="0" xfId="0" applyFont="1" applyFill="1" applyAlignment="1">
      <alignment horizontal="left" vertical="center" wrapText="1" readingOrder="1"/>
    </xf>
    <xf numFmtId="0" fontId="7" fillId="2" borderId="0" xfId="0" applyFont="1" applyFill="1" applyAlignment="1">
      <alignment horizontal="right" vertical="center" wrapText="1" readingOrder="1"/>
    </xf>
    <xf numFmtId="0" fontId="7" fillId="2" borderId="6" xfId="0" applyFont="1" applyFill="1" applyBorder="1" applyAlignment="1">
      <alignment horizontal="right" vertical="center" wrapText="1" readingOrder="1"/>
    </xf>
    <xf numFmtId="0" fontId="5" fillId="2" borderId="0" xfId="0" applyFont="1" applyFill="1" applyAlignment="1">
      <alignment horizontal="right" vertical="top" wrapText="1" readingOrder="1"/>
    </xf>
    <xf numFmtId="0" fontId="6" fillId="2" borderId="4" xfId="0" applyFont="1" applyFill="1" applyBorder="1" applyAlignment="1">
      <alignment horizontal="right" vertical="top" wrapText="1" readingOrder="1"/>
    </xf>
    <xf numFmtId="0" fontId="6" fillId="2" borderId="4" xfId="0" applyFont="1" applyFill="1" applyBorder="1" applyAlignment="1">
      <alignment horizontal="left" vertical="top" wrapText="1" readingOrder="1"/>
    </xf>
    <xf numFmtId="169" fontId="5" fillId="2" borderId="4" xfId="0" applyNumberFormat="1" applyFont="1" applyFill="1" applyBorder="1" applyAlignment="1">
      <alignment horizontal="right" vertical="center" wrapText="1" readingOrder="1"/>
    </xf>
    <xf numFmtId="0" fontId="5" fillId="2" borderId="0" xfId="0" applyFont="1" applyFill="1" applyAlignment="1">
      <alignment horizontal="right" vertical="center" wrapText="1" readingOrder="1"/>
    </xf>
    <xf numFmtId="0" fontId="0" fillId="2" borderId="0" xfId="0" applyFill="1" applyAlignment="1">
      <alignment horizontal="center" vertical="top" readingOrder="1"/>
    </xf>
    <xf numFmtId="0" fontId="5" fillId="2" borderId="6" xfId="0" applyFont="1" applyFill="1" applyBorder="1" applyAlignment="1">
      <alignment horizontal="right" vertical="top" wrapText="1" readingOrder="1"/>
    </xf>
    <xf numFmtId="170" fontId="6" fillId="2" borderId="4" xfId="0" applyNumberFormat="1" applyFont="1" applyFill="1" applyBorder="1" applyAlignment="1">
      <alignment horizontal="left" vertical="center" wrapText="1" readingOrder="1"/>
    </xf>
    <xf numFmtId="0" fontId="8" fillId="2" borderId="4" xfId="0" applyFont="1" applyFill="1" applyBorder="1" applyAlignment="1">
      <alignment horizontal="left" vertical="center" wrapText="1" readingOrder="1"/>
    </xf>
    <xf numFmtId="0" fontId="8" fillId="2" borderId="4" xfId="0" applyFont="1" applyFill="1" applyBorder="1" applyAlignment="1">
      <alignment horizontal="right" vertical="center" wrapText="1" readingOrder="1"/>
    </xf>
    <xf numFmtId="171" fontId="5" fillId="2" borderId="4" xfId="0" applyNumberFormat="1"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6" fillId="2" borderId="5" xfId="0" applyFont="1" applyFill="1" applyBorder="1" applyAlignment="1">
      <alignment horizontal="left" vertical="center" wrapText="1" readingOrder="1"/>
    </xf>
    <xf numFmtId="0" fontId="9" fillId="0" borderId="7" xfId="1" applyFont="1" applyBorder="1" applyAlignment="1">
      <alignment horizontal="center" vertical="center"/>
    </xf>
    <xf numFmtId="0" fontId="10" fillId="0" borderId="7" xfId="1" applyFont="1" applyBorder="1" applyAlignment="1">
      <alignment horizontal="center" vertical="center"/>
    </xf>
    <xf numFmtId="0" fontId="12" fillId="0" borderId="0" xfId="2" applyFont="1">
      <alignment wrapText="1"/>
    </xf>
    <xf numFmtId="0" fontId="12" fillId="0" borderId="7" xfId="2" applyFont="1" applyBorder="1">
      <alignment wrapText="1"/>
    </xf>
    <xf numFmtId="0" fontId="14" fillId="0" borderId="7" xfId="3" applyFont="1" applyBorder="1" applyAlignment="1"/>
    <xf numFmtId="0" fontId="12" fillId="0" borderId="7" xfId="2" applyFont="1" applyBorder="1" applyAlignment="1"/>
    <xf numFmtId="0" fontId="3" fillId="0" borderId="0" xfId="4"/>
    <xf numFmtId="0" fontId="10" fillId="0" borderId="7" xfId="5" applyFont="1" applyBorder="1" applyAlignment="1">
      <alignment horizontal="center" vertical="center" wrapText="1"/>
    </xf>
    <xf numFmtId="0" fontId="15" fillId="0" borderId="7" xfId="1" applyFont="1" applyBorder="1" applyAlignment="1">
      <alignment horizontal="center" vertical="center" wrapText="1" readingOrder="1"/>
    </xf>
    <xf numFmtId="0" fontId="16" fillId="0" borderId="7" xfId="1" applyFont="1" applyBorder="1" applyProtection="1">
      <protection locked="0"/>
    </xf>
    <xf numFmtId="0" fontId="17" fillId="0" borderId="7" xfId="1" applyFont="1" applyBorder="1" applyAlignment="1" applyProtection="1">
      <alignment wrapText="1"/>
      <protection locked="0"/>
    </xf>
    <xf numFmtId="0" fontId="16" fillId="0" borderId="7" xfId="1" applyFont="1" applyBorder="1" applyAlignment="1">
      <alignment horizontal="right"/>
    </xf>
    <xf numFmtId="0" fontId="3" fillId="0" borderId="7" xfId="4" applyBorder="1"/>
    <xf numFmtId="0" fontId="16" fillId="0" borderId="7" xfId="1" applyFont="1" applyBorder="1" applyAlignment="1" applyProtection="1">
      <alignment wrapText="1"/>
      <protection locked="0"/>
    </xf>
    <xf numFmtId="172" fontId="16" fillId="0" borderId="7" xfId="1" applyNumberFormat="1" applyFont="1" applyBorder="1" applyProtection="1">
      <protection locked="0"/>
    </xf>
    <xf numFmtId="2" fontId="3" fillId="0" borderId="0" xfId="1" applyNumberFormat="1"/>
    <xf numFmtId="10" fontId="16" fillId="0" borderId="7" xfId="1" applyNumberFormat="1" applyFont="1" applyBorder="1" applyAlignment="1">
      <alignment horizontal="right"/>
    </xf>
    <xf numFmtId="0" fontId="16" fillId="0" borderId="7" xfId="1" applyFont="1" applyBorder="1" applyAlignment="1">
      <alignment horizontal="center"/>
    </xf>
    <xf numFmtId="173" fontId="3" fillId="0" borderId="7" xfId="4" applyNumberFormat="1" applyBorder="1"/>
    <xf numFmtId="0" fontId="16" fillId="0" borderId="7" xfId="1" applyFont="1" applyBorder="1"/>
    <xf numFmtId="0" fontId="17" fillId="0" borderId="7" xfId="5" applyFont="1" applyBorder="1" applyAlignment="1">
      <alignment vertical="center" wrapText="1"/>
    </xf>
    <xf numFmtId="172" fontId="17" fillId="0" borderId="7" xfId="5" applyNumberFormat="1" applyFont="1" applyBorder="1" applyAlignment="1">
      <alignment vertical="center" wrapText="1"/>
    </xf>
    <xf numFmtId="174" fontId="17" fillId="0" borderId="7" xfId="6" applyFont="1" applyFill="1" applyBorder="1" applyAlignment="1">
      <alignment vertical="center" wrapText="1"/>
    </xf>
    <xf numFmtId="10" fontId="17" fillId="0" borderId="7" xfId="7" applyNumberFormat="1" applyFont="1" applyBorder="1" applyAlignment="1">
      <alignment horizontal="right" vertical="center"/>
    </xf>
    <xf numFmtId="10" fontId="3" fillId="0" borderId="7" xfId="4" applyNumberFormat="1" applyBorder="1"/>
    <xf numFmtId="174" fontId="16" fillId="0" borderId="7" xfId="6" applyFont="1" applyFill="1" applyBorder="1" applyAlignment="1">
      <alignment horizontal="right"/>
    </xf>
    <xf numFmtId="0" fontId="17" fillId="0" borderId="7" xfId="1" applyFont="1" applyBorder="1" applyProtection="1">
      <protection locked="0"/>
    </xf>
    <xf numFmtId="174" fontId="16" fillId="0" borderId="7" xfId="6" applyFont="1" applyFill="1" applyBorder="1" applyAlignment="1" applyProtection="1">
      <alignment horizontal="right"/>
      <protection locked="0"/>
    </xf>
    <xf numFmtId="0" fontId="18" fillId="2" borderId="4" xfId="1" applyFont="1" applyFill="1" applyBorder="1" applyAlignment="1">
      <alignment horizontal="left" vertical="center" wrapText="1" readingOrder="1"/>
    </xf>
    <xf numFmtId="0" fontId="16" fillId="0" borderId="7" xfId="4" applyFont="1" applyBorder="1"/>
    <xf numFmtId="174" fontId="16" fillId="0" borderId="7" xfId="6" applyFont="1" applyFill="1" applyBorder="1"/>
    <xf numFmtId="10" fontId="16" fillId="0" borderId="7" xfId="6" applyNumberFormat="1" applyFont="1" applyFill="1" applyBorder="1"/>
    <xf numFmtId="2" fontId="19" fillId="0" borderId="7" xfId="4" applyNumberFormat="1" applyFont="1" applyBorder="1"/>
    <xf numFmtId="2" fontId="16" fillId="0" borderId="7" xfId="1" applyNumberFormat="1" applyFont="1" applyBorder="1" applyAlignment="1">
      <alignment horizontal="right"/>
    </xf>
    <xf numFmtId="0" fontId="17" fillId="0" borderId="7" xfId="1" applyFont="1" applyBorder="1"/>
    <xf numFmtId="174" fontId="17" fillId="0" borderId="7" xfId="6" applyFont="1" applyFill="1" applyBorder="1" applyAlignment="1">
      <alignment horizontal="right"/>
    </xf>
    <xf numFmtId="43" fontId="3" fillId="0" borderId="7" xfId="4" applyNumberFormat="1" applyBorder="1"/>
    <xf numFmtId="10" fontId="17" fillId="0" borderId="7" xfId="1" applyNumberFormat="1" applyFont="1" applyBorder="1" applyAlignment="1">
      <alignment horizontal="right"/>
    </xf>
    <xf numFmtId="4" fontId="20" fillId="0" borderId="7" xfId="1" applyNumberFormat="1" applyFont="1" applyBorder="1"/>
    <xf numFmtId="4" fontId="3" fillId="0" borderId="0" xfId="4" applyNumberFormat="1"/>
    <xf numFmtId="175" fontId="3" fillId="0" borderId="0" xfId="4" applyNumberFormat="1"/>
    <xf numFmtId="0" fontId="21" fillId="0" borderId="0" xfId="8" applyFont="1" applyAlignment="1">
      <alignment horizontal="left" vertical="center" wrapText="1"/>
    </xf>
    <xf numFmtId="0" fontId="22" fillId="0" borderId="0" xfId="8" applyFont="1" applyAlignment="1">
      <alignment vertical="center"/>
    </xf>
    <xf numFmtId="43" fontId="22" fillId="0" borderId="0" xfId="8" applyNumberFormat="1" applyFont="1" applyAlignment="1">
      <alignment vertical="center"/>
    </xf>
    <xf numFmtId="4" fontId="23" fillId="0" borderId="0" xfId="4" applyNumberFormat="1" applyFont="1"/>
    <xf numFmtId="2" fontId="22" fillId="0" borderId="0" xfId="8" applyNumberFormat="1" applyFont="1" applyAlignment="1">
      <alignment vertical="center"/>
    </xf>
    <xf numFmtId="0" fontId="16" fillId="0" borderId="0" xfId="9" applyFont="1" applyAlignment="1">
      <alignment vertical="center"/>
    </xf>
    <xf numFmtId="0" fontId="22" fillId="0" borderId="7" xfId="8" applyFont="1" applyBorder="1" applyAlignment="1">
      <alignment vertical="center"/>
    </xf>
    <xf numFmtId="0" fontId="17" fillId="0" borderId="7" xfId="9" applyFont="1" applyBorder="1" applyAlignment="1">
      <alignment horizontal="center" vertical="center"/>
    </xf>
    <xf numFmtId="0" fontId="21" fillId="0" borderId="0" xfId="8" applyFont="1" applyAlignment="1">
      <alignment vertical="center"/>
    </xf>
    <xf numFmtId="0" fontId="17" fillId="0" borderId="7" xfId="9" applyFont="1" applyBorder="1" applyAlignment="1">
      <alignment vertical="center"/>
    </xf>
    <xf numFmtId="14" fontId="9" fillId="0" borderId="7" xfId="4" applyNumberFormat="1" applyFont="1" applyBorder="1"/>
    <xf numFmtId="14" fontId="21" fillId="0" borderId="0" xfId="8" applyNumberFormat="1" applyFont="1" applyAlignment="1">
      <alignment horizontal="center"/>
    </xf>
    <xf numFmtId="0" fontId="19" fillId="0" borderId="0" xfId="4" applyFont="1"/>
    <xf numFmtId="0" fontId="22" fillId="0" borderId="7" xfId="8" applyFont="1" applyBorder="1" applyAlignment="1">
      <alignment horizontal="left" vertical="center"/>
    </xf>
    <xf numFmtId="176" fontId="19" fillId="0" borderId="7" xfId="4" applyNumberFormat="1" applyFont="1" applyBorder="1"/>
    <xf numFmtId="176" fontId="19" fillId="0" borderId="0" xfId="4" applyNumberFormat="1" applyFont="1"/>
    <xf numFmtId="10" fontId="19" fillId="0" borderId="0" xfId="4" applyNumberFormat="1" applyFont="1"/>
    <xf numFmtId="0" fontId="24" fillId="0" borderId="0" xfId="1" applyFont="1" applyAlignment="1">
      <alignment vertical="center" readingOrder="1"/>
    </xf>
    <xf numFmtId="0" fontId="24" fillId="0" borderId="0" xfId="1" applyFont="1" applyAlignment="1">
      <alignment vertical="center" wrapText="1" readingOrder="1"/>
    </xf>
    <xf numFmtId="0" fontId="16" fillId="0" borderId="0" xfId="8" applyFont="1" applyAlignment="1">
      <alignment horizontal="center" vertical="center"/>
    </xf>
    <xf numFmtId="0" fontId="22" fillId="0" borderId="0" xfId="8" quotePrefix="1" applyFont="1" applyAlignment="1">
      <alignment vertical="center"/>
    </xf>
    <xf numFmtId="0" fontId="16" fillId="0" borderId="0" xfId="4" applyFont="1" applyAlignment="1">
      <alignment vertical="center" wrapText="1"/>
    </xf>
    <xf numFmtId="0" fontId="24" fillId="2" borderId="4" xfId="0" applyFont="1" applyFill="1" applyBorder="1" applyAlignment="1">
      <alignment horizontal="left" vertical="center" wrapText="1" readingOrder="1"/>
    </xf>
    <xf numFmtId="0" fontId="25" fillId="0" borderId="0" xfId="1" applyFont="1" applyAlignment="1">
      <alignment horizontal="left" vertical="center" wrapText="1" readingOrder="1"/>
    </xf>
    <xf numFmtId="0" fontId="25" fillId="0" borderId="0" xfId="1" applyFont="1" applyAlignment="1">
      <alignment horizontal="right" vertical="center" wrapText="1" readingOrder="1"/>
    </xf>
    <xf numFmtId="0" fontId="3" fillId="0" borderId="0" xfId="1" applyAlignment="1">
      <alignment wrapText="1"/>
    </xf>
    <xf numFmtId="0" fontId="5" fillId="2" borderId="1" xfId="0" applyFont="1" applyFill="1" applyBorder="1" applyAlignment="1">
      <alignment vertical="top" wrapText="1" readingOrder="1"/>
    </xf>
    <xf numFmtId="164" fontId="5" fillId="2" borderId="1" xfId="0" applyNumberFormat="1" applyFont="1" applyFill="1" applyBorder="1" applyAlignment="1">
      <alignment vertical="center" wrapText="1" readingOrder="1"/>
    </xf>
    <xf numFmtId="0" fontId="5" fillId="2" borderId="1" xfId="0" applyFont="1" applyFill="1" applyBorder="1" applyAlignment="1">
      <alignment vertical="center" wrapText="1" readingOrder="1"/>
    </xf>
    <xf numFmtId="0" fontId="7" fillId="2" borderId="1" xfId="0" applyFont="1" applyFill="1" applyBorder="1" applyAlignment="1">
      <alignment vertical="center" wrapText="1" readingOrder="1"/>
    </xf>
    <xf numFmtId="0" fontId="5" fillId="2" borderId="1" xfId="0" applyFont="1" applyFill="1" applyBorder="1" applyAlignment="1">
      <alignment vertical="top" readingOrder="1"/>
    </xf>
    <xf numFmtId="164" fontId="5" fillId="2" borderId="1" xfId="0" applyNumberFormat="1" applyFont="1" applyFill="1" applyBorder="1" applyAlignment="1">
      <alignment vertical="center" readingOrder="1"/>
    </xf>
    <xf numFmtId="0" fontId="5" fillId="2" borderId="1" xfId="0" applyFont="1" applyFill="1" applyBorder="1" applyAlignment="1">
      <alignment vertical="center" readingOrder="1"/>
    </xf>
    <xf numFmtId="0" fontId="7" fillId="2" borderId="1" xfId="0" applyFont="1" applyFill="1" applyBorder="1" applyAlignment="1">
      <alignment vertical="center" readingOrder="1"/>
    </xf>
    <xf numFmtId="0" fontId="5" fillId="0" borderId="4" xfId="0" applyFont="1" applyBorder="1" applyAlignment="1">
      <alignment horizontal="left" vertical="center" wrapText="1" readingOrder="1"/>
    </xf>
    <xf numFmtId="165" fontId="5" fillId="0" borderId="4" xfId="0" applyNumberFormat="1" applyFont="1" applyBorder="1" applyAlignment="1">
      <alignment horizontal="right" vertical="center" wrapText="1" readingOrder="1"/>
    </xf>
    <xf numFmtId="166" fontId="5"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0" fontId="11" fillId="0" borderId="0" xfId="2">
      <alignment wrapText="1"/>
    </xf>
    <xf numFmtId="0" fontId="6" fillId="0" borderId="4" xfId="0" applyFont="1" applyBorder="1" applyAlignment="1">
      <alignment horizontal="left" vertical="center" wrapText="1" readingOrder="1"/>
    </xf>
    <xf numFmtId="0" fontId="5" fillId="2" borderId="0" xfId="0" applyFont="1" applyFill="1" applyAlignment="1">
      <alignment horizontal="left" vertical="center" readingOrder="1"/>
    </xf>
    <xf numFmtId="4" fontId="6" fillId="2" borderId="4" xfId="0" applyNumberFormat="1" applyFont="1" applyFill="1" applyBorder="1" applyAlignment="1">
      <alignment horizontal="right" vertical="center" wrapText="1" readingOrder="1"/>
    </xf>
    <xf numFmtId="177" fontId="6" fillId="2" borderId="4" xfId="0" applyNumberFormat="1" applyFont="1" applyFill="1" applyBorder="1" applyAlignment="1">
      <alignment horizontal="right" vertical="center" wrapText="1" readingOrder="1"/>
    </xf>
    <xf numFmtId="0" fontId="5" fillId="0" borderId="4" xfId="1" applyFont="1" applyBorder="1" applyAlignment="1">
      <alignment horizontal="left" vertical="center" wrapText="1" readingOrder="1"/>
    </xf>
    <xf numFmtId="0" fontId="5" fillId="0" borderId="7" xfId="1" applyFont="1" applyBorder="1" applyAlignment="1">
      <alignment horizontal="left" vertical="center" wrapText="1" readingOrder="1"/>
    </xf>
    <xf numFmtId="0" fontId="7" fillId="0" borderId="0" xfId="2" applyFont="1" applyAlignment="1">
      <alignment horizontal="left" vertical="center" wrapText="1" readingOrder="1"/>
    </xf>
    <xf numFmtId="0" fontId="7" fillId="0" borderId="0" xfId="2" applyFont="1" applyAlignment="1">
      <alignment horizontal="right" vertical="center" wrapText="1" readingOrder="1"/>
    </xf>
    <xf numFmtId="0" fontId="15" fillId="0" borderId="7" xfId="4" applyFont="1" applyBorder="1" applyAlignment="1">
      <alignment horizontal="center" vertical="center" wrapText="1" readingOrder="1"/>
    </xf>
    <xf numFmtId="0" fontId="0" fillId="0" borderId="0" xfId="0" applyAlignment="1">
      <alignment vertical="center" wrapText="1"/>
    </xf>
    <xf numFmtId="0" fontId="19" fillId="0" borderId="0" xfId="0" applyFont="1" applyAlignment="1">
      <alignment vertical="center"/>
    </xf>
    <xf numFmtId="0" fontId="27" fillId="0" borderId="7" xfId="0" applyFont="1" applyBorder="1" applyAlignment="1">
      <alignment horizontal="center" vertical="center" wrapText="1"/>
    </xf>
    <xf numFmtId="0" fontId="16" fillId="0" borderId="7" xfId="0" applyFont="1" applyBorder="1" applyAlignment="1">
      <alignment vertical="center" wrapText="1"/>
    </xf>
    <xf numFmtId="0" fontId="16" fillId="0" borderId="7" xfId="0" applyFont="1" applyBorder="1" applyAlignment="1">
      <alignment vertical="center"/>
    </xf>
    <xf numFmtId="2" fontId="16" fillId="0" borderId="7" xfId="0" applyNumberFormat="1" applyFont="1" applyBorder="1" applyAlignment="1">
      <alignment vertical="center"/>
    </xf>
    <xf numFmtId="10" fontId="19" fillId="0" borderId="7" xfId="11" applyNumberFormat="1" applyFont="1" applyFill="1" applyBorder="1" applyAlignment="1">
      <alignment vertical="center"/>
    </xf>
    <xf numFmtId="4" fontId="16" fillId="0" borderId="7" xfId="0" applyNumberFormat="1" applyFont="1" applyBorder="1" applyAlignment="1">
      <alignment vertical="center"/>
    </xf>
    <xf numFmtId="0" fontId="27" fillId="0" borderId="7" xfId="12" applyFont="1" applyBorder="1" applyAlignment="1">
      <alignment horizontal="center" vertical="center"/>
    </xf>
    <xf numFmtId="0" fontId="27" fillId="0" borderId="0" xfId="12" applyFont="1" applyAlignment="1">
      <alignment horizontal="center" vertical="center"/>
    </xf>
    <xf numFmtId="0" fontId="11" fillId="0" borderId="0" xfId="2" applyAlignment="1">
      <alignment vertical="center" wrapText="1"/>
    </xf>
    <xf numFmtId="0" fontId="19" fillId="0" borderId="7" xfId="12" applyFont="1" applyBorder="1" applyAlignment="1">
      <alignment vertical="center"/>
    </xf>
    <xf numFmtId="0" fontId="19" fillId="0" borderId="7" xfId="12" applyFont="1" applyBorder="1" applyAlignment="1">
      <alignment vertical="center" wrapText="1"/>
    </xf>
    <xf numFmtId="0" fontId="19" fillId="0" borderId="0" xfId="12" applyFont="1" applyAlignment="1">
      <alignment horizontal="center" vertical="center"/>
    </xf>
    <xf numFmtId="0" fontId="27" fillId="0" borderId="7" xfId="12" applyFont="1" applyBorder="1" applyAlignment="1">
      <alignment horizontal="center" vertical="center" wrapText="1"/>
    </xf>
    <xf numFmtId="0" fontId="19" fillId="0" borderId="7" xfId="12" applyFont="1" applyBorder="1" applyAlignment="1">
      <alignment horizontal="left" vertical="center"/>
    </xf>
    <xf numFmtId="2" fontId="19" fillId="0" borderId="7" xfId="12" applyNumberFormat="1" applyFont="1" applyBorder="1" applyAlignment="1">
      <alignment horizontal="right" vertical="center" wrapText="1"/>
    </xf>
    <xf numFmtId="4" fontId="19" fillId="0" borderId="7" xfId="12" applyNumberFormat="1" applyFont="1" applyBorder="1" applyAlignment="1">
      <alignment horizontal="right" vertical="center"/>
    </xf>
    <xf numFmtId="10" fontId="19" fillId="0" borderId="7" xfId="11" applyNumberFormat="1" applyFont="1" applyFill="1" applyBorder="1" applyAlignment="1">
      <alignment vertical="center" wrapText="1"/>
    </xf>
    <xf numFmtId="0" fontId="16" fillId="0" borderId="7" xfId="0" applyFont="1" applyBorder="1" applyAlignment="1">
      <alignment horizontal="justify" vertical="center"/>
    </xf>
    <xf numFmtId="0" fontId="16" fillId="0" borderId="7" xfId="0" applyFont="1" applyBorder="1" applyAlignment="1">
      <alignment horizontal="justify" vertical="center" wrapText="1"/>
    </xf>
    <xf numFmtId="178" fontId="6" fillId="2" borderId="4" xfId="0" applyNumberFormat="1" applyFont="1" applyFill="1" applyBorder="1" applyAlignment="1">
      <alignment horizontal="left" vertical="center" wrapText="1" readingOrder="1"/>
    </xf>
    <xf numFmtId="14" fontId="16" fillId="0" borderId="7" xfId="0" applyNumberFormat="1" applyFont="1" applyBorder="1" applyAlignment="1">
      <alignment horizontal="justify" vertical="center" wrapText="1"/>
    </xf>
    <xf numFmtId="0" fontId="19" fillId="0" borderId="0" xfId="0" applyFont="1" applyAlignment="1"/>
    <xf numFmtId="179" fontId="19" fillId="0" borderId="0" xfId="10" applyNumberFormat="1" applyFont="1" applyFill="1"/>
    <xf numFmtId="43" fontId="19" fillId="0" borderId="0" xfId="10" applyFont="1" applyFill="1"/>
    <xf numFmtId="0" fontId="16" fillId="0" borderId="7" xfId="0" applyFont="1" applyBorder="1">
      <alignment wrapText="1"/>
    </xf>
    <xf numFmtId="179" fontId="19" fillId="0" borderId="0" xfId="10" applyNumberFormat="1" applyFont="1"/>
    <xf numFmtId="43" fontId="19" fillId="0" borderId="0" xfId="10" applyFont="1"/>
    <xf numFmtId="0" fontId="27" fillId="0" borderId="7" xfId="0" applyFont="1" applyBorder="1" applyAlignment="1">
      <alignment horizontal="left" wrapText="1"/>
    </xf>
    <xf numFmtId="0" fontId="27" fillId="0" borderId="7" xfId="0" applyFont="1" applyBorder="1" applyAlignment="1">
      <alignment horizontal="center" wrapText="1"/>
    </xf>
    <xf numFmtId="0" fontId="16" fillId="0" borderId="7" xfId="0" applyFont="1" applyBorder="1" applyAlignment="1">
      <alignment horizontal="left" vertical="center" wrapText="1"/>
    </xf>
    <xf numFmtId="0" fontId="16" fillId="0" borderId="7" xfId="0" applyFont="1" applyBorder="1" applyAlignment="1">
      <alignment horizontal="center" vertical="center"/>
    </xf>
    <xf numFmtId="4" fontId="16" fillId="0" borderId="7" xfId="7" applyNumberFormat="1" applyFont="1" applyFill="1" applyBorder="1" applyAlignment="1">
      <alignment horizontal="center" vertical="center"/>
    </xf>
    <xf numFmtId="10" fontId="16" fillId="0" borderId="7" xfId="7" applyNumberFormat="1" applyFont="1" applyFill="1" applyBorder="1" applyAlignment="1">
      <alignment horizontal="center" vertical="center"/>
    </xf>
    <xf numFmtId="4" fontId="16" fillId="0" borderId="7" xfId="0" applyNumberFormat="1" applyFont="1" applyBorder="1" applyAlignment="1">
      <alignment horizontal="center" vertical="center"/>
    </xf>
    <xf numFmtId="0" fontId="16" fillId="0" borderId="0" xfId="0" applyFont="1" applyAlignment="1"/>
    <xf numFmtId="0" fontId="16" fillId="0" borderId="7" xfId="0" applyFont="1" applyBorder="1" applyAlignment="1">
      <alignment horizontal="left" vertical="center"/>
    </xf>
    <xf numFmtId="43" fontId="16" fillId="0" borderId="7" xfId="7" applyFont="1" applyFill="1" applyBorder="1" applyAlignment="1">
      <alignment horizontal="right" vertical="center"/>
    </xf>
    <xf numFmtId="43" fontId="16" fillId="0" borderId="7" xfId="7" applyFont="1" applyFill="1" applyBorder="1" applyAlignment="1">
      <alignment horizontal="center" vertical="center"/>
    </xf>
    <xf numFmtId="4" fontId="16" fillId="0" borderId="7" xfId="0" applyNumberFormat="1" applyFont="1" applyBorder="1" applyAlignment="1">
      <alignment horizontal="right" vertical="center"/>
    </xf>
    <xf numFmtId="0" fontId="15" fillId="0" borderId="11" xfId="0" applyFont="1" applyBorder="1" applyAlignment="1">
      <alignment horizontal="center" vertical="center" wrapText="1" readingOrder="1"/>
    </xf>
    <xf numFmtId="0" fontId="4" fillId="2" borderId="1" xfId="0" applyFont="1" applyFill="1" applyBorder="1" applyAlignment="1">
      <alignment horizontal="center" vertical="center" wrapText="1" readingOrder="1"/>
    </xf>
    <xf numFmtId="0" fontId="4"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4" fillId="2" borderId="1" xfId="0" applyFont="1" applyFill="1" applyBorder="1" applyAlignment="1">
      <alignment horizontal="center" vertical="center" readingOrder="1"/>
    </xf>
    <xf numFmtId="0" fontId="30" fillId="4" borderId="0" xfId="3" applyFont="1" applyFill="1" applyBorder="1" applyAlignment="1">
      <alignment horizontal="center" vertical="center" wrapText="1"/>
    </xf>
    <xf numFmtId="0" fontId="0" fillId="0" borderId="0" xfId="0" applyAlignment="1">
      <alignment horizontal="center" wrapText="1"/>
    </xf>
    <xf numFmtId="0" fontId="9" fillId="0" borderId="0" xfId="0" applyFont="1" applyAlignment="1">
      <alignment horizontal="left" vertical="center"/>
    </xf>
    <xf numFmtId="0" fontId="0" fillId="0" borderId="0" xfId="0" applyAlignment="1"/>
    <xf numFmtId="0" fontId="11" fillId="0" borderId="0" xfId="2" applyAlignment="1">
      <alignment horizontal="center" vertical="center" wrapText="1"/>
    </xf>
    <xf numFmtId="0" fontId="11" fillId="0" borderId="0" xfId="0" applyFont="1">
      <alignment wrapText="1"/>
    </xf>
    <xf numFmtId="0" fontId="28" fillId="0" borderId="0" xfId="12" applyFont="1" applyAlignment="1">
      <alignment horizontal="center" vertical="center"/>
    </xf>
    <xf numFmtId="4" fontId="29" fillId="0" borderId="0" xfId="12" applyNumberFormat="1" applyFont="1"/>
    <xf numFmtId="0" fontId="31" fillId="0" borderId="0" xfId="0" applyFont="1" applyAlignment="1">
      <alignment vertical="center" wrapText="1"/>
    </xf>
    <xf numFmtId="0" fontId="9" fillId="0" borderId="0" xfId="0" applyFont="1" applyAlignment="1">
      <alignment horizontal="left" vertical="top"/>
    </xf>
    <xf numFmtId="0" fontId="32" fillId="0" borderId="0" xfId="0" applyFont="1">
      <alignment wrapText="1"/>
    </xf>
    <xf numFmtId="0" fontId="9" fillId="0" borderId="0" xfId="0" applyFont="1" applyAlignment="1">
      <alignment horizontal="left"/>
    </xf>
    <xf numFmtId="0" fontId="12" fillId="0" borderId="0" xfId="14" applyFont="1"/>
    <xf numFmtId="0" fontId="1" fillId="0" borderId="0" xfId="14"/>
    <xf numFmtId="0" fontId="1" fillId="0" borderId="0" xfId="14" applyAlignment="1">
      <alignment horizontal="center" vertical="center"/>
    </xf>
    <xf numFmtId="0" fontId="12" fillId="0" borderId="0" xfId="14" applyFont="1" applyAlignment="1">
      <alignment horizontal="center" vertical="center"/>
    </xf>
    <xf numFmtId="172" fontId="12" fillId="0" borderId="0" xfId="14" applyNumberFormat="1" applyFont="1" applyAlignment="1">
      <alignment horizontal="center" vertical="center"/>
    </xf>
    <xf numFmtId="0" fontId="10" fillId="0" borderId="0" xfId="0" applyFont="1" applyAlignment="1">
      <alignment horizontal="left" vertical="center"/>
    </xf>
    <xf numFmtId="0" fontId="5" fillId="2" borderId="7" xfId="0" applyFont="1" applyFill="1" applyBorder="1" applyAlignment="1">
      <alignment horizontal="left" vertical="center" wrapText="1" readingOrder="1"/>
    </xf>
    <xf numFmtId="0" fontId="10" fillId="0" borderId="0" xfId="13" applyFont="1" applyAlignment="1">
      <alignment horizontal="center" vertical="center" wrapText="1"/>
    </xf>
    <xf numFmtId="0" fontId="4" fillId="0" borderId="7" xfId="0" applyFont="1" applyBorder="1" applyAlignment="1">
      <alignment horizontal="center" vertical="center" wrapText="1" readingOrder="1"/>
    </xf>
    <xf numFmtId="0" fontId="4" fillId="0" borderId="8" xfId="0" applyFont="1" applyBorder="1" applyAlignment="1">
      <alignment horizontal="center" vertical="center" readingOrder="1"/>
    </xf>
    <xf numFmtId="0" fontId="4" fillId="0" borderId="9" xfId="0" applyFont="1" applyBorder="1" applyAlignment="1">
      <alignment horizontal="center" vertical="center" readingOrder="1"/>
    </xf>
    <xf numFmtId="0" fontId="4" fillId="0" borderId="10" xfId="0" applyFont="1" applyBorder="1" applyAlignment="1">
      <alignment horizontal="center" vertical="center" readingOrder="1"/>
    </xf>
    <xf numFmtId="0" fontId="5" fillId="2" borderId="1"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5" fillId="2" borderId="0" xfId="0" applyFont="1" applyFill="1" applyAlignment="1">
      <alignment horizontal="left" vertical="center" wrapText="1" readingOrder="1"/>
    </xf>
    <xf numFmtId="0" fontId="6" fillId="2" borderId="1" xfId="0" applyFont="1" applyFill="1" applyBorder="1" applyAlignment="1">
      <alignment horizontal="left" vertical="center" wrapText="1" readingOrder="1"/>
    </xf>
    <xf numFmtId="0" fontId="6" fillId="2" borderId="2" xfId="0" applyFont="1" applyFill="1" applyBorder="1" applyAlignment="1">
      <alignment horizontal="left" vertical="center" wrapText="1" readingOrder="1"/>
    </xf>
    <xf numFmtId="0" fontId="6" fillId="2" borderId="3" xfId="0" applyFont="1" applyFill="1" applyBorder="1" applyAlignment="1">
      <alignment horizontal="left" vertical="center" wrapText="1" readingOrder="1"/>
    </xf>
    <xf numFmtId="0" fontId="5" fillId="2" borderId="7" xfId="0" applyFont="1" applyFill="1" applyBorder="1" applyAlignment="1">
      <alignment horizontal="left" vertical="center" wrapText="1" readingOrder="1"/>
    </xf>
    <xf numFmtId="0" fontId="5" fillId="2" borderId="8" xfId="0" applyFont="1" applyFill="1" applyBorder="1" applyAlignment="1">
      <alignment horizontal="left" vertical="center" wrapText="1" readingOrder="1"/>
    </xf>
    <xf numFmtId="0" fontId="5" fillId="2" borderId="10" xfId="0" applyFont="1" applyFill="1" applyBorder="1" applyAlignment="1">
      <alignment horizontal="left" vertical="center" wrapText="1" readingOrder="1"/>
    </xf>
    <xf numFmtId="0" fontId="5" fillId="2" borderId="9" xfId="0" applyFont="1" applyFill="1" applyBorder="1" applyAlignment="1">
      <alignment horizontal="left" vertical="center" wrapText="1" readingOrder="1"/>
    </xf>
    <xf numFmtId="0" fontId="27" fillId="0" borderId="7" xfId="12" applyFont="1" applyBorder="1" applyAlignment="1">
      <alignment horizontal="center" vertical="center"/>
    </xf>
    <xf numFmtId="0" fontId="27" fillId="0" borderId="8" xfId="12" applyFont="1" applyBorder="1" applyAlignment="1">
      <alignment horizontal="center" vertical="center"/>
    </xf>
    <xf numFmtId="0" fontId="27" fillId="0" borderId="9" xfId="12" applyFont="1" applyBorder="1" applyAlignment="1">
      <alignment horizontal="center" vertical="center"/>
    </xf>
    <xf numFmtId="0" fontId="27" fillId="0" borderId="10" xfId="12" applyFont="1" applyBorder="1" applyAlignment="1">
      <alignment horizontal="center" vertical="center"/>
    </xf>
    <xf numFmtId="0" fontId="19" fillId="0" borderId="8" xfId="12" applyFont="1" applyBorder="1" applyAlignment="1">
      <alignment horizontal="left" vertical="center" wrapText="1"/>
    </xf>
    <xf numFmtId="0" fontId="19" fillId="0" borderId="9" xfId="12" applyFont="1" applyBorder="1" applyAlignment="1">
      <alignment horizontal="left" vertical="center" wrapText="1"/>
    </xf>
    <xf numFmtId="0" fontId="19" fillId="0" borderId="10" xfId="12" applyFont="1" applyBorder="1" applyAlignment="1">
      <alignment horizontal="left" vertical="center" wrapText="1"/>
    </xf>
    <xf numFmtId="0" fontId="17" fillId="0" borderId="8" xfId="0" applyFont="1" applyBorder="1" applyAlignment="1">
      <alignment horizontal="center" vertical="center"/>
    </xf>
    <xf numFmtId="0" fontId="17" fillId="0" borderId="9" xfId="0" applyFont="1" applyBorder="1" applyAlignment="1">
      <alignment horizontal="center" vertical="center"/>
    </xf>
    <xf numFmtId="0" fontId="17" fillId="0" borderId="10" xfId="0" applyFont="1" applyBorder="1" applyAlignment="1">
      <alignment horizontal="center" vertical="center"/>
    </xf>
    <xf numFmtId="0" fontId="27" fillId="0" borderId="8" xfId="12" applyFont="1" applyBorder="1" applyAlignment="1">
      <alignment horizontal="center" vertical="center" wrapText="1"/>
    </xf>
    <xf numFmtId="0" fontId="27" fillId="0" borderId="10" xfId="12" applyFont="1" applyBorder="1" applyAlignment="1">
      <alignment horizontal="center" vertical="center" wrapText="1"/>
    </xf>
    <xf numFmtId="0" fontId="19" fillId="0" borderId="8" xfId="10" applyNumberFormat="1" applyFont="1" applyFill="1" applyBorder="1" applyAlignment="1">
      <alignment horizontal="center" vertical="center"/>
    </xf>
    <xf numFmtId="0" fontId="19" fillId="0" borderId="10" xfId="10" applyNumberFormat="1" applyFont="1" applyFill="1" applyBorder="1" applyAlignment="1">
      <alignment horizontal="center" vertical="center"/>
    </xf>
    <xf numFmtId="0" fontId="4" fillId="0" borderId="7" xfId="0" applyFont="1" applyBorder="1" applyAlignment="1">
      <alignment horizontal="center" vertical="center" readingOrder="1"/>
    </xf>
    <xf numFmtId="0" fontId="24" fillId="0" borderId="0" xfId="0" applyFont="1" applyAlignment="1">
      <alignment horizontal="left" vertical="center" wrapText="1" readingOrder="1"/>
    </xf>
    <xf numFmtId="0" fontId="5" fillId="0" borderId="0" xfId="2" applyFont="1" applyAlignment="1">
      <alignment horizontal="left" vertical="center" wrapText="1" readingOrder="1"/>
    </xf>
    <xf numFmtId="0" fontId="5" fillId="0" borderId="0" xfId="0" applyFont="1" applyAlignment="1">
      <alignment horizontal="left" vertical="center" wrapText="1" readingOrder="1"/>
    </xf>
    <xf numFmtId="0" fontId="22" fillId="0" borderId="0" xfId="8" applyFont="1" applyAlignment="1">
      <alignment horizontal="left" vertical="center"/>
    </xf>
    <xf numFmtId="0" fontId="19" fillId="0" borderId="0" xfId="4" applyFont="1" applyAlignment="1">
      <alignment horizontal="left"/>
    </xf>
    <xf numFmtId="0" fontId="9" fillId="0" borderId="7" xfId="4" applyFont="1" applyBorder="1" applyAlignment="1">
      <alignment horizontal="center"/>
    </xf>
    <xf numFmtId="0" fontId="10" fillId="0" borderId="7" xfId="5" applyFont="1" applyBorder="1" applyAlignment="1">
      <alignment horizontal="center" vertical="center"/>
    </xf>
    <xf numFmtId="0" fontId="15" fillId="3" borderId="7" xfId="5" applyFont="1" applyFill="1" applyBorder="1" applyAlignment="1">
      <alignment horizontal="center" vertical="center" wrapText="1"/>
    </xf>
    <xf numFmtId="0" fontId="22" fillId="0" borderId="8" xfId="8" applyFont="1" applyBorder="1" applyAlignment="1">
      <alignment horizontal="left" vertical="center"/>
    </xf>
    <xf numFmtId="0" fontId="22" fillId="0" borderId="9" xfId="8" applyFont="1" applyBorder="1" applyAlignment="1">
      <alignment horizontal="left" vertical="center"/>
    </xf>
    <xf numFmtId="0" fontId="22" fillId="0" borderId="10" xfId="8" applyFont="1" applyBorder="1" applyAlignment="1">
      <alignment horizontal="left" vertical="center"/>
    </xf>
    <xf numFmtId="0" fontId="22" fillId="0" borderId="0" xfId="8" applyFont="1" applyAlignment="1">
      <alignment horizontal="left"/>
    </xf>
    <xf numFmtId="164" fontId="5" fillId="0" borderId="1" xfId="0" applyNumberFormat="1" applyFont="1" applyFill="1" applyBorder="1" applyAlignment="1">
      <alignment vertical="center" wrapText="1" readingOrder="1"/>
    </xf>
    <xf numFmtId="0" fontId="5" fillId="0" borderId="4" xfId="0" applyFont="1" applyFill="1" applyBorder="1" applyAlignment="1">
      <alignment horizontal="left" vertical="center" wrapText="1" readingOrder="1"/>
    </xf>
    <xf numFmtId="0" fontId="24" fillId="0" borderId="4" xfId="0" applyFont="1" applyFill="1" applyBorder="1" applyAlignment="1">
      <alignment horizontal="left" vertical="center" wrapText="1" readingOrder="1"/>
    </xf>
    <xf numFmtId="165" fontId="5" fillId="0" borderId="4" xfId="0" applyNumberFormat="1" applyFont="1" applyFill="1" applyBorder="1" applyAlignment="1">
      <alignment horizontal="right" vertical="center" wrapText="1" readingOrder="1"/>
    </xf>
    <xf numFmtId="166" fontId="5" fillId="0" borderId="4" xfId="0" applyNumberFormat="1" applyFont="1" applyFill="1" applyBorder="1" applyAlignment="1">
      <alignment horizontal="right" vertical="center" wrapText="1" readingOrder="1"/>
    </xf>
    <xf numFmtId="167" fontId="5" fillId="0" borderId="4" xfId="0" applyNumberFormat="1" applyFont="1" applyFill="1" applyBorder="1" applyAlignment="1">
      <alignment horizontal="right" vertical="center" wrapText="1" readingOrder="1"/>
    </xf>
    <xf numFmtId="0" fontId="0" fillId="0" borderId="0" xfId="0" applyFill="1">
      <alignment wrapText="1"/>
    </xf>
    <xf numFmtId="0" fontId="5" fillId="0" borderId="1" xfId="0" applyFont="1" applyFill="1" applyBorder="1" applyAlignment="1">
      <alignment horizontal="left" vertical="center" wrapText="1" readingOrder="1"/>
    </xf>
    <xf numFmtId="0" fontId="5" fillId="0" borderId="3" xfId="0" applyFont="1" applyFill="1" applyBorder="1" applyAlignment="1">
      <alignment horizontal="left" vertical="center" wrapText="1" readingOrder="1"/>
    </xf>
    <xf numFmtId="0" fontId="17" fillId="0" borderId="0" xfId="0" applyFont="1" applyAlignment="1"/>
    <xf numFmtId="0" fontId="17" fillId="0" borderId="0" xfId="0" applyFont="1" applyAlignment="1">
      <alignment horizontal="center"/>
    </xf>
    <xf numFmtId="0" fontId="17" fillId="0" borderId="7" xfId="0" applyFont="1" applyBorder="1" applyAlignment="1">
      <alignment horizontal="center" vertical="top"/>
    </xf>
    <xf numFmtId="0" fontId="17" fillId="0" borderId="7" xfId="0" applyFont="1" applyBorder="1" applyAlignment="1">
      <alignment horizontal="center" vertical="top" wrapText="1"/>
    </xf>
    <xf numFmtId="0" fontId="16" fillId="0" borderId="7" xfId="0" applyFont="1" applyBorder="1" applyAlignment="1">
      <alignment horizontal="left" vertical="top"/>
    </xf>
    <xf numFmtId="0" fontId="16" fillId="0" borderId="7" xfId="0" applyFont="1" applyBorder="1" applyAlignment="1">
      <alignment horizontal="center" vertical="top"/>
    </xf>
    <xf numFmtId="178" fontId="5" fillId="2" borderId="4" xfId="0" applyNumberFormat="1" applyFont="1" applyFill="1" applyBorder="1" applyAlignment="1">
      <alignment vertical="center" readingOrder="1"/>
    </xf>
    <xf numFmtId="178" fontId="5" fillId="2" borderId="4" xfId="0" applyNumberFormat="1" applyFont="1" applyFill="1" applyBorder="1" applyAlignment="1">
      <alignment horizontal="right" vertical="center" readingOrder="1"/>
    </xf>
    <xf numFmtId="2" fontId="16" fillId="0" borderId="7" xfId="0" applyNumberFormat="1" applyFont="1" applyBorder="1" applyAlignment="1">
      <alignment horizontal="right" vertical="top" wrapText="1"/>
    </xf>
    <xf numFmtId="0" fontId="5" fillId="2" borderId="11" xfId="0" applyFont="1" applyFill="1" applyBorder="1" applyAlignment="1">
      <alignment horizontal="left" vertical="center" readingOrder="1"/>
    </xf>
    <xf numFmtId="0" fontId="5" fillId="2" borderId="4" xfId="0" applyFont="1" applyFill="1" applyBorder="1" applyAlignment="1">
      <alignment horizontal="left" vertical="center" readingOrder="1"/>
    </xf>
    <xf numFmtId="0" fontId="16" fillId="0" borderId="12" xfId="0" applyFont="1" applyBorder="1" applyAlignment="1">
      <alignment horizontal="left" vertical="top"/>
    </xf>
    <xf numFmtId="178" fontId="5" fillId="2" borderId="4" xfId="0" applyNumberFormat="1" applyFont="1" applyFill="1" applyBorder="1" applyAlignment="1">
      <alignment horizontal="right" vertical="center" wrapText="1" readingOrder="1"/>
    </xf>
    <xf numFmtId="4" fontId="16" fillId="0" borderId="7" xfId="0" applyNumberFormat="1" applyFont="1" applyBorder="1" applyAlignment="1"/>
    <xf numFmtId="178" fontId="5" fillId="2" borderId="7" xfId="0" applyNumberFormat="1" applyFont="1" applyFill="1" applyBorder="1" applyAlignment="1">
      <alignment horizontal="right" vertical="center" wrapText="1" readingOrder="1"/>
    </xf>
    <xf numFmtId="178" fontId="5" fillId="2" borderId="7" xfId="0" applyNumberFormat="1" applyFont="1" applyFill="1" applyBorder="1" applyAlignment="1">
      <alignment horizontal="right" vertical="center" readingOrder="1"/>
    </xf>
    <xf numFmtId="0" fontId="5" fillId="2" borderId="7" xfId="0" applyFont="1" applyFill="1" applyBorder="1" applyAlignment="1">
      <alignment horizontal="left" vertical="center" readingOrder="1"/>
    </xf>
    <xf numFmtId="178" fontId="16" fillId="0" borderId="0" xfId="0" applyNumberFormat="1" applyFont="1" applyAlignment="1"/>
    <xf numFmtId="0" fontId="17" fillId="0" borderId="7" xfId="0" applyFont="1" applyBorder="1" applyAlignment="1">
      <alignment horizontal="center"/>
    </xf>
    <xf numFmtId="10" fontId="16" fillId="0" borderId="7" xfId="11" applyNumberFormat="1" applyFont="1" applyFill="1" applyBorder="1" applyAlignment="1">
      <alignment horizontal="center"/>
    </xf>
    <xf numFmtId="10" fontId="16" fillId="0" borderId="7" xfId="0" applyNumberFormat="1" applyFont="1" applyBorder="1" applyAlignment="1">
      <alignment horizontal="center"/>
    </xf>
    <xf numFmtId="0" fontId="16" fillId="0" borderId="7" xfId="0" applyFont="1" applyBorder="1" applyAlignment="1"/>
    <xf numFmtId="37" fontId="16" fillId="0" borderId="7" xfId="10" applyNumberFormat="1" applyFont="1" applyFill="1" applyBorder="1" applyAlignment="1">
      <alignment horizontal="center"/>
    </xf>
    <xf numFmtId="174" fontId="17" fillId="0" borderId="7" xfId="10" applyNumberFormat="1" applyFont="1" applyFill="1" applyBorder="1"/>
    <xf numFmtId="174" fontId="16" fillId="0" borderId="0" xfId="0" applyNumberFormat="1" applyFont="1" applyAlignment="1"/>
    <xf numFmtId="4" fontId="16" fillId="0" borderId="0" xfId="0" applyNumberFormat="1" applyFont="1" applyAlignment="1"/>
    <xf numFmtId="0" fontId="16" fillId="0" borderId="7" xfId="10" applyNumberFormat="1" applyFont="1" applyFill="1" applyBorder="1" applyAlignment="1">
      <alignment horizontal="center"/>
    </xf>
    <xf numFmtId="4" fontId="16" fillId="0" borderId="7" xfId="10" applyNumberFormat="1" applyFont="1" applyFill="1" applyBorder="1"/>
    <xf numFmtId="174" fontId="16" fillId="0" borderId="7" xfId="10" applyNumberFormat="1" applyFont="1" applyFill="1" applyBorder="1"/>
    <xf numFmtId="0" fontId="16" fillId="0" borderId="7" xfId="0" applyFont="1" applyBorder="1" applyAlignment="1">
      <alignment horizontal="left" vertical="top" wrapText="1"/>
    </xf>
    <xf numFmtId="173" fontId="16" fillId="0" borderId="7" xfId="10" applyNumberFormat="1" applyFont="1" applyFill="1" applyBorder="1"/>
    <xf numFmtId="43" fontId="16" fillId="0" borderId="7" xfId="10" applyFont="1" applyFill="1" applyBorder="1"/>
    <xf numFmtId="43" fontId="16" fillId="0" borderId="7" xfId="10" applyFont="1" applyFill="1" applyBorder="1" applyAlignment="1"/>
    <xf numFmtId="0" fontId="16" fillId="0" borderId="0" xfId="0" applyFont="1" applyAlignment="1" applyProtection="1">
      <alignment horizontal="left"/>
      <protection locked="0"/>
    </xf>
    <xf numFmtId="0" fontId="16" fillId="0" borderId="0" xfId="0" applyFont="1" applyAlignment="1">
      <alignment horizontal="center" vertical="top"/>
    </xf>
    <xf numFmtId="43" fontId="16" fillId="0" borderId="0" xfId="10" applyFont="1" applyFill="1" applyBorder="1" applyAlignment="1" applyProtection="1">
      <alignment horizontal="left"/>
      <protection locked="0"/>
    </xf>
    <xf numFmtId="4" fontId="16" fillId="0" borderId="0" xfId="0" applyNumberFormat="1" applyFont="1" applyAlignment="1">
      <alignment horizontal="right" vertical="center"/>
    </xf>
    <xf numFmtId="2" fontId="16" fillId="0" borderId="7" xfId="0" applyNumberFormat="1" applyFont="1" applyBorder="1" applyAlignment="1">
      <alignment horizontal="center"/>
    </xf>
    <xf numFmtId="0" fontId="16" fillId="0" borderId="0" xfId="0" applyFont="1" applyAlignment="1">
      <alignment horizontal="left" vertical="top"/>
    </xf>
    <xf numFmtId="10" fontId="16" fillId="0" borderId="0" xfId="0" applyNumberFormat="1" applyFont="1" applyAlignment="1">
      <alignment horizontal="center"/>
    </xf>
    <xf numFmtId="43" fontId="16" fillId="0" borderId="7" xfId="10" applyFont="1" applyFill="1" applyBorder="1" applyAlignment="1">
      <alignment horizontal="center" vertical="top" wrapText="1"/>
    </xf>
    <xf numFmtId="0" fontId="16" fillId="0" borderId="7" xfId="0" applyFont="1" applyBorder="1" applyAlignment="1">
      <alignment horizontal="center"/>
    </xf>
    <xf numFmtId="2" fontId="16" fillId="0" borderId="7" xfId="0" applyNumberFormat="1" applyFont="1" applyBorder="1" applyAlignment="1">
      <alignment horizontal="right"/>
    </xf>
    <xf numFmtId="1" fontId="16" fillId="0" borderId="7" xfId="0" applyNumberFormat="1" applyFont="1" applyBorder="1" applyAlignment="1">
      <alignment horizontal="center"/>
    </xf>
    <xf numFmtId="0" fontId="16" fillId="0" borderId="7" xfId="0" applyFont="1" applyBorder="1" applyAlignment="1">
      <alignment vertical="top" wrapText="1"/>
    </xf>
    <xf numFmtId="0" fontId="17" fillId="0" borderId="7" xfId="10" applyNumberFormat="1" applyFont="1" applyFill="1" applyBorder="1" applyAlignment="1">
      <alignment horizontal="center"/>
    </xf>
    <xf numFmtId="4" fontId="17" fillId="0" borderId="7" xfId="10" applyNumberFormat="1" applyFont="1" applyFill="1" applyBorder="1"/>
    <xf numFmtId="43" fontId="17" fillId="0" borderId="7" xfId="10" applyFont="1" applyFill="1" applyBorder="1" applyAlignment="1">
      <alignment horizontal="center" vertical="top" wrapText="1"/>
    </xf>
    <xf numFmtId="0" fontId="17" fillId="0" borderId="0" xfId="0" applyFont="1" applyAlignment="1">
      <alignment vertical="top" wrapText="1"/>
    </xf>
    <xf numFmtId="0" fontId="16" fillId="0" borderId="0" xfId="0" applyFont="1" applyAlignment="1">
      <alignment horizontal="center"/>
    </xf>
    <xf numFmtId="2" fontId="16" fillId="0" borderId="0" xfId="0" applyNumberFormat="1" applyFont="1" applyAlignment="1">
      <alignment horizontal="right"/>
    </xf>
    <xf numFmtId="0" fontId="16" fillId="0" borderId="0" xfId="0" applyFont="1" applyAlignment="1">
      <alignment horizontal="right" vertical="top" wrapText="1"/>
    </xf>
    <xf numFmtId="0" fontId="16" fillId="0" borderId="7" xfId="0" applyFont="1" applyBorder="1" applyAlignment="1">
      <alignment horizontal="center" vertical="top" wrapText="1"/>
    </xf>
    <xf numFmtId="181" fontId="16" fillId="0" borderId="0" xfId="0" applyNumberFormat="1" applyFont="1" applyAlignment="1">
      <alignment horizontal="right" vertical="top" wrapText="1"/>
    </xf>
    <xf numFmtId="2" fontId="16" fillId="0" borderId="0" xfId="0" applyNumberFormat="1" applyFont="1" applyAlignment="1">
      <alignment horizontal="center"/>
    </xf>
    <xf numFmtId="0" fontId="16" fillId="0" borderId="7" xfId="0" applyFont="1" applyBorder="1" applyAlignment="1">
      <alignment horizontal="left"/>
    </xf>
    <xf numFmtId="2" fontId="16" fillId="0" borderId="7" xfId="0" applyNumberFormat="1" applyFont="1" applyBorder="1" applyAlignment="1">
      <alignment horizontal="center" vertical="top" wrapText="1"/>
    </xf>
    <xf numFmtId="0" fontId="16" fillId="0" borderId="0" xfId="0" applyFont="1" applyAlignment="1">
      <alignment horizontal="left"/>
    </xf>
    <xf numFmtId="0" fontId="16" fillId="0" borderId="0" xfId="0" applyFont="1" applyAlignment="1">
      <alignment horizontal="right" vertical="top"/>
    </xf>
    <xf numFmtId="2" fontId="16" fillId="0" borderId="0" xfId="0" applyNumberFormat="1" applyFont="1" applyAlignment="1">
      <alignment horizontal="right" vertical="top"/>
    </xf>
    <xf numFmtId="182" fontId="16" fillId="0" borderId="0" xfId="10" applyNumberFormat="1" applyFont="1" applyFill="1" applyBorder="1" applyAlignment="1">
      <alignment horizontal="center" vertical="top" wrapText="1"/>
    </xf>
    <xf numFmtId="0" fontId="16" fillId="0" borderId="0" xfId="0" applyFont="1" applyAlignment="1">
      <alignment horizontal="left" vertical="top" wrapText="1"/>
    </xf>
    <xf numFmtId="179" fontId="16" fillId="0" borderId="0" xfId="10" applyNumberFormat="1" applyFont="1" applyFill="1" applyBorder="1" applyAlignment="1">
      <alignment horizontal="right" vertical="top" wrapText="1"/>
    </xf>
    <xf numFmtId="2" fontId="16" fillId="0" borderId="0" xfId="0" applyNumberFormat="1" applyFont="1" applyAlignment="1"/>
    <xf numFmtId="4" fontId="16" fillId="0" borderId="0" xfId="10" applyNumberFormat="1" applyFont="1" applyFill="1" applyBorder="1"/>
    <xf numFmtId="2" fontId="16" fillId="0" borderId="7" xfId="0" applyNumberFormat="1" applyFont="1" applyBorder="1" applyAlignment="1">
      <alignment vertical="top" wrapText="1"/>
    </xf>
    <xf numFmtId="4" fontId="16" fillId="0" borderId="7" xfId="0" applyNumberFormat="1" applyFont="1" applyBorder="1" applyAlignment="1">
      <alignment horizontal="center"/>
    </xf>
    <xf numFmtId="4" fontId="16" fillId="0" borderId="7" xfId="10" applyNumberFormat="1" applyFont="1" applyFill="1" applyBorder="1" applyAlignment="1">
      <alignment horizontal="center"/>
    </xf>
    <xf numFmtId="4" fontId="17" fillId="0" borderId="7" xfId="0" applyNumberFormat="1" applyFont="1" applyBorder="1" applyAlignment="1">
      <alignment horizontal="center" vertical="top" wrapText="1"/>
    </xf>
    <xf numFmtId="4" fontId="16" fillId="0" borderId="7" xfId="0" applyNumberFormat="1" applyFont="1" applyBorder="1" applyAlignment="1">
      <alignment horizontal="center" vertical="top" wrapText="1"/>
    </xf>
  </cellXfs>
  <cellStyles count="15">
    <cellStyle name="Comma" xfId="10" builtinId="3"/>
    <cellStyle name="Comma 10" xfId="6" xr:uid="{17AF4ED6-F321-46C3-ADEA-230A8434601B}"/>
    <cellStyle name="Comma 2" xfId="7" xr:uid="{80724A7E-39D4-4046-B747-A7339F6F366C}"/>
    <cellStyle name="Hyperlink 2" xfId="3" xr:uid="{C1437F49-BA94-4567-B7F8-B97BE9974BAB}"/>
    <cellStyle name="Normal" xfId="0" builtinId="0"/>
    <cellStyle name="Normal 2" xfId="2" xr:uid="{720BCC41-A041-433E-A546-3FC19ACD2B08}"/>
    <cellStyle name="Normal 2 2 3" xfId="12" xr:uid="{D0A2BCD0-6C7D-447F-9A65-4FE2CD754154}"/>
    <cellStyle name="Normal 2 2 3 2" xfId="1" xr:uid="{30684EFC-30B7-4AFC-AD48-86507AEFBF06}"/>
    <cellStyle name="Normal 3" xfId="13" xr:uid="{B1606ECC-7A43-4F97-BC49-4057414B65F9}"/>
    <cellStyle name="Normal 4" xfId="4" xr:uid="{28607EF7-4FF4-4347-90E7-89ADF0DEC91F}"/>
    <cellStyle name="Normal 4 2" xfId="14" xr:uid="{CDF8F1F0-0979-4B03-9C2B-E26E565A463D}"/>
    <cellStyle name="Normal_Bonsaverportfolio 2 2" xfId="5" xr:uid="{FD49ECFE-A73A-48EC-A4C3-054F74DFCC7A}"/>
    <cellStyle name="Normal_Halfyearly_Debtholdings_30092011 2" xfId="8" xr:uid="{93625886-999C-47DE-8710-4A21776C61A7}"/>
    <cellStyle name="Normal_Holdingotherschemes new" xfId="9" xr:uid="{A6B96C26-D931-4FAB-AB9B-C90A9D4EAAAF}"/>
    <cellStyle name="Percent" xfId="1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jpeg"/></Relationships>
</file>

<file path=xl/drawings/_rels/drawing2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7.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8.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9.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3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2</xdr:row>
      <xdr:rowOff>28575</xdr:rowOff>
    </xdr:from>
    <xdr:to>
      <xdr:col>14</xdr:col>
      <xdr:colOff>235942</xdr:colOff>
      <xdr:row>10</xdr:row>
      <xdr:rowOff>92075</xdr:rowOff>
    </xdr:to>
    <xdr:pic>
      <xdr:nvPicPr>
        <xdr:cNvPr id="2" name="Picture 1">
          <a:extLst>
            <a:ext uri="{FF2B5EF4-FFF2-40B4-BE49-F238E27FC236}">
              <a16:creationId xmlns:a16="http://schemas.microsoft.com/office/drawing/2014/main" id="{0E922876-885B-4F3C-8ABE-6359DBB588B2}"/>
            </a:ext>
          </a:extLst>
        </xdr:cNvPr>
        <xdr:cNvPicPr>
          <a:picLocks noChangeAspect="1"/>
        </xdr:cNvPicPr>
      </xdr:nvPicPr>
      <xdr:blipFill>
        <a:blip xmlns:r="http://schemas.openxmlformats.org/officeDocument/2006/relationships" r:embed="rId1"/>
        <a:stretch>
          <a:fillRect/>
        </a:stretch>
      </xdr:blipFill>
      <xdr:spPr>
        <a:xfrm>
          <a:off x="10598150" y="473075"/>
          <a:ext cx="3283942" cy="2044700"/>
        </a:xfrm>
        <a:prstGeom prst="rect">
          <a:avLst/>
        </a:prstGeom>
      </xdr:spPr>
    </xdr:pic>
    <xdr:clientData/>
  </xdr:twoCellAnchor>
  <xdr:twoCellAnchor editAs="oneCell">
    <xdr:from>
      <xdr:col>8</xdr:col>
      <xdr:colOff>542925</xdr:colOff>
      <xdr:row>12</xdr:row>
      <xdr:rowOff>114300</xdr:rowOff>
    </xdr:from>
    <xdr:to>
      <xdr:col>14</xdr:col>
      <xdr:colOff>266700</xdr:colOff>
      <xdr:row>20</xdr:row>
      <xdr:rowOff>139700</xdr:rowOff>
    </xdr:to>
    <xdr:pic>
      <xdr:nvPicPr>
        <xdr:cNvPr id="3" name="Picture 2">
          <a:extLst>
            <a:ext uri="{FF2B5EF4-FFF2-40B4-BE49-F238E27FC236}">
              <a16:creationId xmlns:a16="http://schemas.microsoft.com/office/drawing/2014/main" id="{A96431C5-C8CD-4F80-8310-DACE447923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531475" y="3149600"/>
          <a:ext cx="33813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800100</xdr:colOff>
      <xdr:row>2</xdr:row>
      <xdr:rowOff>114300</xdr:rowOff>
    </xdr:from>
    <xdr:to>
      <xdr:col>14</xdr:col>
      <xdr:colOff>298450</xdr:colOff>
      <xdr:row>10</xdr:row>
      <xdr:rowOff>177800</xdr:rowOff>
    </xdr:to>
    <xdr:pic>
      <xdr:nvPicPr>
        <xdr:cNvPr id="2" name="Picture 1">
          <a:extLst>
            <a:ext uri="{FF2B5EF4-FFF2-40B4-BE49-F238E27FC236}">
              <a16:creationId xmlns:a16="http://schemas.microsoft.com/office/drawing/2014/main" id="{67919991-B35A-4404-B2DE-0AC832D4BBEF}"/>
            </a:ext>
          </a:extLst>
        </xdr:cNvPr>
        <xdr:cNvPicPr>
          <a:picLocks noChangeAspect="1"/>
        </xdr:cNvPicPr>
      </xdr:nvPicPr>
      <xdr:blipFill>
        <a:blip xmlns:r="http://schemas.openxmlformats.org/officeDocument/2006/relationships" r:embed="rId1"/>
        <a:stretch>
          <a:fillRect/>
        </a:stretch>
      </xdr:blipFill>
      <xdr:spPr>
        <a:xfrm>
          <a:off x="10788650" y="558800"/>
          <a:ext cx="3346450" cy="2044700"/>
        </a:xfrm>
        <a:prstGeom prst="rect">
          <a:avLst/>
        </a:prstGeom>
      </xdr:spPr>
    </xdr:pic>
    <xdr:clientData/>
  </xdr:twoCellAnchor>
  <xdr:twoCellAnchor editAs="oneCell">
    <xdr:from>
      <xdr:col>8</xdr:col>
      <xdr:colOff>781049</xdr:colOff>
      <xdr:row>13</xdr:row>
      <xdr:rowOff>0</xdr:rowOff>
    </xdr:from>
    <xdr:to>
      <xdr:col>14</xdr:col>
      <xdr:colOff>336550</xdr:colOff>
      <xdr:row>19</xdr:row>
      <xdr:rowOff>333375</xdr:rowOff>
    </xdr:to>
    <xdr:pic>
      <xdr:nvPicPr>
        <xdr:cNvPr id="3" name="Picture 2">
          <a:extLst>
            <a:ext uri="{FF2B5EF4-FFF2-40B4-BE49-F238E27FC236}">
              <a16:creationId xmlns:a16="http://schemas.microsoft.com/office/drawing/2014/main" id="{1CE6850F-1915-4DEC-BAF0-39F0AC1154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769599" y="3251200"/>
          <a:ext cx="3384551"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xdr:colOff>
      <xdr:row>22</xdr:row>
      <xdr:rowOff>95251</xdr:rowOff>
    </xdr:from>
    <xdr:to>
      <xdr:col>14</xdr:col>
      <xdr:colOff>266700</xdr:colOff>
      <xdr:row>29</xdr:row>
      <xdr:rowOff>116669</xdr:rowOff>
    </xdr:to>
    <xdr:pic>
      <xdr:nvPicPr>
        <xdr:cNvPr id="4" name="Picture 3">
          <a:extLst>
            <a:ext uri="{FF2B5EF4-FFF2-40B4-BE49-F238E27FC236}">
              <a16:creationId xmlns:a16="http://schemas.microsoft.com/office/drawing/2014/main" id="{4C258A16-3A92-4351-B020-35FB08CACB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848975" y="5594351"/>
          <a:ext cx="3305175" cy="18375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552450</xdr:colOff>
      <xdr:row>2</xdr:row>
      <xdr:rowOff>123825</xdr:rowOff>
    </xdr:from>
    <xdr:to>
      <xdr:col>14</xdr:col>
      <xdr:colOff>123825</xdr:colOff>
      <xdr:row>10</xdr:row>
      <xdr:rowOff>34925</xdr:rowOff>
    </xdr:to>
    <xdr:pic>
      <xdr:nvPicPr>
        <xdr:cNvPr id="2" name="Picture 1">
          <a:extLst>
            <a:ext uri="{FF2B5EF4-FFF2-40B4-BE49-F238E27FC236}">
              <a16:creationId xmlns:a16="http://schemas.microsoft.com/office/drawing/2014/main" id="{C10389BD-312B-4A9F-8119-C1B195910951}"/>
            </a:ext>
          </a:extLst>
        </xdr:cNvPr>
        <xdr:cNvPicPr>
          <a:picLocks noChangeAspect="1"/>
        </xdr:cNvPicPr>
      </xdr:nvPicPr>
      <xdr:blipFill>
        <a:blip xmlns:r="http://schemas.openxmlformats.org/officeDocument/2006/relationships" r:embed="rId1"/>
        <a:stretch>
          <a:fillRect/>
        </a:stretch>
      </xdr:blipFill>
      <xdr:spPr>
        <a:xfrm>
          <a:off x="10541000" y="568325"/>
          <a:ext cx="3228975" cy="2044700"/>
        </a:xfrm>
        <a:prstGeom prst="rect">
          <a:avLst/>
        </a:prstGeom>
      </xdr:spPr>
    </xdr:pic>
    <xdr:clientData/>
  </xdr:twoCellAnchor>
  <xdr:twoCellAnchor editAs="oneCell">
    <xdr:from>
      <xdr:col>8</xdr:col>
      <xdr:colOff>485775</xdr:colOff>
      <xdr:row>13</xdr:row>
      <xdr:rowOff>76200</xdr:rowOff>
    </xdr:from>
    <xdr:to>
      <xdr:col>14</xdr:col>
      <xdr:colOff>76200</xdr:colOff>
      <xdr:row>20</xdr:row>
      <xdr:rowOff>28575</xdr:rowOff>
    </xdr:to>
    <xdr:pic>
      <xdr:nvPicPr>
        <xdr:cNvPr id="3" name="Picture 2">
          <a:extLst>
            <a:ext uri="{FF2B5EF4-FFF2-40B4-BE49-F238E27FC236}">
              <a16:creationId xmlns:a16="http://schemas.microsoft.com/office/drawing/2014/main" id="{B6B53748-C091-4605-B52B-146C29D40B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474325" y="3327400"/>
          <a:ext cx="3248025" cy="1768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552450</xdr:colOff>
      <xdr:row>2</xdr:row>
      <xdr:rowOff>76200</xdr:rowOff>
    </xdr:from>
    <xdr:to>
      <xdr:col>14</xdr:col>
      <xdr:colOff>178792</xdr:colOff>
      <xdr:row>9</xdr:row>
      <xdr:rowOff>349250</xdr:rowOff>
    </xdr:to>
    <xdr:pic>
      <xdr:nvPicPr>
        <xdr:cNvPr id="2" name="Picture 1">
          <a:extLst>
            <a:ext uri="{FF2B5EF4-FFF2-40B4-BE49-F238E27FC236}">
              <a16:creationId xmlns:a16="http://schemas.microsoft.com/office/drawing/2014/main" id="{68B944F0-E324-4092-9218-048465286674}"/>
            </a:ext>
          </a:extLst>
        </xdr:cNvPr>
        <xdr:cNvPicPr>
          <a:picLocks noChangeAspect="1"/>
        </xdr:cNvPicPr>
      </xdr:nvPicPr>
      <xdr:blipFill>
        <a:blip xmlns:r="http://schemas.openxmlformats.org/officeDocument/2006/relationships" r:embed="rId1"/>
        <a:stretch>
          <a:fillRect/>
        </a:stretch>
      </xdr:blipFill>
      <xdr:spPr>
        <a:xfrm>
          <a:off x="10541000" y="520700"/>
          <a:ext cx="3283942" cy="2038350"/>
        </a:xfrm>
        <a:prstGeom prst="rect">
          <a:avLst/>
        </a:prstGeom>
      </xdr:spPr>
    </xdr:pic>
    <xdr:clientData/>
  </xdr:twoCellAnchor>
  <xdr:twoCellAnchor editAs="oneCell">
    <xdr:from>
      <xdr:col>8</xdr:col>
      <xdr:colOff>514350</xdr:colOff>
      <xdr:row>13</xdr:row>
      <xdr:rowOff>28576</xdr:rowOff>
    </xdr:from>
    <xdr:to>
      <xdr:col>14</xdr:col>
      <xdr:colOff>161925</xdr:colOff>
      <xdr:row>20</xdr:row>
      <xdr:rowOff>28576</xdr:rowOff>
    </xdr:to>
    <xdr:pic>
      <xdr:nvPicPr>
        <xdr:cNvPr id="3" name="Picture 2">
          <a:extLst>
            <a:ext uri="{FF2B5EF4-FFF2-40B4-BE49-F238E27FC236}">
              <a16:creationId xmlns:a16="http://schemas.microsoft.com/office/drawing/2014/main" id="{D0669DA4-64B7-4EE4-A252-C9CE6E8415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502900" y="3279776"/>
          <a:ext cx="3305175" cy="1816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2</xdr:row>
      <xdr:rowOff>142875</xdr:rowOff>
    </xdr:from>
    <xdr:to>
      <xdr:col>14</xdr:col>
      <xdr:colOff>235942</xdr:colOff>
      <xdr:row>10</xdr:row>
      <xdr:rowOff>206375</xdr:rowOff>
    </xdr:to>
    <xdr:pic>
      <xdr:nvPicPr>
        <xdr:cNvPr id="2" name="Picture 1">
          <a:extLst>
            <a:ext uri="{FF2B5EF4-FFF2-40B4-BE49-F238E27FC236}">
              <a16:creationId xmlns:a16="http://schemas.microsoft.com/office/drawing/2014/main" id="{CB8B339E-2E8B-4B69-A4A1-B8B20666CC0B}"/>
            </a:ext>
          </a:extLst>
        </xdr:cNvPr>
        <xdr:cNvPicPr>
          <a:picLocks noChangeAspect="1"/>
        </xdr:cNvPicPr>
      </xdr:nvPicPr>
      <xdr:blipFill>
        <a:blip xmlns:r="http://schemas.openxmlformats.org/officeDocument/2006/relationships" r:embed="rId1"/>
        <a:stretch>
          <a:fillRect/>
        </a:stretch>
      </xdr:blipFill>
      <xdr:spPr>
        <a:xfrm>
          <a:off x="10598150" y="587375"/>
          <a:ext cx="3283942" cy="2044700"/>
        </a:xfrm>
        <a:prstGeom prst="rect">
          <a:avLst/>
        </a:prstGeom>
      </xdr:spPr>
    </xdr:pic>
    <xdr:clientData/>
  </xdr:twoCellAnchor>
  <xdr:twoCellAnchor editAs="oneCell">
    <xdr:from>
      <xdr:col>9</xdr:col>
      <xdr:colOff>0</xdr:colOff>
      <xdr:row>13</xdr:row>
      <xdr:rowOff>152400</xdr:rowOff>
    </xdr:from>
    <xdr:to>
      <xdr:col>14</xdr:col>
      <xdr:colOff>225721</xdr:colOff>
      <xdr:row>21</xdr:row>
      <xdr:rowOff>53975</xdr:rowOff>
    </xdr:to>
    <xdr:pic>
      <xdr:nvPicPr>
        <xdr:cNvPr id="3" name="Picture 2">
          <a:extLst>
            <a:ext uri="{FF2B5EF4-FFF2-40B4-BE49-F238E27FC236}">
              <a16:creationId xmlns:a16="http://schemas.microsoft.com/office/drawing/2014/main" id="{DDE95BC2-2EF6-41E8-A9C2-2BA1687EFB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598150" y="3251200"/>
          <a:ext cx="3273721"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590550</xdr:colOff>
      <xdr:row>22</xdr:row>
      <xdr:rowOff>57150</xdr:rowOff>
    </xdr:from>
    <xdr:ext cx="3273721" cy="1724025"/>
    <xdr:pic>
      <xdr:nvPicPr>
        <xdr:cNvPr id="4" name="Picture 3">
          <a:extLst>
            <a:ext uri="{FF2B5EF4-FFF2-40B4-BE49-F238E27FC236}">
              <a16:creationId xmlns:a16="http://schemas.microsoft.com/office/drawing/2014/main" id="{25C07064-A5AF-4FA8-95AE-E2189E3715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579100" y="5708650"/>
          <a:ext cx="3273721"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8</xdr:col>
      <xdr:colOff>561976</xdr:colOff>
      <xdr:row>14</xdr:row>
      <xdr:rowOff>66676</xdr:rowOff>
    </xdr:from>
    <xdr:to>
      <xdr:col>14</xdr:col>
      <xdr:colOff>142875</xdr:colOff>
      <xdr:row>24</xdr:row>
      <xdr:rowOff>9526</xdr:rowOff>
    </xdr:to>
    <xdr:pic>
      <xdr:nvPicPr>
        <xdr:cNvPr id="2" name="Picture 1">
          <a:extLst>
            <a:ext uri="{FF2B5EF4-FFF2-40B4-BE49-F238E27FC236}">
              <a16:creationId xmlns:a16="http://schemas.microsoft.com/office/drawing/2014/main" id="{8B04F31C-8BC4-4D59-A0D2-F4C53DFCAF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550526" y="3076576"/>
          <a:ext cx="3238499"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571500</xdr:colOff>
      <xdr:row>2</xdr:row>
      <xdr:rowOff>95250</xdr:rowOff>
    </xdr:from>
    <xdr:to>
      <xdr:col>14</xdr:col>
      <xdr:colOff>74017</xdr:colOff>
      <xdr:row>11</xdr:row>
      <xdr:rowOff>111125</xdr:rowOff>
    </xdr:to>
    <xdr:pic>
      <xdr:nvPicPr>
        <xdr:cNvPr id="3" name="Picture 2">
          <a:extLst>
            <a:ext uri="{FF2B5EF4-FFF2-40B4-BE49-F238E27FC236}">
              <a16:creationId xmlns:a16="http://schemas.microsoft.com/office/drawing/2014/main" id="{D362536E-5445-4056-927C-48006E98F384}"/>
            </a:ext>
          </a:extLst>
        </xdr:cNvPr>
        <xdr:cNvPicPr>
          <a:picLocks noChangeAspect="1"/>
        </xdr:cNvPicPr>
      </xdr:nvPicPr>
      <xdr:blipFill>
        <a:blip xmlns:r="http://schemas.openxmlformats.org/officeDocument/2006/relationships" r:embed="rId2"/>
        <a:stretch>
          <a:fillRect/>
        </a:stretch>
      </xdr:blipFill>
      <xdr:spPr>
        <a:xfrm>
          <a:off x="10560050" y="539750"/>
          <a:ext cx="3160117" cy="20224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495300</xdr:colOff>
      <xdr:row>13</xdr:row>
      <xdr:rowOff>142875</xdr:rowOff>
    </xdr:from>
    <xdr:to>
      <xdr:col>14</xdr:col>
      <xdr:colOff>6646</xdr:colOff>
      <xdr:row>23</xdr:row>
      <xdr:rowOff>104775</xdr:rowOff>
    </xdr:to>
    <xdr:pic>
      <xdr:nvPicPr>
        <xdr:cNvPr id="2" name="Picture 1">
          <a:extLst>
            <a:ext uri="{FF2B5EF4-FFF2-40B4-BE49-F238E27FC236}">
              <a16:creationId xmlns:a16="http://schemas.microsoft.com/office/drawing/2014/main" id="{20C5F359-26BD-4926-954D-EAEDEB84DE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483850" y="3546475"/>
          <a:ext cx="3168946" cy="1739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501650</xdr:colOff>
      <xdr:row>2</xdr:row>
      <xdr:rowOff>25400</xdr:rowOff>
    </xdr:from>
    <xdr:to>
      <xdr:col>14</xdr:col>
      <xdr:colOff>4167</xdr:colOff>
      <xdr:row>11</xdr:row>
      <xdr:rowOff>41275</xdr:rowOff>
    </xdr:to>
    <xdr:pic>
      <xdr:nvPicPr>
        <xdr:cNvPr id="5" name="Picture 4">
          <a:extLst>
            <a:ext uri="{FF2B5EF4-FFF2-40B4-BE49-F238E27FC236}">
              <a16:creationId xmlns:a16="http://schemas.microsoft.com/office/drawing/2014/main" id="{7F61CD01-8A21-4AA9-BB35-C84851DD0ECD}"/>
            </a:ext>
          </a:extLst>
        </xdr:cNvPr>
        <xdr:cNvPicPr>
          <a:picLocks noChangeAspect="1"/>
        </xdr:cNvPicPr>
      </xdr:nvPicPr>
      <xdr:blipFill>
        <a:blip xmlns:r="http://schemas.openxmlformats.org/officeDocument/2006/relationships" r:embed="rId2"/>
        <a:stretch>
          <a:fillRect/>
        </a:stretch>
      </xdr:blipFill>
      <xdr:spPr>
        <a:xfrm>
          <a:off x="10325100" y="469900"/>
          <a:ext cx="3160117" cy="20224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542925</xdr:colOff>
      <xdr:row>13</xdr:row>
      <xdr:rowOff>133350</xdr:rowOff>
    </xdr:from>
    <xdr:to>
      <xdr:col>14</xdr:col>
      <xdr:colOff>161925</xdr:colOff>
      <xdr:row>20</xdr:row>
      <xdr:rowOff>139700</xdr:rowOff>
    </xdr:to>
    <xdr:pic>
      <xdr:nvPicPr>
        <xdr:cNvPr id="2" name="Picture 1">
          <a:extLst>
            <a:ext uri="{FF2B5EF4-FFF2-40B4-BE49-F238E27FC236}">
              <a16:creationId xmlns:a16="http://schemas.microsoft.com/office/drawing/2014/main" id="{B013061A-CB03-44CD-849C-40687FE9C4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531475" y="3536950"/>
          <a:ext cx="3276600" cy="182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10</xdr:row>
      <xdr:rowOff>180975</xdr:rowOff>
    </xdr:to>
    <xdr:pic>
      <xdr:nvPicPr>
        <xdr:cNvPr id="4" name="Picture 3">
          <a:extLst>
            <a:ext uri="{FF2B5EF4-FFF2-40B4-BE49-F238E27FC236}">
              <a16:creationId xmlns:a16="http://schemas.microsoft.com/office/drawing/2014/main" id="{36DB6015-1038-4DEB-BEFF-831FD788797D}"/>
            </a:ext>
          </a:extLst>
        </xdr:cNvPr>
        <xdr:cNvPicPr>
          <a:picLocks noChangeAspect="1"/>
        </xdr:cNvPicPr>
      </xdr:nvPicPr>
      <xdr:blipFill>
        <a:blip xmlns:r="http://schemas.openxmlformats.org/officeDocument/2006/relationships" r:embed="rId2"/>
        <a:stretch>
          <a:fillRect/>
        </a:stretch>
      </xdr:blipFill>
      <xdr:spPr>
        <a:xfrm>
          <a:off x="10528300" y="711200"/>
          <a:ext cx="3179167" cy="20478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552450</xdr:colOff>
      <xdr:row>13</xdr:row>
      <xdr:rowOff>76201</xdr:rowOff>
    </xdr:from>
    <xdr:to>
      <xdr:col>14</xdr:col>
      <xdr:colOff>104775</xdr:colOff>
      <xdr:row>21</xdr:row>
      <xdr:rowOff>69851</xdr:rowOff>
    </xdr:to>
    <xdr:pic>
      <xdr:nvPicPr>
        <xdr:cNvPr id="2" name="Picture 1">
          <a:extLst>
            <a:ext uri="{FF2B5EF4-FFF2-40B4-BE49-F238E27FC236}">
              <a16:creationId xmlns:a16="http://schemas.microsoft.com/office/drawing/2014/main" id="{1A4ED60A-87D3-4F99-9EBC-55B72C04BB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541000" y="3327401"/>
          <a:ext cx="3209925" cy="1720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152400</xdr:colOff>
      <xdr:row>10</xdr:row>
      <xdr:rowOff>177801</xdr:rowOff>
    </xdr:to>
    <xdr:pic>
      <xdr:nvPicPr>
        <xdr:cNvPr id="4" name="Picture 3">
          <a:extLst>
            <a:ext uri="{FF2B5EF4-FFF2-40B4-BE49-F238E27FC236}">
              <a16:creationId xmlns:a16="http://schemas.microsoft.com/office/drawing/2014/main" id="{B209675C-FA41-4D6E-8AA9-EA027E57DBD3}"/>
            </a:ext>
          </a:extLst>
        </xdr:cNvPr>
        <xdr:cNvPicPr>
          <a:picLocks/>
        </xdr:cNvPicPr>
      </xdr:nvPicPr>
      <xdr:blipFill>
        <a:blip xmlns:r="http://schemas.openxmlformats.org/officeDocument/2006/relationships" r:embed="rId2"/>
        <a:stretch>
          <a:fillRect/>
        </a:stretch>
      </xdr:blipFill>
      <xdr:spPr>
        <a:xfrm>
          <a:off x="10528300" y="711200"/>
          <a:ext cx="3200400" cy="204470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504825</xdr:colOff>
      <xdr:row>2</xdr:row>
      <xdr:rowOff>47625</xdr:rowOff>
    </xdr:from>
    <xdr:to>
      <xdr:col>14</xdr:col>
      <xdr:colOff>131167</xdr:colOff>
      <xdr:row>10</xdr:row>
      <xdr:rowOff>111125</xdr:rowOff>
    </xdr:to>
    <xdr:pic>
      <xdr:nvPicPr>
        <xdr:cNvPr id="2" name="Picture 1">
          <a:extLst>
            <a:ext uri="{FF2B5EF4-FFF2-40B4-BE49-F238E27FC236}">
              <a16:creationId xmlns:a16="http://schemas.microsoft.com/office/drawing/2014/main" id="{0EA9D54D-30BC-44FC-B83F-7B658D503162}"/>
            </a:ext>
          </a:extLst>
        </xdr:cNvPr>
        <xdr:cNvPicPr>
          <a:picLocks noChangeAspect="1"/>
        </xdr:cNvPicPr>
      </xdr:nvPicPr>
      <xdr:blipFill>
        <a:blip xmlns:r="http://schemas.openxmlformats.org/officeDocument/2006/relationships" r:embed="rId1"/>
        <a:stretch>
          <a:fillRect/>
        </a:stretch>
      </xdr:blipFill>
      <xdr:spPr>
        <a:xfrm>
          <a:off x="10493375" y="492125"/>
          <a:ext cx="3283942" cy="2044700"/>
        </a:xfrm>
        <a:prstGeom prst="rect">
          <a:avLst/>
        </a:prstGeom>
      </xdr:spPr>
    </xdr:pic>
    <xdr:clientData/>
  </xdr:twoCellAnchor>
  <xdr:twoCellAnchor editAs="oneCell">
    <xdr:from>
      <xdr:col>8</xdr:col>
      <xdr:colOff>523875</xdr:colOff>
      <xdr:row>13</xdr:row>
      <xdr:rowOff>76200</xdr:rowOff>
    </xdr:from>
    <xdr:to>
      <xdr:col>14</xdr:col>
      <xdr:colOff>139996</xdr:colOff>
      <xdr:row>20</xdr:row>
      <xdr:rowOff>200025</xdr:rowOff>
    </xdr:to>
    <xdr:pic>
      <xdr:nvPicPr>
        <xdr:cNvPr id="3" name="Picture 2">
          <a:extLst>
            <a:ext uri="{FF2B5EF4-FFF2-40B4-BE49-F238E27FC236}">
              <a16:creationId xmlns:a16="http://schemas.microsoft.com/office/drawing/2014/main" id="{C73D50D9-FBFF-4545-A721-12D2BD7003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512425" y="3175000"/>
          <a:ext cx="3273721" cy="1787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8</xdr:col>
      <xdr:colOff>514350</xdr:colOff>
      <xdr:row>2</xdr:row>
      <xdr:rowOff>66675</xdr:rowOff>
    </xdr:from>
    <xdr:to>
      <xdr:col>14</xdr:col>
      <xdr:colOff>140692</xdr:colOff>
      <xdr:row>10</xdr:row>
      <xdr:rowOff>130175</xdr:rowOff>
    </xdr:to>
    <xdr:pic>
      <xdr:nvPicPr>
        <xdr:cNvPr id="2" name="Picture 1">
          <a:extLst>
            <a:ext uri="{FF2B5EF4-FFF2-40B4-BE49-F238E27FC236}">
              <a16:creationId xmlns:a16="http://schemas.microsoft.com/office/drawing/2014/main" id="{8C050867-9F6D-4AF5-B6A2-41A463FD944A}"/>
            </a:ext>
          </a:extLst>
        </xdr:cNvPr>
        <xdr:cNvPicPr>
          <a:picLocks noChangeAspect="1"/>
        </xdr:cNvPicPr>
      </xdr:nvPicPr>
      <xdr:blipFill>
        <a:blip xmlns:r="http://schemas.openxmlformats.org/officeDocument/2006/relationships" r:embed="rId1"/>
        <a:stretch>
          <a:fillRect/>
        </a:stretch>
      </xdr:blipFill>
      <xdr:spPr>
        <a:xfrm>
          <a:off x="10502900" y="511175"/>
          <a:ext cx="3283942" cy="2044700"/>
        </a:xfrm>
        <a:prstGeom prst="rect">
          <a:avLst/>
        </a:prstGeom>
      </xdr:spPr>
    </xdr:pic>
    <xdr:clientData/>
  </xdr:twoCellAnchor>
  <xdr:twoCellAnchor editAs="oneCell">
    <xdr:from>
      <xdr:col>8</xdr:col>
      <xdr:colOff>485775</xdr:colOff>
      <xdr:row>14</xdr:row>
      <xdr:rowOff>57150</xdr:rowOff>
    </xdr:from>
    <xdr:to>
      <xdr:col>14</xdr:col>
      <xdr:colOff>101896</xdr:colOff>
      <xdr:row>21</xdr:row>
      <xdr:rowOff>190500</xdr:rowOff>
    </xdr:to>
    <xdr:pic>
      <xdr:nvPicPr>
        <xdr:cNvPr id="3" name="Picture 2">
          <a:extLst>
            <a:ext uri="{FF2B5EF4-FFF2-40B4-BE49-F238E27FC236}">
              <a16:creationId xmlns:a16="http://schemas.microsoft.com/office/drawing/2014/main" id="{471564B6-AE07-4392-9A73-423C331334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474325" y="3524250"/>
          <a:ext cx="3273721" cy="179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533400</xdr:colOff>
      <xdr:row>2</xdr:row>
      <xdr:rowOff>76200</xdr:rowOff>
    </xdr:from>
    <xdr:to>
      <xdr:col>14</xdr:col>
      <xdr:colOff>159742</xdr:colOff>
      <xdr:row>10</xdr:row>
      <xdr:rowOff>133350</xdr:rowOff>
    </xdr:to>
    <xdr:pic>
      <xdr:nvPicPr>
        <xdr:cNvPr id="2" name="Picture 1">
          <a:extLst>
            <a:ext uri="{FF2B5EF4-FFF2-40B4-BE49-F238E27FC236}">
              <a16:creationId xmlns:a16="http://schemas.microsoft.com/office/drawing/2014/main" id="{C60E5BAD-4F11-4FDA-807D-F98C7799E0E0}"/>
            </a:ext>
          </a:extLst>
        </xdr:cNvPr>
        <xdr:cNvPicPr>
          <a:picLocks noChangeAspect="1"/>
        </xdr:cNvPicPr>
      </xdr:nvPicPr>
      <xdr:blipFill>
        <a:blip xmlns:r="http://schemas.openxmlformats.org/officeDocument/2006/relationships" r:embed="rId1"/>
        <a:stretch>
          <a:fillRect/>
        </a:stretch>
      </xdr:blipFill>
      <xdr:spPr>
        <a:xfrm>
          <a:off x="10521950" y="520700"/>
          <a:ext cx="3283942" cy="2038350"/>
        </a:xfrm>
        <a:prstGeom prst="rect">
          <a:avLst/>
        </a:prstGeom>
      </xdr:spPr>
    </xdr:pic>
    <xdr:clientData/>
  </xdr:twoCellAnchor>
  <xdr:twoCellAnchor editAs="oneCell">
    <xdr:from>
      <xdr:col>8</xdr:col>
      <xdr:colOff>447675</xdr:colOff>
      <xdr:row>13</xdr:row>
      <xdr:rowOff>19050</xdr:rowOff>
    </xdr:from>
    <xdr:to>
      <xdr:col>14</xdr:col>
      <xdr:colOff>123825</xdr:colOff>
      <xdr:row>20</xdr:row>
      <xdr:rowOff>171450</xdr:rowOff>
    </xdr:to>
    <xdr:pic>
      <xdr:nvPicPr>
        <xdr:cNvPr id="3" name="Picture 2">
          <a:extLst>
            <a:ext uri="{FF2B5EF4-FFF2-40B4-BE49-F238E27FC236}">
              <a16:creationId xmlns:a16="http://schemas.microsoft.com/office/drawing/2014/main" id="{1101E926-FABC-405C-B962-DFA8768C72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436225" y="3270250"/>
          <a:ext cx="3333750" cy="1816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600075</xdr:colOff>
      <xdr:row>2</xdr:row>
      <xdr:rowOff>133350</xdr:rowOff>
    </xdr:from>
    <xdr:to>
      <xdr:col>14</xdr:col>
      <xdr:colOff>133350</xdr:colOff>
      <xdr:row>10</xdr:row>
      <xdr:rowOff>177800</xdr:rowOff>
    </xdr:to>
    <xdr:pic>
      <xdr:nvPicPr>
        <xdr:cNvPr id="2" name="Picture 1">
          <a:extLst>
            <a:ext uri="{FF2B5EF4-FFF2-40B4-BE49-F238E27FC236}">
              <a16:creationId xmlns:a16="http://schemas.microsoft.com/office/drawing/2014/main" id="{D121F562-5AF0-4C77-BD48-BB63D6AEE714}"/>
            </a:ext>
          </a:extLst>
        </xdr:cNvPr>
        <xdr:cNvPicPr>
          <a:picLocks noChangeAspect="1"/>
        </xdr:cNvPicPr>
      </xdr:nvPicPr>
      <xdr:blipFill>
        <a:blip xmlns:r="http://schemas.openxmlformats.org/officeDocument/2006/relationships" r:embed="rId1"/>
        <a:stretch>
          <a:fillRect/>
        </a:stretch>
      </xdr:blipFill>
      <xdr:spPr>
        <a:xfrm>
          <a:off x="10588625" y="577850"/>
          <a:ext cx="3190875" cy="2025650"/>
        </a:xfrm>
        <a:prstGeom prst="rect">
          <a:avLst/>
        </a:prstGeom>
      </xdr:spPr>
    </xdr:pic>
    <xdr:clientData/>
  </xdr:twoCellAnchor>
  <xdr:twoCellAnchor editAs="oneCell">
    <xdr:from>
      <xdr:col>8</xdr:col>
      <xdr:colOff>590550</xdr:colOff>
      <xdr:row>13</xdr:row>
      <xdr:rowOff>1</xdr:rowOff>
    </xdr:from>
    <xdr:to>
      <xdr:col>14</xdr:col>
      <xdr:colOff>206671</xdr:colOff>
      <xdr:row>20</xdr:row>
      <xdr:rowOff>200025</xdr:rowOff>
    </xdr:to>
    <xdr:pic>
      <xdr:nvPicPr>
        <xdr:cNvPr id="3" name="Picture 2">
          <a:extLst>
            <a:ext uri="{FF2B5EF4-FFF2-40B4-BE49-F238E27FC236}">
              <a16:creationId xmlns:a16="http://schemas.microsoft.com/office/drawing/2014/main" id="{0EE49692-88C9-4501-AED6-5FF6B8CFC4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579100" y="3251201"/>
          <a:ext cx="3273721" cy="18637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8</xdr:col>
      <xdr:colOff>495300</xdr:colOff>
      <xdr:row>2</xdr:row>
      <xdr:rowOff>133350</xdr:rowOff>
    </xdr:from>
    <xdr:to>
      <xdr:col>14</xdr:col>
      <xdr:colOff>121642</xdr:colOff>
      <xdr:row>11</xdr:row>
      <xdr:rowOff>44450</xdr:rowOff>
    </xdr:to>
    <xdr:pic>
      <xdr:nvPicPr>
        <xdr:cNvPr id="2" name="Picture 1">
          <a:extLst>
            <a:ext uri="{FF2B5EF4-FFF2-40B4-BE49-F238E27FC236}">
              <a16:creationId xmlns:a16="http://schemas.microsoft.com/office/drawing/2014/main" id="{152B63DD-69B7-4A6F-B09A-588648137FE3}"/>
            </a:ext>
          </a:extLst>
        </xdr:cNvPr>
        <xdr:cNvPicPr>
          <a:picLocks noChangeAspect="1"/>
        </xdr:cNvPicPr>
      </xdr:nvPicPr>
      <xdr:blipFill>
        <a:blip xmlns:r="http://schemas.openxmlformats.org/officeDocument/2006/relationships" r:embed="rId1"/>
        <a:stretch>
          <a:fillRect/>
        </a:stretch>
      </xdr:blipFill>
      <xdr:spPr>
        <a:xfrm>
          <a:off x="10483850" y="577850"/>
          <a:ext cx="3283942" cy="2108200"/>
        </a:xfrm>
        <a:prstGeom prst="rect">
          <a:avLst/>
        </a:prstGeom>
      </xdr:spPr>
    </xdr:pic>
    <xdr:clientData/>
  </xdr:twoCellAnchor>
  <xdr:twoCellAnchor editAs="oneCell">
    <xdr:from>
      <xdr:col>8</xdr:col>
      <xdr:colOff>371475</xdr:colOff>
      <xdr:row>13</xdr:row>
      <xdr:rowOff>171449</xdr:rowOff>
    </xdr:from>
    <xdr:to>
      <xdr:col>14</xdr:col>
      <xdr:colOff>47625</xdr:colOff>
      <xdr:row>21</xdr:row>
      <xdr:rowOff>180974</xdr:rowOff>
    </xdr:to>
    <xdr:pic>
      <xdr:nvPicPr>
        <xdr:cNvPr id="3" name="Picture 2">
          <a:extLst>
            <a:ext uri="{FF2B5EF4-FFF2-40B4-BE49-F238E27FC236}">
              <a16:creationId xmlns:a16="http://schemas.microsoft.com/office/drawing/2014/main" id="{EF21D931-11E7-496A-B144-9E1E8FB5E5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360025" y="3422649"/>
          <a:ext cx="3333750" cy="188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8</xdr:col>
      <xdr:colOff>504825</xdr:colOff>
      <xdr:row>2</xdr:row>
      <xdr:rowOff>171451</xdr:rowOff>
    </xdr:from>
    <xdr:to>
      <xdr:col>14</xdr:col>
      <xdr:colOff>131167</xdr:colOff>
      <xdr:row>11</xdr:row>
      <xdr:rowOff>44450</xdr:rowOff>
    </xdr:to>
    <xdr:pic>
      <xdr:nvPicPr>
        <xdr:cNvPr id="2" name="Picture 1">
          <a:extLst>
            <a:ext uri="{FF2B5EF4-FFF2-40B4-BE49-F238E27FC236}">
              <a16:creationId xmlns:a16="http://schemas.microsoft.com/office/drawing/2014/main" id="{AACBEDE9-4175-4655-A4BA-B3B6D91F3687}"/>
            </a:ext>
          </a:extLst>
        </xdr:cNvPr>
        <xdr:cNvPicPr>
          <a:picLocks noChangeAspect="1"/>
        </xdr:cNvPicPr>
      </xdr:nvPicPr>
      <xdr:blipFill>
        <a:blip xmlns:r="http://schemas.openxmlformats.org/officeDocument/2006/relationships" r:embed="rId1"/>
        <a:stretch>
          <a:fillRect/>
        </a:stretch>
      </xdr:blipFill>
      <xdr:spPr>
        <a:xfrm>
          <a:off x="10493375" y="615951"/>
          <a:ext cx="3283942" cy="2070099"/>
        </a:xfrm>
        <a:prstGeom prst="rect">
          <a:avLst/>
        </a:prstGeom>
      </xdr:spPr>
    </xdr:pic>
    <xdr:clientData/>
  </xdr:twoCellAnchor>
  <xdr:twoCellAnchor editAs="oneCell">
    <xdr:from>
      <xdr:col>8</xdr:col>
      <xdr:colOff>457200</xdr:colOff>
      <xdr:row>13</xdr:row>
      <xdr:rowOff>190500</xdr:rowOff>
    </xdr:from>
    <xdr:to>
      <xdr:col>14</xdr:col>
      <xdr:colOff>73321</xdr:colOff>
      <xdr:row>20</xdr:row>
      <xdr:rowOff>190500</xdr:rowOff>
    </xdr:to>
    <xdr:pic>
      <xdr:nvPicPr>
        <xdr:cNvPr id="3" name="Picture 2">
          <a:extLst>
            <a:ext uri="{FF2B5EF4-FFF2-40B4-BE49-F238E27FC236}">
              <a16:creationId xmlns:a16="http://schemas.microsoft.com/office/drawing/2014/main" id="{1817FC1D-37C9-42D1-860A-46168910F2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445750" y="3441700"/>
          <a:ext cx="3273721" cy="1816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8</xdr:col>
      <xdr:colOff>542925</xdr:colOff>
      <xdr:row>2</xdr:row>
      <xdr:rowOff>200025</xdr:rowOff>
    </xdr:from>
    <xdr:to>
      <xdr:col>14</xdr:col>
      <xdr:colOff>169267</xdr:colOff>
      <xdr:row>11</xdr:row>
      <xdr:rowOff>73025</xdr:rowOff>
    </xdr:to>
    <xdr:pic>
      <xdr:nvPicPr>
        <xdr:cNvPr id="2" name="Picture 1">
          <a:extLst>
            <a:ext uri="{FF2B5EF4-FFF2-40B4-BE49-F238E27FC236}">
              <a16:creationId xmlns:a16="http://schemas.microsoft.com/office/drawing/2014/main" id="{5D8D3235-C647-4CAA-8FA3-FA323E294F36}"/>
            </a:ext>
          </a:extLst>
        </xdr:cNvPr>
        <xdr:cNvPicPr>
          <a:picLocks noChangeAspect="1"/>
        </xdr:cNvPicPr>
      </xdr:nvPicPr>
      <xdr:blipFill>
        <a:blip xmlns:r="http://schemas.openxmlformats.org/officeDocument/2006/relationships" r:embed="rId1"/>
        <a:stretch>
          <a:fillRect/>
        </a:stretch>
      </xdr:blipFill>
      <xdr:spPr>
        <a:xfrm>
          <a:off x="10531475" y="644525"/>
          <a:ext cx="3283942" cy="2070100"/>
        </a:xfrm>
        <a:prstGeom prst="rect">
          <a:avLst/>
        </a:prstGeom>
      </xdr:spPr>
    </xdr:pic>
    <xdr:clientData/>
  </xdr:twoCellAnchor>
  <xdr:twoCellAnchor editAs="oneCell">
    <xdr:from>
      <xdr:col>8</xdr:col>
      <xdr:colOff>514350</xdr:colOff>
      <xdr:row>13</xdr:row>
      <xdr:rowOff>209549</xdr:rowOff>
    </xdr:from>
    <xdr:to>
      <xdr:col>14</xdr:col>
      <xdr:colOff>130471</xdr:colOff>
      <xdr:row>21</xdr:row>
      <xdr:rowOff>47624</xdr:rowOff>
    </xdr:to>
    <xdr:pic>
      <xdr:nvPicPr>
        <xdr:cNvPr id="3" name="Picture 2">
          <a:extLst>
            <a:ext uri="{FF2B5EF4-FFF2-40B4-BE49-F238E27FC236}">
              <a16:creationId xmlns:a16="http://schemas.microsoft.com/office/drawing/2014/main" id="{46D80212-DFBF-4897-B230-DF5D9CFBB6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502900" y="3460749"/>
          <a:ext cx="3273721" cy="187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0</xdr:colOff>
      <xdr:row>2</xdr:row>
      <xdr:rowOff>57150</xdr:rowOff>
    </xdr:from>
    <xdr:to>
      <xdr:col>14</xdr:col>
      <xdr:colOff>161925</xdr:colOff>
      <xdr:row>10</xdr:row>
      <xdr:rowOff>120650</xdr:rowOff>
    </xdr:to>
    <xdr:pic>
      <xdr:nvPicPr>
        <xdr:cNvPr id="2" name="Picture 1">
          <a:extLst>
            <a:ext uri="{FF2B5EF4-FFF2-40B4-BE49-F238E27FC236}">
              <a16:creationId xmlns:a16="http://schemas.microsoft.com/office/drawing/2014/main" id="{D143C6D2-FAD3-42B0-A746-9A8C9E161272}"/>
            </a:ext>
          </a:extLst>
        </xdr:cNvPr>
        <xdr:cNvPicPr>
          <a:picLocks noChangeAspect="1"/>
        </xdr:cNvPicPr>
      </xdr:nvPicPr>
      <xdr:blipFill>
        <a:blip xmlns:r="http://schemas.openxmlformats.org/officeDocument/2006/relationships" r:embed="rId1"/>
        <a:stretch>
          <a:fillRect/>
        </a:stretch>
      </xdr:blipFill>
      <xdr:spPr>
        <a:xfrm>
          <a:off x="10598150" y="501650"/>
          <a:ext cx="3209925" cy="2044700"/>
        </a:xfrm>
        <a:prstGeom prst="rect">
          <a:avLst/>
        </a:prstGeom>
      </xdr:spPr>
    </xdr:pic>
    <xdr:clientData/>
  </xdr:twoCellAnchor>
  <xdr:twoCellAnchor editAs="oneCell">
    <xdr:from>
      <xdr:col>8</xdr:col>
      <xdr:colOff>523875</xdr:colOff>
      <xdr:row>13</xdr:row>
      <xdr:rowOff>66675</xdr:rowOff>
    </xdr:from>
    <xdr:to>
      <xdr:col>14</xdr:col>
      <xdr:colOff>139996</xdr:colOff>
      <xdr:row>21</xdr:row>
      <xdr:rowOff>152400</xdr:rowOff>
    </xdr:to>
    <xdr:pic>
      <xdr:nvPicPr>
        <xdr:cNvPr id="3" name="Picture 2">
          <a:extLst>
            <a:ext uri="{FF2B5EF4-FFF2-40B4-BE49-F238E27FC236}">
              <a16:creationId xmlns:a16="http://schemas.microsoft.com/office/drawing/2014/main" id="{4DA2DB83-27F5-4820-90D0-FDE82388F2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512425" y="3165475"/>
          <a:ext cx="3273721" cy="181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9</xdr:col>
      <xdr:colOff>9525</xdr:colOff>
      <xdr:row>3</xdr:row>
      <xdr:rowOff>0</xdr:rowOff>
    </xdr:from>
    <xdr:to>
      <xdr:col>14</xdr:col>
      <xdr:colOff>209550</xdr:colOff>
      <xdr:row>11</xdr:row>
      <xdr:rowOff>120650</xdr:rowOff>
    </xdr:to>
    <xdr:pic>
      <xdr:nvPicPr>
        <xdr:cNvPr id="2" name="Picture 1">
          <a:extLst>
            <a:ext uri="{FF2B5EF4-FFF2-40B4-BE49-F238E27FC236}">
              <a16:creationId xmlns:a16="http://schemas.microsoft.com/office/drawing/2014/main" id="{0C34764E-843A-4C6E-AF84-FCF45C0A1903}"/>
            </a:ext>
          </a:extLst>
        </xdr:cNvPr>
        <xdr:cNvPicPr>
          <a:picLocks noChangeAspect="1"/>
        </xdr:cNvPicPr>
      </xdr:nvPicPr>
      <xdr:blipFill>
        <a:blip xmlns:r="http://schemas.openxmlformats.org/officeDocument/2006/relationships" r:embed="rId1"/>
        <a:stretch>
          <a:fillRect/>
        </a:stretch>
      </xdr:blipFill>
      <xdr:spPr>
        <a:xfrm>
          <a:off x="10607675" y="711200"/>
          <a:ext cx="3248025" cy="2051050"/>
        </a:xfrm>
        <a:prstGeom prst="rect">
          <a:avLst/>
        </a:prstGeom>
      </xdr:spPr>
    </xdr:pic>
    <xdr:clientData/>
  </xdr:twoCellAnchor>
  <xdr:twoCellAnchor editAs="oneCell">
    <xdr:from>
      <xdr:col>9</xdr:col>
      <xdr:colOff>0</xdr:colOff>
      <xdr:row>14</xdr:row>
      <xdr:rowOff>0</xdr:rowOff>
    </xdr:from>
    <xdr:to>
      <xdr:col>14</xdr:col>
      <xdr:colOff>225721</xdr:colOff>
      <xdr:row>22</xdr:row>
      <xdr:rowOff>107950</xdr:rowOff>
    </xdr:to>
    <xdr:pic>
      <xdr:nvPicPr>
        <xdr:cNvPr id="3" name="Picture 2">
          <a:extLst>
            <a:ext uri="{FF2B5EF4-FFF2-40B4-BE49-F238E27FC236}">
              <a16:creationId xmlns:a16="http://schemas.microsoft.com/office/drawing/2014/main" id="{2ADD3A90-7215-48FA-B5DC-9714540107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598150" y="3314700"/>
          <a:ext cx="3273721" cy="1835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9</xdr:col>
      <xdr:colOff>0</xdr:colOff>
      <xdr:row>2</xdr:row>
      <xdr:rowOff>180975</xdr:rowOff>
    </xdr:from>
    <xdr:to>
      <xdr:col>14</xdr:col>
      <xdr:colOff>235942</xdr:colOff>
      <xdr:row>11</xdr:row>
      <xdr:rowOff>101600</xdr:rowOff>
    </xdr:to>
    <xdr:pic>
      <xdr:nvPicPr>
        <xdr:cNvPr id="2" name="Picture 1">
          <a:extLst>
            <a:ext uri="{FF2B5EF4-FFF2-40B4-BE49-F238E27FC236}">
              <a16:creationId xmlns:a16="http://schemas.microsoft.com/office/drawing/2014/main" id="{58B71792-A0CE-4C63-BE60-ABE8F28A3B4D}"/>
            </a:ext>
          </a:extLst>
        </xdr:cNvPr>
        <xdr:cNvPicPr>
          <a:picLocks noChangeAspect="1"/>
        </xdr:cNvPicPr>
      </xdr:nvPicPr>
      <xdr:blipFill>
        <a:blip xmlns:r="http://schemas.openxmlformats.org/officeDocument/2006/relationships" r:embed="rId1"/>
        <a:stretch>
          <a:fillRect/>
        </a:stretch>
      </xdr:blipFill>
      <xdr:spPr>
        <a:xfrm>
          <a:off x="10598150" y="625475"/>
          <a:ext cx="3283942" cy="2117725"/>
        </a:xfrm>
        <a:prstGeom prst="rect">
          <a:avLst/>
        </a:prstGeom>
      </xdr:spPr>
    </xdr:pic>
    <xdr:clientData/>
  </xdr:twoCellAnchor>
  <xdr:twoCellAnchor editAs="oneCell">
    <xdr:from>
      <xdr:col>8</xdr:col>
      <xdr:colOff>561975</xdr:colOff>
      <xdr:row>14</xdr:row>
      <xdr:rowOff>123824</xdr:rowOff>
    </xdr:from>
    <xdr:to>
      <xdr:col>14</xdr:col>
      <xdr:colOff>314325</xdr:colOff>
      <xdr:row>21</xdr:row>
      <xdr:rowOff>190499</xdr:rowOff>
    </xdr:to>
    <xdr:pic>
      <xdr:nvPicPr>
        <xdr:cNvPr id="3" name="Picture 2">
          <a:extLst>
            <a:ext uri="{FF2B5EF4-FFF2-40B4-BE49-F238E27FC236}">
              <a16:creationId xmlns:a16="http://schemas.microsoft.com/office/drawing/2014/main" id="{30DF36BA-19A8-41BC-AF9A-06855E26EE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550525" y="3438524"/>
          <a:ext cx="3409950" cy="1882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8</xdr:col>
      <xdr:colOff>571500</xdr:colOff>
      <xdr:row>2</xdr:row>
      <xdr:rowOff>123825</xdr:rowOff>
    </xdr:from>
    <xdr:to>
      <xdr:col>14</xdr:col>
      <xdr:colOff>104775</xdr:colOff>
      <xdr:row>10</xdr:row>
      <xdr:rowOff>187325</xdr:rowOff>
    </xdr:to>
    <xdr:pic>
      <xdr:nvPicPr>
        <xdr:cNvPr id="2" name="Picture 1">
          <a:extLst>
            <a:ext uri="{FF2B5EF4-FFF2-40B4-BE49-F238E27FC236}">
              <a16:creationId xmlns:a16="http://schemas.microsoft.com/office/drawing/2014/main" id="{26D0CB84-15D3-450A-B485-2F393CCB6AD5}"/>
            </a:ext>
          </a:extLst>
        </xdr:cNvPr>
        <xdr:cNvPicPr>
          <a:picLocks noChangeAspect="1"/>
        </xdr:cNvPicPr>
      </xdr:nvPicPr>
      <xdr:blipFill>
        <a:blip xmlns:r="http://schemas.openxmlformats.org/officeDocument/2006/relationships" r:embed="rId1"/>
        <a:stretch>
          <a:fillRect/>
        </a:stretch>
      </xdr:blipFill>
      <xdr:spPr>
        <a:xfrm>
          <a:off x="10560050" y="568325"/>
          <a:ext cx="3190875" cy="2044700"/>
        </a:xfrm>
        <a:prstGeom prst="rect">
          <a:avLst/>
        </a:prstGeom>
      </xdr:spPr>
    </xdr:pic>
    <xdr:clientData/>
  </xdr:twoCellAnchor>
  <xdr:twoCellAnchor editAs="oneCell">
    <xdr:from>
      <xdr:col>8</xdr:col>
      <xdr:colOff>514350</xdr:colOff>
      <xdr:row>14</xdr:row>
      <xdr:rowOff>19050</xdr:rowOff>
    </xdr:from>
    <xdr:to>
      <xdr:col>14</xdr:col>
      <xdr:colOff>66675</xdr:colOff>
      <xdr:row>21</xdr:row>
      <xdr:rowOff>180975</xdr:rowOff>
    </xdr:to>
    <xdr:pic>
      <xdr:nvPicPr>
        <xdr:cNvPr id="3" name="Picture 2">
          <a:extLst>
            <a:ext uri="{FF2B5EF4-FFF2-40B4-BE49-F238E27FC236}">
              <a16:creationId xmlns:a16="http://schemas.microsoft.com/office/drawing/2014/main" id="{51F586C2-F6B0-48B3-B07C-99293120B3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502900" y="3333750"/>
          <a:ext cx="3209925" cy="182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8</xdr:col>
      <xdr:colOff>590550</xdr:colOff>
      <xdr:row>2</xdr:row>
      <xdr:rowOff>171450</xdr:rowOff>
    </xdr:from>
    <xdr:to>
      <xdr:col>14</xdr:col>
      <xdr:colOff>180975</xdr:colOff>
      <xdr:row>11</xdr:row>
      <xdr:rowOff>25400</xdr:rowOff>
    </xdr:to>
    <xdr:pic>
      <xdr:nvPicPr>
        <xdr:cNvPr id="2" name="Picture 1">
          <a:extLst>
            <a:ext uri="{FF2B5EF4-FFF2-40B4-BE49-F238E27FC236}">
              <a16:creationId xmlns:a16="http://schemas.microsoft.com/office/drawing/2014/main" id="{D50830A4-8D04-4B6B-A1C4-DB0344BB2C7C}"/>
            </a:ext>
          </a:extLst>
        </xdr:cNvPr>
        <xdr:cNvPicPr>
          <a:picLocks noChangeAspect="1"/>
        </xdr:cNvPicPr>
      </xdr:nvPicPr>
      <xdr:blipFill>
        <a:blip xmlns:r="http://schemas.openxmlformats.org/officeDocument/2006/relationships" r:embed="rId1"/>
        <a:stretch>
          <a:fillRect/>
        </a:stretch>
      </xdr:blipFill>
      <xdr:spPr>
        <a:xfrm>
          <a:off x="10579100" y="615950"/>
          <a:ext cx="3248025" cy="2051050"/>
        </a:xfrm>
        <a:prstGeom prst="rect">
          <a:avLst/>
        </a:prstGeom>
      </xdr:spPr>
    </xdr:pic>
    <xdr:clientData/>
  </xdr:twoCellAnchor>
  <xdr:twoCellAnchor editAs="oneCell">
    <xdr:from>
      <xdr:col>8</xdr:col>
      <xdr:colOff>552451</xdr:colOff>
      <xdr:row>12</xdr:row>
      <xdr:rowOff>533401</xdr:rowOff>
    </xdr:from>
    <xdr:to>
      <xdr:col>14</xdr:col>
      <xdr:colOff>38101</xdr:colOff>
      <xdr:row>21</xdr:row>
      <xdr:rowOff>22225</xdr:rowOff>
    </xdr:to>
    <xdr:pic>
      <xdr:nvPicPr>
        <xdr:cNvPr id="3" name="Picture 2">
          <a:extLst>
            <a:ext uri="{FF2B5EF4-FFF2-40B4-BE49-F238E27FC236}">
              <a16:creationId xmlns:a16="http://schemas.microsoft.com/office/drawing/2014/main" id="{6F5B91FB-D841-45C3-B543-99B9314FC9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541001" y="3416301"/>
          <a:ext cx="3143250" cy="17494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561976</xdr:colOff>
      <xdr:row>22</xdr:row>
      <xdr:rowOff>123825</xdr:rowOff>
    </xdr:from>
    <xdr:ext cx="3200400" cy="1676400"/>
    <xdr:pic>
      <xdr:nvPicPr>
        <xdr:cNvPr id="4" name="Picture 3">
          <a:extLst>
            <a:ext uri="{FF2B5EF4-FFF2-40B4-BE49-F238E27FC236}">
              <a16:creationId xmlns:a16="http://schemas.microsoft.com/office/drawing/2014/main" id="{167D40EC-8CAF-4C16-9B1B-CC0D989C42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550526" y="5775325"/>
          <a:ext cx="3200400"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2.xml><?xml version="1.0" encoding="utf-8"?>
<xdr:wsDr xmlns:xdr="http://schemas.openxmlformats.org/drawingml/2006/spreadsheetDrawing" xmlns:a="http://schemas.openxmlformats.org/drawingml/2006/main">
  <xdr:twoCellAnchor editAs="oneCell">
    <xdr:from>
      <xdr:col>10</xdr:col>
      <xdr:colOff>152400</xdr:colOff>
      <xdr:row>12</xdr:row>
      <xdr:rowOff>6351</xdr:rowOff>
    </xdr:from>
    <xdr:to>
      <xdr:col>14</xdr:col>
      <xdr:colOff>571500</xdr:colOff>
      <xdr:row>18</xdr:row>
      <xdr:rowOff>184150</xdr:rowOff>
    </xdr:to>
    <xdr:pic>
      <xdr:nvPicPr>
        <xdr:cNvPr id="2" name="Picture 1">
          <a:extLst>
            <a:ext uri="{FF2B5EF4-FFF2-40B4-BE49-F238E27FC236}">
              <a16:creationId xmlns:a16="http://schemas.microsoft.com/office/drawing/2014/main" id="{1FB8F7FF-310A-4AA4-8772-70E574BA06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858500" y="3048001"/>
          <a:ext cx="3416300" cy="1777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200025</xdr:colOff>
      <xdr:row>2</xdr:row>
      <xdr:rowOff>76199</xdr:rowOff>
    </xdr:from>
    <xdr:to>
      <xdr:col>14</xdr:col>
      <xdr:colOff>488950</xdr:colOff>
      <xdr:row>9</xdr:row>
      <xdr:rowOff>88900</xdr:rowOff>
    </xdr:to>
    <xdr:pic>
      <xdr:nvPicPr>
        <xdr:cNvPr id="3" name="Picture 2">
          <a:extLst>
            <a:ext uri="{FF2B5EF4-FFF2-40B4-BE49-F238E27FC236}">
              <a16:creationId xmlns:a16="http://schemas.microsoft.com/office/drawing/2014/main" id="{1D54FB6A-1D31-425F-BB98-2A02C221FCF8}"/>
            </a:ext>
          </a:extLst>
        </xdr:cNvPr>
        <xdr:cNvPicPr>
          <a:picLocks noChangeAspect="1"/>
        </xdr:cNvPicPr>
      </xdr:nvPicPr>
      <xdr:blipFill>
        <a:blip xmlns:r="http://schemas.openxmlformats.org/officeDocument/2006/relationships" r:embed="rId2"/>
        <a:stretch>
          <a:fillRect/>
        </a:stretch>
      </xdr:blipFill>
      <xdr:spPr>
        <a:xfrm>
          <a:off x="10906125" y="520699"/>
          <a:ext cx="3286125" cy="196215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8</xdr:col>
      <xdr:colOff>581025</xdr:colOff>
      <xdr:row>14</xdr:row>
      <xdr:rowOff>76201</xdr:rowOff>
    </xdr:from>
    <xdr:to>
      <xdr:col>14</xdr:col>
      <xdr:colOff>57151</xdr:colOff>
      <xdr:row>21</xdr:row>
      <xdr:rowOff>0</xdr:rowOff>
    </xdr:to>
    <xdr:pic>
      <xdr:nvPicPr>
        <xdr:cNvPr id="2" name="Picture 1">
          <a:extLst>
            <a:ext uri="{FF2B5EF4-FFF2-40B4-BE49-F238E27FC236}">
              <a16:creationId xmlns:a16="http://schemas.microsoft.com/office/drawing/2014/main" id="{C892A7D9-F04D-42AF-B94A-639A5DB354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3575" y="3390901"/>
          <a:ext cx="3133726" cy="17335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590549</xdr:colOff>
      <xdr:row>2</xdr:row>
      <xdr:rowOff>133350</xdr:rowOff>
    </xdr:from>
    <xdr:to>
      <xdr:col>14</xdr:col>
      <xdr:colOff>38101</xdr:colOff>
      <xdr:row>10</xdr:row>
      <xdr:rowOff>111125</xdr:rowOff>
    </xdr:to>
    <xdr:pic>
      <xdr:nvPicPr>
        <xdr:cNvPr id="3" name="Picture 2">
          <a:extLst>
            <a:ext uri="{FF2B5EF4-FFF2-40B4-BE49-F238E27FC236}">
              <a16:creationId xmlns:a16="http://schemas.microsoft.com/office/drawing/2014/main" id="{12138E5E-5D58-427C-99AA-C49F74E7D026}"/>
            </a:ext>
          </a:extLst>
        </xdr:cNvPr>
        <xdr:cNvPicPr>
          <a:picLocks noChangeAspect="1"/>
        </xdr:cNvPicPr>
      </xdr:nvPicPr>
      <xdr:blipFill>
        <a:blip xmlns:r="http://schemas.openxmlformats.org/officeDocument/2006/relationships" r:embed="rId2"/>
        <a:stretch>
          <a:fillRect/>
        </a:stretch>
      </xdr:blipFill>
      <xdr:spPr>
        <a:xfrm>
          <a:off x="10833099" y="577850"/>
          <a:ext cx="3105152" cy="19589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9</xdr:col>
      <xdr:colOff>76199</xdr:colOff>
      <xdr:row>12</xdr:row>
      <xdr:rowOff>95250</xdr:rowOff>
    </xdr:from>
    <xdr:to>
      <xdr:col>14</xdr:col>
      <xdr:colOff>171450</xdr:colOff>
      <xdr:row>19</xdr:row>
      <xdr:rowOff>142875</xdr:rowOff>
    </xdr:to>
    <xdr:pic>
      <xdr:nvPicPr>
        <xdr:cNvPr id="2" name="Picture 1">
          <a:extLst>
            <a:ext uri="{FF2B5EF4-FFF2-40B4-BE49-F238E27FC236}">
              <a16:creationId xmlns:a16="http://schemas.microsoft.com/office/drawing/2014/main" id="{B975B548-E662-45B8-833F-B82B917B80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74349" y="3067050"/>
          <a:ext cx="3143251" cy="1711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114300</xdr:rowOff>
    </xdr:from>
    <xdr:to>
      <xdr:col>14</xdr:col>
      <xdr:colOff>152400</xdr:colOff>
      <xdr:row>10</xdr:row>
      <xdr:rowOff>66450</xdr:rowOff>
    </xdr:to>
    <xdr:pic>
      <xdr:nvPicPr>
        <xdr:cNvPr id="3" name="Picture 2">
          <a:extLst>
            <a:ext uri="{FF2B5EF4-FFF2-40B4-BE49-F238E27FC236}">
              <a16:creationId xmlns:a16="http://schemas.microsoft.com/office/drawing/2014/main" id="{FBE315FF-C46C-4F66-9B21-868BEE7977D0}"/>
            </a:ext>
          </a:extLst>
        </xdr:cNvPr>
        <xdr:cNvPicPr>
          <a:picLocks/>
        </xdr:cNvPicPr>
      </xdr:nvPicPr>
      <xdr:blipFill>
        <a:blip xmlns:r="http://schemas.openxmlformats.org/officeDocument/2006/relationships" r:embed="rId2"/>
        <a:stretch>
          <a:fillRect/>
        </a:stretch>
      </xdr:blipFill>
      <xdr:spPr>
        <a:xfrm>
          <a:off x="10674350" y="558800"/>
          <a:ext cx="3124200" cy="193335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9</xdr:col>
      <xdr:colOff>9525</xdr:colOff>
      <xdr:row>2</xdr:row>
      <xdr:rowOff>95250</xdr:rowOff>
    </xdr:from>
    <xdr:to>
      <xdr:col>14</xdr:col>
      <xdr:colOff>114300</xdr:colOff>
      <xdr:row>10</xdr:row>
      <xdr:rowOff>63500</xdr:rowOff>
    </xdr:to>
    <xdr:pic>
      <xdr:nvPicPr>
        <xdr:cNvPr id="2" name="Picture 1">
          <a:extLst>
            <a:ext uri="{FF2B5EF4-FFF2-40B4-BE49-F238E27FC236}">
              <a16:creationId xmlns:a16="http://schemas.microsoft.com/office/drawing/2014/main" id="{6980F110-CC9E-4F0A-8E04-0703E36997E1}"/>
            </a:ext>
          </a:extLst>
        </xdr:cNvPr>
        <xdr:cNvPicPr>
          <a:picLocks noChangeAspect="1"/>
        </xdr:cNvPicPr>
      </xdr:nvPicPr>
      <xdr:blipFill>
        <a:blip xmlns:r="http://schemas.openxmlformats.org/officeDocument/2006/relationships" r:embed="rId1"/>
        <a:stretch>
          <a:fillRect/>
        </a:stretch>
      </xdr:blipFill>
      <xdr:spPr>
        <a:xfrm>
          <a:off x="10607675" y="539750"/>
          <a:ext cx="3152775" cy="1949450"/>
        </a:xfrm>
        <a:prstGeom prst="rect">
          <a:avLst/>
        </a:prstGeom>
      </xdr:spPr>
    </xdr:pic>
    <xdr:clientData/>
  </xdr:twoCellAnchor>
  <xdr:twoCellAnchor editAs="oneCell">
    <xdr:from>
      <xdr:col>8</xdr:col>
      <xdr:colOff>561975</xdr:colOff>
      <xdr:row>14</xdr:row>
      <xdr:rowOff>38100</xdr:rowOff>
    </xdr:from>
    <xdr:to>
      <xdr:col>14</xdr:col>
      <xdr:colOff>114300</xdr:colOff>
      <xdr:row>20</xdr:row>
      <xdr:rowOff>165099</xdr:rowOff>
    </xdr:to>
    <xdr:pic>
      <xdr:nvPicPr>
        <xdr:cNvPr id="3" name="Picture 2">
          <a:extLst>
            <a:ext uri="{FF2B5EF4-FFF2-40B4-BE49-F238E27FC236}">
              <a16:creationId xmlns:a16="http://schemas.microsoft.com/office/drawing/2014/main" id="{39FBA69D-95CB-4F53-997C-C7D70A5C4E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550525" y="3352800"/>
          <a:ext cx="3209925" cy="17271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555626</xdr:colOff>
      <xdr:row>23</xdr:row>
      <xdr:rowOff>123826</xdr:rowOff>
    </xdr:from>
    <xdr:ext cx="3238500" cy="1695450"/>
    <xdr:pic>
      <xdr:nvPicPr>
        <xdr:cNvPr id="4" name="Picture 3">
          <a:extLst>
            <a:ext uri="{FF2B5EF4-FFF2-40B4-BE49-F238E27FC236}">
              <a16:creationId xmlns:a16="http://schemas.microsoft.com/office/drawing/2014/main" id="{AA5FAA62-B9E2-45BD-A572-D6D321046E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518776" y="5661026"/>
          <a:ext cx="323850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6.xml><?xml version="1.0" encoding="utf-8"?>
<xdr:wsDr xmlns:xdr="http://schemas.openxmlformats.org/drawingml/2006/spreadsheetDrawing" xmlns:a="http://schemas.openxmlformats.org/drawingml/2006/main">
  <xdr:twoCellAnchor editAs="oneCell">
    <xdr:from>
      <xdr:col>9</xdr:col>
      <xdr:colOff>38098</xdr:colOff>
      <xdr:row>11</xdr:row>
      <xdr:rowOff>0</xdr:rowOff>
    </xdr:from>
    <xdr:to>
      <xdr:col>14</xdr:col>
      <xdr:colOff>209549</xdr:colOff>
      <xdr:row>18</xdr:row>
      <xdr:rowOff>47625</xdr:rowOff>
    </xdr:to>
    <xdr:pic>
      <xdr:nvPicPr>
        <xdr:cNvPr id="2" name="Picture 1">
          <a:extLst>
            <a:ext uri="{FF2B5EF4-FFF2-40B4-BE49-F238E27FC236}">
              <a16:creationId xmlns:a16="http://schemas.microsoft.com/office/drawing/2014/main" id="{14CE94DA-6CDD-4F5F-BBAB-EED00F600D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15648" y="2641600"/>
          <a:ext cx="3219451" cy="1711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95249</xdr:colOff>
      <xdr:row>2</xdr:row>
      <xdr:rowOff>104774</xdr:rowOff>
    </xdr:from>
    <xdr:to>
      <xdr:col>14</xdr:col>
      <xdr:colOff>127000</xdr:colOff>
      <xdr:row>10</xdr:row>
      <xdr:rowOff>9525</xdr:rowOff>
    </xdr:to>
    <xdr:pic>
      <xdr:nvPicPr>
        <xdr:cNvPr id="3" name="Picture 2">
          <a:extLst>
            <a:ext uri="{FF2B5EF4-FFF2-40B4-BE49-F238E27FC236}">
              <a16:creationId xmlns:a16="http://schemas.microsoft.com/office/drawing/2014/main" id="{0C4FBF3D-940E-441A-A048-A2E8EF3A8123}"/>
            </a:ext>
          </a:extLst>
        </xdr:cNvPr>
        <xdr:cNvPicPr>
          <a:picLocks/>
        </xdr:cNvPicPr>
      </xdr:nvPicPr>
      <xdr:blipFill>
        <a:blip xmlns:r="http://schemas.openxmlformats.org/officeDocument/2006/relationships" r:embed="rId2"/>
        <a:stretch>
          <a:fillRect/>
        </a:stretch>
      </xdr:blipFill>
      <xdr:spPr>
        <a:xfrm>
          <a:off x="10972799" y="549274"/>
          <a:ext cx="3079751" cy="1885951"/>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8</xdr:col>
      <xdr:colOff>600075</xdr:colOff>
      <xdr:row>2</xdr:row>
      <xdr:rowOff>142876</xdr:rowOff>
    </xdr:from>
    <xdr:to>
      <xdr:col>14</xdr:col>
      <xdr:colOff>123825</xdr:colOff>
      <xdr:row>9</xdr:row>
      <xdr:rowOff>311151</xdr:rowOff>
    </xdr:to>
    <xdr:pic>
      <xdr:nvPicPr>
        <xdr:cNvPr id="2" name="Picture 1">
          <a:extLst>
            <a:ext uri="{FF2B5EF4-FFF2-40B4-BE49-F238E27FC236}">
              <a16:creationId xmlns:a16="http://schemas.microsoft.com/office/drawing/2014/main" id="{746682B8-7148-41D1-A5FD-A8500FF6D2AA}"/>
            </a:ext>
          </a:extLst>
        </xdr:cNvPr>
        <xdr:cNvPicPr>
          <a:picLocks noChangeAspect="1"/>
        </xdr:cNvPicPr>
      </xdr:nvPicPr>
      <xdr:blipFill>
        <a:blip xmlns:r="http://schemas.openxmlformats.org/officeDocument/2006/relationships" r:embed="rId1"/>
        <a:stretch>
          <a:fillRect/>
        </a:stretch>
      </xdr:blipFill>
      <xdr:spPr>
        <a:xfrm>
          <a:off x="10588625" y="587376"/>
          <a:ext cx="3181350" cy="1933575"/>
        </a:xfrm>
        <a:prstGeom prst="rect">
          <a:avLst/>
        </a:prstGeom>
      </xdr:spPr>
    </xdr:pic>
    <xdr:clientData/>
  </xdr:twoCellAnchor>
  <xdr:twoCellAnchor editAs="oneCell">
    <xdr:from>
      <xdr:col>8</xdr:col>
      <xdr:colOff>523876</xdr:colOff>
      <xdr:row>14</xdr:row>
      <xdr:rowOff>152401</xdr:rowOff>
    </xdr:from>
    <xdr:to>
      <xdr:col>14</xdr:col>
      <xdr:colOff>47626</xdr:colOff>
      <xdr:row>21</xdr:row>
      <xdr:rowOff>57151</xdr:rowOff>
    </xdr:to>
    <xdr:pic>
      <xdr:nvPicPr>
        <xdr:cNvPr id="3" name="Picture 2">
          <a:extLst>
            <a:ext uri="{FF2B5EF4-FFF2-40B4-BE49-F238E27FC236}">
              <a16:creationId xmlns:a16="http://schemas.microsoft.com/office/drawing/2014/main" id="{4ED47188-5431-4203-AC5A-5F9187754C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512426" y="3619501"/>
          <a:ext cx="3181350" cy="1720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0</xdr:colOff>
      <xdr:row>21</xdr:row>
      <xdr:rowOff>200026</xdr:rowOff>
    </xdr:from>
    <xdr:ext cx="3238500" cy="1647824"/>
    <xdr:pic>
      <xdr:nvPicPr>
        <xdr:cNvPr id="4" name="Picture 3">
          <a:extLst>
            <a:ext uri="{FF2B5EF4-FFF2-40B4-BE49-F238E27FC236}">
              <a16:creationId xmlns:a16="http://schemas.microsoft.com/office/drawing/2014/main" id="{78587F09-B38D-43DB-9004-E7859121D9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598150" y="6245226"/>
          <a:ext cx="3238500" cy="1647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8.xml><?xml version="1.0" encoding="utf-8"?>
<xdr:wsDr xmlns:xdr="http://schemas.openxmlformats.org/drawingml/2006/spreadsheetDrawing" xmlns:a="http://schemas.openxmlformats.org/drawingml/2006/main">
  <xdr:twoCellAnchor editAs="oneCell">
    <xdr:from>
      <xdr:col>8</xdr:col>
      <xdr:colOff>552450</xdr:colOff>
      <xdr:row>2</xdr:row>
      <xdr:rowOff>114300</xdr:rowOff>
    </xdr:from>
    <xdr:to>
      <xdr:col>14</xdr:col>
      <xdr:colOff>178792</xdr:colOff>
      <xdr:row>10</xdr:row>
      <xdr:rowOff>177800</xdr:rowOff>
    </xdr:to>
    <xdr:pic>
      <xdr:nvPicPr>
        <xdr:cNvPr id="2" name="Picture 1">
          <a:extLst>
            <a:ext uri="{FF2B5EF4-FFF2-40B4-BE49-F238E27FC236}">
              <a16:creationId xmlns:a16="http://schemas.microsoft.com/office/drawing/2014/main" id="{7F6690DC-AABA-4E38-AE02-CEB0DD3AA655}"/>
            </a:ext>
          </a:extLst>
        </xdr:cNvPr>
        <xdr:cNvPicPr>
          <a:picLocks noChangeAspect="1"/>
        </xdr:cNvPicPr>
      </xdr:nvPicPr>
      <xdr:blipFill>
        <a:blip xmlns:r="http://schemas.openxmlformats.org/officeDocument/2006/relationships" r:embed="rId1"/>
        <a:stretch>
          <a:fillRect/>
        </a:stretch>
      </xdr:blipFill>
      <xdr:spPr>
        <a:xfrm>
          <a:off x="10541000" y="558800"/>
          <a:ext cx="3283942" cy="2044700"/>
        </a:xfrm>
        <a:prstGeom prst="rect">
          <a:avLst/>
        </a:prstGeom>
      </xdr:spPr>
    </xdr:pic>
    <xdr:clientData/>
  </xdr:twoCellAnchor>
  <xdr:twoCellAnchor editAs="oneCell">
    <xdr:from>
      <xdr:col>8</xdr:col>
      <xdr:colOff>552450</xdr:colOff>
      <xdr:row>13</xdr:row>
      <xdr:rowOff>333376</xdr:rowOff>
    </xdr:from>
    <xdr:to>
      <xdr:col>14</xdr:col>
      <xdr:colOff>247650</xdr:colOff>
      <xdr:row>22</xdr:row>
      <xdr:rowOff>9526</xdr:rowOff>
    </xdr:to>
    <xdr:pic>
      <xdr:nvPicPr>
        <xdr:cNvPr id="3" name="Picture 2">
          <a:extLst>
            <a:ext uri="{FF2B5EF4-FFF2-40B4-BE49-F238E27FC236}">
              <a16:creationId xmlns:a16="http://schemas.microsoft.com/office/drawing/2014/main" id="{B5E8FE9C-21D1-4B3C-8033-0E613CE16F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541000" y="3432176"/>
          <a:ext cx="335280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581025</xdr:colOff>
      <xdr:row>22</xdr:row>
      <xdr:rowOff>57150</xdr:rowOff>
    </xdr:from>
    <xdr:ext cx="3419475" cy="1771650"/>
    <xdr:pic>
      <xdr:nvPicPr>
        <xdr:cNvPr id="4" name="Picture 3">
          <a:extLst>
            <a:ext uri="{FF2B5EF4-FFF2-40B4-BE49-F238E27FC236}">
              <a16:creationId xmlns:a16="http://schemas.microsoft.com/office/drawing/2014/main" id="{D23F83F0-24B4-4DBF-8767-E016EF53F5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569575" y="5861050"/>
          <a:ext cx="341947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9.xml><?xml version="1.0" encoding="utf-8"?>
<xdr:wsDr xmlns:xdr="http://schemas.openxmlformats.org/drawingml/2006/spreadsheetDrawing" xmlns:a="http://schemas.openxmlformats.org/drawingml/2006/main">
  <xdr:twoCellAnchor editAs="oneCell">
    <xdr:from>
      <xdr:col>9</xdr:col>
      <xdr:colOff>0</xdr:colOff>
      <xdr:row>3</xdr:row>
      <xdr:rowOff>1</xdr:rowOff>
    </xdr:from>
    <xdr:to>
      <xdr:col>14</xdr:col>
      <xdr:colOff>171450</xdr:colOff>
      <xdr:row>10</xdr:row>
      <xdr:rowOff>174626</xdr:rowOff>
    </xdr:to>
    <xdr:pic>
      <xdr:nvPicPr>
        <xdr:cNvPr id="2" name="Picture 1">
          <a:extLst>
            <a:ext uri="{FF2B5EF4-FFF2-40B4-BE49-F238E27FC236}">
              <a16:creationId xmlns:a16="http://schemas.microsoft.com/office/drawing/2014/main" id="{C267D41D-2EB9-4583-A50B-926D574D159B}"/>
            </a:ext>
          </a:extLst>
        </xdr:cNvPr>
        <xdr:cNvPicPr>
          <a:picLocks noChangeAspect="1"/>
        </xdr:cNvPicPr>
      </xdr:nvPicPr>
      <xdr:blipFill>
        <a:blip xmlns:r="http://schemas.openxmlformats.org/officeDocument/2006/relationships" r:embed="rId1"/>
        <a:stretch>
          <a:fillRect/>
        </a:stretch>
      </xdr:blipFill>
      <xdr:spPr>
        <a:xfrm>
          <a:off x="10598150" y="711201"/>
          <a:ext cx="3219450" cy="2041525"/>
        </a:xfrm>
        <a:prstGeom prst="rect">
          <a:avLst/>
        </a:prstGeom>
      </xdr:spPr>
    </xdr:pic>
    <xdr:clientData/>
  </xdr:twoCellAnchor>
  <xdr:twoCellAnchor editAs="oneCell">
    <xdr:from>
      <xdr:col>8</xdr:col>
      <xdr:colOff>533400</xdr:colOff>
      <xdr:row>13</xdr:row>
      <xdr:rowOff>190500</xdr:rowOff>
    </xdr:from>
    <xdr:to>
      <xdr:col>14</xdr:col>
      <xdr:colOff>180975</xdr:colOff>
      <xdr:row>21</xdr:row>
      <xdr:rowOff>76200</xdr:rowOff>
    </xdr:to>
    <xdr:pic>
      <xdr:nvPicPr>
        <xdr:cNvPr id="3" name="Picture 2">
          <a:extLst>
            <a:ext uri="{FF2B5EF4-FFF2-40B4-BE49-F238E27FC236}">
              <a16:creationId xmlns:a16="http://schemas.microsoft.com/office/drawing/2014/main" id="{0294DB1A-33AC-4625-982A-B79633C9CC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521950" y="3289300"/>
          <a:ext cx="3305175" cy="176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8</xdr:col>
      <xdr:colOff>600075</xdr:colOff>
      <xdr:row>2</xdr:row>
      <xdr:rowOff>66675</xdr:rowOff>
    </xdr:from>
    <xdr:to>
      <xdr:col>14</xdr:col>
      <xdr:colOff>226417</xdr:colOff>
      <xdr:row>10</xdr:row>
      <xdr:rowOff>130175</xdr:rowOff>
    </xdr:to>
    <xdr:pic>
      <xdr:nvPicPr>
        <xdr:cNvPr id="2" name="Picture 1">
          <a:extLst>
            <a:ext uri="{FF2B5EF4-FFF2-40B4-BE49-F238E27FC236}">
              <a16:creationId xmlns:a16="http://schemas.microsoft.com/office/drawing/2014/main" id="{4C04544B-2817-4668-9506-C146EBBE7DC9}"/>
            </a:ext>
          </a:extLst>
        </xdr:cNvPr>
        <xdr:cNvPicPr>
          <a:picLocks noChangeAspect="1"/>
        </xdr:cNvPicPr>
      </xdr:nvPicPr>
      <xdr:blipFill>
        <a:blip xmlns:r="http://schemas.openxmlformats.org/officeDocument/2006/relationships" r:embed="rId1"/>
        <a:stretch>
          <a:fillRect/>
        </a:stretch>
      </xdr:blipFill>
      <xdr:spPr>
        <a:xfrm>
          <a:off x="10588625" y="511175"/>
          <a:ext cx="3283942" cy="2044700"/>
        </a:xfrm>
        <a:prstGeom prst="rect">
          <a:avLst/>
        </a:prstGeom>
      </xdr:spPr>
    </xdr:pic>
    <xdr:clientData/>
  </xdr:twoCellAnchor>
  <xdr:twoCellAnchor editAs="oneCell">
    <xdr:from>
      <xdr:col>8</xdr:col>
      <xdr:colOff>476250</xdr:colOff>
      <xdr:row>13</xdr:row>
      <xdr:rowOff>38100</xdr:rowOff>
    </xdr:from>
    <xdr:to>
      <xdr:col>14</xdr:col>
      <xdr:colOff>209550</xdr:colOff>
      <xdr:row>20</xdr:row>
      <xdr:rowOff>193675</xdr:rowOff>
    </xdr:to>
    <xdr:pic>
      <xdr:nvPicPr>
        <xdr:cNvPr id="3" name="Picture 2">
          <a:extLst>
            <a:ext uri="{FF2B5EF4-FFF2-40B4-BE49-F238E27FC236}">
              <a16:creationId xmlns:a16="http://schemas.microsoft.com/office/drawing/2014/main" id="{FEBCAA64-A08B-460C-83C8-E2744D20E0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464800" y="3289300"/>
          <a:ext cx="3390900"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504825</xdr:colOff>
      <xdr:row>22</xdr:row>
      <xdr:rowOff>9525</xdr:rowOff>
    </xdr:from>
    <xdr:ext cx="3400424" cy="1800225"/>
    <xdr:pic>
      <xdr:nvPicPr>
        <xdr:cNvPr id="4" name="Picture 3">
          <a:extLst>
            <a:ext uri="{FF2B5EF4-FFF2-40B4-BE49-F238E27FC236}">
              <a16:creationId xmlns:a16="http://schemas.microsoft.com/office/drawing/2014/main" id="{3E35F35E-683F-429A-B70D-49B77FE072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493375" y="5813425"/>
          <a:ext cx="3400424" cy="180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1.xml><?xml version="1.0" encoding="utf-8"?>
<xdr:wsDr xmlns:xdr="http://schemas.openxmlformats.org/drawingml/2006/spreadsheetDrawing" xmlns:a="http://schemas.openxmlformats.org/drawingml/2006/main">
  <xdr:twoCellAnchor editAs="oneCell">
    <xdr:from>
      <xdr:col>9</xdr:col>
      <xdr:colOff>0</xdr:colOff>
      <xdr:row>2</xdr:row>
      <xdr:rowOff>104775</xdr:rowOff>
    </xdr:from>
    <xdr:to>
      <xdr:col>14</xdr:col>
      <xdr:colOff>180975</xdr:colOff>
      <xdr:row>11</xdr:row>
      <xdr:rowOff>0</xdr:rowOff>
    </xdr:to>
    <xdr:pic>
      <xdr:nvPicPr>
        <xdr:cNvPr id="2" name="Picture 1">
          <a:extLst>
            <a:ext uri="{FF2B5EF4-FFF2-40B4-BE49-F238E27FC236}">
              <a16:creationId xmlns:a16="http://schemas.microsoft.com/office/drawing/2014/main" id="{C3D8B1D1-922D-469F-8701-4CAE85F23331}"/>
            </a:ext>
          </a:extLst>
        </xdr:cNvPr>
        <xdr:cNvPicPr>
          <a:picLocks noChangeAspect="1"/>
        </xdr:cNvPicPr>
      </xdr:nvPicPr>
      <xdr:blipFill>
        <a:blip xmlns:r="http://schemas.openxmlformats.org/officeDocument/2006/relationships" r:embed="rId1"/>
        <a:stretch>
          <a:fillRect/>
        </a:stretch>
      </xdr:blipFill>
      <xdr:spPr>
        <a:xfrm>
          <a:off x="10598150" y="549275"/>
          <a:ext cx="3228975" cy="2092325"/>
        </a:xfrm>
        <a:prstGeom prst="rect">
          <a:avLst/>
        </a:prstGeom>
      </xdr:spPr>
    </xdr:pic>
    <xdr:clientData/>
  </xdr:twoCellAnchor>
  <xdr:twoCellAnchor editAs="oneCell">
    <xdr:from>
      <xdr:col>8</xdr:col>
      <xdr:colOff>561975</xdr:colOff>
      <xdr:row>14</xdr:row>
      <xdr:rowOff>47626</xdr:rowOff>
    </xdr:from>
    <xdr:to>
      <xdr:col>14</xdr:col>
      <xdr:colOff>104775</xdr:colOff>
      <xdr:row>22</xdr:row>
      <xdr:rowOff>85726</xdr:rowOff>
    </xdr:to>
    <xdr:pic>
      <xdr:nvPicPr>
        <xdr:cNvPr id="3" name="Picture 2">
          <a:extLst>
            <a:ext uri="{FF2B5EF4-FFF2-40B4-BE49-F238E27FC236}">
              <a16:creationId xmlns:a16="http://schemas.microsoft.com/office/drawing/2014/main" id="{79E6D48A-C31D-4945-BAC1-38DDD7A964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550525" y="3514726"/>
          <a:ext cx="3200400" cy="176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8</xdr:col>
      <xdr:colOff>600075</xdr:colOff>
      <xdr:row>2</xdr:row>
      <xdr:rowOff>133350</xdr:rowOff>
    </xdr:from>
    <xdr:to>
      <xdr:col>14</xdr:col>
      <xdr:colOff>28575</xdr:colOff>
      <xdr:row>10</xdr:row>
      <xdr:rowOff>4597</xdr:rowOff>
    </xdr:to>
    <xdr:pic>
      <xdr:nvPicPr>
        <xdr:cNvPr id="2" name="Picture 1">
          <a:extLst>
            <a:ext uri="{FF2B5EF4-FFF2-40B4-BE49-F238E27FC236}">
              <a16:creationId xmlns:a16="http://schemas.microsoft.com/office/drawing/2014/main" id="{177E2C35-F277-4639-815F-9EA3995E115F}"/>
            </a:ext>
          </a:extLst>
        </xdr:cNvPr>
        <xdr:cNvPicPr>
          <a:picLocks noChangeAspect="1"/>
        </xdr:cNvPicPr>
      </xdr:nvPicPr>
      <xdr:blipFill>
        <a:blip xmlns:r="http://schemas.openxmlformats.org/officeDocument/2006/relationships" r:embed="rId1"/>
        <a:stretch>
          <a:fillRect/>
        </a:stretch>
      </xdr:blipFill>
      <xdr:spPr>
        <a:xfrm>
          <a:off x="10588625" y="577850"/>
          <a:ext cx="3086100" cy="2004847"/>
        </a:xfrm>
        <a:prstGeom prst="rect">
          <a:avLst/>
        </a:prstGeom>
      </xdr:spPr>
    </xdr:pic>
    <xdr:clientData/>
  </xdr:twoCellAnchor>
  <xdr:twoCellAnchor editAs="oneCell">
    <xdr:from>
      <xdr:col>8</xdr:col>
      <xdr:colOff>609599</xdr:colOff>
      <xdr:row>13</xdr:row>
      <xdr:rowOff>123826</xdr:rowOff>
    </xdr:from>
    <xdr:to>
      <xdr:col>14</xdr:col>
      <xdr:colOff>85724</xdr:colOff>
      <xdr:row>21</xdr:row>
      <xdr:rowOff>85725</xdr:rowOff>
    </xdr:to>
    <xdr:pic>
      <xdr:nvPicPr>
        <xdr:cNvPr id="3" name="Picture 2">
          <a:extLst>
            <a:ext uri="{FF2B5EF4-FFF2-40B4-BE49-F238E27FC236}">
              <a16:creationId xmlns:a16="http://schemas.microsoft.com/office/drawing/2014/main" id="{373B152E-8517-47C4-970B-51624388D7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598149" y="3375026"/>
          <a:ext cx="3133725" cy="16890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581026</xdr:colOff>
      <xdr:row>25</xdr:row>
      <xdr:rowOff>161925</xdr:rowOff>
    </xdr:from>
    <xdr:ext cx="3238499" cy="1695450"/>
    <xdr:pic>
      <xdr:nvPicPr>
        <xdr:cNvPr id="4" name="Picture 3">
          <a:extLst>
            <a:ext uri="{FF2B5EF4-FFF2-40B4-BE49-F238E27FC236}">
              <a16:creationId xmlns:a16="http://schemas.microsoft.com/office/drawing/2014/main" id="{AFA252CA-8FAE-4361-BE5D-87D1C52B7C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569576" y="6003925"/>
          <a:ext cx="3238499"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3.xml><?xml version="1.0" encoding="utf-8"?>
<xdr:wsDr xmlns:xdr="http://schemas.openxmlformats.org/drawingml/2006/spreadsheetDrawing" xmlns:a="http://schemas.openxmlformats.org/drawingml/2006/main">
  <xdr:twoCellAnchor editAs="oneCell">
    <xdr:from>
      <xdr:col>9</xdr:col>
      <xdr:colOff>0</xdr:colOff>
      <xdr:row>2</xdr:row>
      <xdr:rowOff>171450</xdr:rowOff>
    </xdr:from>
    <xdr:to>
      <xdr:col>14</xdr:col>
      <xdr:colOff>235942</xdr:colOff>
      <xdr:row>10</xdr:row>
      <xdr:rowOff>234950</xdr:rowOff>
    </xdr:to>
    <xdr:pic>
      <xdr:nvPicPr>
        <xdr:cNvPr id="2" name="Picture 1">
          <a:extLst>
            <a:ext uri="{FF2B5EF4-FFF2-40B4-BE49-F238E27FC236}">
              <a16:creationId xmlns:a16="http://schemas.microsoft.com/office/drawing/2014/main" id="{C1425352-3D62-46B0-BA4E-173FE8500522}"/>
            </a:ext>
          </a:extLst>
        </xdr:cNvPr>
        <xdr:cNvPicPr>
          <a:picLocks noChangeAspect="1"/>
        </xdr:cNvPicPr>
      </xdr:nvPicPr>
      <xdr:blipFill>
        <a:blip xmlns:r="http://schemas.openxmlformats.org/officeDocument/2006/relationships" r:embed="rId1"/>
        <a:stretch>
          <a:fillRect/>
        </a:stretch>
      </xdr:blipFill>
      <xdr:spPr>
        <a:xfrm>
          <a:off x="10598150" y="615950"/>
          <a:ext cx="3283942" cy="2044700"/>
        </a:xfrm>
        <a:prstGeom prst="rect">
          <a:avLst/>
        </a:prstGeom>
      </xdr:spPr>
    </xdr:pic>
    <xdr:clientData/>
  </xdr:twoCellAnchor>
  <xdr:twoCellAnchor editAs="oneCell">
    <xdr:from>
      <xdr:col>8</xdr:col>
      <xdr:colOff>590550</xdr:colOff>
      <xdr:row>13</xdr:row>
      <xdr:rowOff>180976</xdr:rowOff>
    </xdr:from>
    <xdr:to>
      <xdr:col>14</xdr:col>
      <xdr:colOff>200025</xdr:colOff>
      <xdr:row>21</xdr:row>
      <xdr:rowOff>206376</xdr:rowOff>
    </xdr:to>
    <xdr:pic>
      <xdr:nvPicPr>
        <xdr:cNvPr id="3" name="Picture 2">
          <a:extLst>
            <a:ext uri="{FF2B5EF4-FFF2-40B4-BE49-F238E27FC236}">
              <a16:creationId xmlns:a16="http://schemas.microsoft.com/office/drawing/2014/main" id="{07DD283A-9BAA-4AAD-9758-E71E9992C0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579100" y="3432176"/>
          <a:ext cx="32670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0</xdr:colOff>
      <xdr:row>23</xdr:row>
      <xdr:rowOff>161926</xdr:rowOff>
    </xdr:from>
    <xdr:ext cx="3390900" cy="1809750"/>
    <xdr:pic>
      <xdr:nvPicPr>
        <xdr:cNvPr id="4" name="Picture 3">
          <a:extLst>
            <a:ext uri="{FF2B5EF4-FFF2-40B4-BE49-F238E27FC236}">
              <a16:creationId xmlns:a16="http://schemas.microsoft.com/office/drawing/2014/main" id="{78D8C748-9F38-4618-B92C-055AD1957C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598150" y="6181726"/>
          <a:ext cx="339090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4.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133350</xdr:colOff>
      <xdr:row>10</xdr:row>
      <xdr:rowOff>177800</xdr:rowOff>
    </xdr:to>
    <xdr:pic>
      <xdr:nvPicPr>
        <xdr:cNvPr id="2" name="Picture 1">
          <a:extLst>
            <a:ext uri="{FF2B5EF4-FFF2-40B4-BE49-F238E27FC236}">
              <a16:creationId xmlns:a16="http://schemas.microsoft.com/office/drawing/2014/main" id="{9E3ADBDC-F8FB-43B7-A459-C8490F18B428}"/>
            </a:ext>
          </a:extLst>
        </xdr:cNvPr>
        <xdr:cNvPicPr>
          <a:picLocks noChangeAspect="1"/>
        </xdr:cNvPicPr>
      </xdr:nvPicPr>
      <xdr:blipFill>
        <a:blip xmlns:r="http://schemas.openxmlformats.org/officeDocument/2006/relationships" r:embed="rId1"/>
        <a:stretch>
          <a:fillRect/>
        </a:stretch>
      </xdr:blipFill>
      <xdr:spPr>
        <a:xfrm>
          <a:off x="10598150" y="711200"/>
          <a:ext cx="3181350" cy="2044700"/>
        </a:xfrm>
        <a:prstGeom prst="rect">
          <a:avLst/>
        </a:prstGeom>
      </xdr:spPr>
    </xdr:pic>
    <xdr:clientData/>
  </xdr:twoCellAnchor>
  <xdr:twoCellAnchor editAs="oneCell">
    <xdr:from>
      <xdr:col>8</xdr:col>
      <xdr:colOff>488951</xdr:colOff>
      <xdr:row>13</xdr:row>
      <xdr:rowOff>88901</xdr:rowOff>
    </xdr:from>
    <xdr:to>
      <xdr:col>14</xdr:col>
      <xdr:colOff>50801</xdr:colOff>
      <xdr:row>20</xdr:row>
      <xdr:rowOff>177801</xdr:rowOff>
    </xdr:to>
    <xdr:pic>
      <xdr:nvPicPr>
        <xdr:cNvPr id="3" name="Picture 2">
          <a:extLst>
            <a:ext uri="{FF2B5EF4-FFF2-40B4-BE49-F238E27FC236}">
              <a16:creationId xmlns:a16="http://schemas.microsoft.com/office/drawing/2014/main" id="{285AAE68-C18F-43DA-AA93-0153DACEBE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382251" y="3314701"/>
          <a:ext cx="32194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485775</xdr:colOff>
      <xdr:row>23</xdr:row>
      <xdr:rowOff>111125</xdr:rowOff>
    </xdr:from>
    <xdr:ext cx="3273721" cy="1762125"/>
    <xdr:pic>
      <xdr:nvPicPr>
        <xdr:cNvPr id="4" name="Picture 3">
          <a:extLst>
            <a:ext uri="{FF2B5EF4-FFF2-40B4-BE49-F238E27FC236}">
              <a16:creationId xmlns:a16="http://schemas.microsoft.com/office/drawing/2014/main" id="{533A2413-F7E4-4DE6-863F-DCF7D8E898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379075" y="5648325"/>
          <a:ext cx="3273721"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5.xml><?xml version="1.0" encoding="utf-8"?>
<xdr:wsDr xmlns:xdr="http://schemas.openxmlformats.org/drawingml/2006/spreadsheetDrawing" xmlns:a="http://schemas.openxmlformats.org/drawingml/2006/main">
  <xdr:twoCellAnchor editAs="oneCell">
    <xdr:from>
      <xdr:col>9</xdr:col>
      <xdr:colOff>28575</xdr:colOff>
      <xdr:row>13</xdr:row>
      <xdr:rowOff>28574</xdr:rowOff>
    </xdr:from>
    <xdr:to>
      <xdr:col>14</xdr:col>
      <xdr:colOff>44450</xdr:colOff>
      <xdr:row>21</xdr:row>
      <xdr:rowOff>9526</xdr:rowOff>
    </xdr:to>
    <xdr:pic>
      <xdr:nvPicPr>
        <xdr:cNvPr id="2" name="Picture 1">
          <a:extLst>
            <a:ext uri="{FF2B5EF4-FFF2-40B4-BE49-F238E27FC236}">
              <a16:creationId xmlns:a16="http://schemas.microsoft.com/office/drawing/2014/main" id="{426CD540-47C0-4AB1-BC40-87F7D6763B8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588625" y="3254374"/>
          <a:ext cx="3292475" cy="17081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650876</xdr:colOff>
      <xdr:row>23</xdr:row>
      <xdr:rowOff>66675</xdr:rowOff>
    </xdr:from>
    <xdr:to>
      <xdr:col>14</xdr:col>
      <xdr:colOff>31750</xdr:colOff>
      <xdr:row>30</xdr:row>
      <xdr:rowOff>85725</xdr:rowOff>
    </xdr:to>
    <xdr:pic>
      <xdr:nvPicPr>
        <xdr:cNvPr id="3" name="Picture 2">
          <a:extLst>
            <a:ext uri="{FF2B5EF4-FFF2-40B4-BE49-F238E27FC236}">
              <a16:creationId xmlns:a16="http://schemas.microsoft.com/office/drawing/2014/main" id="{91DB7DD2-E967-4FDF-B12A-5F7094C45C4F}"/>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544176" y="5603875"/>
          <a:ext cx="3324224" cy="1682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xdr:colOff>
      <xdr:row>2</xdr:row>
      <xdr:rowOff>114300</xdr:rowOff>
    </xdr:from>
    <xdr:to>
      <xdr:col>14</xdr:col>
      <xdr:colOff>12700</xdr:colOff>
      <xdr:row>10</xdr:row>
      <xdr:rowOff>34925</xdr:rowOff>
    </xdr:to>
    <xdr:pic>
      <xdr:nvPicPr>
        <xdr:cNvPr id="4" name="Picture 3">
          <a:extLst>
            <a:ext uri="{FF2B5EF4-FFF2-40B4-BE49-F238E27FC236}">
              <a16:creationId xmlns:a16="http://schemas.microsoft.com/office/drawing/2014/main" id="{81203C2B-22CD-49F1-8140-2C1CAB20E2D3}"/>
            </a:ext>
          </a:extLst>
        </xdr:cNvPr>
        <xdr:cNvPicPr>
          <a:picLocks noChangeAspect="1"/>
        </xdr:cNvPicPr>
      </xdr:nvPicPr>
      <xdr:blipFill>
        <a:blip xmlns:r="http://schemas.openxmlformats.org/officeDocument/2006/relationships" r:embed="rId2"/>
        <a:stretch>
          <a:fillRect/>
        </a:stretch>
      </xdr:blipFill>
      <xdr:spPr>
        <a:xfrm>
          <a:off x="10569575" y="558800"/>
          <a:ext cx="3279775" cy="2054225"/>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9</xdr:col>
      <xdr:colOff>0</xdr:colOff>
      <xdr:row>2</xdr:row>
      <xdr:rowOff>114300</xdr:rowOff>
    </xdr:from>
    <xdr:to>
      <xdr:col>14</xdr:col>
      <xdr:colOff>76200</xdr:colOff>
      <xdr:row>10</xdr:row>
      <xdr:rowOff>168275</xdr:rowOff>
    </xdr:to>
    <xdr:pic>
      <xdr:nvPicPr>
        <xdr:cNvPr id="2" name="Picture 1">
          <a:extLst>
            <a:ext uri="{FF2B5EF4-FFF2-40B4-BE49-F238E27FC236}">
              <a16:creationId xmlns:a16="http://schemas.microsoft.com/office/drawing/2014/main" id="{3C59A942-24F1-4CE3-9210-7FFD67630121}"/>
            </a:ext>
          </a:extLst>
        </xdr:cNvPr>
        <xdr:cNvPicPr>
          <a:picLocks noChangeAspect="1"/>
        </xdr:cNvPicPr>
      </xdr:nvPicPr>
      <xdr:blipFill>
        <a:blip xmlns:r="http://schemas.openxmlformats.org/officeDocument/2006/relationships" r:embed="rId1"/>
        <a:stretch>
          <a:fillRect/>
        </a:stretch>
      </xdr:blipFill>
      <xdr:spPr>
        <a:xfrm>
          <a:off x="10598150" y="558800"/>
          <a:ext cx="3124200" cy="2035175"/>
        </a:xfrm>
        <a:prstGeom prst="rect">
          <a:avLst/>
        </a:prstGeom>
      </xdr:spPr>
    </xdr:pic>
    <xdr:clientData/>
  </xdr:twoCellAnchor>
  <xdr:twoCellAnchor editAs="oneCell">
    <xdr:from>
      <xdr:col>9</xdr:col>
      <xdr:colOff>0</xdr:colOff>
      <xdr:row>12</xdr:row>
      <xdr:rowOff>114301</xdr:rowOff>
    </xdr:from>
    <xdr:to>
      <xdr:col>14</xdr:col>
      <xdr:colOff>190500</xdr:colOff>
      <xdr:row>20</xdr:row>
      <xdr:rowOff>190500</xdr:rowOff>
    </xdr:to>
    <xdr:pic>
      <xdr:nvPicPr>
        <xdr:cNvPr id="3" name="Picture 2">
          <a:extLst>
            <a:ext uri="{FF2B5EF4-FFF2-40B4-BE49-F238E27FC236}">
              <a16:creationId xmlns:a16="http://schemas.microsoft.com/office/drawing/2014/main" id="{4B0BFCC8-96D5-470A-92DF-187150C67F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598150" y="3149601"/>
          <a:ext cx="3238500" cy="18033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8</xdr:col>
      <xdr:colOff>523877</xdr:colOff>
      <xdr:row>2</xdr:row>
      <xdr:rowOff>152400</xdr:rowOff>
    </xdr:from>
    <xdr:to>
      <xdr:col>13</xdr:col>
      <xdr:colOff>457201</xdr:colOff>
      <xdr:row>10</xdr:row>
      <xdr:rowOff>69850</xdr:rowOff>
    </xdr:to>
    <xdr:pic>
      <xdr:nvPicPr>
        <xdr:cNvPr id="2" name="Picture 1">
          <a:extLst>
            <a:ext uri="{FF2B5EF4-FFF2-40B4-BE49-F238E27FC236}">
              <a16:creationId xmlns:a16="http://schemas.microsoft.com/office/drawing/2014/main" id="{AD5966B0-9082-498B-A590-67C9996D53EC}"/>
            </a:ext>
          </a:extLst>
        </xdr:cNvPr>
        <xdr:cNvPicPr>
          <a:picLocks noChangeAspect="1"/>
        </xdr:cNvPicPr>
      </xdr:nvPicPr>
      <xdr:blipFill>
        <a:blip xmlns:r="http://schemas.openxmlformats.org/officeDocument/2006/relationships" r:embed="rId1"/>
        <a:stretch>
          <a:fillRect/>
        </a:stretch>
      </xdr:blipFill>
      <xdr:spPr>
        <a:xfrm>
          <a:off x="9369427" y="520700"/>
          <a:ext cx="3235324" cy="2032000"/>
        </a:xfrm>
        <a:prstGeom prst="rect">
          <a:avLst/>
        </a:prstGeom>
      </xdr:spPr>
    </xdr:pic>
    <xdr:clientData/>
  </xdr:twoCellAnchor>
  <xdr:twoCellAnchor editAs="oneCell">
    <xdr:from>
      <xdr:col>8</xdr:col>
      <xdr:colOff>425450</xdr:colOff>
      <xdr:row>13</xdr:row>
      <xdr:rowOff>31750</xdr:rowOff>
    </xdr:from>
    <xdr:to>
      <xdr:col>13</xdr:col>
      <xdr:colOff>514350</xdr:colOff>
      <xdr:row>22</xdr:row>
      <xdr:rowOff>79375</xdr:rowOff>
    </xdr:to>
    <xdr:pic>
      <xdr:nvPicPr>
        <xdr:cNvPr id="3" name="Picture 2">
          <a:extLst>
            <a:ext uri="{FF2B5EF4-FFF2-40B4-BE49-F238E27FC236}">
              <a16:creationId xmlns:a16="http://schemas.microsoft.com/office/drawing/2014/main" id="{85757B7A-65EF-45FD-AD51-A06C51CA04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271000" y="3067050"/>
          <a:ext cx="3390900"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C5E5B-24D1-4180-900F-D9B2CEF7EAD2}">
  <dimension ref="A1:C38"/>
  <sheetViews>
    <sheetView tabSelected="1" zoomScale="110" zoomScaleNormal="110" workbookViewId="0">
      <pane ySplit="1" topLeftCell="A2" activePane="bottomLeft" state="frozen"/>
      <selection activeCell="B1" sqref="B1"/>
      <selection pane="bottomLeft" activeCell="B1" sqref="B1"/>
    </sheetView>
  </sheetViews>
  <sheetFormatPr defaultColWidth="9.140625" defaultRowHeight="15" x14ac:dyDescent="0.25"/>
  <cols>
    <col min="1" max="1" width="6" style="34" bestFit="1" customWidth="1"/>
    <col min="2" max="2" width="10.42578125" style="34" bestFit="1" customWidth="1"/>
    <col min="3" max="3" width="56.42578125" style="34" bestFit="1" customWidth="1"/>
    <col min="4" max="16384" width="9.140625" style="34"/>
  </cols>
  <sheetData>
    <row r="1" spans="1:3" x14ac:dyDescent="0.25">
      <c r="A1" s="32" t="s">
        <v>825</v>
      </c>
      <c r="B1" s="33" t="s">
        <v>826</v>
      </c>
      <c r="C1" s="33" t="s">
        <v>827</v>
      </c>
    </row>
    <row r="2" spans="1:3" x14ac:dyDescent="0.25">
      <c r="A2" s="35">
        <v>1</v>
      </c>
      <c r="B2" s="36" t="s">
        <v>828</v>
      </c>
      <c r="C2" s="37" t="s">
        <v>1</v>
      </c>
    </row>
    <row r="3" spans="1:3" x14ac:dyDescent="0.25">
      <c r="A3" s="35">
        <v>2</v>
      </c>
      <c r="B3" s="36" t="s">
        <v>829</v>
      </c>
      <c r="C3" s="37" t="s">
        <v>179</v>
      </c>
    </row>
    <row r="4" spans="1:3" x14ac:dyDescent="0.25">
      <c r="A4" s="35">
        <v>3</v>
      </c>
      <c r="B4" s="36" t="s">
        <v>830</v>
      </c>
      <c r="C4" s="37" t="s">
        <v>292</v>
      </c>
    </row>
    <row r="5" spans="1:3" x14ac:dyDescent="0.25">
      <c r="A5" s="35">
        <v>4</v>
      </c>
      <c r="B5" s="36" t="s">
        <v>831</v>
      </c>
      <c r="C5" s="37" t="s">
        <v>832</v>
      </c>
    </row>
    <row r="6" spans="1:3" x14ac:dyDescent="0.25">
      <c r="A6" s="35">
        <v>5</v>
      </c>
      <c r="B6" s="36" t="s">
        <v>833</v>
      </c>
      <c r="C6" s="37" t="s">
        <v>834</v>
      </c>
    </row>
    <row r="7" spans="1:3" x14ac:dyDescent="0.25">
      <c r="A7" s="35">
        <v>6</v>
      </c>
      <c r="B7" s="36" t="s">
        <v>835</v>
      </c>
      <c r="C7" s="37" t="s">
        <v>368</v>
      </c>
    </row>
    <row r="8" spans="1:3" x14ac:dyDescent="0.25">
      <c r="A8" s="35">
        <v>7</v>
      </c>
      <c r="B8" s="36" t="s">
        <v>836</v>
      </c>
      <c r="C8" s="37" t="s">
        <v>369</v>
      </c>
    </row>
    <row r="9" spans="1:3" x14ac:dyDescent="0.25">
      <c r="A9" s="35">
        <v>8</v>
      </c>
      <c r="B9" s="36" t="s">
        <v>837</v>
      </c>
      <c r="C9" s="37" t="s">
        <v>370</v>
      </c>
    </row>
    <row r="10" spans="1:3" x14ac:dyDescent="0.25">
      <c r="A10" s="35">
        <v>9</v>
      </c>
      <c r="B10" s="36" t="s">
        <v>838</v>
      </c>
      <c r="C10" s="37" t="s">
        <v>397</v>
      </c>
    </row>
    <row r="11" spans="1:3" x14ac:dyDescent="0.25">
      <c r="A11" s="35">
        <v>10</v>
      </c>
      <c r="B11" s="36" t="s">
        <v>839</v>
      </c>
      <c r="C11" s="37" t="s">
        <v>432</v>
      </c>
    </row>
    <row r="12" spans="1:3" x14ac:dyDescent="0.25">
      <c r="A12" s="35">
        <v>11</v>
      </c>
      <c r="B12" s="36" t="s">
        <v>840</v>
      </c>
      <c r="C12" s="37" t="s">
        <v>460</v>
      </c>
    </row>
    <row r="13" spans="1:3" x14ac:dyDescent="0.25">
      <c r="A13" s="35">
        <v>12</v>
      </c>
      <c r="B13" s="36" t="s">
        <v>841</v>
      </c>
      <c r="C13" s="37" t="s">
        <v>465</v>
      </c>
    </row>
    <row r="14" spans="1:3" x14ac:dyDescent="0.25">
      <c r="A14" s="35">
        <v>13</v>
      </c>
      <c r="B14" s="36" t="s">
        <v>842</v>
      </c>
      <c r="C14" s="37" t="s">
        <v>843</v>
      </c>
    </row>
    <row r="15" spans="1:3" x14ac:dyDescent="0.25">
      <c r="A15" s="35">
        <v>14</v>
      </c>
      <c r="B15" s="36" t="s">
        <v>844</v>
      </c>
      <c r="C15" s="37" t="s">
        <v>845</v>
      </c>
    </row>
    <row r="16" spans="1:3" x14ac:dyDescent="0.25">
      <c r="A16" s="35">
        <v>15</v>
      </c>
      <c r="B16" s="36" t="s">
        <v>846</v>
      </c>
      <c r="C16" s="37" t="s">
        <v>847</v>
      </c>
    </row>
    <row r="17" spans="1:3" x14ac:dyDescent="0.25">
      <c r="A17" s="35">
        <v>16</v>
      </c>
      <c r="B17" s="36" t="s">
        <v>848</v>
      </c>
      <c r="C17" s="37" t="s">
        <v>849</v>
      </c>
    </row>
    <row r="18" spans="1:3" x14ac:dyDescent="0.25">
      <c r="A18" s="35">
        <v>17</v>
      </c>
      <c r="B18" s="36" t="s">
        <v>850</v>
      </c>
      <c r="C18" s="37" t="s">
        <v>493</v>
      </c>
    </row>
    <row r="19" spans="1:3" x14ac:dyDescent="0.25">
      <c r="A19" s="35">
        <v>18</v>
      </c>
      <c r="B19" s="36" t="s">
        <v>851</v>
      </c>
      <c r="C19" s="37" t="s">
        <v>496</v>
      </c>
    </row>
    <row r="20" spans="1:3" x14ac:dyDescent="0.25">
      <c r="A20" s="35">
        <v>19</v>
      </c>
      <c r="B20" s="36" t="s">
        <v>852</v>
      </c>
      <c r="C20" s="37" t="s">
        <v>497</v>
      </c>
    </row>
    <row r="21" spans="1:3" x14ac:dyDescent="0.25">
      <c r="A21" s="35">
        <v>20</v>
      </c>
      <c r="B21" s="36" t="s">
        <v>853</v>
      </c>
      <c r="C21" s="37" t="s">
        <v>498</v>
      </c>
    </row>
    <row r="22" spans="1:3" x14ac:dyDescent="0.25">
      <c r="A22" s="35">
        <v>21</v>
      </c>
      <c r="B22" s="36" t="s">
        <v>854</v>
      </c>
      <c r="C22" s="37" t="s">
        <v>499</v>
      </c>
    </row>
    <row r="23" spans="1:3" x14ac:dyDescent="0.25">
      <c r="A23" s="35">
        <v>22</v>
      </c>
      <c r="B23" s="36" t="s">
        <v>855</v>
      </c>
      <c r="C23" s="37" t="s">
        <v>544</v>
      </c>
    </row>
    <row r="24" spans="1:3" x14ac:dyDescent="0.25">
      <c r="A24" s="35">
        <v>23</v>
      </c>
      <c r="B24" s="36" t="s">
        <v>856</v>
      </c>
      <c r="C24" s="37" t="s">
        <v>857</v>
      </c>
    </row>
    <row r="25" spans="1:3" x14ac:dyDescent="0.25">
      <c r="A25" s="35">
        <v>24</v>
      </c>
      <c r="B25" s="36" t="s">
        <v>858</v>
      </c>
      <c r="C25" s="37" t="s">
        <v>647</v>
      </c>
    </row>
    <row r="26" spans="1:3" x14ac:dyDescent="0.25">
      <c r="A26" s="35">
        <v>25</v>
      </c>
      <c r="B26" s="36" t="s">
        <v>859</v>
      </c>
      <c r="C26" s="37" t="s">
        <v>673</v>
      </c>
    </row>
    <row r="27" spans="1:3" x14ac:dyDescent="0.25">
      <c r="A27" s="35">
        <v>26</v>
      </c>
      <c r="B27" s="36" t="s">
        <v>860</v>
      </c>
      <c r="C27" s="37" t="s">
        <v>698</v>
      </c>
    </row>
    <row r="28" spans="1:3" x14ac:dyDescent="0.25">
      <c r="A28" s="35">
        <v>27</v>
      </c>
      <c r="B28" s="36" t="s">
        <v>861</v>
      </c>
      <c r="C28" s="37" t="s">
        <v>862</v>
      </c>
    </row>
    <row r="29" spans="1:3" x14ac:dyDescent="0.25">
      <c r="A29" s="35">
        <v>28</v>
      </c>
      <c r="B29" s="36" t="s">
        <v>863</v>
      </c>
      <c r="C29" s="37" t="s">
        <v>714</v>
      </c>
    </row>
    <row r="30" spans="1:3" x14ac:dyDescent="0.25">
      <c r="A30" s="35">
        <v>29</v>
      </c>
      <c r="B30" s="36" t="s">
        <v>864</v>
      </c>
      <c r="C30" s="37" t="s">
        <v>865</v>
      </c>
    </row>
    <row r="31" spans="1:3" x14ac:dyDescent="0.25">
      <c r="A31" s="35">
        <v>30</v>
      </c>
      <c r="B31" s="36" t="s">
        <v>866</v>
      </c>
      <c r="C31" s="37" t="s">
        <v>799</v>
      </c>
    </row>
    <row r="32" spans="1:3" x14ac:dyDescent="0.25">
      <c r="A32" s="35">
        <v>31</v>
      </c>
      <c r="B32" s="36" t="s">
        <v>867</v>
      </c>
      <c r="C32" s="37" t="s">
        <v>802</v>
      </c>
    </row>
    <row r="33" spans="1:3" x14ac:dyDescent="0.25">
      <c r="A33" s="35">
        <v>32</v>
      </c>
      <c r="B33" s="36" t="s">
        <v>868</v>
      </c>
      <c r="C33" s="37" t="s">
        <v>808</v>
      </c>
    </row>
    <row r="34" spans="1:3" x14ac:dyDescent="0.25">
      <c r="A34" s="35">
        <v>33</v>
      </c>
      <c r="B34" s="36" t="s">
        <v>869</v>
      </c>
      <c r="C34" s="37" t="s">
        <v>814</v>
      </c>
    </row>
    <row r="35" spans="1:3" x14ac:dyDescent="0.25">
      <c r="A35" s="35">
        <v>34</v>
      </c>
      <c r="B35" s="36" t="s">
        <v>870</v>
      </c>
      <c r="C35" s="37" t="s">
        <v>815</v>
      </c>
    </row>
    <row r="36" spans="1:3" x14ac:dyDescent="0.25">
      <c r="A36" s="35">
        <v>35</v>
      </c>
      <c r="B36" s="36" t="s">
        <v>871</v>
      </c>
      <c r="C36" s="37" t="s">
        <v>816</v>
      </c>
    </row>
    <row r="37" spans="1:3" x14ac:dyDescent="0.25">
      <c r="A37" s="35">
        <v>36</v>
      </c>
      <c r="B37" s="36" t="s">
        <v>872</v>
      </c>
      <c r="C37" s="37" t="s">
        <v>819</v>
      </c>
    </row>
    <row r="38" spans="1:3" x14ac:dyDescent="0.25">
      <c r="A38" s="35">
        <v>37</v>
      </c>
      <c r="B38" s="36" t="s">
        <v>873</v>
      </c>
      <c r="C38" s="37" t="s">
        <v>874</v>
      </c>
    </row>
  </sheetData>
  <hyperlinks>
    <hyperlink ref="B3" location="MIDCAP!A1" display="MIDCAP" xr:uid="{9B7F1080-8283-4B19-A9D5-1CDB0149004D}"/>
    <hyperlink ref="B4" location="MULTI1!A1" display="MULTI1" xr:uid="{3CCDBFFE-2126-4068-9C8E-7C86A155996C}"/>
    <hyperlink ref="B5" location="MULTI2!A1" display="MULTI2" xr:uid="{C82B6E03-BAE8-420D-A394-CF5CB8C01227}"/>
    <hyperlink ref="B6" location="MULTIP!A1" display="MULTIP" xr:uid="{2D075EBD-6FEA-44FE-BC92-25003E9FB348}"/>
    <hyperlink ref="B7" location="SESCAP1!A1" display="SESCAP1" xr:uid="{C183BA2F-DA8A-49BE-9D97-8E3098261A31}"/>
    <hyperlink ref="B8" location="SESCAP2!A1" display="SESCAP2" xr:uid="{2370EB40-0C34-4015-A3D0-D2347516539F}"/>
    <hyperlink ref="B9" location="SESCAP3!A1" display="SESCAP3" xr:uid="{9148E6C3-722C-44B5-8D7E-191E9CEF5D5D}"/>
    <hyperlink ref="B10" location="SESCAP4!A1" display="SESCAP4" xr:uid="{F6F3F10A-96B2-4336-B60C-7ABB983B1921}"/>
    <hyperlink ref="B11" location="SESCAP5!A1" display="SESCAP5" xr:uid="{FDCC57E0-5D0A-406B-BA34-71836E13F154}"/>
    <hyperlink ref="B12" location="SESCAP6!A1" display="SESCAP6" xr:uid="{4AB2A8D6-1B67-4ABE-9224-672545DBE329}"/>
    <hyperlink ref="B13" location="SESCAP7!A1" display="SESCAP7" xr:uid="{D839C0D9-927D-4A69-B4D6-3FD58253921A}"/>
    <hyperlink ref="B14" location="SLTADV3!A1" display="SLTADV3" xr:uid="{270B73DF-0279-4173-B55D-B7548A67A774}"/>
    <hyperlink ref="B15" location="SLTADV4!A1" display="SLTADV4" xr:uid="{6189F65C-478E-4ED9-844F-DA75567772E3}"/>
    <hyperlink ref="B16" location="SLTAX1!A1" display="SLTAX1" xr:uid="{E2C3FC73-2997-4FE5-A43B-DE417D4DE007}"/>
    <hyperlink ref="B17" location="SLTAX2!A1" display="SLTAX2" xr:uid="{B1EE10FA-BBA3-4949-B7C5-3652BD9FFFD9}"/>
    <hyperlink ref="B18" location="SLTAX3!A1" display="SLTAX3" xr:uid="{474CA09A-E3FC-4C34-8122-475C8051F5F6}"/>
    <hyperlink ref="B19" location="SLTAX4!A1" display="SLTAX4" xr:uid="{9086B6B6-A872-40E8-B765-7BDEA19012FB}"/>
    <hyperlink ref="B20" location="SLTAX5!A1" display="SLTAX5" xr:uid="{5E7F3851-F26B-4C4F-B5B1-48D455CB82AF}"/>
    <hyperlink ref="B21" location="SLTAX6!A1" display="SLTAX6" xr:uid="{59895BA5-055B-421D-942D-C06920B6242E}"/>
    <hyperlink ref="B22" location="SMILE!A1" display="SMILE" xr:uid="{C758D1B9-FCD6-428A-B54C-6F8DB1055594}"/>
    <hyperlink ref="B23" location="SPAHF!A1" display="SPAHF" xr:uid="{738483FB-433E-4C59-9AE2-63D0827A948B}"/>
    <hyperlink ref="B24" location="SPARF!A1" display="SPARF" xr:uid="{F7F3D60A-5527-4A03-8B8C-5629A526C41E}"/>
    <hyperlink ref="B25" location="SPBAF!A1" display="SPBAF" xr:uid="{FFB9BB84-9FFA-4640-8BFA-1BDF5E31AD47}"/>
    <hyperlink ref="B26" location="SPDYF!A1" display="SPDYF" xr:uid="{CA84702A-2FE1-422C-80B9-8C11D27151C1}"/>
    <hyperlink ref="B27" location="SPESF!A1" display="SPESF" xr:uid="{220507F0-054A-4E8C-8E92-EEE80A116075}"/>
    <hyperlink ref="B28" location="SPFOCUS!A1" display="SPFOCUS" xr:uid="{F9F96B60-801F-440E-A96D-D321A1D1F273}"/>
    <hyperlink ref="B29" location="SPMUCF!A1" display="SPMUCF" xr:uid="{B9EC047F-C84A-4985-B421-F4ED352FD73C}"/>
    <hyperlink ref="B30" location="SPSN100!A1" display="SPSN100" xr:uid="{5A4ABC00-56BE-4D81-ACD8-854DE31D1F9A}"/>
    <hyperlink ref="B31" location="SPTAX!A1" display="SPTAX" xr:uid="{796CC6BD-786F-4EC2-A206-0FFF4F4FD58D}"/>
    <hyperlink ref="B32" location="SRURAL!A1" display="SRURAL" xr:uid="{8EF348F9-FCFC-4AA7-AA71-DCD5046FE749}"/>
    <hyperlink ref="B33" location="SSFUND!A1" display="SSFUND" xr:uid="{0F44EE99-0B0C-4CD9-802A-2B56E00DFD9D}"/>
    <hyperlink ref="B34" location="STAX!A1" display="STAX" xr:uid="{9EED9F9A-D366-4D0D-862F-BAD14A3772E0}"/>
    <hyperlink ref="B35" location="SUNBCF!A1" display="SUNBCF" xr:uid="{B28A492F-90C7-4038-B424-E94E9F3FC218}"/>
    <hyperlink ref="B37" location="SUNFOP!A1" display="SUNFOP" xr:uid="{F8FE3E13-4344-4FFB-B8E9-5DC1104A4B5F}"/>
    <hyperlink ref="B38" location="GLOB!A1" display="GLOB" xr:uid="{0E1F17A2-4A31-47B6-8426-B157123B3D52}"/>
    <hyperlink ref="B36" location="SUNFCF!A1" display="SUNFCF" xr:uid="{D1BB0C70-6227-472A-ACA2-284E246E7CBE}"/>
    <hyperlink ref="B2" location="CAPEXG!A1" display="CAPEXG" xr:uid="{E4B0B96D-1C3B-453B-BCDB-CCB25CF9065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42"/>
  <sheetViews>
    <sheetView showGridLines="0" workbookViewId="0">
      <selection sqref="A1:H1"/>
    </sheetView>
  </sheetViews>
  <sheetFormatPr defaultRowHeight="12.75" x14ac:dyDescent="0.2"/>
  <cols>
    <col min="1" max="1" width="5.85546875" bestFit="1" customWidth="1"/>
    <col min="2" max="2" width="20.5703125" customWidth="1"/>
    <col min="3" max="3" width="34.28515625" customWidth="1"/>
    <col min="4" max="4" width="17.85546875" customWidth="1"/>
    <col min="5" max="6" width="19.140625" customWidth="1"/>
    <col min="7" max="7" width="16.42578125" customWidth="1"/>
  </cols>
  <sheetData>
    <row r="1" spans="1:16" ht="18" customHeight="1" x14ac:dyDescent="0.2">
      <c r="A1" s="187" t="s">
        <v>0</v>
      </c>
      <c r="B1" s="187"/>
      <c r="C1" s="187"/>
      <c r="D1" s="187"/>
      <c r="E1" s="187"/>
      <c r="F1" s="187"/>
      <c r="G1" s="187"/>
      <c r="H1" s="187"/>
      <c r="I1" s="167" t="s">
        <v>1055</v>
      </c>
    </row>
    <row r="2" spans="1:16" ht="17.100000000000001" customHeight="1" x14ac:dyDescent="0.2">
      <c r="A2" s="188" t="s">
        <v>1</v>
      </c>
      <c r="B2" s="189"/>
      <c r="C2" s="189"/>
      <c r="D2" s="189"/>
      <c r="E2" s="189"/>
      <c r="F2" s="189"/>
      <c r="G2" s="189"/>
      <c r="H2" s="190"/>
      <c r="J2" s="186" t="s">
        <v>1056</v>
      </c>
      <c r="K2" s="186"/>
      <c r="L2" s="186"/>
      <c r="M2" s="186"/>
      <c r="N2" s="186"/>
    </row>
    <row r="3" spans="1:16" ht="21" customHeight="1" x14ac:dyDescent="0.2">
      <c r="A3" s="187" t="s">
        <v>1052</v>
      </c>
      <c r="B3" s="187"/>
      <c r="C3" s="187"/>
      <c r="D3" s="187"/>
      <c r="E3" s="187"/>
      <c r="F3" s="187"/>
      <c r="G3" s="187"/>
      <c r="H3" s="187"/>
    </row>
    <row r="4" spans="1:16" ht="30" x14ac:dyDescent="0.2">
      <c r="A4" s="163" t="s">
        <v>2</v>
      </c>
      <c r="B4" s="164" t="s">
        <v>3</v>
      </c>
      <c r="C4" s="164" t="s">
        <v>4</v>
      </c>
      <c r="D4" s="164" t="s">
        <v>5</v>
      </c>
      <c r="E4" s="164" t="s">
        <v>6</v>
      </c>
      <c r="F4" s="164" t="s">
        <v>7</v>
      </c>
      <c r="G4" s="164" t="s">
        <v>8</v>
      </c>
      <c r="H4" s="120" t="s">
        <v>881</v>
      </c>
      <c r="I4" s="168"/>
      <c r="J4" s="168"/>
      <c r="K4" s="168"/>
      <c r="L4" s="168"/>
      <c r="M4" s="168"/>
      <c r="N4" s="168"/>
      <c r="O4" s="168"/>
      <c r="P4" s="165"/>
    </row>
    <row r="5" spans="1:16" ht="14.1" customHeight="1" x14ac:dyDescent="0.2">
      <c r="A5" s="99"/>
      <c r="B5" s="1"/>
      <c r="C5" s="2" t="s">
        <v>9</v>
      </c>
      <c r="D5" s="1"/>
      <c r="E5" s="1"/>
      <c r="F5" s="1"/>
      <c r="G5" s="1"/>
      <c r="H5" s="109"/>
    </row>
    <row r="6" spans="1:16" ht="24" customHeight="1" x14ac:dyDescent="0.2">
      <c r="A6" s="99"/>
      <c r="B6" s="1"/>
      <c r="C6" s="2" t="s">
        <v>10</v>
      </c>
      <c r="D6" s="1"/>
      <c r="E6" s="1"/>
      <c r="F6" s="1"/>
      <c r="G6" s="1"/>
      <c r="H6" s="109"/>
    </row>
    <row r="7" spans="1:16" ht="17.100000000000001" customHeight="1" x14ac:dyDescent="0.2">
      <c r="A7" s="100">
        <v>1</v>
      </c>
      <c r="B7" s="3" t="s">
        <v>11</v>
      </c>
      <c r="C7" s="3" t="s">
        <v>12</v>
      </c>
      <c r="D7" s="3" t="s">
        <v>13</v>
      </c>
      <c r="E7" s="4">
        <v>273000</v>
      </c>
      <c r="F7" s="5">
        <v>5757.9795000000004</v>
      </c>
      <c r="G7" s="6">
        <v>9.681178E-2</v>
      </c>
      <c r="H7" s="109"/>
    </row>
    <row r="8" spans="1:16" ht="17.100000000000001" customHeight="1" x14ac:dyDescent="0.2">
      <c r="A8" s="100">
        <v>2</v>
      </c>
      <c r="B8" s="3" t="s">
        <v>14</v>
      </c>
      <c r="C8" s="3" t="s">
        <v>15</v>
      </c>
      <c r="D8" s="3" t="s">
        <v>16</v>
      </c>
      <c r="E8" s="4">
        <v>490000</v>
      </c>
      <c r="F8" s="5">
        <v>3637.0250000000001</v>
      </c>
      <c r="G8" s="6">
        <v>6.1151120000000003E-2</v>
      </c>
      <c r="H8" s="109"/>
    </row>
    <row r="9" spans="1:16" ht="17.100000000000001" customHeight="1" x14ac:dyDescent="0.2">
      <c r="A9" s="100">
        <v>3</v>
      </c>
      <c r="B9" s="3" t="s">
        <v>17</v>
      </c>
      <c r="C9" s="3" t="s">
        <v>18</v>
      </c>
      <c r="D9" s="3" t="s">
        <v>19</v>
      </c>
      <c r="E9" s="4">
        <v>150246</v>
      </c>
      <c r="F9" s="5">
        <v>3489.5384730000001</v>
      </c>
      <c r="G9" s="6">
        <v>5.8671349999999997E-2</v>
      </c>
      <c r="H9" s="109"/>
    </row>
    <row r="10" spans="1:16" ht="17.100000000000001" customHeight="1" x14ac:dyDescent="0.2">
      <c r="A10" s="100">
        <v>4</v>
      </c>
      <c r="B10" s="3" t="s">
        <v>20</v>
      </c>
      <c r="C10" s="3" t="s">
        <v>21</v>
      </c>
      <c r="D10" s="3" t="s">
        <v>22</v>
      </c>
      <c r="E10" s="4">
        <v>403500</v>
      </c>
      <c r="F10" s="5">
        <v>3449.3197500000001</v>
      </c>
      <c r="G10" s="6">
        <v>5.7995129999999999E-2</v>
      </c>
      <c r="H10" s="109"/>
    </row>
    <row r="11" spans="1:16" ht="29.1" customHeight="1" x14ac:dyDescent="0.2">
      <c r="A11" s="100">
        <v>5</v>
      </c>
      <c r="B11" s="3" t="s">
        <v>23</v>
      </c>
      <c r="C11" s="3" t="s">
        <v>24</v>
      </c>
      <c r="D11" s="3" t="s">
        <v>25</v>
      </c>
      <c r="E11" s="4">
        <v>39200</v>
      </c>
      <c r="F11" s="5">
        <v>2846.4295999999999</v>
      </c>
      <c r="G11" s="6">
        <v>4.7858440000000002E-2</v>
      </c>
      <c r="H11" s="109"/>
    </row>
    <row r="12" spans="1:16" ht="17.100000000000001" customHeight="1" x14ac:dyDescent="0.2">
      <c r="A12" s="100">
        <v>6</v>
      </c>
      <c r="B12" s="3" t="s">
        <v>26</v>
      </c>
      <c r="C12" s="3" t="s">
        <v>27</v>
      </c>
      <c r="D12" s="3" t="s">
        <v>28</v>
      </c>
      <c r="E12" s="4">
        <v>1460000</v>
      </c>
      <c r="F12" s="5">
        <v>2489.3000000000002</v>
      </c>
      <c r="G12" s="6">
        <v>4.1853840000000003E-2</v>
      </c>
      <c r="H12" s="109"/>
      <c r="J12" s="169" t="s">
        <v>1057</v>
      </c>
    </row>
    <row r="13" spans="1:16" ht="17.100000000000001" customHeight="1" x14ac:dyDescent="0.2">
      <c r="A13" s="100">
        <v>7</v>
      </c>
      <c r="B13" s="3" t="s">
        <v>29</v>
      </c>
      <c r="C13" s="3" t="s">
        <v>30</v>
      </c>
      <c r="D13" s="3" t="s">
        <v>31</v>
      </c>
      <c r="E13" s="4">
        <v>93000</v>
      </c>
      <c r="F13" s="5">
        <v>1781.5545</v>
      </c>
      <c r="G13" s="6">
        <v>2.9954160000000001E-2</v>
      </c>
      <c r="H13" s="109"/>
    </row>
    <row r="14" spans="1:16" ht="17.100000000000001" customHeight="1" x14ac:dyDescent="0.2">
      <c r="A14" s="100">
        <v>8</v>
      </c>
      <c r="B14" s="3" t="s">
        <v>32</v>
      </c>
      <c r="C14" s="3" t="s">
        <v>33</v>
      </c>
      <c r="D14" s="3" t="s">
        <v>22</v>
      </c>
      <c r="E14" s="4">
        <v>335000</v>
      </c>
      <c r="F14" s="5">
        <v>1751.38</v>
      </c>
      <c r="G14" s="6">
        <v>2.944683E-2</v>
      </c>
      <c r="H14" s="109"/>
    </row>
    <row r="15" spans="1:16" ht="17.100000000000001" customHeight="1" x14ac:dyDescent="0.2">
      <c r="A15" s="100">
        <v>9</v>
      </c>
      <c r="B15" s="3" t="s">
        <v>34</v>
      </c>
      <c r="C15" s="3" t="s">
        <v>35</v>
      </c>
      <c r="D15" s="3" t="s">
        <v>36</v>
      </c>
      <c r="E15" s="4">
        <v>46200</v>
      </c>
      <c r="F15" s="5">
        <v>1486.4157</v>
      </c>
      <c r="G15" s="6">
        <v>2.4991849999999999E-2</v>
      </c>
      <c r="H15" s="109"/>
    </row>
    <row r="16" spans="1:16" ht="17.100000000000001" customHeight="1" x14ac:dyDescent="0.2">
      <c r="A16" s="100">
        <v>10</v>
      </c>
      <c r="B16" s="3" t="s">
        <v>37</v>
      </c>
      <c r="C16" s="3" t="s">
        <v>38</v>
      </c>
      <c r="D16" s="3" t="s">
        <v>31</v>
      </c>
      <c r="E16" s="4">
        <v>80635</v>
      </c>
      <c r="F16" s="5">
        <v>1455.2198450000001</v>
      </c>
      <c r="G16" s="6">
        <v>2.4467340000000001E-2</v>
      </c>
      <c r="H16" s="109"/>
    </row>
    <row r="17" spans="1:8" ht="17.100000000000001" customHeight="1" x14ac:dyDescent="0.2">
      <c r="A17" s="100">
        <v>11</v>
      </c>
      <c r="B17" s="3" t="s">
        <v>39</v>
      </c>
      <c r="C17" s="3" t="s">
        <v>40</v>
      </c>
      <c r="D17" s="3" t="s">
        <v>31</v>
      </c>
      <c r="E17" s="4">
        <v>37700</v>
      </c>
      <c r="F17" s="5">
        <v>1410.11195</v>
      </c>
      <c r="G17" s="6">
        <v>2.3708920000000001E-2</v>
      </c>
      <c r="H17" s="109"/>
    </row>
    <row r="18" spans="1:8" ht="17.100000000000001" customHeight="1" x14ac:dyDescent="0.2">
      <c r="A18" s="100">
        <v>12</v>
      </c>
      <c r="B18" s="3" t="s">
        <v>41</v>
      </c>
      <c r="C18" s="3" t="s">
        <v>42</v>
      </c>
      <c r="D18" s="3" t="s">
        <v>28</v>
      </c>
      <c r="E18" s="4">
        <v>565000</v>
      </c>
      <c r="F18" s="5">
        <v>1255.7125000000001</v>
      </c>
      <c r="G18" s="6">
        <v>2.111292E-2</v>
      </c>
      <c r="H18" s="109"/>
    </row>
    <row r="19" spans="1:8" ht="17.100000000000001" customHeight="1" x14ac:dyDescent="0.2">
      <c r="A19" s="100">
        <v>13</v>
      </c>
      <c r="B19" s="3" t="s">
        <v>43</v>
      </c>
      <c r="C19" s="3" t="s">
        <v>44</v>
      </c>
      <c r="D19" s="3" t="s">
        <v>31</v>
      </c>
      <c r="E19" s="4">
        <v>40000</v>
      </c>
      <c r="F19" s="5">
        <v>1232.54</v>
      </c>
      <c r="G19" s="6">
        <v>2.0723310000000002E-2</v>
      </c>
      <c r="H19" s="109"/>
    </row>
    <row r="20" spans="1:8" ht="17.100000000000001" customHeight="1" x14ac:dyDescent="0.2">
      <c r="A20" s="100">
        <v>14</v>
      </c>
      <c r="B20" s="3" t="s">
        <v>45</v>
      </c>
      <c r="C20" s="3" t="s">
        <v>46</v>
      </c>
      <c r="D20" s="3" t="s">
        <v>47</v>
      </c>
      <c r="E20" s="4">
        <v>847086</v>
      </c>
      <c r="F20" s="5">
        <v>1232.5101299999999</v>
      </c>
      <c r="G20" s="6">
        <v>2.0722810000000001E-2</v>
      </c>
      <c r="H20" s="109"/>
    </row>
    <row r="21" spans="1:8" ht="17.100000000000001" customHeight="1" x14ac:dyDescent="0.2">
      <c r="A21" s="100">
        <v>15</v>
      </c>
      <c r="B21" s="3" t="s">
        <v>48</v>
      </c>
      <c r="C21" s="3" t="s">
        <v>49</v>
      </c>
      <c r="D21" s="3" t="s">
        <v>13</v>
      </c>
      <c r="E21" s="4">
        <v>438655</v>
      </c>
      <c r="F21" s="5">
        <v>1200.598735</v>
      </c>
      <c r="G21" s="6">
        <v>2.0186269999999999E-2</v>
      </c>
      <c r="H21" s="109"/>
    </row>
    <row r="22" spans="1:8" ht="29.1" customHeight="1" x14ac:dyDescent="0.2">
      <c r="A22" s="100">
        <v>16</v>
      </c>
      <c r="B22" s="3" t="s">
        <v>50</v>
      </c>
      <c r="C22" s="3" t="s">
        <v>51</v>
      </c>
      <c r="D22" s="3" t="s">
        <v>52</v>
      </c>
      <c r="E22" s="4">
        <v>1250000</v>
      </c>
      <c r="F22" s="5">
        <v>1182.5</v>
      </c>
      <c r="G22" s="6">
        <v>1.9881960000000001E-2</v>
      </c>
      <c r="H22" s="109"/>
    </row>
    <row r="23" spans="1:8" ht="17.100000000000001" customHeight="1" x14ac:dyDescent="0.2">
      <c r="A23" s="100">
        <v>17</v>
      </c>
      <c r="B23" s="3" t="s">
        <v>53</v>
      </c>
      <c r="C23" s="3" t="s">
        <v>54</v>
      </c>
      <c r="D23" s="3" t="s">
        <v>36</v>
      </c>
      <c r="E23" s="4">
        <v>36000</v>
      </c>
      <c r="F23" s="5">
        <v>1168.7760000000001</v>
      </c>
      <c r="G23" s="6">
        <v>1.9651209999999999E-2</v>
      </c>
      <c r="H23" s="109"/>
    </row>
    <row r="24" spans="1:8" ht="17.100000000000001" customHeight="1" x14ac:dyDescent="0.2">
      <c r="A24" s="100">
        <v>18</v>
      </c>
      <c r="B24" s="3" t="s">
        <v>55</v>
      </c>
      <c r="C24" s="3" t="s">
        <v>56</v>
      </c>
      <c r="D24" s="3" t="s">
        <v>57</v>
      </c>
      <c r="E24" s="4">
        <v>178999</v>
      </c>
      <c r="F24" s="5">
        <v>1056.9890949999999</v>
      </c>
      <c r="G24" s="6">
        <v>1.777169E-2</v>
      </c>
      <c r="H24" s="109"/>
    </row>
    <row r="25" spans="1:8" ht="17.100000000000001" customHeight="1" x14ac:dyDescent="0.2">
      <c r="A25" s="100">
        <v>19</v>
      </c>
      <c r="B25" s="3" t="s">
        <v>58</v>
      </c>
      <c r="C25" s="3" t="s">
        <v>59</v>
      </c>
      <c r="D25" s="3" t="s">
        <v>13</v>
      </c>
      <c r="E25" s="4">
        <v>1160000</v>
      </c>
      <c r="F25" s="5">
        <v>1032.4000000000001</v>
      </c>
      <c r="G25" s="6">
        <v>1.735826E-2</v>
      </c>
      <c r="H25" s="109"/>
    </row>
    <row r="26" spans="1:8" ht="29.1" customHeight="1" x14ac:dyDescent="0.2">
      <c r="A26" s="100">
        <v>20</v>
      </c>
      <c r="B26" s="3" t="s">
        <v>60</v>
      </c>
      <c r="C26" s="3" t="s">
        <v>61</v>
      </c>
      <c r="D26" s="3" t="s">
        <v>62</v>
      </c>
      <c r="E26" s="4">
        <v>2900</v>
      </c>
      <c r="F26" s="5">
        <v>1000.13025</v>
      </c>
      <c r="G26" s="6">
        <v>1.6815690000000001E-2</v>
      </c>
      <c r="H26" s="109"/>
    </row>
    <row r="27" spans="1:8" ht="17.100000000000001" customHeight="1" x14ac:dyDescent="0.2">
      <c r="A27" s="100">
        <v>21</v>
      </c>
      <c r="B27" s="3" t="s">
        <v>63</v>
      </c>
      <c r="C27" s="3" t="s">
        <v>64</v>
      </c>
      <c r="D27" s="3" t="s">
        <v>36</v>
      </c>
      <c r="E27" s="4">
        <v>308785</v>
      </c>
      <c r="F27" s="5">
        <v>980.54676749999999</v>
      </c>
      <c r="G27" s="6">
        <v>1.6486420000000002E-2</v>
      </c>
      <c r="H27" s="109"/>
    </row>
    <row r="28" spans="1:8" ht="17.100000000000001" customHeight="1" x14ac:dyDescent="0.2">
      <c r="A28" s="100">
        <v>22</v>
      </c>
      <c r="B28" s="3" t="s">
        <v>65</v>
      </c>
      <c r="C28" s="3" t="s">
        <v>66</v>
      </c>
      <c r="D28" s="3" t="s">
        <v>13</v>
      </c>
      <c r="E28" s="4">
        <v>346507</v>
      </c>
      <c r="F28" s="5">
        <v>887.23117349999995</v>
      </c>
      <c r="G28" s="6">
        <v>1.491746E-2</v>
      </c>
      <c r="H28" s="109"/>
    </row>
    <row r="29" spans="1:8" ht="17.100000000000001" customHeight="1" x14ac:dyDescent="0.2">
      <c r="A29" s="100">
        <v>23</v>
      </c>
      <c r="B29" s="3" t="s">
        <v>67</v>
      </c>
      <c r="C29" s="3" t="s">
        <v>68</v>
      </c>
      <c r="D29" s="3" t="s">
        <v>28</v>
      </c>
      <c r="E29" s="4">
        <v>422000</v>
      </c>
      <c r="F29" s="5">
        <v>854.76099999999997</v>
      </c>
      <c r="G29" s="6">
        <v>1.437152E-2</v>
      </c>
      <c r="H29" s="109"/>
    </row>
    <row r="30" spans="1:8" ht="17.100000000000001" customHeight="1" x14ac:dyDescent="0.2">
      <c r="A30" s="100">
        <v>24</v>
      </c>
      <c r="B30" s="3" t="s">
        <v>69</v>
      </c>
      <c r="C30" s="3" t="s">
        <v>70</v>
      </c>
      <c r="D30" s="3" t="s">
        <v>71</v>
      </c>
      <c r="E30" s="4">
        <v>9900</v>
      </c>
      <c r="F30" s="5">
        <v>853.81065000000001</v>
      </c>
      <c r="G30" s="6">
        <v>1.435554E-2</v>
      </c>
      <c r="H30" s="109"/>
    </row>
    <row r="31" spans="1:8" ht="17.100000000000001" customHeight="1" x14ac:dyDescent="0.2">
      <c r="A31" s="100">
        <v>25</v>
      </c>
      <c r="B31" s="3" t="s">
        <v>72</v>
      </c>
      <c r="C31" s="3" t="s">
        <v>73</v>
      </c>
      <c r="D31" s="3" t="s">
        <v>31</v>
      </c>
      <c r="E31" s="4">
        <v>50976</v>
      </c>
      <c r="F31" s="5">
        <v>828.48743999999999</v>
      </c>
      <c r="G31" s="6">
        <v>1.3929769999999999E-2</v>
      </c>
      <c r="H31" s="109"/>
    </row>
    <row r="32" spans="1:8" ht="17.100000000000001" customHeight="1" x14ac:dyDescent="0.2">
      <c r="A32" s="100">
        <v>26</v>
      </c>
      <c r="B32" s="3" t="s">
        <v>74</v>
      </c>
      <c r="C32" s="3" t="s">
        <v>75</v>
      </c>
      <c r="D32" s="3" t="s">
        <v>31</v>
      </c>
      <c r="E32" s="4">
        <v>69424</v>
      </c>
      <c r="F32" s="5">
        <v>825.62491999999997</v>
      </c>
      <c r="G32" s="6">
        <v>1.3881640000000001E-2</v>
      </c>
      <c r="H32" s="109"/>
    </row>
    <row r="33" spans="1:8" ht="29.1" customHeight="1" x14ac:dyDescent="0.2">
      <c r="A33" s="100">
        <v>27</v>
      </c>
      <c r="B33" s="3" t="s">
        <v>76</v>
      </c>
      <c r="C33" s="3" t="s">
        <v>77</v>
      </c>
      <c r="D33" s="3" t="s">
        <v>25</v>
      </c>
      <c r="E33" s="4">
        <v>43500</v>
      </c>
      <c r="F33" s="5">
        <v>797.74649999999997</v>
      </c>
      <c r="G33" s="6">
        <v>1.341291E-2</v>
      </c>
      <c r="H33" s="109"/>
    </row>
    <row r="34" spans="1:8" ht="17.100000000000001" customHeight="1" x14ac:dyDescent="0.2">
      <c r="A34" s="100">
        <v>28</v>
      </c>
      <c r="B34" s="3" t="s">
        <v>78</v>
      </c>
      <c r="C34" s="3" t="s">
        <v>79</v>
      </c>
      <c r="D34" s="3" t="s">
        <v>80</v>
      </c>
      <c r="E34" s="4">
        <v>26495</v>
      </c>
      <c r="F34" s="5">
        <v>790.04115750000005</v>
      </c>
      <c r="G34" s="6">
        <v>1.3283359999999999E-2</v>
      </c>
      <c r="H34" s="109"/>
    </row>
    <row r="35" spans="1:8" ht="29.1" customHeight="1" x14ac:dyDescent="0.2">
      <c r="A35" s="100">
        <v>29</v>
      </c>
      <c r="B35" s="3" t="s">
        <v>81</v>
      </c>
      <c r="C35" s="3" t="s">
        <v>82</v>
      </c>
      <c r="D35" s="3" t="s">
        <v>62</v>
      </c>
      <c r="E35" s="4">
        <v>46265</v>
      </c>
      <c r="F35" s="5">
        <v>755.18359499999997</v>
      </c>
      <c r="G35" s="6">
        <v>1.269728E-2</v>
      </c>
      <c r="H35" s="109"/>
    </row>
    <row r="36" spans="1:8" ht="17.100000000000001" customHeight="1" x14ac:dyDescent="0.2">
      <c r="A36" s="100">
        <v>30</v>
      </c>
      <c r="B36" s="3" t="s">
        <v>83</v>
      </c>
      <c r="C36" s="3" t="s">
        <v>84</v>
      </c>
      <c r="D36" s="3" t="s">
        <v>31</v>
      </c>
      <c r="E36" s="4">
        <v>48000</v>
      </c>
      <c r="F36" s="5">
        <v>753.64800000000002</v>
      </c>
      <c r="G36" s="6">
        <v>1.2671460000000001E-2</v>
      </c>
      <c r="H36" s="109"/>
    </row>
    <row r="37" spans="1:8" ht="29.1" customHeight="1" x14ac:dyDescent="0.2">
      <c r="A37" s="100">
        <v>31</v>
      </c>
      <c r="B37" s="3" t="s">
        <v>85</v>
      </c>
      <c r="C37" s="3" t="s">
        <v>86</v>
      </c>
      <c r="D37" s="3" t="s">
        <v>25</v>
      </c>
      <c r="E37" s="4">
        <v>2880</v>
      </c>
      <c r="F37" s="5">
        <v>751.33295999999996</v>
      </c>
      <c r="G37" s="6">
        <v>1.2632539999999999E-2</v>
      </c>
      <c r="H37" s="109"/>
    </row>
    <row r="38" spans="1:8" ht="29.1" customHeight="1" x14ac:dyDescent="0.2">
      <c r="A38" s="100">
        <v>32</v>
      </c>
      <c r="B38" s="3" t="s">
        <v>87</v>
      </c>
      <c r="C38" s="3" t="s">
        <v>88</v>
      </c>
      <c r="D38" s="3" t="s">
        <v>25</v>
      </c>
      <c r="E38" s="4">
        <v>26800</v>
      </c>
      <c r="F38" s="5">
        <v>740.91279999999995</v>
      </c>
      <c r="G38" s="6">
        <v>1.2457340000000001E-2</v>
      </c>
      <c r="H38" s="109"/>
    </row>
    <row r="39" spans="1:8" ht="17.100000000000001" customHeight="1" x14ac:dyDescent="0.2">
      <c r="A39" s="100">
        <v>33</v>
      </c>
      <c r="B39" s="3" t="s">
        <v>89</v>
      </c>
      <c r="C39" s="3" t="s">
        <v>90</v>
      </c>
      <c r="D39" s="3" t="s">
        <v>91</v>
      </c>
      <c r="E39" s="4">
        <v>600000</v>
      </c>
      <c r="F39" s="5">
        <v>615.9</v>
      </c>
      <c r="G39" s="6">
        <v>1.0355430000000001E-2</v>
      </c>
      <c r="H39" s="109"/>
    </row>
    <row r="40" spans="1:8" ht="17.100000000000001" customHeight="1" x14ac:dyDescent="0.2">
      <c r="A40" s="100">
        <v>34</v>
      </c>
      <c r="B40" s="3" t="s">
        <v>92</v>
      </c>
      <c r="C40" s="3" t="s">
        <v>93</v>
      </c>
      <c r="D40" s="3" t="s">
        <v>94</v>
      </c>
      <c r="E40" s="4">
        <v>400000</v>
      </c>
      <c r="F40" s="5">
        <v>608.20000000000005</v>
      </c>
      <c r="G40" s="6">
        <v>1.0225969999999999E-2</v>
      </c>
      <c r="H40" s="109"/>
    </row>
    <row r="41" spans="1:8" ht="17.100000000000001" customHeight="1" x14ac:dyDescent="0.2">
      <c r="A41" s="100">
        <v>35</v>
      </c>
      <c r="B41" s="3" t="s">
        <v>95</v>
      </c>
      <c r="C41" s="3" t="s">
        <v>96</v>
      </c>
      <c r="D41" s="3" t="s">
        <v>97</v>
      </c>
      <c r="E41" s="4">
        <v>124000</v>
      </c>
      <c r="F41" s="5">
        <v>604.68600000000004</v>
      </c>
      <c r="G41" s="6">
        <v>1.016689E-2</v>
      </c>
      <c r="H41" s="109"/>
    </row>
    <row r="42" spans="1:8" ht="17.100000000000001" customHeight="1" x14ac:dyDescent="0.2">
      <c r="A42" s="100">
        <v>36</v>
      </c>
      <c r="B42" s="3" t="s">
        <v>98</v>
      </c>
      <c r="C42" s="3" t="s">
        <v>99</v>
      </c>
      <c r="D42" s="3" t="s">
        <v>97</v>
      </c>
      <c r="E42" s="4">
        <v>68500</v>
      </c>
      <c r="F42" s="5">
        <v>587.31899999999996</v>
      </c>
      <c r="G42" s="6">
        <v>9.8748900000000008E-3</v>
      </c>
      <c r="H42" s="109"/>
    </row>
    <row r="43" spans="1:8" ht="17.100000000000001" customHeight="1" x14ac:dyDescent="0.2">
      <c r="A43" s="100">
        <v>37</v>
      </c>
      <c r="B43" s="3" t="s">
        <v>100</v>
      </c>
      <c r="C43" s="3" t="s">
        <v>101</v>
      </c>
      <c r="D43" s="3" t="s">
        <v>57</v>
      </c>
      <c r="E43" s="4">
        <v>30482</v>
      </c>
      <c r="F43" s="5">
        <v>565.85260700000003</v>
      </c>
      <c r="G43" s="6">
        <v>9.5139600000000001E-3</v>
      </c>
      <c r="H43" s="109"/>
    </row>
    <row r="44" spans="1:8" ht="17.100000000000001" customHeight="1" x14ac:dyDescent="0.2">
      <c r="A44" s="100">
        <v>38</v>
      </c>
      <c r="B44" s="3" t="s">
        <v>102</v>
      </c>
      <c r="C44" s="3" t="s">
        <v>103</v>
      </c>
      <c r="D44" s="3" t="s">
        <v>47</v>
      </c>
      <c r="E44" s="4">
        <v>45404</v>
      </c>
      <c r="F44" s="5">
        <v>564.80305799999996</v>
      </c>
      <c r="G44" s="6">
        <v>9.4963200000000008E-3</v>
      </c>
      <c r="H44" s="109"/>
    </row>
    <row r="45" spans="1:8" ht="17.100000000000001" customHeight="1" x14ac:dyDescent="0.2">
      <c r="A45" s="100">
        <v>39</v>
      </c>
      <c r="B45" s="3" t="s">
        <v>104</v>
      </c>
      <c r="C45" s="3" t="s">
        <v>105</v>
      </c>
      <c r="D45" s="3" t="s">
        <v>80</v>
      </c>
      <c r="E45" s="4">
        <v>119000</v>
      </c>
      <c r="F45" s="5">
        <v>533.23900000000003</v>
      </c>
      <c r="G45" s="6">
        <v>8.9656100000000006E-3</v>
      </c>
      <c r="H45" s="109"/>
    </row>
    <row r="46" spans="1:8" ht="17.100000000000001" customHeight="1" x14ac:dyDescent="0.2">
      <c r="A46" s="100">
        <v>40</v>
      </c>
      <c r="B46" s="3" t="s">
        <v>106</v>
      </c>
      <c r="C46" s="3" t="s">
        <v>107</v>
      </c>
      <c r="D46" s="3" t="s">
        <v>108</v>
      </c>
      <c r="E46" s="4">
        <v>119918</v>
      </c>
      <c r="F46" s="5">
        <v>478.71265599999998</v>
      </c>
      <c r="G46" s="6">
        <v>8.0488399999999998E-3</v>
      </c>
      <c r="H46" s="109"/>
    </row>
    <row r="47" spans="1:8" ht="17.100000000000001" customHeight="1" x14ac:dyDescent="0.2">
      <c r="A47" s="100">
        <v>41</v>
      </c>
      <c r="B47" s="3" t="s">
        <v>109</v>
      </c>
      <c r="C47" s="3" t="s">
        <v>110</v>
      </c>
      <c r="D47" s="3" t="s">
        <v>97</v>
      </c>
      <c r="E47" s="4">
        <v>112117</v>
      </c>
      <c r="F47" s="5">
        <v>455.13896149999999</v>
      </c>
      <c r="G47" s="6">
        <v>7.6524799999999997E-3</v>
      </c>
      <c r="H47" s="109"/>
    </row>
    <row r="48" spans="1:8" ht="17.100000000000001" customHeight="1" x14ac:dyDescent="0.2">
      <c r="A48" s="100">
        <v>42</v>
      </c>
      <c r="B48" s="3" t="s">
        <v>111</v>
      </c>
      <c r="C48" s="3" t="s">
        <v>112</v>
      </c>
      <c r="D48" s="3" t="s">
        <v>57</v>
      </c>
      <c r="E48" s="4">
        <v>119655</v>
      </c>
      <c r="F48" s="5">
        <v>442.96280999999999</v>
      </c>
      <c r="G48" s="6">
        <v>7.4477600000000003E-3</v>
      </c>
      <c r="H48" s="109"/>
    </row>
    <row r="49" spans="1:8" ht="17.100000000000001" customHeight="1" x14ac:dyDescent="0.2">
      <c r="A49" s="100">
        <v>43</v>
      </c>
      <c r="B49" s="3" t="s">
        <v>113</v>
      </c>
      <c r="C49" s="3" t="s">
        <v>114</v>
      </c>
      <c r="D49" s="3" t="s">
        <v>115</v>
      </c>
      <c r="E49" s="4">
        <v>142476</v>
      </c>
      <c r="F49" s="5">
        <v>399.57394199999999</v>
      </c>
      <c r="G49" s="6">
        <v>6.7182400000000003E-3</v>
      </c>
      <c r="H49" s="109"/>
    </row>
    <row r="50" spans="1:8" ht="17.100000000000001" customHeight="1" x14ac:dyDescent="0.2">
      <c r="A50" s="100">
        <v>44</v>
      </c>
      <c r="B50" s="3" t="s">
        <v>116</v>
      </c>
      <c r="C50" s="3" t="s">
        <v>117</v>
      </c>
      <c r="D50" s="3" t="s">
        <v>19</v>
      </c>
      <c r="E50" s="4">
        <v>120000</v>
      </c>
      <c r="F50" s="5">
        <v>380.82</v>
      </c>
      <c r="G50" s="6">
        <v>6.4029200000000003E-3</v>
      </c>
      <c r="H50" s="109"/>
    </row>
    <row r="51" spans="1:8" ht="29.1" customHeight="1" x14ac:dyDescent="0.2">
      <c r="A51" s="100">
        <v>45</v>
      </c>
      <c r="B51" s="3" t="s">
        <v>118</v>
      </c>
      <c r="C51" s="3" t="s">
        <v>119</v>
      </c>
      <c r="D51" s="3" t="s">
        <v>120</v>
      </c>
      <c r="E51" s="4">
        <v>48000</v>
      </c>
      <c r="F51" s="5">
        <v>363.12</v>
      </c>
      <c r="G51" s="6">
        <v>6.10532E-3</v>
      </c>
      <c r="H51" s="109"/>
    </row>
    <row r="52" spans="1:8" ht="17.100000000000001" customHeight="1" x14ac:dyDescent="0.2">
      <c r="A52" s="100">
        <v>46</v>
      </c>
      <c r="B52" s="3" t="s">
        <v>121</v>
      </c>
      <c r="C52" s="3" t="s">
        <v>122</v>
      </c>
      <c r="D52" s="3" t="s">
        <v>13</v>
      </c>
      <c r="E52" s="4">
        <v>33853</v>
      </c>
      <c r="F52" s="5">
        <v>350.76785949999999</v>
      </c>
      <c r="G52" s="6">
        <v>5.89764E-3</v>
      </c>
      <c r="H52" s="109"/>
    </row>
    <row r="53" spans="1:8" ht="17.100000000000001" customHeight="1" x14ac:dyDescent="0.2">
      <c r="A53" s="100">
        <v>47</v>
      </c>
      <c r="B53" s="3" t="s">
        <v>123</v>
      </c>
      <c r="C53" s="3" t="s">
        <v>124</v>
      </c>
      <c r="D53" s="3" t="s">
        <v>115</v>
      </c>
      <c r="E53" s="4">
        <v>10500</v>
      </c>
      <c r="F53" s="5">
        <v>198.00375</v>
      </c>
      <c r="G53" s="6">
        <v>3.32914E-3</v>
      </c>
      <c r="H53" s="109"/>
    </row>
    <row r="54" spans="1:8" ht="29.1" customHeight="1" x14ac:dyDescent="0.2">
      <c r="A54" s="100">
        <v>48</v>
      </c>
      <c r="B54" s="3" t="s">
        <v>125</v>
      </c>
      <c r="C54" s="3" t="s">
        <v>126</v>
      </c>
      <c r="D54" s="3" t="s">
        <v>25</v>
      </c>
      <c r="E54" s="4">
        <v>35000</v>
      </c>
      <c r="F54" s="5">
        <v>119.735</v>
      </c>
      <c r="G54" s="6">
        <v>2.0131599999999999E-3</v>
      </c>
      <c r="H54" s="109"/>
    </row>
    <row r="55" spans="1:8" ht="29.1" customHeight="1" x14ac:dyDescent="0.2">
      <c r="A55" s="100">
        <v>49</v>
      </c>
      <c r="B55" s="3" t="s">
        <v>127</v>
      </c>
      <c r="C55" s="3" t="s">
        <v>128</v>
      </c>
      <c r="D55" s="3" t="s">
        <v>129</v>
      </c>
      <c r="E55" s="4">
        <v>20000</v>
      </c>
      <c r="F55" s="5">
        <v>118.49</v>
      </c>
      <c r="G55" s="6">
        <v>1.9922300000000002E-3</v>
      </c>
      <c r="H55" s="109"/>
    </row>
    <row r="56" spans="1:8" ht="17.100000000000001" customHeight="1" x14ac:dyDescent="0.2">
      <c r="A56" s="100">
        <v>50</v>
      </c>
      <c r="B56" s="3" t="s">
        <v>130</v>
      </c>
      <c r="C56" s="3" t="s">
        <v>131</v>
      </c>
      <c r="D56" s="3" t="s">
        <v>120</v>
      </c>
      <c r="E56" s="4">
        <v>45404</v>
      </c>
      <c r="F56" s="5">
        <v>102.75379239999999</v>
      </c>
      <c r="G56" s="6">
        <v>1.7276500000000001E-3</v>
      </c>
      <c r="H56" s="109"/>
    </row>
    <row r="57" spans="1:8" ht="14.1" customHeight="1" x14ac:dyDescent="0.2">
      <c r="A57" s="99"/>
      <c r="B57" s="1"/>
      <c r="C57" s="2" t="s">
        <v>135</v>
      </c>
      <c r="D57" s="1"/>
      <c r="E57" s="1" t="s">
        <v>136</v>
      </c>
      <c r="F57" s="8">
        <v>57225.836427900016</v>
      </c>
      <c r="G57" s="9">
        <v>0.96216656999999983</v>
      </c>
      <c r="H57" s="109"/>
    </row>
    <row r="58" spans="1:8" ht="14.1" customHeight="1" x14ac:dyDescent="0.2">
      <c r="A58" s="99"/>
      <c r="B58" s="1"/>
      <c r="C58" s="10"/>
      <c r="D58" s="1"/>
      <c r="E58" s="1"/>
      <c r="F58" s="11"/>
      <c r="G58" s="11"/>
      <c r="H58" s="109"/>
    </row>
    <row r="59" spans="1:8" ht="14.1" customHeight="1" x14ac:dyDescent="0.2">
      <c r="A59" s="99"/>
      <c r="B59" s="1"/>
      <c r="C59" s="2" t="s">
        <v>137</v>
      </c>
      <c r="D59" s="1"/>
      <c r="E59" s="1"/>
      <c r="F59" s="1"/>
      <c r="G59" s="1"/>
      <c r="H59" s="109"/>
    </row>
    <row r="60" spans="1:8" ht="14.1" customHeight="1" x14ac:dyDescent="0.2">
      <c r="A60" s="99"/>
      <c r="B60" s="1"/>
      <c r="C60" s="2" t="s">
        <v>135</v>
      </c>
      <c r="D60" s="1"/>
      <c r="E60" s="1" t="s">
        <v>136</v>
      </c>
      <c r="F60" s="115">
        <v>0</v>
      </c>
      <c r="G60" s="9">
        <v>0</v>
      </c>
      <c r="H60" s="109"/>
    </row>
    <row r="61" spans="1:8" ht="14.1" customHeight="1" x14ac:dyDescent="0.2">
      <c r="A61" s="99"/>
      <c r="B61" s="1"/>
      <c r="C61" s="10"/>
      <c r="D61" s="1"/>
      <c r="E61" s="1"/>
      <c r="F61" s="11"/>
      <c r="G61" s="11"/>
      <c r="H61" s="109"/>
    </row>
    <row r="62" spans="1:8" ht="14.1" customHeight="1" x14ac:dyDescent="0.2">
      <c r="A62" s="99"/>
      <c r="B62" s="1"/>
      <c r="C62" s="2" t="s">
        <v>138</v>
      </c>
      <c r="D62" s="1"/>
      <c r="E62" s="1"/>
      <c r="F62" s="1"/>
      <c r="G62" s="1"/>
      <c r="H62" s="109"/>
    </row>
    <row r="63" spans="1:8" ht="17.100000000000001" customHeight="1" x14ac:dyDescent="0.2">
      <c r="A63" s="100">
        <v>1</v>
      </c>
      <c r="B63" s="3" t="s">
        <v>132</v>
      </c>
      <c r="C63" s="3" t="s">
        <v>914</v>
      </c>
      <c r="D63" s="3" t="s">
        <v>133</v>
      </c>
      <c r="E63" s="4">
        <v>559425</v>
      </c>
      <c r="F63" s="5">
        <v>1.1189000000000001E-5</v>
      </c>
      <c r="G63" s="7" t="s">
        <v>134</v>
      </c>
      <c r="H63" s="109"/>
    </row>
    <row r="64" spans="1:8" ht="14.1" customHeight="1" x14ac:dyDescent="0.2">
      <c r="A64" s="99"/>
      <c r="B64" s="1"/>
      <c r="C64" s="2" t="s">
        <v>135</v>
      </c>
      <c r="D64" s="1"/>
      <c r="E64" s="1" t="s">
        <v>136</v>
      </c>
      <c r="F64" s="8">
        <f>SUM(F63)</f>
        <v>1.1189000000000001E-5</v>
      </c>
      <c r="G64" s="9">
        <v>0</v>
      </c>
      <c r="H64" s="109"/>
    </row>
    <row r="65" spans="1:8" ht="14.1" customHeight="1" x14ac:dyDescent="0.2">
      <c r="A65" s="99"/>
      <c r="B65" s="1"/>
      <c r="C65" s="10"/>
      <c r="D65" s="1"/>
      <c r="E65" s="1"/>
      <c r="F65" s="11"/>
      <c r="G65" s="11"/>
      <c r="H65" s="109"/>
    </row>
    <row r="66" spans="1:8" ht="14.1" customHeight="1" x14ac:dyDescent="0.2">
      <c r="A66" s="99"/>
      <c r="B66" s="1"/>
      <c r="C66" s="2" t="s">
        <v>139</v>
      </c>
      <c r="D66" s="1"/>
      <c r="E66" s="1"/>
      <c r="F66" s="1"/>
      <c r="G66" s="1"/>
      <c r="H66" s="109"/>
    </row>
    <row r="67" spans="1:8" ht="14.1" customHeight="1" x14ac:dyDescent="0.2">
      <c r="A67" s="99"/>
      <c r="B67" s="1"/>
      <c r="C67" s="2" t="s">
        <v>135</v>
      </c>
      <c r="D67" s="1"/>
      <c r="E67" s="1" t="s">
        <v>136</v>
      </c>
      <c r="F67" s="115">
        <v>0</v>
      </c>
      <c r="G67" s="9">
        <v>0</v>
      </c>
      <c r="H67" s="109"/>
    </row>
    <row r="68" spans="1:8" ht="14.1" customHeight="1" x14ac:dyDescent="0.2">
      <c r="A68" s="99"/>
      <c r="B68" s="1"/>
      <c r="C68" s="10"/>
      <c r="D68" s="1"/>
      <c r="E68" s="1"/>
      <c r="F68" s="11"/>
      <c r="G68" s="11"/>
      <c r="H68" s="109"/>
    </row>
    <row r="69" spans="1:8" ht="14.1" customHeight="1" x14ac:dyDescent="0.2">
      <c r="A69" s="99"/>
      <c r="B69" s="1"/>
      <c r="C69" s="2" t="s">
        <v>140</v>
      </c>
      <c r="D69" s="1"/>
      <c r="E69" s="1"/>
      <c r="F69" s="11"/>
      <c r="G69" s="11"/>
      <c r="H69" s="109"/>
    </row>
    <row r="70" spans="1:8" ht="14.1" customHeight="1" x14ac:dyDescent="0.2">
      <c r="A70" s="99"/>
      <c r="B70" s="1"/>
      <c r="C70" s="2" t="s">
        <v>135</v>
      </c>
      <c r="D70" s="1"/>
      <c r="E70" s="1" t="s">
        <v>136</v>
      </c>
      <c r="F70" s="115">
        <v>0</v>
      </c>
      <c r="G70" s="9">
        <v>0</v>
      </c>
      <c r="H70" s="109"/>
    </row>
    <row r="71" spans="1:8" ht="14.1" customHeight="1" x14ac:dyDescent="0.2">
      <c r="A71" s="99"/>
      <c r="B71" s="1"/>
      <c r="C71" s="10"/>
      <c r="D71" s="1"/>
      <c r="E71" s="1"/>
      <c r="F71" s="11"/>
      <c r="G71" s="11"/>
      <c r="H71" s="109"/>
    </row>
    <row r="72" spans="1:8" ht="14.1" customHeight="1" x14ac:dyDescent="0.2">
      <c r="A72" s="99"/>
      <c r="B72" s="1"/>
      <c r="C72" s="2" t="s">
        <v>141</v>
      </c>
      <c r="D72" s="1"/>
      <c r="E72" s="1"/>
      <c r="F72" s="11"/>
      <c r="G72" s="11"/>
      <c r="H72" s="109"/>
    </row>
    <row r="73" spans="1:8" ht="14.1" customHeight="1" x14ac:dyDescent="0.2">
      <c r="A73" s="99"/>
      <c r="B73" s="1"/>
      <c r="C73" s="2" t="s">
        <v>135</v>
      </c>
      <c r="D73" s="1"/>
      <c r="E73" s="1" t="s">
        <v>136</v>
      </c>
      <c r="F73" s="115">
        <v>0</v>
      </c>
      <c r="G73" s="9">
        <v>0</v>
      </c>
      <c r="H73" s="109"/>
    </row>
    <row r="74" spans="1:8" ht="14.1" customHeight="1" x14ac:dyDescent="0.2">
      <c r="A74" s="99"/>
      <c r="B74" s="1"/>
      <c r="C74" s="10"/>
      <c r="D74" s="1"/>
      <c r="E74" s="1"/>
      <c r="F74" s="11"/>
      <c r="G74" s="11"/>
      <c r="H74" s="109"/>
    </row>
    <row r="75" spans="1:8" ht="18" customHeight="1" x14ac:dyDescent="0.2">
      <c r="A75" s="99"/>
      <c r="B75" s="1"/>
      <c r="C75" s="2" t="s">
        <v>142</v>
      </c>
      <c r="D75" s="1"/>
      <c r="E75" s="1"/>
      <c r="F75" s="8">
        <v>57225.836439088998</v>
      </c>
      <c r="G75" s="9">
        <v>0.96216657000000005</v>
      </c>
      <c r="H75" s="109"/>
    </row>
    <row r="76" spans="1:8" ht="14.1" customHeight="1" x14ac:dyDescent="0.2">
      <c r="A76" s="99"/>
      <c r="B76" s="1"/>
      <c r="C76" s="10"/>
      <c r="D76" s="1"/>
      <c r="E76" s="1"/>
      <c r="F76" s="11"/>
      <c r="G76" s="11"/>
      <c r="H76" s="109"/>
    </row>
    <row r="77" spans="1:8" ht="14.1" customHeight="1" x14ac:dyDescent="0.2">
      <c r="A77" s="99"/>
      <c r="B77" s="1"/>
      <c r="C77" s="2" t="s">
        <v>143</v>
      </c>
      <c r="D77" s="1"/>
      <c r="E77" s="1"/>
      <c r="F77" s="11"/>
      <c r="G77" s="11"/>
      <c r="H77" s="109"/>
    </row>
    <row r="78" spans="1:8" ht="24" customHeight="1" x14ac:dyDescent="0.2">
      <c r="A78" s="99"/>
      <c r="B78" s="1"/>
      <c r="C78" s="2" t="s">
        <v>10</v>
      </c>
      <c r="D78" s="1"/>
      <c r="E78" s="1"/>
      <c r="F78" s="11"/>
      <c r="G78" s="11"/>
      <c r="H78" s="109"/>
    </row>
    <row r="79" spans="1:8" ht="14.1" customHeight="1" x14ac:dyDescent="0.2">
      <c r="A79" s="99"/>
      <c r="B79" s="1"/>
      <c r="C79" s="2" t="s">
        <v>135</v>
      </c>
      <c r="D79" s="1"/>
      <c r="E79" s="1" t="s">
        <v>136</v>
      </c>
      <c r="F79" s="115">
        <v>0</v>
      </c>
      <c r="G79" s="9">
        <v>0</v>
      </c>
      <c r="H79" s="109"/>
    </row>
    <row r="80" spans="1:8" ht="14.1" customHeight="1" x14ac:dyDescent="0.2">
      <c r="A80" s="99"/>
      <c r="B80" s="1"/>
      <c r="C80" s="10"/>
      <c r="D80" s="1"/>
      <c r="E80" s="1"/>
      <c r="F80" s="11"/>
      <c r="G80" s="11"/>
      <c r="H80" s="109"/>
    </row>
    <row r="81" spans="1:8" ht="14.1" customHeight="1" x14ac:dyDescent="0.2">
      <c r="A81" s="99"/>
      <c r="B81" s="1"/>
      <c r="C81" s="2" t="s">
        <v>144</v>
      </c>
      <c r="D81" s="1"/>
      <c r="E81" s="1"/>
      <c r="F81" s="1"/>
      <c r="G81" s="1"/>
      <c r="H81" s="109"/>
    </row>
    <row r="82" spans="1:8" ht="14.1" customHeight="1" x14ac:dyDescent="0.2">
      <c r="A82" s="99"/>
      <c r="B82" s="1"/>
      <c r="C82" s="2" t="s">
        <v>135</v>
      </c>
      <c r="D82" s="1"/>
      <c r="E82" s="1" t="s">
        <v>136</v>
      </c>
      <c r="F82" s="115">
        <v>0</v>
      </c>
      <c r="G82" s="9">
        <v>0</v>
      </c>
      <c r="H82" s="109"/>
    </row>
    <row r="83" spans="1:8" ht="14.1" customHeight="1" x14ac:dyDescent="0.2">
      <c r="A83" s="99"/>
      <c r="B83" s="1"/>
      <c r="C83" s="10"/>
      <c r="D83" s="1"/>
      <c r="E83" s="1"/>
      <c r="F83" s="11"/>
      <c r="G83" s="11"/>
      <c r="H83" s="109"/>
    </row>
    <row r="84" spans="1:8" ht="14.1" customHeight="1" x14ac:dyDescent="0.2">
      <c r="A84" s="99"/>
      <c r="B84" s="1"/>
      <c r="C84" s="2" t="s">
        <v>145</v>
      </c>
      <c r="D84" s="1"/>
      <c r="E84" s="1"/>
      <c r="F84" s="1"/>
      <c r="G84" s="1"/>
      <c r="H84" s="109"/>
    </row>
    <row r="85" spans="1:8" ht="14.1" customHeight="1" x14ac:dyDescent="0.2">
      <c r="A85" s="99"/>
      <c r="B85" s="1"/>
      <c r="C85" s="2" t="s">
        <v>135</v>
      </c>
      <c r="D85" s="1"/>
      <c r="E85" s="1" t="s">
        <v>136</v>
      </c>
      <c r="F85" s="115">
        <v>0</v>
      </c>
      <c r="G85" s="9">
        <v>0</v>
      </c>
      <c r="H85" s="109"/>
    </row>
    <row r="86" spans="1:8" ht="14.1" customHeight="1" x14ac:dyDescent="0.2">
      <c r="A86" s="99"/>
      <c r="B86" s="1"/>
      <c r="C86" s="10"/>
      <c r="D86" s="1"/>
      <c r="E86" s="1"/>
      <c r="F86" s="11"/>
      <c r="G86" s="11"/>
      <c r="H86" s="109"/>
    </row>
    <row r="87" spans="1:8" ht="14.1" customHeight="1" x14ac:dyDescent="0.2">
      <c r="A87" s="99"/>
      <c r="B87" s="1"/>
      <c r="C87" s="2" t="s">
        <v>146</v>
      </c>
      <c r="D87" s="1"/>
      <c r="E87" s="1"/>
      <c r="F87" s="11"/>
      <c r="G87" s="11"/>
      <c r="H87" s="109"/>
    </row>
    <row r="88" spans="1:8" ht="14.1" customHeight="1" x14ac:dyDescent="0.2">
      <c r="A88" s="99"/>
      <c r="B88" s="1"/>
      <c r="C88" s="2" t="s">
        <v>135</v>
      </c>
      <c r="D88" s="1"/>
      <c r="E88" s="1" t="s">
        <v>136</v>
      </c>
      <c r="F88" s="115">
        <v>0</v>
      </c>
      <c r="G88" s="9">
        <v>0</v>
      </c>
      <c r="H88" s="109"/>
    </row>
    <row r="89" spans="1:8" ht="14.1" customHeight="1" x14ac:dyDescent="0.2">
      <c r="A89" s="99"/>
      <c r="B89" s="1"/>
      <c r="C89" s="10"/>
      <c r="D89" s="1"/>
      <c r="E89" s="1"/>
      <c r="F89" s="11"/>
      <c r="G89" s="11"/>
      <c r="H89" s="109"/>
    </row>
    <row r="90" spans="1:8" ht="14.1" customHeight="1" x14ac:dyDescent="0.2">
      <c r="A90" s="99"/>
      <c r="B90" s="1"/>
      <c r="C90" s="2" t="s">
        <v>147</v>
      </c>
      <c r="D90" s="1"/>
      <c r="E90" s="1"/>
      <c r="F90" s="8">
        <v>0</v>
      </c>
      <c r="G90" s="9">
        <v>0</v>
      </c>
      <c r="H90" s="109"/>
    </row>
    <row r="91" spans="1:8" ht="14.1" customHeight="1" x14ac:dyDescent="0.2">
      <c r="A91" s="99"/>
      <c r="B91" s="1"/>
      <c r="C91" s="10"/>
      <c r="D91" s="1"/>
      <c r="E91" s="1"/>
      <c r="F91" s="11"/>
      <c r="G91" s="11"/>
      <c r="H91" s="109"/>
    </row>
    <row r="92" spans="1:8" ht="14.1" customHeight="1" x14ac:dyDescent="0.2">
      <c r="A92" s="99"/>
      <c r="B92" s="1"/>
      <c r="C92" s="2" t="s">
        <v>148</v>
      </c>
      <c r="D92" s="1"/>
      <c r="E92" s="1"/>
      <c r="F92" s="11"/>
      <c r="G92" s="11"/>
      <c r="H92" s="109"/>
    </row>
    <row r="93" spans="1:8" ht="14.1" customHeight="1" x14ac:dyDescent="0.2">
      <c r="A93" s="99"/>
      <c r="B93" s="1"/>
      <c r="C93" s="2" t="s">
        <v>149</v>
      </c>
      <c r="D93" s="1"/>
      <c r="E93" s="1"/>
      <c r="F93" s="11"/>
      <c r="G93" s="11"/>
      <c r="H93" s="109"/>
    </row>
    <row r="94" spans="1:8" ht="14.1" customHeight="1" x14ac:dyDescent="0.2">
      <c r="A94" s="99"/>
      <c r="B94" s="1"/>
      <c r="C94" s="2" t="s">
        <v>135</v>
      </c>
      <c r="D94" s="1"/>
      <c r="E94" s="1" t="s">
        <v>136</v>
      </c>
      <c r="F94" s="115">
        <v>0</v>
      </c>
      <c r="G94" s="9">
        <v>0</v>
      </c>
      <c r="H94" s="109"/>
    </row>
    <row r="95" spans="1:8" ht="14.1" customHeight="1" x14ac:dyDescent="0.2">
      <c r="A95" s="99"/>
      <c r="B95" s="1"/>
      <c r="C95" s="10"/>
      <c r="D95" s="1"/>
      <c r="E95" s="1"/>
      <c r="F95" s="11"/>
      <c r="G95" s="11"/>
      <c r="H95" s="109"/>
    </row>
    <row r="96" spans="1:8" ht="14.1" customHeight="1" x14ac:dyDescent="0.2">
      <c r="A96" s="99"/>
      <c r="B96" s="1"/>
      <c r="C96" s="2" t="s">
        <v>150</v>
      </c>
      <c r="D96" s="1"/>
      <c r="E96" s="1"/>
      <c r="F96" s="11"/>
      <c r="G96" s="11"/>
      <c r="H96" s="109"/>
    </row>
    <row r="97" spans="1:8" ht="14.1" customHeight="1" x14ac:dyDescent="0.2">
      <c r="A97" s="99"/>
      <c r="B97" s="1"/>
      <c r="C97" s="2" t="s">
        <v>135</v>
      </c>
      <c r="D97" s="1"/>
      <c r="E97" s="1" t="s">
        <v>136</v>
      </c>
      <c r="F97" s="115">
        <v>0</v>
      </c>
      <c r="G97" s="9">
        <v>0</v>
      </c>
      <c r="H97" s="109"/>
    </row>
    <row r="98" spans="1:8" ht="14.1" customHeight="1" x14ac:dyDescent="0.2">
      <c r="A98" s="99"/>
      <c r="B98" s="1"/>
      <c r="C98" s="10"/>
      <c r="D98" s="1"/>
      <c r="E98" s="1"/>
      <c r="F98" s="11"/>
      <c r="G98" s="11"/>
      <c r="H98" s="109"/>
    </row>
    <row r="99" spans="1:8" ht="14.1" customHeight="1" x14ac:dyDescent="0.2">
      <c r="A99" s="99"/>
      <c r="B99" s="1"/>
      <c r="C99" s="2" t="s">
        <v>151</v>
      </c>
      <c r="D99" s="1"/>
      <c r="E99" s="1"/>
      <c r="F99" s="11"/>
      <c r="G99" s="11"/>
      <c r="H99" s="109"/>
    </row>
    <row r="100" spans="1:8" ht="14.1" customHeight="1" x14ac:dyDescent="0.2">
      <c r="A100" s="99"/>
      <c r="B100" s="1"/>
      <c r="C100" s="2" t="s">
        <v>135</v>
      </c>
      <c r="D100" s="1"/>
      <c r="E100" s="1" t="s">
        <v>136</v>
      </c>
      <c r="F100" s="115">
        <v>0</v>
      </c>
      <c r="G100" s="9">
        <v>0</v>
      </c>
      <c r="H100" s="109"/>
    </row>
    <row r="101" spans="1:8" ht="14.1" customHeight="1" x14ac:dyDescent="0.2">
      <c r="A101" s="99"/>
      <c r="B101" s="1"/>
      <c r="C101" s="10"/>
      <c r="D101" s="1"/>
      <c r="E101" s="1"/>
      <c r="F101" s="11"/>
      <c r="G101" s="11"/>
      <c r="H101" s="109"/>
    </row>
    <row r="102" spans="1:8" ht="14.1" customHeight="1" x14ac:dyDescent="0.2">
      <c r="A102" s="99"/>
      <c r="B102" s="1"/>
      <c r="C102" s="2" t="s">
        <v>152</v>
      </c>
      <c r="D102" s="1"/>
      <c r="E102" s="1"/>
      <c r="F102" s="11"/>
      <c r="G102" s="11"/>
      <c r="H102" s="109"/>
    </row>
    <row r="103" spans="1:8" ht="17.100000000000001" customHeight="1" x14ac:dyDescent="0.2">
      <c r="A103" s="100">
        <v>1</v>
      </c>
      <c r="B103" s="3"/>
      <c r="C103" s="3" t="s">
        <v>153</v>
      </c>
      <c r="D103" s="3"/>
      <c r="E103" s="7"/>
      <c r="F103" s="5">
        <v>2046.9460820070001</v>
      </c>
      <c r="G103" s="6">
        <v>3.4416330000000002E-2</v>
      </c>
      <c r="H103" s="109">
        <v>6.6015165706411825</v>
      </c>
    </row>
    <row r="104" spans="1:8" ht="14.1" customHeight="1" x14ac:dyDescent="0.2">
      <c r="A104" s="99"/>
      <c r="B104" s="1"/>
      <c r="C104" s="2" t="s">
        <v>135</v>
      </c>
      <c r="D104" s="1"/>
      <c r="E104" s="1" t="s">
        <v>136</v>
      </c>
      <c r="F104" s="8">
        <v>2046.9460820070001</v>
      </c>
      <c r="G104" s="9">
        <v>3.4416330000000002E-2</v>
      </c>
      <c r="H104" s="109"/>
    </row>
    <row r="105" spans="1:8" ht="14.1" customHeight="1" x14ac:dyDescent="0.2">
      <c r="A105" s="99"/>
      <c r="B105" s="1"/>
      <c r="C105" s="10"/>
      <c r="D105" s="1"/>
      <c r="E105" s="1"/>
      <c r="F105" s="11"/>
      <c r="G105" s="11"/>
      <c r="H105" s="109"/>
    </row>
    <row r="106" spans="1:8" ht="14.1" customHeight="1" x14ac:dyDescent="0.2">
      <c r="A106" s="99"/>
      <c r="B106" s="1"/>
      <c r="C106" s="2" t="s">
        <v>154</v>
      </c>
      <c r="D106" s="1"/>
      <c r="E106" s="1"/>
      <c r="F106" s="8">
        <v>2046.9460820070001</v>
      </c>
      <c r="G106" s="9">
        <v>3.4416330000000002E-2</v>
      </c>
      <c r="H106" s="109"/>
    </row>
    <row r="107" spans="1:8" ht="14.1" customHeight="1" x14ac:dyDescent="0.2">
      <c r="A107" s="99"/>
      <c r="B107" s="1"/>
      <c r="C107" s="11"/>
      <c r="D107" s="1"/>
      <c r="E107" s="1"/>
      <c r="F107" s="1"/>
      <c r="G107" s="1"/>
      <c r="H107" s="109"/>
    </row>
    <row r="108" spans="1:8" ht="14.1" customHeight="1" x14ac:dyDescent="0.2">
      <c r="A108" s="99"/>
      <c r="B108" s="1"/>
      <c r="C108" s="2" t="s">
        <v>155</v>
      </c>
      <c r="D108" s="1"/>
      <c r="E108" s="1"/>
      <c r="F108" s="1"/>
      <c r="G108" s="1"/>
      <c r="H108" s="109"/>
    </row>
    <row r="109" spans="1:8" ht="14.1" customHeight="1" x14ac:dyDescent="0.2">
      <c r="A109" s="99"/>
      <c r="B109" s="1"/>
      <c r="C109" s="2" t="s">
        <v>156</v>
      </c>
      <c r="D109" s="1"/>
      <c r="E109" s="1"/>
      <c r="F109" s="1"/>
      <c r="G109" s="1"/>
      <c r="H109" s="109"/>
    </row>
    <row r="110" spans="1:8" ht="14.1" customHeight="1" x14ac:dyDescent="0.2">
      <c r="A110" s="99"/>
      <c r="B110" s="1"/>
      <c r="C110" s="2" t="s">
        <v>135</v>
      </c>
      <c r="D110" s="1"/>
      <c r="E110" s="1" t="s">
        <v>136</v>
      </c>
      <c r="F110" s="115">
        <v>0</v>
      </c>
      <c r="G110" s="9">
        <v>0</v>
      </c>
      <c r="H110" s="109"/>
    </row>
    <row r="111" spans="1:8" ht="14.1" customHeight="1" x14ac:dyDescent="0.2">
      <c r="A111" s="99"/>
      <c r="B111" s="1"/>
      <c r="C111" s="10"/>
      <c r="D111" s="1"/>
      <c r="E111" s="1"/>
      <c r="F111" s="11"/>
      <c r="G111" s="11"/>
      <c r="H111" s="109"/>
    </row>
    <row r="112" spans="1:8" ht="14.1" customHeight="1" x14ac:dyDescent="0.2">
      <c r="A112" s="99"/>
      <c r="B112" s="1"/>
      <c r="C112" s="2" t="s">
        <v>157</v>
      </c>
      <c r="D112" s="1"/>
      <c r="E112" s="1"/>
      <c r="F112" s="1"/>
      <c r="G112" s="1"/>
      <c r="H112" s="109"/>
    </row>
    <row r="113" spans="1:8" ht="14.1" customHeight="1" x14ac:dyDescent="0.2">
      <c r="A113" s="99"/>
      <c r="B113" s="1"/>
      <c r="C113" s="2" t="s">
        <v>158</v>
      </c>
      <c r="D113" s="1"/>
      <c r="E113" s="1"/>
      <c r="F113" s="1"/>
      <c r="G113" s="1"/>
      <c r="H113" s="109"/>
    </row>
    <row r="114" spans="1:8" ht="14.1" customHeight="1" x14ac:dyDescent="0.2">
      <c r="A114" s="99"/>
      <c r="B114" s="1"/>
      <c r="C114" s="2" t="s">
        <v>135</v>
      </c>
      <c r="D114" s="1"/>
      <c r="E114" s="1" t="s">
        <v>136</v>
      </c>
      <c r="F114" s="115">
        <v>0</v>
      </c>
      <c r="G114" s="9">
        <v>0</v>
      </c>
      <c r="H114" s="109"/>
    </row>
    <row r="115" spans="1:8" ht="14.1" customHeight="1" x14ac:dyDescent="0.2">
      <c r="A115" s="99"/>
      <c r="B115" s="1"/>
      <c r="C115" s="10"/>
      <c r="D115" s="1"/>
      <c r="E115" s="1"/>
      <c r="F115" s="11"/>
      <c r="G115" s="11"/>
      <c r="H115" s="109"/>
    </row>
    <row r="116" spans="1:8" ht="24" customHeight="1" x14ac:dyDescent="0.2">
      <c r="A116" s="99"/>
      <c r="B116" s="1"/>
      <c r="C116" s="2" t="s">
        <v>159</v>
      </c>
      <c r="D116" s="1"/>
      <c r="E116" s="1"/>
      <c r="F116" s="11"/>
      <c r="G116" s="11"/>
      <c r="H116" s="109"/>
    </row>
    <row r="117" spans="1:8" ht="14.1" customHeight="1" x14ac:dyDescent="0.2">
      <c r="A117" s="99"/>
      <c r="B117" s="1"/>
      <c r="C117" s="2" t="s">
        <v>135</v>
      </c>
      <c r="D117" s="1"/>
      <c r="E117" s="1" t="s">
        <v>136</v>
      </c>
      <c r="F117" s="115">
        <v>0</v>
      </c>
      <c r="G117" s="9">
        <v>0</v>
      </c>
      <c r="H117" s="109"/>
    </row>
    <row r="118" spans="1:8" ht="14.1" customHeight="1" x14ac:dyDescent="0.2">
      <c r="A118" s="99"/>
      <c r="B118" s="1"/>
      <c r="C118" s="10"/>
      <c r="D118" s="1"/>
      <c r="E118" s="1"/>
      <c r="F118" s="11"/>
      <c r="G118" s="11"/>
      <c r="H118" s="109"/>
    </row>
    <row r="119" spans="1:8" ht="14.1" customHeight="1" x14ac:dyDescent="0.2">
      <c r="A119" s="99"/>
      <c r="B119" s="3"/>
      <c r="C119" s="3"/>
      <c r="D119" s="2"/>
      <c r="E119" s="1"/>
      <c r="F119" s="3"/>
      <c r="G119" s="7"/>
      <c r="H119" s="109"/>
    </row>
    <row r="120" spans="1:8" ht="18" customHeight="1" x14ac:dyDescent="0.2">
      <c r="A120" s="101"/>
      <c r="B120" s="3"/>
      <c r="C120" s="3" t="s">
        <v>160</v>
      </c>
      <c r="D120" s="3"/>
      <c r="E120" s="7"/>
      <c r="F120" s="5">
        <v>203.23822544000001</v>
      </c>
      <c r="G120" s="6">
        <v>3.4171499999999999E-3</v>
      </c>
      <c r="H120" s="109"/>
    </row>
    <row r="121" spans="1:8" ht="14.1" customHeight="1" x14ac:dyDescent="0.2">
      <c r="A121" s="102"/>
      <c r="B121" s="10"/>
      <c r="C121" s="2" t="s">
        <v>161</v>
      </c>
      <c r="D121" s="11"/>
      <c r="E121" s="11"/>
      <c r="F121" s="8">
        <v>59476.020746536</v>
      </c>
      <c r="G121" s="12">
        <v>1.0000000499999999</v>
      </c>
      <c r="H121" s="109"/>
    </row>
    <row r="122" spans="1:8" ht="14.1" customHeight="1" x14ac:dyDescent="0.2">
      <c r="A122" s="13"/>
      <c r="B122" s="13"/>
      <c r="C122" s="13"/>
      <c r="D122" s="14"/>
      <c r="E122" s="14"/>
      <c r="F122" s="14"/>
      <c r="G122" s="14"/>
    </row>
    <row r="123" spans="1:8" ht="17.100000000000001" customHeight="1" x14ac:dyDescent="0.2">
      <c r="A123" s="15"/>
      <c r="B123" s="193" t="s">
        <v>162</v>
      </c>
      <c r="C123" s="193"/>
      <c r="D123" s="193"/>
      <c r="E123" s="193"/>
      <c r="F123" s="193"/>
      <c r="G123" s="17"/>
    </row>
    <row r="124" spans="1:8" ht="14.1" customHeight="1" x14ac:dyDescent="0.2">
      <c r="A124" s="15"/>
      <c r="B124" s="15"/>
      <c r="C124" s="15"/>
      <c r="D124" s="17"/>
      <c r="E124" s="17"/>
      <c r="F124" s="17"/>
      <c r="G124" s="17"/>
    </row>
    <row r="125" spans="1:8" ht="14.1" customHeight="1" x14ac:dyDescent="0.2">
      <c r="A125" s="15"/>
      <c r="B125" s="194" t="s">
        <v>163</v>
      </c>
      <c r="C125" s="195"/>
      <c r="D125" s="196"/>
      <c r="E125" s="18"/>
      <c r="F125" s="17"/>
      <c r="G125" s="17"/>
    </row>
    <row r="126" spans="1:8" ht="29.1" customHeight="1" x14ac:dyDescent="0.2">
      <c r="A126" s="15"/>
      <c r="B126" s="191" t="s">
        <v>164</v>
      </c>
      <c r="C126" s="192"/>
      <c r="D126" s="2" t="s">
        <v>165</v>
      </c>
      <c r="E126" s="18"/>
      <c r="F126" s="17"/>
      <c r="G126" s="17"/>
    </row>
    <row r="127" spans="1:8" ht="17.100000000000001" customHeight="1" x14ac:dyDescent="0.2">
      <c r="A127" s="15"/>
      <c r="B127" s="191" t="s">
        <v>915</v>
      </c>
      <c r="C127" s="192"/>
      <c r="D127" s="2" t="s">
        <v>916</v>
      </c>
      <c r="E127" s="18"/>
      <c r="F127" s="17"/>
      <c r="G127" s="17"/>
    </row>
    <row r="128" spans="1:8" ht="17.100000000000001" customHeight="1" x14ac:dyDescent="0.2">
      <c r="A128" s="15"/>
      <c r="B128" s="191" t="s">
        <v>167</v>
      </c>
      <c r="C128" s="192"/>
      <c r="D128" s="11" t="s">
        <v>136</v>
      </c>
      <c r="E128" s="18"/>
      <c r="F128" s="17"/>
      <c r="G128" s="17"/>
    </row>
    <row r="129" spans="1:7" ht="24" customHeight="1" x14ac:dyDescent="0.2">
      <c r="A129" s="19"/>
      <c r="B129" s="20" t="s">
        <v>136</v>
      </c>
      <c r="C129" s="20" t="s">
        <v>168</v>
      </c>
      <c r="D129" s="20" t="s">
        <v>169</v>
      </c>
      <c r="E129" s="19"/>
      <c r="F129" s="19"/>
      <c r="G129" s="19"/>
    </row>
    <row r="130" spans="1:7" ht="18" customHeight="1" x14ac:dyDescent="0.2">
      <c r="A130" s="19"/>
      <c r="B130" s="21" t="s">
        <v>170</v>
      </c>
      <c r="C130" s="20" t="s">
        <v>171</v>
      </c>
      <c r="D130" s="20" t="s">
        <v>172</v>
      </c>
      <c r="E130" s="19"/>
      <c r="F130" s="19"/>
      <c r="G130" s="19"/>
    </row>
    <row r="131" spans="1:7" ht="17.100000000000001" customHeight="1" x14ac:dyDescent="0.2">
      <c r="A131" s="19"/>
      <c r="B131" s="3" t="s">
        <v>173</v>
      </c>
      <c r="C131" s="22">
        <v>55.040199999999999</v>
      </c>
      <c r="D131" s="22">
        <v>54.499299999999998</v>
      </c>
      <c r="E131" s="19"/>
      <c r="F131" s="16"/>
      <c r="G131" s="23"/>
    </row>
    <row r="132" spans="1:7" ht="17.100000000000001" customHeight="1" x14ac:dyDescent="0.2">
      <c r="A132" s="19"/>
      <c r="B132" s="3" t="s">
        <v>994</v>
      </c>
      <c r="C132" s="22">
        <v>39.479500000000002</v>
      </c>
      <c r="D132" s="22">
        <v>39.091500000000003</v>
      </c>
      <c r="E132" s="19"/>
      <c r="F132" s="16"/>
      <c r="G132" s="23"/>
    </row>
    <row r="133" spans="1:7" ht="17.100000000000001" customHeight="1" x14ac:dyDescent="0.2">
      <c r="A133" s="19"/>
      <c r="B133" s="3" t="s">
        <v>174</v>
      </c>
      <c r="C133" s="22">
        <v>52.228099999999998</v>
      </c>
      <c r="D133" s="22">
        <v>51.686799999999998</v>
      </c>
      <c r="E133" s="19"/>
      <c r="F133" s="16"/>
      <c r="G133" s="23"/>
    </row>
    <row r="134" spans="1:7" ht="17.100000000000001" customHeight="1" x14ac:dyDescent="0.2">
      <c r="A134" s="19"/>
      <c r="B134" s="3" t="s">
        <v>995</v>
      </c>
      <c r="C134" s="22">
        <v>37.273200000000003</v>
      </c>
      <c r="D134" s="22">
        <v>36.886899999999997</v>
      </c>
      <c r="E134" s="19"/>
      <c r="F134" s="16"/>
      <c r="G134" s="23"/>
    </row>
    <row r="135" spans="1:7" ht="14.1" customHeight="1" x14ac:dyDescent="0.2">
      <c r="A135" s="19"/>
      <c r="B135" s="19"/>
      <c r="C135" s="19"/>
      <c r="D135" s="19"/>
      <c r="E135" s="19"/>
      <c r="F135" s="19"/>
      <c r="G135" s="19"/>
    </row>
    <row r="136" spans="1:7" ht="17.100000000000001" customHeight="1" x14ac:dyDescent="0.2">
      <c r="A136" s="19"/>
      <c r="B136" s="191" t="s">
        <v>1044</v>
      </c>
      <c r="C136" s="192"/>
      <c r="D136" s="2" t="s">
        <v>165</v>
      </c>
      <c r="E136" s="19"/>
      <c r="F136" s="19"/>
      <c r="G136" s="19"/>
    </row>
    <row r="137" spans="1:7" ht="18" customHeight="1" x14ac:dyDescent="0.2">
      <c r="A137" s="19"/>
      <c r="B137" s="24"/>
      <c r="C137" s="24"/>
      <c r="D137" s="24"/>
      <c r="E137" s="19"/>
      <c r="F137" s="19"/>
      <c r="G137" s="19"/>
    </row>
    <row r="138" spans="1:7" ht="29.1" customHeight="1" x14ac:dyDescent="0.2">
      <c r="A138" s="19"/>
      <c r="B138" s="191" t="s">
        <v>175</v>
      </c>
      <c r="C138" s="192"/>
      <c r="D138" s="2" t="s">
        <v>165</v>
      </c>
      <c r="E138" s="25"/>
      <c r="F138" s="19"/>
      <c r="G138" s="19"/>
    </row>
    <row r="139" spans="1:7" ht="29.1" customHeight="1" x14ac:dyDescent="0.2">
      <c r="A139" s="19"/>
      <c r="B139" s="191" t="s">
        <v>176</v>
      </c>
      <c r="C139" s="192"/>
      <c r="D139" s="2" t="s">
        <v>165</v>
      </c>
      <c r="E139" s="25"/>
      <c r="F139" s="19"/>
      <c r="G139" s="19"/>
    </row>
    <row r="140" spans="1:7" ht="17.100000000000001" customHeight="1" x14ac:dyDescent="0.2">
      <c r="A140" s="19"/>
      <c r="B140" s="191" t="s">
        <v>177</v>
      </c>
      <c r="C140" s="192"/>
      <c r="D140" s="2" t="s">
        <v>165</v>
      </c>
      <c r="E140" s="25"/>
      <c r="F140" s="19"/>
      <c r="G140" s="19"/>
    </row>
    <row r="141" spans="1:7" ht="17.100000000000001" customHeight="1" x14ac:dyDescent="0.2">
      <c r="A141" s="19"/>
      <c r="B141" s="191" t="s">
        <v>178</v>
      </c>
      <c r="C141" s="192"/>
      <c r="D141" s="26">
        <v>0.2960469851934126</v>
      </c>
      <c r="E141" s="19"/>
      <c r="F141" s="16"/>
      <c r="G141" s="23"/>
    </row>
    <row r="142" spans="1:7" ht="14.1" customHeight="1" x14ac:dyDescent="0.2">
      <c r="A142" s="24"/>
      <c r="B142" s="24"/>
      <c r="C142" s="24"/>
      <c r="D142" s="24"/>
      <c r="E142" s="24"/>
      <c r="F142" s="24"/>
      <c r="G142" s="24"/>
    </row>
  </sheetData>
  <mergeCells count="14">
    <mergeCell ref="J2:N2"/>
    <mergeCell ref="A1:H1"/>
    <mergeCell ref="A2:H2"/>
    <mergeCell ref="A3:H3"/>
    <mergeCell ref="B141:C141"/>
    <mergeCell ref="B136:C136"/>
    <mergeCell ref="B138:C138"/>
    <mergeCell ref="B128:C128"/>
    <mergeCell ref="B123:F123"/>
    <mergeCell ref="B125:D125"/>
    <mergeCell ref="B139:C139"/>
    <mergeCell ref="B140:C140"/>
    <mergeCell ref="B126:C126"/>
    <mergeCell ref="B127:C127"/>
  </mergeCells>
  <hyperlinks>
    <hyperlink ref="I1" location="Index!B2" display="Index" xr:uid="{F9D937B0-71AB-467A-B460-619FA17B4999}"/>
  </hyperlinks>
  <pageMargins left="5.000000074505806E-2" right="5.000000074505806E-2" top="0.30000001192092896" bottom="0.20000000298023224" header="0" footer="0"/>
  <pageSetup paperSize="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55"/>
  <sheetViews>
    <sheetView showGridLines="0" workbookViewId="0">
      <selection sqref="A1:H1"/>
    </sheetView>
  </sheetViews>
  <sheetFormatPr defaultRowHeight="12.75" x14ac:dyDescent="0.2"/>
  <cols>
    <col min="1" max="1" width="4.7109375" customWidth="1"/>
    <col min="2" max="2" width="20.5703125" customWidth="1"/>
    <col min="3" max="3" width="34.28515625" customWidth="1"/>
    <col min="4" max="4" width="17.85546875" customWidth="1"/>
    <col min="5" max="6" width="19.140625" customWidth="1"/>
    <col min="7" max="7" width="16.42578125" customWidth="1"/>
    <col min="9" max="9" width="12.140625" bestFit="1" customWidth="1"/>
    <col min="10" max="10" width="9.5703125" bestFit="1" customWidth="1"/>
  </cols>
  <sheetData>
    <row r="1" spans="1:15" ht="18" customHeight="1" x14ac:dyDescent="0.2">
      <c r="A1" s="187" t="s">
        <v>0</v>
      </c>
      <c r="B1" s="187"/>
      <c r="C1" s="187"/>
      <c r="D1" s="187"/>
      <c r="E1" s="187"/>
      <c r="F1" s="187"/>
      <c r="G1" s="187"/>
      <c r="H1" s="187"/>
      <c r="I1" s="167" t="s">
        <v>1055</v>
      </c>
    </row>
    <row r="2" spans="1:15" ht="17.100000000000001" customHeight="1" x14ac:dyDescent="0.2">
      <c r="A2" s="188" t="s">
        <v>179</v>
      </c>
      <c r="B2" s="189"/>
      <c r="C2" s="189"/>
      <c r="D2" s="189"/>
      <c r="E2" s="189"/>
      <c r="F2" s="189"/>
      <c r="G2" s="189"/>
      <c r="H2" s="190"/>
      <c r="J2" s="186" t="s">
        <v>1056</v>
      </c>
      <c r="K2" s="186"/>
      <c r="L2" s="186"/>
      <c r="M2" s="186"/>
      <c r="N2" s="186"/>
    </row>
    <row r="3" spans="1:15" ht="21" customHeight="1" x14ac:dyDescent="0.2">
      <c r="A3" s="187" t="s">
        <v>1052</v>
      </c>
      <c r="B3" s="187"/>
      <c r="C3" s="187"/>
      <c r="D3" s="187"/>
      <c r="E3" s="187"/>
      <c r="F3" s="187"/>
      <c r="G3" s="187"/>
      <c r="H3" s="187"/>
    </row>
    <row r="4" spans="1:15" ht="30" x14ac:dyDescent="0.2">
      <c r="A4" s="163" t="s">
        <v>2</v>
      </c>
      <c r="B4" s="164" t="s">
        <v>3</v>
      </c>
      <c r="C4" s="164" t="s">
        <v>4</v>
      </c>
      <c r="D4" s="164" t="s">
        <v>5</v>
      </c>
      <c r="E4" s="164" t="s">
        <v>6</v>
      </c>
      <c r="F4" s="164" t="s">
        <v>7</v>
      </c>
      <c r="G4" s="164" t="s">
        <v>8</v>
      </c>
      <c r="H4" s="120" t="s">
        <v>881</v>
      </c>
      <c r="I4" s="165"/>
      <c r="J4" s="165"/>
      <c r="K4" s="165"/>
      <c r="L4" s="165"/>
      <c r="M4" s="165"/>
      <c r="N4" s="165"/>
      <c r="O4" s="165"/>
    </row>
    <row r="5" spans="1:15" ht="14.1" customHeight="1" x14ac:dyDescent="0.2">
      <c r="A5" s="99"/>
      <c r="B5" s="1"/>
      <c r="C5" s="2" t="s">
        <v>9</v>
      </c>
      <c r="D5" s="1"/>
      <c r="E5" s="1"/>
      <c r="F5" s="1"/>
      <c r="G5" s="1"/>
      <c r="H5" s="109"/>
    </row>
    <row r="6" spans="1:15" ht="24" customHeight="1" x14ac:dyDescent="0.2">
      <c r="A6" s="99"/>
      <c r="B6" s="1"/>
      <c r="C6" s="2" t="s">
        <v>10</v>
      </c>
      <c r="D6" s="1"/>
      <c r="E6" s="1"/>
      <c r="F6" s="1"/>
      <c r="G6" s="1"/>
      <c r="H6" s="109"/>
    </row>
    <row r="7" spans="1:15" ht="17.100000000000001" customHeight="1" x14ac:dyDescent="0.2">
      <c r="A7" s="100">
        <v>1</v>
      </c>
      <c r="B7" s="3" t="s">
        <v>78</v>
      </c>
      <c r="C7" s="3" t="s">
        <v>79</v>
      </c>
      <c r="D7" s="3" t="s">
        <v>80</v>
      </c>
      <c r="E7" s="4">
        <v>914013</v>
      </c>
      <c r="F7" s="5">
        <v>27254.496640500001</v>
      </c>
      <c r="G7" s="6">
        <v>3.8665499999999998E-2</v>
      </c>
      <c r="H7" s="109"/>
    </row>
    <row r="8" spans="1:15" ht="17.100000000000001" customHeight="1" x14ac:dyDescent="0.2">
      <c r="A8" s="100">
        <v>2</v>
      </c>
      <c r="B8" s="3" t="s">
        <v>180</v>
      </c>
      <c r="C8" s="3" t="s">
        <v>181</v>
      </c>
      <c r="D8" s="3" t="s">
        <v>22</v>
      </c>
      <c r="E8" s="4">
        <v>20427488</v>
      </c>
      <c r="F8" s="5">
        <v>26382.100751999998</v>
      </c>
      <c r="G8" s="6">
        <v>3.7427849999999999E-2</v>
      </c>
      <c r="H8" s="109"/>
    </row>
    <row r="9" spans="1:15" ht="17.100000000000001" customHeight="1" x14ac:dyDescent="0.2">
      <c r="A9" s="100">
        <v>3</v>
      </c>
      <c r="B9" s="3" t="s">
        <v>182</v>
      </c>
      <c r="C9" s="3" t="s">
        <v>183</v>
      </c>
      <c r="D9" s="3" t="s">
        <v>120</v>
      </c>
      <c r="E9" s="4">
        <v>1486180</v>
      </c>
      <c r="F9" s="5">
        <v>17883.947029999999</v>
      </c>
      <c r="G9" s="6">
        <v>2.5371660000000001E-2</v>
      </c>
      <c r="H9" s="109"/>
    </row>
    <row r="10" spans="1:15" ht="17.100000000000001" customHeight="1" x14ac:dyDescent="0.2">
      <c r="A10" s="100">
        <v>4</v>
      </c>
      <c r="B10" s="3" t="s">
        <v>184</v>
      </c>
      <c r="C10" s="3" t="s">
        <v>185</v>
      </c>
      <c r="D10" s="3" t="s">
        <v>996</v>
      </c>
      <c r="E10" s="4">
        <v>360981</v>
      </c>
      <c r="F10" s="5">
        <v>17302.180311</v>
      </c>
      <c r="G10" s="6">
        <v>2.454632E-2</v>
      </c>
      <c r="H10" s="109"/>
    </row>
    <row r="11" spans="1:15" ht="29.1" customHeight="1" x14ac:dyDescent="0.2">
      <c r="A11" s="100">
        <v>5</v>
      </c>
      <c r="B11" s="3" t="s">
        <v>186</v>
      </c>
      <c r="C11" s="3" t="s">
        <v>187</v>
      </c>
      <c r="D11" s="3" t="s">
        <v>188</v>
      </c>
      <c r="E11" s="4">
        <v>419040</v>
      </c>
      <c r="F11" s="5">
        <v>17298.390240000001</v>
      </c>
      <c r="G11" s="6">
        <v>2.4540940000000001E-2</v>
      </c>
      <c r="H11" s="109"/>
    </row>
    <row r="12" spans="1:15" ht="17.100000000000001" customHeight="1" x14ac:dyDescent="0.2">
      <c r="A12" s="100">
        <v>6</v>
      </c>
      <c r="B12" s="3" t="s">
        <v>83</v>
      </c>
      <c r="C12" s="3" t="s">
        <v>84</v>
      </c>
      <c r="D12" s="3" t="s">
        <v>31</v>
      </c>
      <c r="E12" s="4">
        <v>1070514</v>
      </c>
      <c r="F12" s="5">
        <v>16808.140314</v>
      </c>
      <c r="G12" s="6">
        <v>2.3845430000000001E-2</v>
      </c>
      <c r="H12" s="109"/>
    </row>
    <row r="13" spans="1:15" ht="17.100000000000001" customHeight="1" x14ac:dyDescent="0.2">
      <c r="A13" s="100">
        <v>7</v>
      </c>
      <c r="B13" s="3" t="s">
        <v>37</v>
      </c>
      <c r="C13" s="3" t="s">
        <v>38</v>
      </c>
      <c r="D13" s="3" t="s">
        <v>31</v>
      </c>
      <c r="E13" s="4">
        <v>920000</v>
      </c>
      <c r="F13" s="5">
        <v>16603.240000000002</v>
      </c>
      <c r="G13" s="6">
        <v>2.3554740000000001E-2</v>
      </c>
      <c r="H13" s="109"/>
      <c r="J13" s="169" t="s">
        <v>1058</v>
      </c>
    </row>
    <row r="14" spans="1:15" ht="29.1" customHeight="1" x14ac:dyDescent="0.2">
      <c r="A14" s="100">
        <v>8</v>
      </c>
      <c r="B14" s="3" t="s">
        <v>189</v>
      </c>
      <c r="C14" s="3" t="s">
        <v>190</v>
      </c>
      <c r="D14" s="3" t="s">
        <v>191</v>
      </c>
      <c r="E14" s="4">
        <v>1794703</v>
      </c>
      <c r="F14" s="5">
        <v>16126.3038065</v>
      </c>
      <c r="G14" s="6">
        <v>2.2878119999999998E-2</v>
      </c>
      <c r="H14" s="109"/>
    </row>
    <row r="15" spans="1:15" ht="17.100000000000001" customHeight="1" x14ac:dyDescent="0.2">
      <c r="A15" s="100">
        <v>9</v>
      </c>
      <c r="B15" s="3" t="s">
        <v>192</v>
      </c>
      <c r="C15" s="3" t="s">
        <v>193</v>
      </c>
      <c r="D15" s="3" t="s">
        <v>80</v>
      </c>
      <c r="E15" s="4">
        <v>577786</v>
      </c>
      <c r="F15" s="5">
        <v>16015.072348</v>
      </c>
      <c r="G15" s="6">
        <v>2.2720319999999999E-2</v>
      </c>
      <c r="H15" s="109"/>
    </row>
    <row r="16" spans="1:15" ht="17.100000000000001" customHeight="1" x14ac:dyDescent="0.2">
      <c r="A16" s="100">
        <v>10</v>
      </c>
      <c r="B16" s="3" t="s">
        <v>194</v>
      </c>
      <c r="C16" s="3" t="s">
        <v>195</v>
      </c>
      <c r="D16" s="3" t="s">
        <v>196</v>
      </c>
      <c r="E16" s="4">
        <v>1200000</v>
      </c>
      <c r="F16" s="5">
        <v>15609</v>
      </c>
      <c r="G16" s="6">
        <v>2.2144230000000001E-2</v>
      </c>
      <c r="H16" s="109"/>
    </row>
    <row r="17" spans="1:10" ht="17.100000000000001" customHeight="1" x14ac:dyDescent="0.2">
      <c r="A17" s="100">
        <v>11</v>
      </c>
      <c r="B17" s="3" t="s">
        <v>197</v>
      </c>
      <c r="C17" s="3" t="s">
        <v>198</v>
      </c>
      <c r="D17" s="3" t="s">
        <v>22</v>
      </c>
      <c r="E17" s="4">
        <v>1820839</v>
      </c>
      <c r="F17" s="5">
        <v>15369.701999000001</v>
      </c>
      <c r="G17" s="6">
        <v>2.180474E-2</v>
      </c>
      <c r="H17" s="109"/>
    </row>
    <row r="18" spans="1:10" ht="17.100000000000001" customHeight="1" x14ac:dyDescent="0.2">
      <c r="A18" s="100">
        <v>12</v>
      </c>
      <c r="B18" s="3" t="s">
        <v>199</v>
      </c>
      <c r="C18" s="3" t="s">
        <v>200</v>
      </c>
      <c r="D18" s="3" t="s">
        <v>22</v>
      </c>
      <c r="E18" s="4">
        <v>2577077</v>
      </c>
      <c r="F18" s="5">
        <v>15279.489533</v>
      </c>
      <c r="G18" s="6">
        <v>2.167676E-2</v>
      </c>
      <c r="H18" s="109"/>
    </row>
    <row r="19" spans="1:10" ht="17.100000000000001" customHeight="1" x14ac:dyDescent="0.2">
      <c r="A19" s="100">
        <v>13</v>
      </c>
      <c r="B19" s="3" t="s">
        <v>201</v>
      </c>
      <c r="C19" s="3" t="s">
        <v>202</v>
      </c>
      <c r="D19" s="3" t="s">
        <v>203</v>
      </c>
      <c r="E19" s="4">
        <v>1177934</v>
      </c>
      <c r="F19" s="5">
        <v>15055.763421</v>
      </c>
      <c r="G19" s="6">
        <v>2.1359360000000001E-2</v>
      </c>
      <c r="H19" s="109"/>
    </row>
    <row r="20" spans="1:10" ht="29.1" customHeight="1" x14ac:dyDescent="0.2">
      <c r="A20" s="100">
        <v>14</v>
      </c>
      <c r="B20" s="3" t="s">
        <v>204</v>
      </c>
      <c r="C20" s="3" t="s">
        <v>205</v>
      </c>
      <c r="D20" s="3" t="s">
        <v>115</v>
      </c>
      <c r="E20" s="4">
        <v>4900000</v>
      </c>
      <c r="F20" s="5">
        <v>14888.65</v>
      </c>
      <c r="G20" s="6">
        <v>2.112228E-2</v>
      </c>
      <c r="H20" s="109"/>
    </row>
    <row r="21" spans="1:10" ht="17.100000000000001" customHeight="1" x14ac:dyDescent="0.2">
      <c r="A21" s="100">
        <v>15</v>
      </c>
      <c r="B21" s="3" t="s">
        <v>206</v>
      </c>
      <c r="C21" s="3" t="s">
        <v>207</v>
      </c>
      <c r="D21" s="3" t="s">
        <v>91</v>
      </c>
      <c r="E21" s="4">
        <v>5175000</v>
      </c>
      <c r="F21" s="5">
        <v>14637.487499999999</v>
      </c>
      <c r="G21" s="6">
        <v>2.076596E-2</v>
      </c>
      <c r="H21" s="109"/>
    </row>
    <row r="22" spans="1:10" ht="29.1" customHeight="1" x14ac:dyDescent="0.2">
      <c r="A22" s="100">
        <v>16</v>
      </c>
      <c r="B22" s="3" t="s">
        <v>50</v>
      </c>
      <c r="C22" s="3" t="s">
        <v>51</v>
      </c>
      <c r="D22" s="3" t="s">
        <v>52</v>
      </c>
      <c r="E22" s="4">
        <v>14839928</v>
      </c>
      <c r="F22" s="5">
        <v>14038.571888</v>
      </c>
      <c r="G22" s="6">
        <v>1.991629E-2</v>
      </c>
      <c r="H22" s="109"/>
      <c r="J22" s="169" t="s">
        <v>1059</v>
      </c>
    </row>
    <row r="23" spans="1:10" ht="17.100000000000001" customHeight="1" x14ac:dyDescent="0.2">
      <c r="A23" s="100">
        <v>17</v>
      </c>
      <c r="B23" s="3" t="s">
        <v>208</v>
      </c>
      <c r="C23" s="3" t="s">
        <v>209</v>
      </c>
      <c r="D23" s="3" t="s">
        <v>210</v>
      </c>
      <c r="E23" s="4">
        <v>5238374</v>
      </c>
      <c r="F23" s="5">
        <v>13999.554515</v>
      </c>
      <c r="G23" s="6">
        <v>1.9860940000000001E-2</v>
      </c>
      <c r="H23" s="109"/>
    </row>
    <row r="24" spans="1:10" ht="29.1" customHeight="1" x14ac:dyDescent="0.2">
      <c r="A24" s="100">
        <v>18</v>
      </c>
      <c r="B24" s="3" t="s">
        <v>118</v>
      </c>
      <c r="C24" s="3" t="s">
        <v>119</v>
      </c>
      <c r="D24" s="3" t="s">
        <v>120</v>
      </c>
      <c r="E24" s="4">
        <v>1816845</v>
      </c>
      <c r="F24" s="5">
        <v>13744.432425000001</v>
      </c>
      <c r="G24" s="6">
        <v>1.9498999999999999E-2</v>
      </c>
      <c r="H24" s="109"/>
    </row>
    <row r="25" spans="1:10" ht="29.1" customHeight="1" x14ac:dyDescent="0.2">
      <c r="A25" s="100">
        <v>19</v>
      </c>
      <c r="B25" s="3" t="s">
        <v>76</v>
      </c>
      <c r="C25" s="3" t="s">
        <v>77</v>
      </c>
      <c r="D25" s="3" t="s">
        <v>25</v>
      </c>
      <c r="E25" s="4">
        <v>730694</v>
      </c>
      <c r="F25" s="5">
        <v>13400.197265999999</v>
      </c>
      <c r="G25" s="6">
        <v>1.9010639999999999E-2</v>
      </c>
      <c r="H25" s="109"/>
    </row>
    <row r="26" spans="1:10" ht="17.100000000000001" customHeight="1" x14ac:dyDescent="0.2">
      <c r="A26" s="100">
        <v>20</v>
      </c>
      <c r="B26" s="3" t="s">
        <v>211</v>
      </c>
      <c r="C26" s="3" t="s">
        <v>212</v>
      </c>
      <c r="D26" s="3" t="s">
        <v>213</v>
      </c>
      <c r="E26" s="4">
        <v>2357032</v>
      </c>
      <c r="F26" s="5">
        <v>12944.819744</v>
      </c>
      <c r="G26" s="6">
        <v>1.8364599999999998E-2</v>
      </c>
      <c r="H26" s="109"/>
    </row>
    <row r="27" spans="1:10" ht="17.100000000000001" customHeight="1" x14ac:dyDescent="0.2">
      <c r="A27" s="100">
        <v>21</v>
      </c>
      <c r="B27" s="3" t="s">
        <v>214</v>
      </c>
      <c r="C27" s="3" t="s">
        <v>215</v>
      </c>
      <c r="D27" s="3" t="s">
        <v>216</v>
      </c>
      <c r="E27" s="4">
        <v>1837568</v>
      </c>
      <c r="F27" s="5">
        <v>12724.239616000001</v>
      </c>
      <c r="G27" s="6">
        <v>1.8051669999999999E-2</v>
      </c>
      <c r="H27" s="109"/>
    </row>
    <row r="28" spans="1:10" ht="17.100000000000001" customHeight="1" x14ac:dyDescent="0.2">
      <c r="A28" s="100">
        <v>22</v>
      </c>
      <c r="B28" s="3" t="s">
        <v>217</v>
      </c>
      <c r="C28" s="3" t="s">
        <v>218</v>
      </c>
      <c r="D28" s="3" t="s">
        <v>115</v>
      </c>
      <c r="E28" s="4">
        <v>10541307</v>
      </c>
      <c r="F28" s="5">
        <v>11980.195405500001</v>
      </c>
      <c r="G28" s="6">
        <v>1.6996109999999998E-2</v>
      </c>
      <c r="H28" s="109"/>
    </row>
    <row r="29" spans="1:10" ht="17.100000000000001" customHeight="1" x14ac:dyDescent="0.2">
      <c r="A29" s="100">
        <v>23</v>
      </c>
      <c r="B29" s="3" t="s">
        <v>98</v>
      </c>
      <c r="C29" s="3" t="s">
        <v>99</v>
      </c>
      <c r="D29" s="3" t="s">
        <v>97</v>
      </c>
      <c r="E29" s="4">
        <v>1379663</v>
      </c>
      <c r="F29" s="5">
        <v>11829.230562000001</v>
      </c>
      <c r="G29" s="6">
        <v>1.678193E-2</v>
      </c>
      <c r="H29" s="109"/>
    </row>
    <row r="30" spans="1:10" ht="29.1" customHeight="1" x14ac:dyDescent="0.2">
      <c r="A30" s="100">
        <v>24</v>
      </c>
      <c r="B30" s="3" t="s">
        <v>219</v>
      </c>
      <c r="C30" s="3" t="s">
        <v>220</v>
      </c>
      <c r="D30" s="3" t="s">
        <v>221</v>
      </c>
      <c r="E30" s="4">
        <v>2503500</v>
      </c>
      <c r="F30" s="5">
        <v>11661.303</v>
      </c>
      <c r="G30" s="6">
        <v>1.6543700000000001E-2</v>
      </c>
      <c r="H30" s="109"/>
    </row>
    <row r="31" spans="1:10" ht="17.100000000000001" customHeight="1" x14ac:dyDescent="0.2">
      <c r="A31" s="100">
        <v>25</v>
      </c>
      <c r="B31" s="3" t="s">
        <v>45</v>
      </c>
      <c r="C31" s="3" t="s">
        <v>46</v>
      </c>
      <c r="D31" s="3" t="s">
        <v>47</v>
      </c>
      <c r="E31" s="4">
        <v>7980615</v>
      </c>
      <c r="F31" s="5">
        <v>11611.794825000001</v>
      </c>
      <c r="G31" s="6">
        <v>1.6473459999999999E-2</v>
      </c>
      <c r="H31" s="109"/>
    </row>
    <row r="32" spans="1:10" ht="17.100000000000001" customHeight="1" x14ac:dyDescent="0.2">
      <c r="A32" s="100">
        <v>26</v>
      </c>
      <c r="B32" s="3" t="s">
        <v>222</v>
      </c>
      <c r="C32" s="3" t="s">
        <v>223</v>
      </c>
      <c r="D32" s="3" t="s">
        <v>22</v>
      </c>
      <c r="E32" s="4">
        <v>7276283</v>
      </c>
      <c r="F32" s="5">
        <v>11569.28997</v>
      </c>
      <c r="G32" s="6">
        <v>1.641316E-2</v>
      </c>
      <c r="H32" s="109"/>
    </row>
    <row r="33" spans="1:8" ht="17.100000000000001" customHeight="1" x14ac:dyDescent="0.2">
      <c r="A33" s="100">
        <v>27</v>
      </c>
      <c r="B33" s="3" t="s">
        <v>224</v>
      </c>
      <c r="C33" s="3" t="s">
        <v>225</v>
      </c>
      <c r="D33" s="3" t="s">
        <v>196</v>
      </c>
      <c r="E33" s="4">
        <v>774410</v>
      </c>
      <c r="F33" s="5">
        <v>11204.93829</v>
      </c>
      <c r="G33" s="6">
        <v>1.5896259999999999E-2</v>
      </c>
      <c r="H33" s="109"/>
    </row>
    <row r="34" spans="1:8" ht="17.100000000000001" customHeight="1" x14ac:dyDescent="0.2">
      <c r="A34" s="100">
        <v>28</v>
      </c>
      <c r="B34" s="3" t="s">
        <v>226</v>
      </c>
      <c r="C34" s="3" t="s">
        <v>227</v>
      </c>
      <c r="D34" s="3" t="s">
        <v>228</v>
      </c>
      <c r="E34" s="4">
        <v>29110</v>
      </c>
      <c r="F34" s="5">
        <v>11052.965115000001</v>
      </c>
      <c r="G34" s="6">
        <v>1.5680659999999999E-2</v>
      </c>
      <c r="H34" s="109"/>
    </row>
    <row r="35" spans="1:8" ht="17.100000000000001" customHeight="1" x14ac:dyDescent="0.2">
      <c r="A35" s="100">
        <v>29</v>
      </c>
      <c r="B35" s="3" t="s">
        <v>229</v>
      </c>
      <c r="C35" s="3" t="s">
        <v>230</v>
      </c>
      <c r="D35" s="3" t="s">
        <v>115</v>
      </c>
      <c r="E35" s="4">
        <v>1198091</v>
      </c>
      <c r="F35" s="5">
        <v>10686.97172</v>
      </c>
      <c r="G35" s="6">
        <v>1.516143E-2</v>
      </c>
      <c r="H35" s="109"/>
    </row>
    <row r="36" spans="1:8" ht="17.100000000000001" customHeight="1" x14ac:dyDescent="0.2">
      <c r="A36" s="100">
        <v>30</v>
      </c>
      <c r="B36" s="3" t="s">
        <v>231</v>
      </c>
      <c r="C36" s="3" t="s">
        <v>232</v>
      </c>
      <c r="D36" s="3" t="s">
        <v>80</v>
      </c>
      <c r="E36" s="4">
        <v>218552</v>
      </c>
      <c r="F36" s="5">
        <v>10602.613176000001</v>
      </c>
      <c r="G36" s="6">
        <v>1.504175E-2</v>
      </c>
      <c r="H36" s="109"/>
    </row>
    <row r="37" spans="1:8" ht="17.100000000000001" customHeight="1" x14ac:dyDescent="0.2">
      <c r="A37" s="100">
        <v>31</v>
      </c>
      <c r="B37" s="3" t="s">
        <v>233</v>
      </c>
      <c r="C37" s="3" t="s">
        <v>234</v>
      </c>
      <c r="D37" s="3" t="s">
        <v>235</v>
      </c>
      <c r="E37" s="4">
        <v>2398218</v>
      </c>
      <c r="F37" s="5">
        <v>10572.544053</v>
      </c>
      <c r="G37" s="6">
        <v>1.499909E-2</v>
      </c>
      <c r="H37" s="109"/>
    </row>
    <row r="38" spans="1:8" ht="17.100000000000001" customHeight="1" x14ac:dyDescent="0.2">
      <c r="A38" s="100">
        <v>32</v>
      </c>
      <c r="B38" s="3" t="s">
        <v>32</v>
      </c>
      <c r="C38" s="3" t="s">
        <v>33</v>
      </c>
      <c r="D38" s="3" t="s">
        <v>22</v>
      </c>
      <c r="E38" s="4">
        <v>1956846</v>
      </c>
      <c r="F38" s="5">
        <v>10230.390888</v>
      </c>
      <c r="G38" s="6">
        <v>1.4513689999999999E-2</v>
      </c>
      <c r="H38" s="109"/>
    </row>
    <row r="39" spans="1:8" ht="29.1" customHeight="1" x14ac:dyDescent="0.2">
      <c r="A39" s="100">
        <v>33</v>
      </c>
      <c r="B39" s="3" t="s">
        <v>236</v>
      </c>
      <c r="C39" s="3" t="s">
        <v>237</v>
      </c>
      <c r="D39" s="3" t="s">
        <v>80</v>
      </c>
      <c r="E39" s="4">
        <v>96753</v>
      </c>
      <c r="F39" s="5">
        <v>10208.699289</v>
      </c>
      <c r="G39" s="6">
        <v>1.448291E-2</v>
      </c>
      <c r="H39" s="109"/>
    </row>
    <row r="40" spans="1:8" ht="17.100000000000001" customHeight="1" x14ac:dyDescent="0.2">
      <c r="A40" s="100">
        <v>34</v>
      </c>
      <c r="B40" s="3" t="s">
        <v>238</v>
      </c>
      <c r="C40" s="3" t="s">
        <v>239</v>
      </c>
      <c r="D40" s="3" t="s">
        <v>210</v>
      </c>
      <c r="E40" s="4">
        <v>229764</v>
      </c>
      <c r="F40" s="5">
        <v>10113.407106000001</v>
      </c>
      <c r="G40" s="6">
        <v>1.434772E-2</v>
      </c>
      <c r="H40" s="109"/>
    </row>
    <row r="41" spans="1:8" ht="17.100000000000001" customHeight="1" x14ac:dyDescent="0.2">
      <c r="A41" s="100">
        <v>35</v>
      </c>
      <c r="B41" s="3" t="s">
        <v>240</v>
      </c>
      <c r="C41" s="3" t="s">
        <v>241</v>
      </c>
      <c r="D41" s="3" t="s">
        <v>242</v>
      </c>
      <c r="E41" s="4">
        <v>4915401</v>
      </c>
      <c r="F41" s="5">
        <v>9614.5243559999999</v>
      </c>
      <c r="G41" s="6">
        <v>1.363997E-2</v>
      </c>
      <c r="H41" s="109"/>
    </row>
    <row r="42" spans="1:8" ht="17.100000000000001" customHeight="1" x14ac:dyDescent="0.2">
      <c r="A42" s="100">
        <v>36</v>
      </c>
      <c r="B42" s="3" t="s">
        <v>243</v>
      </c>
      <c r="C42" s="3" t="s">
        <v>244</v>
      </c>
      <c r="D42" s="3" t="s">
        <v>31</v>
      </c>
      <c r="E42" s="4">
        <v>495337</v>
      </c>
      <c r="F42" s="5">
        <v>9354.4392449999996</v>
      </c>
      <c r="G42" s="6">
        <v>1.327099E-2</v>
      </c>
      <c r="H42" s="109"/>
    </row>
    <row r="43" spans="1:8" ht="17.100000000000001" customHeight="1" x14ac:dyDescent="0.2">
      <c r="A43" s="100">
        <v>37</v>
      </c>
      <c r="B43" s="3" t="s">
        <v>245</v>
      </c>
      <c r="C43" s="3" t="s">
        <v>246</v>
      </c>
      <c r="D43" s="3" t="s">
        <v>120</v>
      </c>
      <c r="E43" s="4">
        <v>1549881</v>
      </c>
      <c r="F43" s="5">
        <v>8911.0408095000003</v>
      </c>
      <c r="G43" s="6">
        <v>1.2641950000000001E-2</v>
      </c>
      <c r="H43" s="109"/>
    </row>
    <row r="44" spans="1:8" ht="29.1" customHeight="1" x14ac:dyDescent="0.2">
      <c r="A44" s="100">
        <v>38</v>
      </c>
      <c r="B44" s="3" t="s">
        <v>247</v>
      </c>
      <c r="C44" s="3" t="s">
        <v>248</v>
      </c>
      <c r="D44" s="3" t="s">
        <v>221</v>
      </c>
      <c r="E44" s="4">
        <v>1069392</v>
      </c>
      <c r="F44" s="5">
        <v>8640.1526639999993</v>
      </c>
      <c r="G44" s="6">
        <v>1.225764E-2</v>
      </c>
      <c r="H44" s="109"/>
    </row>
    <row r="45" spans="1:8" ht="17.100000000000001" customHeight="1" x14ac:dyDescent="0.2">
      <c r="A45" s="100">
        <v>39</v>
      </c>
      <c r="B45" s="3" t="s">
        <v>249</v>
      </c>
      <c r="C45" s="3" t="s">
        <v>250</v>
      </c>
      <c r="D45" s="3" t="s">
        <v>31</v>
      </c>
      <c r="E45" s="4">
        <v>1037584</v>
      </c>
      <c r="F45" s="5">
        <v>8466.6854399999993</v>
      </c>
      <c r="G45" s="6">
        <v>1.2011549999999999E-2</v>
      </c>
      <c r="H45" s="109"/>
    </row>
    <row r="46" spans="1:8" ht="17.100000000000001" customHeight="1" x14ac:dyDescent="0.2">
      <c r="A46" s="100">
        <v>40</v>
      </c>
      <c r="B46" s="3" t="s">
        <v>251</v>
      </c>
      <c r="C46" s="3" t="s">
        <v>252</v>
      </c>
      <c r="D46" s="3" t="s">
        <v>253</v>
      </c>
      <c r="E46" s="4">
        <v>938906</v>
      </c>
      <c r="F46" s="5">
        <v>8451.0929059999999</v>
      </c>
      <c r="G46" s="6">
        <v>1.1989430000000001E-2</v>
      </c>
      <c r="H46" s="109"/>
    </row>
    <row r="47" spans="1:8" ht="29.1" customHeight="1" x14ac:dyDescent="0.2">
      <c r="A47" s="100">
        <v>41</v>
      </c>
      <c r="B47" s="3" t="s">
        <v>254</v>
      </c>
      <c r="C47" s="3" t="s">
        <v>255</v>
      </c>
      <c r="D47" s="3" t="s">
        <v>188</v>
      </c>
      <c r="E47" s="4">
        <v>388510</v>
      </c>
      <c r="F47" s="5">
        <v>8425.0336050000005</v>
      </c>
      <c r="G47" s="6">
        <v>1.195246E-2</v>
      </c>
      <c r="H47" s="109"/>
    </row>
    <row r="48" spans="1:8" ht="17.100000000000001" customHeight="1" x14ac:dyDescent="0.2">
      <c r="A48" s="100">
        <v>42</v>
      </c>
      <c r="B48" s="3" t="s">
        <v>43</v>
      </c>
      <c r="C48" s="3" t="s">
        <v>44</v>
      </c>
      <c r="D48" s="3" t="s">
        <v>31</v>
      </c>
      <c r="E48" s="4">
        <v>264673</v>
      </c>
      <c r="F48" s="5">
        <v>8155.5014854999999</v>
      </c>
      <c r="G48" s="6">
        <v>1.157008E-2</v>
      </c>
      <c r="H48" s="109"/>
    </row>
    <row r="49" spans="1:8" ht="29.1" customHeight="1" x14ac:dyDescent="0.2">
      <c r="A49" s="100">
        <v>43</v>
      </c>
      <c r="B49" s="3" t="s">
        <v>256</v>
      </c>
      <c r="C49" s="3" t="s">
        <v>257</v>
      </c>
      <c r="D49" s="3" t="s">
        <v>221</v>
      </c>
      <c r="E49" s="4">
        <v>2584280</v>
      </c>
      <c r="F49" s="5">
        <v>8123.6841800000002</v>
      </c>
      <c r="G49" s="6">
        <v>1.1524939999999999E-2</v>
      </c>
      <c r="H49" s="109"/>
    </row>
    <row r="50" spans="1:8" ht="17.100000000000001" customHeight="1" x14ac:dyDescent="0.2">
      <c r="A50" s="100">
        <v>44</v>
      </c>
      <c r="B50" s="3" t="s">
        <v>55</v>
      </c>
      <c r="C50" s="3" t="s">
        <v>56</v>
      </c>
      <c r="D50" s="3" t="s">
        <v>57</v>
      </c>
      <c r="E50" s="4">
        <v>1371326</v>
      </c>
      <c r="F50" s="5">
        <v>8097.6800300000004</v>
      </c>
      <c r="G50" s="6">
        <v>1.148804E-2</v>
      </c>
      <c r="H50" s="109"/>
    </row>
    <row r="51" spans="1:8" ht="29.1" customHeight="1" x14ac:dyDescent="0.2">
      <c r="A51" s="100">
        <v>45</v>
      </c>
      <c r="B51" s="3" t="s">
        <v>258</v>
      </c>
      <c r="C51" s="3" t="s">
        <v>259</v>
      </c>
      <c r="D51" s="3" t="s">
        <v>191</v>
      </c>
      <c r="E51" s="4">
        <v>257816</v>
      </c>
      <c r="F51" s="5">
        <v>7991.1358280000004</v>
      </c>
      <c r="G51" s="6">
        <v>1.1336890000000001E-2</v>
      </c>
      <c r="H51" s="109"/>
    </row>
    <row r="52" spans="1:8" ht="17.100000000000001" customHeight="1" x14ac:dyDescent="0.2">
      <c r="A52" s="100">
        <v>46</v>
      </c>
      <c r="B52" s="3" t="s">
        <v>260</v>
      </c>
      <c r="C52" s="3" t="s">
        <v>261</v>
      </c>
      <c r="D52" s="3" t="s">
        <v>120</v>
      </c>
      <c r="E52" s="4">
        <v>431570</v>
      </c>
      <c r="F52" s="5">
        <v>7888.6680299999998</v>
      </c>
      <c r="G52" s="6">
        <v>1.119152E-2</v>
      </c>
      <c r="H52" s="109"/>
    </row>
    <row r="53" spans="1:8" ht="17.100000000000001" customHeight="1" x14ac:dyDescent="0.2">
      <c r="A53" s="100">
        <v>47</v>
      </c>
      <c r="B53" s="3" t="s">
        <v>262</v>
      </c>
      <c r="C53" s="3" t="s">
        <v>263</v>
      </c>
      <c r="D53" s="3" t="s">
        <v>115</v>
      </c>
      <c r="E53" s="4">
        <v>887593</v>
      </c>
      <c r="F53" s="5">
        <v>7286.6947335000004</v>
      </c>
      <c r="G53" s="6">
        <v>1.0337509999999999E-2</v>
      </c>
      <c r="H53" s="109"/>
    </row>
    <row r="54" spans="1:8" ht="17.100000000000001" customHeight="1" x14ac:dyDescent="0.2">
      <c r="A54" s="100">
        <v>48</v>
      </c>
      <c r="B54" s="3" t="s">
        <v>20</v>
      </c>
      <c r="C54" s="3" t="s">
        <v>21</v>
      </c>
      <c r="D54" s="3" t="s">
        <v>22</v>
      </c>
      <c r="E54" s="4">
        <v>828829</v>
      </c>
      <c r="F54" s="5">
        <v>7085.2447064999997</v>
      </c>
      <c r="G54" s="6">
        <v>1.005172E-2</v>
      </c>
      <c r="H54" s="109"/>
    </row>
    <row r="55" spans="1:8" ht="17.100000000000001" customHeight="1" x14ac:dyDescent="0.2">
      <c r="A55" s="100">
        <v>49</v>
      </c>
      <c r="B55" s="3" t="s">
        <v>264</v>
      </c>
      <c r="C55" s="3" t="s">
        <v>265</v>
      </c>
      <c r="D55" s="3" t="s">
        <v>996</v>
      </c>
      <c r="E55" s="4">
        <v>148820</v>
      </c>
      <c r="F55" s="5">
        <v>7027.3548099999998</v>
      </c>
      <c r="G55" s="6">
        <v>9.9695900000000004E-3</v>
      </c>
      <c r="H55" s="109"/>
    </row>
    <row r="56" spans="1:8" ht="17.100000000000001" customHeight="1" x14ac:dyDescent="0.2">
      <c r="A56" s="100">
        <v>50</v>
      </c>
      <c r="B56" s="3" t="s">
        <v>266</v>
      </c>
      <c r="C56" s="3" t="s">
        <v>267</v>
      </c>
      <c r="D56" s="3" t="s">
        <v>80</v>
      </c>
      <c r="E56" s="4">
        <v>1381838</v>
      </c>
      <c r="F56" s="5">
        <v>7003.8459030000004</v>
      </c>
      <c r="G56" s="6">
        <v>9.9362400000000007E-3</v>
      </c>
      <c r="H56" s="109"/>
    </row>
    <row r="57" spans="1:8" ht="29.1" customHeight="1" x14ac:dyDescent="0.2">
      <c r="A57" s="100">
        <v>51</v>
      </c>
      <c r="B57" s="3" t="s">
        <v>268</v>
      </c>
      <c r="C57" s="3" t="s">
        <v>269</v>
      </c>
      <c r="D57" s="3" t="s">
        <v>221</v>
      </c>
      <c r="E57" s="4">
        <v>528115</v>
      </c>
      <c r="F57" s="5">
        <v>6960.8197575000004</v>
      </c>
      <c r="G57" s="6">
        <v>9.8752000000000006E-3</v>
      </c>
      <c r="H57" s="109"/>
    </row>
    <row r="58" spans="1:8" ht="17.100000000000001" customHeight="1" x14ac:dyDescent="0.2">
      <c r="A58" s="100">
        <v>52</v>
      </c>
      <c r="B58" s="3" t="s">
        <v>270</v>
      </c>
      <c r="C58" s="3" t="s">
        <v>901</v>
      </c>
      <c r="D58" s="3" t="s">
        <v>235</v>
      </c>
      <c r="E58" s="4">
        <v>1663978</v>
      </c>
      <c r="F58" s="5">
        <v>6101.8073260000001</v>
      </c>
      <c r="G58" s="6">
        <v>8.6565300000000008E-3</v>
      </c>
      <c r="H58" s="109"/>
    </row>
    <row r="59" spans="1:8" ht="29.1" customHeight="1" x14ac:dyDescent="0.2">
      <c r="A59" s="100">
        <v>53</v>
      </c>
      <c r="B59" s="3" t="s">
        <v>271</v>
      </c>
      <c r="C59" s="3" t="s">
        <v>272</v>
      </c>
      <c r="D59" s="3" t="s">
        <v>221</v>
      </c>
      <c r="E59" s="4">
        <v>860035</v>
      </c>
      <c r="F59" s="5">
        <v>5669.7807375000002</v>
      </c>
      <c r="G59" s="6">
        <v>8.0436199999999996E-3</v>
      </c>
      <c r="H59" s="109"/>
    </row>
    <row r="60" spans="1:8" ht="17.100000000000001" customHeight="1" x14ac:dyDescent="0.2">
      <c r="A60" s="100">
        <v>54</v>
      </c>
      <c r="B60" s="3" t="s">
        <v>273</v>
      </c>
      <c r="C60" s="3" t="s">
        <v>274</v>
      </c>
      <c r="D60" s="3" t="s">
        <v>71</v>
      </c>
      <c r="E60" s="4">
        <v>517596</v>
      </c>
      <c r="F60" s="5">
        <v>5591.5895879999998</v>
      </c>
      <c r="G60" s="6">
        <v>7.9327000000000009E-3</v>
      </c>
      <c r="H60" s="109"/>
    </row>
    <row r="61" spans="1:8" ht="17.100000000000001" customHeight="1" x14ac:dyDescent="0.2">
      <c r="A61" s="100">
        <v>55</v>
      </c>
      <c r="B61" s="3" t="s">
        <v>275</v>
      </c>
      <c r="C61" s="3" t="s">
        <v>276</v>
      </c>
      <c r="D61" s="3" t="s">
        <v>277</v>
      </c>
      <c r="E61" s="4">
        <v>1212534</v>
      </c>
      <c r="F61" s="5">
        <v>4842.2545289999998</v>
      </c>
      <c r="G61" s="6">
        <v>6.8696299999999998E-3</v>
      </c>
      <c r="H61" s="109"/>
    </row>
    <row r="62" spans="1:8" ht="17.100000000000001" customHeight="1" x14ac:dyDescent="0.2">
      <c r="A62" s="100">
        <v>56</v>
      </c>
      <c r="B62" s="3" t="s">
        <v>278</v>
      </c>
      <c r="C62" s="3" t="s">
        <v>279</v>
      </c>
      <c r="D62" s="3" t="s">
        <v>115</v>
      </c>
      <c r="E62" s="4">
        <v>421757</v>
      </c>
      <c r="F62" s="5">
        <v>4532.4116004999996</v>
      </c>
      <c r="G62" s="6">
        <v>6.4300599999999996E-3</v>
      </c>
      <c r="H62" s="109"/>
    </row>
    <row r="63" spans="1:8" ht="17.100000000000001" customHeight="1" x14ac:dyDescent="0.2">
      <c r="A63" s="100">
        <v>57</v>
      </c>
      <c r="B63" s="3" t="s">
        <v>74</v>
      </c>
      <c r="C63" s="3" t="s">
        <v>75</v>
      </c>
      <c r="D63" s="3" t="s">
        <v>31</v>
      </c>
      <c r="E63" s="4">
        <v>356831</v>
      </c>
      <c r="F63" s="5">
        <v>4243.6126674999996</v>
      </c>
      <c r="G63" s="6">
        <v>6.0203399999999999E-3</v>
      </c>
      <c r="H63" s="109"/>
    </row>
    <row r="64" spans="1:8" ht="17.100000000000001" customHeight="1" x14ac:dyDescent="0.2">
      <c r="A64" s="100">
        <v>58</v>
      </c>
      <c r="B64" s="3" t="s">
        <v>280</v>
      </c>
      <c r="C64" s="3" t="s">
        <v>281</v>
      </c>
      <c r="D64" s="3" t="s">
        <v>91</v>
      </c>
      <c r="E64" s="4">
        <v>950319</v>
      </c>
      <c r="F64" s="5">
        <v>4168.5742934999998</v>
      </c>
      <c r="G64" s="6">
        <v>5.9138899999999998E-3</v>
      </c>
      <c r="H64" s="109"/>
    </row>
    <row r="65" spans="1:8" ht="17.100000000000001" customHeight="1" x14ac:dyDescent="0.2">
      <c r="A65" s="100">
        <v>59</v>
      </c>
      <c r="B65" s="3" t="s">
        <v>282</v>
      </c>
      <c r="C65" s="3" t="s">
        <v>283</v>
      </c>
      <c r="D65" s="3" t="s">
        <v>80</v>
      </c>
      <c r="E65" s="4">
        <v>181602</v>
      </c>
      <c r="F65" s="5">
        <v>3658.0998869999999</v>
      </c>
      <c r="G65" s="6">
        <v>5.1896900000000003E-3</v>
      </c>
      <c r="H65" s="109"/>
    </row>
    <row r="66" spans="1:8" ht="17.100000000000001" customHeight="1" x14ac:dyDescent="0.2">
      <c r="A66" s="100">
        <v>60</v>
      </c>
      <c r="B66" s="3" t="s">
        <v>284</v>
      </c>
      <c r="C66" s="3" t="s">
        <v>285</v>
      </c>
      <c r="D66" s="3" t="s">
        <v>996</v>
      </c>
      <c r="E66" s="4">
        <v>175649</v>
      </c>
      <c r="F66" s="5">
        <v>3575.1597459999998</v>
      </c>
      <c r="G66" s="6">
        <v>5.07202E-3</v>
      </c>
      <c r="H66" s="109"/>
    </row>
    <row r="67" spans="1:8" ht="17.100000000000001" customHeight="1" x14ac:dyDescent="0.2">
      <c r="A67" s="100">
        <v>61</v>
      </c>
      <c r="B67" s="3" t="s">
        <v>104</v>
      </c>
      <c r="C67" s="3" t="s">
        <v>105</v>
      </c>
      <c r="D67" s="3" t="s">
        <v>80</v>
      </c>
      <c r="E67" s="4">
        <v>627124</v>
      </c>
      <c r="F67" s="5">
        <v>2810.142644</v>
      </c>
      <c r="G67" s="6">
        <v>3.9867000000000001E-3</v>
      </c>
      <c r="H67" s="109"/>
    </row>
    <row r="68" spans="1:8" ht="17.100000000000001" customHeight="1" x14ac:dyDescent="0.2">
      <c r="A68" s="100">
        <v>62</v>
      </c>
      <c r="B68" s="3" t="s">
        <v>286</v>
      </c>
      <c r="C68" s="3" t="s">
        <v>287</v>
      </c>
      <c r="D68" s="3" t="s">
        <v>19</v>
      </c>
      <c r="E68" s="4">
        <v>974179</v>
      </c>
      <c r="F68" s="5">
        <v>2096.9202974999998</v>
      </c>
      <c r="G68" s="6">
        <v>2.9748700000000001E-3</v>
      </c>
      <c r="H68" s="109"/>
    </row>
    <row r="69" spans="1:8" ht="17.100000000000001" customHeight="1" x14ac:dyDescent="0.2">
      <c r="A69" s="100">
        <v>63</v>
      </c>
      <c r="B69" s="3" t="s">
        <v>288</v>
      </c>
      <c r="C69" s="3" t="s">
        <v>289</v>
      </c>
      <c r="D69" s="3" t="s">
        <v>228</v>
      </c>
      <c r="E69" s="4">
        <v>172436</v>
      </c>
      <c r="F69" s="5">
        <v>992.45539799999995</v>
      </c>
      <c r="G69" s="6">
        <v>1.4079800000000001E-3</v>
      </c>
      <c r="H69" s="109"/>
    </row>
    <row r="70" spans="1:8" ht="17.100000000000001" customHeight="1" x14ac:dyDescent="0.2">
      <c r="A70" s="100">
        <v>64</v>
      </c>
      <c r="B70" s="3" t="s">
        <v>290</v>
      </c>
      <c r="C70" s="3" t="s">
        <v>291</v>
      </c>
      <c r="D70" s="3" t="s">
        <v>115</v>
      </c>
      <c r="E70" s="4">
        <v>16541</v>
      </c>
      <c r="F70" s="5">
        <v>478.14241650000002</v>
      </c>
      <c r="G70" s="6">
        <v>6.7832999999999999E-4</v>
      </c>
      <c r="H70" s="109"/>
    </row>
    <row r="71" spans="1:8" ht="14.1" customHeight="1" x14ac:dyDescent="0.2">
      <c r="A71" s="99"/>
      <c r="B71" s="1"/>
      <c r="C71" s="2" t="s">
        <v>135</v>
      </c>
      <c r="D71" s="1"/>
      <c r="E71" s="1" t="s">
        <v>136</v>
      </c>
      <c r="F71" s="8">
        <v>672934.67236900004</v>
      </c>
      <c r="G71" s="9">
        <v>0.95468129999999995</v>
      </c>
      <c r="H71" s="109"/>
    </row>
    <row r="72" spans="1:8" ht="14.1" customHeight="1" x14ac:dyDescent="0.2">
      <c r="A72" s="99"/>
      <c r="B72" s="1"/>
      <c r="C72" s="10"/>
      <c r="D72" s="1"/>
      <c r="E72" s="1"/>
      <c r="F72" s="11"/>
      <c r="G72" s="11"/>
      <c r="H72" s="109"/>
    </row>
    <row r="73" spans="1:8" ht="14.1" customHeight="1" x14ac:dyDescent="0.2">
      <c r="A73" s="99"/>
      <c r="B73" s="1"/>
      <c r="C73" s="2" t="s">
        <v>137</v>
      </c>
      <c r="D73" s="1"/>
      <c r="E73" s="1"/>
      <c r="F73" s="1"/>
      <c r="G73" s="1"/>
      <c r="H73" s="109"/>
    </row>
    <row r="74" spans="1:8" ht="14.1" customHeight="1" x14ac:dyDescent="0.2">
      <c r="A74" s="99"/>
      <c r="B74" s="1"/>
      <c r="C74" s="2" t="s">
        <v>135</v>
      </c>
      <c r="D74" s="1"/>
      <c r="E74" s="1" t="s">
        <v>136</v>
      </c>
      <c r="F74" s="115">
        <v>0</v>
      </c>
      <c r="G74" s="9">
        <v>0</v>
      </c>
      <c r="H74" s="109"/>
    </row>
    <row r="75" spans="1:8" ht="14.1" customHeight="1" x14ac:dyDescent="0.2">
      <c r="A75" s="99"/>
      <c r="B75" s="1"/>
      <c r="C75" s="10"/>
      <c r="D75" s="1"/>
      <c r="E75" s="1"/>
      <c r="F75" s="11"/>
      <c r="G75" s="11"/>
      <c r="H75" s="109"/>
    </row>
    <row r="76" spans="1:8" ht="14.1" customHeight="1" x14ac:dyDescent="0.2">
      <c r="A76" s="99"/>
      <c r="B76" s="1"/>
      <c r="C76" s="2" t="s">
        <v>138</v>
      </c>
      <c r="D76" s="1"/>
      <c r="E76" s="1"/>
      <c r="F76" s="1"/>
      <c r="G76" s="1"/>
      <c r="H76" s="109"/>
    </row>
    <row r="77" spans="1:8" ht="14.1" customHeight="1" x14ac:dyDescent="0.2">
      <c r="A77" s="99"/>
      <c r="B77" s="1"/>
      <c r="C77" s="2" t="s">
        <v>135</v>
      </c>
      <c r="D77" s="1"/>
      <c r="E77" s="1" t="s">
        <v>136</v>
      </c>
      <c r="F77" s="115">
        <v>0</v>
      </c>
      <c r="G77" s="9">
        <v>0</v>
      </c>
      <c r="H77" s="109"/>
    </row>
    <row r="78" spans="1:8" ht="14.1" customHeight="1" x14ac:dyDescent="0.2">
      <c r="A78" s="99"/>
      <c r="B78" s="1"/>
      <c r="C78" s="10"/>
      <c r="D78" s="1"/>
      <c r="E78" s="1"/>
      <c r="F78" s="11"/>
      <c r="G78" s="11"/>
      <c r="H78" s="109"/>
    </row>
    <row r="79" spans="1:8" ht="14.1" customHeight="1" x14ac:dyDescent="0.2">
      <c r="A79" s="99"/>
      <c r="B79" s="1"/>
      <c r="C79" s="2" t="s">
        <v>139</v>
      </c>
      <c r="D79" s="1"/>
      <c r="E79" s="1"/>
      <c r="F79" s="1"/>
      <c r="G79" s="1"/>
      <c r="H79" s="109"/>
    </row>
    <row r="80" spans="1:8" ht="14.1" customHeight="1" x14ac:dyDescent="0.2">
      <c r="A80" s="99"/>
      <c r="B80" s="1"/>
      <c r="C80" s="2" t="s">
        <v>135</v>
      </c>
      <c r="D80" s="1"/>
      <c r="E80" s="1" t="s">
        <v>136</v>
      </c>
      <c r="F80" s="115">
        <v>0</v>
      </c>
      <c r="G80" s="9">
        <v>0</v>
      </c>
      <c r="H80" s="109"/>
    </row>
    <row r="81" spans="1:8" ht="14.1" customHeight="1" x14ac:dyDescent="0.2">
      <c r="A81" s="99"/>
      <c r="B81" s="1"/>
      <c r="C81" s="10"/>
      <c r="D81" s="1"/>
      <c r="E81" s="1"/>
      <c r="F81" s="11"/>
      <c r="G81" s="11"/>
      <c r="H81" s="109"/>
    </row>
    <row r="82" spans="1:8" ht="14.1" customHeight="1" x14ac:dyDescent="0.2">
      <c r="A82" s="99"/>
      <c r="B82" s="1"/>
      <c r="C82" s="2" t="s">
        <v>140</v>
      </c>
      <c r="D82" s="1"/>
      <c r="E82" s="1"/>
      <c r="F82" s="11"/>
      <c r="G82" s="11"/>
      <c r="H82" s="109"/>
    </row>
    <row r="83" spans="1:8" ht="14.1" customHeight="1" x14ac:dyDescent="0.2">
      <c r="A83" s="99"/>
      <c r="B83" s="1"/>
      <c r="C83" s="2" t="s">
        <v>135</v>
      </c>
      <c r="D83" s="1"/>
      <c r="E83" s="1" t="s">
        <v>136</v>
      </c>
      <c r="F83" s="115">
        <v>0</v>
      </c>
      <c r="G83" s="9">
        <v>0</v>
      </c>
      <c r="H83" s="109"/>
    </row>
    <row r="84" spans="1:8" ht="14.1" customHeight="1" x14ac:dyDescent="0.2">
      <c r="A84" s="99"/>
      <c r="B84" s="1"/>
      <c r="C84" s="10"/>
      <c r="D84" s="1"/>
      <c r="E84" s="1"/>
      <c r="F84" s="11"/>
      <c r="G84" s="11"/>
      <c r="H84" s="109"/>
    </row>
    <row r="85" spans="1:8" ht="14.1" customHeight="1" x14ac:dyDescent="0.2">
      <c r="A85" s="99"/>
      <c r="B85" s="1"/>
      <c r="C85" s="2" t="s">
        <v>141</v>
      </c>
      <c r="D85" s="1"/>
      <c r="E85" s="1"/>
      <c r="F85" s="11"/>
      <c r="G85" s="11"/>
      <c r="H85" s="109"/>
    </row>
    <row r="86" spans="1:8" ht="14.1" customHeight="1" x14ac:dyDescent="0.2">
      <c r="A86" s="99"/>
      <c r="B86" s="1"/>
      <c r="C86" s="2" t="s">
        <v>135</v>
      </c>
      <c r="D86" s="1"/>
      <c r="E86" s="1" t="s">
        <v>136</v>
      </c>
      <c r="F86" s="115">
        <v>0</v>
      </c>
      <c r="G86" s="9">
        <v>0</v>
      </c>
      <c r="H86" s="109"/>
    </row>
    <row r="87" spans="1:8" ht="14.1" customHeight="1" x14ac:dyDescent="0.2">
      <c r="A87" s="99"/>
      <c r="B87" s="1"/>
      <c r="C87" s="10"/>
      <c r="D87" s="1"/>
      <c r="E87" s="1"/>
      <c r="F87" s="11"/>
      <c r="G87" s="11"/>
      <c r="H87" s="109"/>
    </row>
    <row r="88" spans="1:8" ht="18" customHeight="1" x14ac:dyDescent="0.2">
      <c r="A88" s="99"/>
      <c r="B88" s="1"/>
      <c r="C88" s="2" t="s">
        <v>142</v>
      </c>
      <c r="D88" s="1"/>
      <c r="E88" s="1"/>
      <c r="F88" s="8">
        <v>672934.67236900004</v>
      </c>
      <c r="G88" s="9">
        <v>0.95468129999999995</v>
      </c>
      <c r="H88" s="109"/>
    </row>
    <row r="89" spans="1:8" ht="14.1" customHeight="1" x14ac:dyDescent="0.2">
      <c r="A89" s="99"/>
      <c r="B89" s="1"/>
      <c r="C89" s="10"/>
      <c r="D89" s="1"/>
      <c r="E89" s="1"/>
      <c r="F89" s="11"/>
      <c r="G89" s="11"/>
      <c r="H89" s="109"/>
    </row>
    <row r="90" spans="1:8" ht="14.1" customHeight="1" x14ac:dyDescent="0.2">
      <c r="A90" s="99"/>
      <c r="B90" s="1"/>
      <c r="C90" s="2" t="s">
        <v>143</v>
      </c>
      <c r="D90" s="1"/>
      <c r="E90" s="1"/>
      <c r="F90" s="11"/>
      <c r="G90" s="11"/>
      <c r="H90" s="109"/>
    </row>
    <row r="91" spans="1:8" ht="24" customHeight="1" x14ac:dyDescent="0.2">
      <c r="A91" s="99"/>
      <c r="B91" s="1"/>
      <c r="C91" s="2" t="s">
        <v>10</v>
      </c>
      <c r="D91" s="1"/>
      <c r="E91" s="1"/>
      <c r="F91" s="11"/>
      <c r="G91" s="11"/>
      <c r="H91" s="109"/>
    </row>
    <row r="92" spans="1:8" ht="14.1" customHeight="1" x14ac:dyDescent="0.2">
      <c r="A92" s="99"/>
      <c r="B92" s="1"/>
      <c r="C92" s="2" t="s">
        <v>135</v>
      </c>
      <c r="D92" s="1"/>
      <c r="E92" s="1" t="s">
        <v>136</v>
      </c>
      <c r="F92" s="115">
        <v>0</v>
      </c>
      <c r="G92" s="9">
        <v>0</v>
      </c>
      <c r="H92" s="109"/>
    </row>
    <row r="93" spans="1:8" ht="14.1" customHeight="1" x14ac:dyDescent="0.2">
      <c r="A93" s="99"/>
      <c r="B93" s="1"/>
      <c r="C93" s="10"/>
      <c r="D93" s="1"/>
      <c r="E93" s="1"/>
      <c r="F93" s="11"/>
      <c r="G93" s="11"/>
      <c r="H93" s="109"/>
    </row>
    <row r="94" spans="1:8" ht="14.1" customHeight="1" x14ac:dyDescent="0.2">
      <c r="A94" s="99"/>
      <c r="B94" s="1"/>
      <c r="C94" s="2" t="s">
        <v>144</v>
      </c>
      <c r="D94" s="1"/>
      <c r="E94" s="1"/>
      <c r="F94" s="1"/>
      <c r="G94" s="1"/>
      <c r="H94" s="109"/>
    </row>
    <row r="95" spans="1:8" ht="14.1" customHeight="1" x14ac:dyDescent="0.2">
      <c r="A95" s="99"/>
      <c r="B95" s="1"/>
      <c r="C95" s="2" t="s">
        <v>135</v>
      </c>
      <c r="D95" s="1"/>
      <c r="E95" s="1" t="s">
        <v>136</v>
      </c>
      <c r="F95" s="115">
        <v>0</v>
      </c>
      <c r="G95" s="9">
        <v>0</v>
      </c>
      <c r="H95" s="109"/>
    </row>
    <row r="96" spans="1:8" ht="14.1" customHeight="1" x14ac:dyDescent="0.2">
      <c r="A96" s="99"/>
      <c r="B96" s="1"/>
      <c r="C96" s="10"/>
      <c r="D96" s="1"/>
      <c r="E96" s="1"/>
      <c r="F96" s="11"/>
      <c r="G96" s="11"/>
      <c r="H96" s="109"/>
    </row>
    <row r="97" spans="1:8" ht="14.1" customHeight="1" x14ac:dyDescent="0.2">
      <c r="A97" s="99"/>
      <c r="B97" s="1"/>
      <c r="C97" s="2" t="s">
        <v>145</v>
      </c>
      <c r="D97" s="1"/>
      <c r="E97" s="1"/>
      <c r="F97" s="1"/>
      <c r="G97" s="1"/>
      <c r="H97" s="109"/>
    </row>
    <row r="98" spans="1:8" ht="14.1" customHeight="1" x14ac:dyDescent="0.2">
      <c r="A98" s="99"/>
      <c r="B98" s="1"/>
      <c r="C98" s="2" t="s">
        <v>135</v>
      </c>
      <c r="D98" s="1"/>
      <c r="E98" s="1" t="s">
        <v>136</v>
      </c>
      <c r="F98" s="115">
        <v>0</v>
      </c>
      <c r="G98" s="9">
        <v>0</v>
      </c>
      <c r="H98" s="109"/>
    </row>
    <row r="99" spans="1:8" ht="14.1" customHeight="1" x14ac:dyDescent="0.2">
      <c r="A99" s="99"/>
      <c r="B99" s="1"/>
      <c r="C99" s="10"/>
      <c r="D99" s="1"/>
      <c r="E99" s="1"/>
      <c r="F99" s="11"/>
      <c r="G99" s="11"/>
      <c r="H99" s="109"/>
    </row>
    <row r="100" spans="1:8" ht="14.1" customHeight="1" x14ac:dyDescent="0.2">
      <c r="A100" s="99"/>
      <c r="B100" s="1"/>
      <c r="C100" s="2" t="s">
        <v>146</v>
      </c>
      <c r="D100" s="1"/>
      <c r="E100" s="1"/>
      <c r="F100" s="11"/>
      <c r="G100" s="11"/>
      <c r="H100" s="109"/>
    </row>
    <row r="101" spans="1:8" ht="14.1" customHeight="1" x14ac:dyDescent="0.2">
      <c r="A101" s="99"/>
      <c r="B101" s="1"/>
      <c r="C101" s="2" t="s">
        <v>135</v>
      </c>
      <c r="D101" s="1"/>
      <c r="E101" s="1" t="s">
        <v>136</v>
      </c>
      <c r="F101" s="115">
        <v>0</v>
      </c>
      <c r="G101" s="9">
        <v>0</v>
      </c>
      <c r="H101" s="109"/>
    </row>
    <row r="102" spans="1:8" ht="14.1" customHeight="1" x14ac:dyDescent="0.2">
      <c r="A102" s="99"/>
      <c r="B102" s="1"/>
      <c r="C102" s="10"/>
      <c r="D102" s="1"/>
      <c r="E102" s="1"/>
      <c r="F102" s="11"/>
      <c r="G102" s="11"/>
      <c r="H102" s="109"/>
    </row>
    <row r="103" spans="1:8" ht="14.1" customHeight="1" x14ac:dyDescent="0.2">
      <c r="A103" s="99"/>
      <c r="B103" s="1"/>
      <c r="C103" s="2" t="s">
        <v>147</v>
      </c>
      <c r="D103" s="1"/>
      <c r="E103" s="1"/>
      <c r="F103" s="8">
        <v>0</v>
      </c>
      <c r="G103" s="9">
        <v>0</v>
      </c>
      <c r="H103" s="109"/>
    </row>
    <row r="104" spans="1:8" ht="14.1" customHeight="1" x14ac:dyDescent="0.2">
      <c r="A104" s="99"/>
      <c r="B104" s="1"/>
      <c r="C104" s="10"/>
      <c r="D104" s="1"/>
      <c r="E104" s="1"/>
      <c r="F104" s="11"/>
      <c r="G104" s="11"/>
      <c r="H104" s="109"/>
    </row>
    <row r="105" spans="1:8" ht="14.1" customHeight="1" x14ac:dyDescent="0.2">
      <c r="A105" s="99"/>
      <c r="B105" s="1"/>
      <c r="C105" s="2" t="s">
        <v>148</v>
      </c>
      <c r="D105" s="1"/>
      <c r="E105" s="1"/>
      <c r="F105" s="11"/>
      <c r="G105" s="11"/>
      <c r="H105" s="109"/>
    </row>
    <row r="106" spans="1:8" ht="14.1" customHeight="1" x14ac:dyDescent="0.2">
      <c r="A106" s="99"/>
      <c r="B106" s="1"/>
      <c r="C106" s="2" t="s">
        <v>149</v>
      </c>
      <c r="D106" s="1"/>
      <c r="E106" s="1"/>
      <c r="F106" s="11"/>
      <c r="G106" s="11"/>
      <c r="H106" s="109"/>
    </row>
    <row r="107" spans="1:8" ht="14.1" customHeight="1" x14ac:dyDescent="0.2">
      <c r="A107" s="99"/>
      <c r="B107" s="1"/>
      <c r="C107" s="2" t="s">
        <v>135</v>
      </c>
      <c r="D107" s="1"/>
      <c r="E107" s="1" t="s">
        <v>136</v>
      </c>
      <c r="F107" s="115">
        <v>0</v>
      </c>
      <c r="G107" s="9">
        <v>0</v>
      </c>
      <c r="H107" s="109"/>
    </row>
    <row r="108" spans="1:8" ht="14.1" customHeight="1" x14ac:dyDescent="0.2">
      <c r="A108" s="99"/>
      <c r="B108" s="1"/>
      <c r="C108" s="10"/>
      <c r="D108" s="1"/>
      <c r="E108" s="1"/>
      <c r="F108" s="11"/>
      <c r="G108" s="11"/>
      <c r="H108" s="109"/>
    </row>
    <row r="109" spans="1:8" ht="14.1" customHeight="1" x14ac:dyDescent="0.2">
      <c r="A109" s="99"/>
      <c r="B109" s="1"/>
      <c r="C109" s="2" t="s">
        <v>150</v>
      </c>
      <c r="D109" s="1"/>
      <c r="E109" s="1"/>
      <c r="F109" s="11"/>
      <c r="G109" s="11"/>
      <c r="H109" s="109"/>
    </row>
    <row r="110" spans="1:8" ht="14.1" customHeight="1" x14ac:dyDescent="0.2">
      <c r="A110" s="99"/>
      <c r="B110" s="1"/>
      <c r="C110" s="2" t="s">
        <v>135</v>
      </c>
      <c r="D110" s="1"/>
      <c r="E110" s="1" t="s">
        <v>136</v>
      </c>
      <c r="F110" s="115">
        <v>0</v>
      </c>
      <c r="G110" s="9">
        <v>0</v>
      </c>
      <c r="H110" s="109"/>
    </row>
    <row r="111" spans="1:8" ht="14.1" customHeight="1" x14ac:dyDescent="0.2">
      <c r="A111" s="99"/>
      <c r="B111" s="1"/>
      <c r="C111" s="10"/>
      <c r="D111" s="1"/>
      <c r="E111" s="1"/>
      <c r="F111" s="11"/>
      <c r="G111" s="11"/>
      <c r="H111" s="109"/>
    </row>
    <row r="112" spans="1:8" ht="14.1" customHeight="1" x14ac:dyDescent="0.2">
      <c r="A112" s="99"/>
      <c r="B112" s="1"/>
      <c r="C112" s="2" t="s">
        <v>151</v>
      </c>
      <c r="D112" s="1"/>
      <c r="E112" s="1"/>
      <c r="F112" s="11"/>
      <c r="G112" s="11"/>
      <c r="H112" s="109"/>
    </row>
    <row r="113" spans="1:8" ht="14.1" customHeight="1" x14ac:dyDescent="0.2">
      <c r="A113" s="99"/>
      <c r="B113" s="1"/>
      <c r="C113" s="2" t="s">
        <v>135</v>
      </c>
      <c r="D113" s="1"/>
      <c r="E113" s="1" t="s">
        <v>136</v>
      </c>
      <c r="F113" s="115">
        <v>0</v>
      </c>
      <c r="G113" s="9">
        <v>0</v>
      </c>
      <c r="H113" s="109"/>
    </row>
    <row r="114" spans="1:8" ht="14.1" customHeight="1" x14ac:dyDescent="0.2">
      <c r="A114" s="99"/>
      <c r="B114" s="1"/>
      <c r="C114" s="10"/>
      <c r="D114" s="1"/>
      <c r="E114" s="1"/>
      <c r="F114" s="11"/>
      <c r="G114" s="11"/>
      <c r="H114" s="109"/>
    </row>
    <row r="115" spans="1:8" ht="14.1" customHeight="1" x14ac:dyDescent="0.2">
      <c r="A115" s="99"/>
      <c r="B115" s="1"/>
      <c r="C115" s="2" t="s">
        <v>152</v>
      </c>
      <c r="D115" s="1"/>
      <c r="E115" s="1"/>
      <c r="F115" s="11"/>
      <c r="G115" s="11"/>
      <c r="H115" s="109"/>
    </row>
    <row r="116" spans="1:8" ht="17.100000000000001" customHeight="1" x14ac:dyDescent="0.2">
      <c r="A116" s="100">
        <v>1</v>
      </c>
      <c r="B116" s="3"/>
      <c r="C116" s="3" t="s">
        <v>153</v>
      </c>
      <c r="D116" s="3"/>
      <c r="E116" s="7"/>
      <c r="F116" s="5">
        <v>29741.265953008999</v>
      </c>
      <c r="G116" s="6">
        <v>4.2193439999999999E-2</v>
      </c>
      <c r="H116" s="109">
        <v>6.6015165706411825</v>
      </c>
    </row>
    <row r="117" spans="1:8" ht="14.1" customHeight="1" x14ac:dyDescent="0.2">
      <c r="A117" s="99"/>
      <c r="B117" s="1"/>
      <c r="C117" s="2" t="s">
        <v>135</v>
      </c>
      <c r="D117" s="1"/>
      <c r="E117" s="1" t="s">
        <v>136</v>
      </c>
      <c r="F117" s="8">
        <v>29741.265953008999</v>
      </c>
      <c r="G117" s="9">
        <v>4.2193439999999999E-2</v>
      </c>
      <c r="H117" s="109"/>
    </row>
    <row r="118" spans="1:8" ht="14.1" customHeight="1" x14ac:dyDescent="0.2">
      <c r="A118" s="99"/>
      <c r="B118" s="1"/>
      <c r="C118" s="10"/>
      <c r="D118" s="1"/>
      <c r="E118" s="1"/>
      <c r="F118" s="11"/>
      <c r="G118" s="11"/>
      <c r="H118" s="109"/>
    </row>
    <row r="119" spans="1:8" ht="14.1" customHeight="1" x14ac:dyDescent="0.2">
      <c r="A119" s="99"/>
      <c r="B119" s="1"/>
      <c r="C119" s="2" t="s">
        <v>154</v>
      </c>
      <c r="D119" s="1"/>
      <c r="E119" s="1"/>
      <c r="F119" s="8">
        <v>29741.265953008999</v>
      </c>
      <c r="G119" s="9">
        <v>4.2193439999999999E-2</v>
      </c>
      <c r="H119" s="109"/>
    </row>
    <row r="120" spans="1:8" ht="14.1" customHeight="1" x14ac:dyDescent="0.2">
      <c r="A120" s="99"/>
      <c r="B120" s="1"/>
      <c r="C120" s="11"/>
      <c r="D120" s="1"/>
      <c r="E120" s="1"/>
      <c r="F120" s="1"/>
      <c r="G120" s="1"/>
      <c r="H120" s="109"/>
    </row>
    <row r="121" spans="1:8" ht="14.1" customHeight="1" x14ac:dyDescent="0.2">
      <c r="A121" s="99"/>
      <c r="B121" s="1"/>
      <c r="C121" s="2" t="s">
        <v>155</v>
      </c>
      <c r="D121" s="1"/>
      <c r="E121" s="1"/>
      <c r="F121" s="1"/>
      <c r="G121" s="1"/>
      <c r="H121" s="109"/>
    </row>
    <row r="122" spans="1:8" ht="14.1" customHeight="1" x14ac:dyDescent="0.2">
      <c r="A122" s="99"/>
      <c r="B122" s="1"/>
      <c r="C122" s="2" t="s">
        <v>156</v>
      </c>
      <c r="D122" s="1"/>
      <c r="E122" s="1"/>
      <c r="F122" s="1"/>
      <c r="G122" s="1"/>
      <c r="H122" s="109"/>
    </row>
    <row r="123" spans="1:8" ht="14.1" customHeight="1" x14ac:dyDescent="0.2">
      <c r="A123" s="99"/>
      <c r="B123" s="1"/>
      <c r="C123" s="2" t="s">
        <v>135</v>
      </c>
      <c r="D123" s="1"/>
      <c r="E123" s="1" t="s">
        <v>136</v>
      </c>
      <c r="F123" s="115">
        <v>0</v>
      </c>
      <c r="G123" s="9">
        <v>0</v>
      </c>
      <c r="H123" s="109"/>
    </row>
    <row r="124" spans="1:8" ht="14.1" customHeight="1" x14ac:dyDescent="0.2">
      <c r="A124" s="99"/>
      <c r="B124" s="1"/>
      <c r="C124" s="10"/>
      <c r="D124" s="1"/>
      <c r="E124" s="1"/>
      <c r="F124" s="11"/>
      <c r="G124" s="11"/>
      <c r="H124" s="109"/>
    </row>
    <row r="125" spans="1:8" ht="14.1" customHeight="1" x14ac:dyDescent="0.2">
      <c r="A125" s="99"/>
      <c r="B125" s="1"/>
      <c r="C125" s="2" t="s">
        <v>157</v>
      </c>
      <c r="D125" s="1"/>
      <c r="E125" s="1"/>
      <c r="F125" s="1"/>
      <c r="G125" s="1"/>
      <c r="H125" s="109"/>
    </row>
    <row r="126" spans="1:8" ht="14.1" customHeight="1" x14ac:dyDescent="0.2">
      <c r="A126" s="99"/>
      <c r="B126" s="1"/>
      <c r="C126" s="2" t="s">
        <v>158</v>
      </c>
      <c r="D126" s="1"/>
      <c r="E126" s="1"/>
      <c r="F126" s="1"/>
      <c r="G126" s="1"/>
      <c r="H126" s="109"/>
    </row>
    <row r="127" spans="1:8" ht="14.1" customHeight="1" x14ac:dyDescent="0.2">
      <c r="A127" s="99"/>
      <c r="B127" s="1"/>
      <c r="C127" s="2" t="s">
        <v>135</v>
      </c>
      <c r="D127" s="1"/>
      <c r="E127" s="1" t="s">
        <v>136</v>
      </c>
      <c r="F127" s="115">
        <v>0</v>
      </c>
      <c r="G127" s="9">
        <v>0</v>
      </c>
      <c r="H127" s="109"/>
    </row>
    <row r="128" spans="1:8" ht="14.1" customHeight="1" x14ac:dyDescent="0.2">
      <c r="A128" s="99"/>
      <c r="B128" s="1"/>
      <c r="C128" s="10"/>
      <c r="D128" s="1"/>
      <c r="E128" s="1"/>
      <c r="F128" s="11"/>
      <c r="G128" s="11"/>
      <c r="H128" s="109"/>
    </row>
    <row r="129" spans="1:8" ht="24" customHeight="1" x14ac:dyDescent="0.2">
      <c r="A129" s="99"/>
      <c r="B129" s="1"/>
      <c r="C129" s="2" t="s">
        <v>159</v>
      </c>
      <c r="D129" s="1"/>
      <c r="E129" s="1"/>
      <c r="F129" s="11"/>
      <c r="G129" s="11"/>
      <c r="H129" s="109"/>
    </row>
    <row r="130" spans="1:8" ht="14.1" customHeight="1" x14ac:dyDescent="0.2">
      <c r="A130" s="99"/>
      <c r="B130" s="1"/>
      <c r="C130" s="2" t="s">
        <v>135</v>
      </c>
      <c r="D130" s="1"/>
      <c r="E130" s="1" t="s">
        <v>136</v>
      </c>
      <c r="F130" s="115">
        <v>0</v>
      </c>
      <c r="G130" s="9">
        <v>0</v>
      </c>
      <c r="H130" s="109"/>
    </row>
    <row r="131" spans="1:8" ht="14.1" customHeight="1" x14ac:dyDescent="0.2">
      <c r="A131" s="99"/>
      <c r="B131" s="1"/>
      <c r="C131" s="10"/>
      <c r="D131" s="1"/>
      <c r="E131" s="1"/>
      <c r="F131" s="11"/>
      <c r="G131" s="11"/>
      <c r="H131" s="109"/>
    </row>
    <row r="132" spans="1:8" ht="14.1" customHeight="1" x14ac:dyDescent="0.2">
      <c r="A132" s="99"/>
      <c r="B132" s="3"/>
      <c r="C132" s="3"/>
      <c r="D132" s="2"/>
      <c r="E132" s="1"/>
      <c r="F132" s="3"/>
      <c r="G132" s="7"/>
      <c r="H132" s="109"/>
    </row>
    <row r="133" spans="1:8" ht="18" customHeight="1" x14ac:dyDescent="0.2">
      <c r="A133" s="101"/>
      <c r="B133" s="3"/>
      <c r="C133" s="3" t="s">
        <v>160</v>
      </c>
      <c r="D133" s="3"/>
      <c r="E133" s="7"/>
      <c r="F133" s="5">
        <v>2202.95524686</v>
      </c>
      <c r="G133" s="6">
        <v>3.1253000000000001E-3</v>
      </c>
      <c r="H133" s="109"/>
    </row>
    <row r="134" spans="1:8" ht="14.1" customHeight="1" x14ac:dyDescent="0.2">
      <c r="A134" s="102"/>
      <c r="B134" s="10"/>
      <c r="C134" s="2" t="s">
        <v>161</v>
      </c>
      <c r="D134" s="11"/>
      <c r="E134" s="11"/>
      <c r="F134" s="8">
        <v>704878.89356886898</v>
      </c>
      <c r="G134" s="12">
        <v>1.00000004</v>
      </c>
      <c r="H134" s="109"/>
    </row>
    <row r="135" spans="1:8" ht="14.1" customHeight="1" x14ac:dyDescent="0.2">
      <c r="A135" s="13"/>
      <c r="B135" s="13"/>
      <c r="C135" s="13"/>
      <c r="D135" s="14"/>
      <c r="E135" s="14"/>
      <c r="F135" s="14"/>
      <c r="G135" s="14"/>
    </row>
    <row r="136" spans="1:8" ht="15" customHeight="1" x14ac:dyDescent="0.2">
      <c r="A136" s="15"/>
      <c r="B136" s="193" t="s">
        <v>136</v>
      </c>
      <c r="C136" s="193"/>
      <c r="D136" s="193"/>
      <c r="E136" s="193"/>
      <c r="F136" s="193"/>
      <c r="G136" s="17"/>
    </row>
    <row r="137" spans="1:8" ht="14.1" customHeight="1" x14ac:dyDescent="0.2">
      <c r="A137" s="15"/>
      <c r="B137" s="15"/>
      <c r="C137" s="15"/>
      <c r="D137" s="17"/>
      <c r="E137" s="17"/>
      <c r="F137" s="17"/>
      <c r="G137" s="17"/>
    </row>
    <row r="138" spans="1:8" ht="14.1" customHeight="1" x14ac:dyDescent="0.2">
      <c r="A138" s="15"/>
      <c r="B138" s="194" t="s">
        <v>163</v>
      </c>
      <c r="C138" s="195"/>
      <c r="D138" s="196"/>
      <c r="E138" s="18"/>
      <c r="F138" s="17"/>
      <c r="G138" s="17"/>
    </row>
    <row r="139" spans="1:8" ht="29.1" customHeight="1" x14ac:dyDescent="0.2">
      <c r="A139" s="15"/>
      <c r="B139" s="191" t="s">
        <v>164</v>
      </c>
      <c r="C139" s="192"/>
      <c r="D139" s="2" t="s">
        <v>165</v>
      </c>
      <c r="E139" s="18"/>
      <c r="F139" s="17"/>
      <c r="G139" s="17"/>
    </row>
    <row r="140" spans="1:8" ht="17.100000000000001" customHeight="1" x14ac:dyDescent="0.2">
      <c r="A140" s="15"/>
      <c r="B140" s="191" t="s">
        <v>166</v>
      </c>
      <c r="C140" s="192"/>
      <c r="D140" s="2" t="s">
        <v>165</v>
      </c>
      <c r="E140" s="18"/>
      <c r="F140" s="17"/>
      <c r="G140" s="17"/>
    </row>
    <row r="141" spans="1:8" ht="17.100000000000001" customHeight="1" x14ac:dyDescent="0.2">
      <c r="A141" s="15"/>
      <c r="B141" s="191" t="s">
        <v>167</v>
      </c>
      <c r="C141" s="192"/>
      <c r="D141" s="11" t="s">
        <v>136</v>
      </c>
      <c r="E141" s="18"/>
      <c r="F141" s="17"/>
      <c r="G141" s="17"/>
    </row>
    <row r="142" spans="1:8" ht="24" customHeight="1" x14ac:dyDescent="0.2">
      <c r="A142" s="19"/>
      <c r="B142" s="20" t="s">
        <v>136</v>
      </c>
      <c r="C142" s="20" t="s">
        <v>168</v>
      </c>
      <c r="D142" s="20" t="s">
        <v>169</v>
      </c>
      <c r="E142" s="19"/>
      <c r="F142" s="19"/>
      <c r="G142" s="19"/>
    </row>
    <row r="143" spans="1:8" ht="18" customHeight="1" x14ac:dyDescent="0.2">
      <c r="A143" s="19"/>
      <c r="B143" s="21" t="s">
        <v>170</v>
      </c>
      <c r="C143" s="20" t="s">
        <v>171</v>
      </c>
      <c r="D143" s="20" t="s">
        <v>172</v>
      </c>
      <c r="E143" s="19"/>
      <c r="F143" s="19"/>
      <c r="G143" s="19"/>
    </row>
    <row r="144" spans="1:8" ht="17.100000000000001" customHeight="1" x14ac:dyDescent="0.2">
      <c r="A144" s="19"/>
      <c r="B144" s="3" t="s">
        <v>173</v>
      </c>
      <c r="C144" s="22">
        <v>774.04309999999998</v>
      </c>
      <c r="D144" s="22">
        <v>770.54330000000004</v>
      </c>
      <c r="E144" s="19"/>
      <c r="F144" s="16"/>
      <c r="G144" s="23"/>
    </row>
    <row r="145" spans="1:7" ht="17.100000000000001" customHeight="1" x14ac:dyDescent="0.2">
      <c r="A145" s="19"/>
      <c r="B145" s="3" t="s">
        <v>994</v>
      </c>
      <c r="C145" s="22">
        <v>45.182899999999997</v>
      </c>
      <c r="D145" s="22">
        <v>44.9786</v>
      </c>
      <c r="E145" s="19"/>
      <c r="F145" s="16"/>
      <c r="G145" s="23"/>
    </row>
    <row r="146" spans="1:7" ht="17.100000000000001" customHeight="1" x14ac:dyDescent="0.2">
      <c r="A146" s="19"/>
      <c r="B146" s="3" t="s">
        <v>174</v>
      </c>
      <c r="C146" s="22">
        <v>723.61069999999995</v>
      </c>
      <c r="D146" s="22">
        <v>719.87929999999994</v>
      </c>
      <c r="E146" s="19"/>
      <c r="F146" s="16"/>
      <c r="G146" s="23"/>
    </row>
    <row r="147" spans="1:7" ht="17.100000000000001" customHeight="1" x14ac:dyDescent="0.2">
      <c r="A147" s="19"/>
      <c r="B147" s="3" t="s">
        <v>995</v>
      </c>
      <c r="C147" s="22">
        <v>41.6494</v>
      </c>
      <c r="D147" s="22">
        <v>41.434600000000003</v>
      </c>
      <c r="E147" s="19"/>
      <c r="F147" s="16"/>
      <c r="G147" s="23"/>
    </row>
    <row r="148" spans="1:7" ht="14.1" customHeight="1" x14ac:dyDescent="0.2">
      <c r="A148" s="19"/>
      <c r="B148" s="19"/>
      <c r="C148" s="19"/>
      <c r="D148" s="19"/>
      <c r="E148" s="19"/>
      <c r="F148" s="19"/>
      <c r="G148" s="19"/>
    </row>
    <row r="149" spans="1:7" ht="17.100000000000001" customHeight="1" x14ac:dyDescent="0.2">
      <c r="A149" s="19"/>
      <c r="B149" s="191" t="s">
        <v>1044</v>
      </c>
      <c r="C149" s="192"/>
      <c r="D149" s="2" t="s">
        <v>165</v>
      </c>
      <c r="E149" s="19"/>
      <c r="F149" s="19"/>
      <c r="G149" s="19"/>
    </row>
    <row r="150" spans="1:7" ht="18" customHeight="1" x14ac:dyDescent="0.2">
      <c r="A150" s="19"/>
      <c r="B150" s="24"/>
      <c r="C150" s="24"/>
      <c r="D150" s="24"/>
      <c r="E150" s="19"/>
      <c r="F150" s="19"/>
      <c r="G150" s="19"/>
    </row>
    <row r="151" spans="1:7" ht="29.1" customHeight="1" x14ac:dyDescent="0.2">
      <c r="A151" s="19"/>
      <c r="B151" s="191" t="s">
        <v>175</v>
      </c>
      <c r="C151" s="192"/>
      <c r="D151" s="2" t="s">
        <v>165</v>
      </c>
      <c r="E151" s="25"/>
      <c r="F151" s="19"/>
      <c r="G151" s="19"/>
    </row>
    <row r="152" spans="1:7" ht="29.1" customHeight="1" x14ac:dyDescent="0.2">
      <c r="A152" s="19"/>
      <c r="B152" s="191" t="s">
        <v>176</v>
      </c>
      <c r="C152" s="192"/>
      <c r="D152" s="2" t="s">
        <v>165</v>
      </c>
      <c r="E152" s="25"/>
      <c r="F152" s="19"/>
      <c r="G152" s="19"/>
    </row>
    <row r="153" spans="1:7" ht="17.100000000000001" customHeight="1" x14ac:dyDescent="0.2">
      <c r="A153" s="19"/>
      <c r="B153" s="191" t="s">
        <v>177</v>
      </c>
      <c r="C153" s="192"/>
      <c r="D153" s="2" t="s">
        <v>165</v>
      </c>
      <c r="E153" s="25"/>
      <c r="F153" s="19"/>
      <c r="G153" s="19"/>
    </row>
    <row r="154" spans="1:7" ht="17.100000000000001" customHeight="1" x14ac:dyDescent="0.2">
      <c r="A154" s="19"/>
      <c r="B154" s="191" t="s">
        <v>178</v>
      </c>
      <c r="C154" s="192"/>
      <c r="D154" s="26">
        <v>0.44604571827443157</v>
      </c>
      <c r="E154" s="19"/>
      <c r="F154" s="16"/>
      <c r="G154" s="23"/>
    </row>
    <row r="155" spans="1:7" ht="14.1" customHeight="1" x14ac:dyDescent="0.2">
      <c r="A155" s="24"/>
      <c r="B155" s="24"/>
      <c r="C155" s="24"/>
      <c r="D155" s="24"/>
      <c r="E155" s="24"/>
      <c r="F155" s="24"/>
      <c r="G155" s="24"/>
    </row>
  </sheetData>
  <mergeCells count="14">
    <mergeCell ref="J2:N2"/>
    <mergeCell ref="A1:H1"/>
    <mergeCell ref="A2:H2"/>
    <mergeCell ref="A3:H3"/>
    <mergeCell ref="B154:C154"/>
    <mergeCell ref="B151:C151"/>
    <mergeCell ref="B152:C152"/>
    <mergeCell ref="B153:C153"/>
    <mergeCell ref="B149:C149"/>
    <mergeCell ref="B141:C141"/>
    <mergeCell ref="B138:D138"/>
    <mergeCell ref="B139:C139"/>
    <mergeCell ref="B140:C140"/>
    <mergeCell ref="B136:F136"/>
  </mergeCells>
  <hyperlinks>
    <hyperlink ref="I1" location="Index!B3" display="Index" xr:uid="{A298252A-1E49-41EB-8AD5-2ECF35F92BBC}"/>
  </hyperlinks>
  <pageMargins left="5.000000074505806E-2" right="5.000000074505806E-2" top="0.30000001192092896" bottom="0.20000000298023224" header="0" footer="0"/>
  <pageSetup paperSize="9"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40"/>
  <sheetViews>
    <sheetView showGridLines="0" workbookViewId="0">
      <selection sqref="A1:H1"/>
    </sheetView>
  </sheetViews>
  <sheetFormatPr defaultRowHeight="12.75" x14ac:dyDescent="0.2"/>
  <cols>
    <col min="1" max="1" width="5.85546875" bestFit="1"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87" t="s">
        <v>0</v>
      </c>
      <c r="B1" s="187"/>
      <c r="C1" s="187"/>
      <c r="D1" s="187"/>
      <c r="E1" s="187"/>
      <c r="F1" s="187"/>
      <c r="G1" s="187"/>
      <c r="H1" s="187"/>
      <c r="I1" s="167" t="s">
        <v>1055</v>
      </c>
    </row>
    <row r="2" spans="1:15" ht="17.100000000000001" customHeight="1" x14ac:dyDescent="0.2">
      <c r="A2" s="188" t="s">
        <v>292</v>
      </c>
      <c r="B2" s="189"/>
      <c r="C2" s="189"/>
      <c r="D2" s="189"/>
      <c r="E2" s="189"/>
      <c r="F2" s="189"/>
      <c r="G2" s="189"/>
      <c r="H2" s="190"/>
      <c r="J2" s="186" t="s">
        <v>1056</v>
      </c>
      <c r="K2" s="186"/>
      <c r="L2" s="186"/>
      <c r="M2" s="186"/>
      <c r="N2" s="186"/>
    </row>
    <row r="3" spans="1:15" ht="21" customHeight="1" x14ac:dyDescent="0.2">
      <c r="A3" s="187" t="s">
        <v>1052</v>
      </c>
      <c r="B3" s="187"/>
      <c r="C3" s="187"/>
      <c r="D3" s="187"/>
      <c r="E3" s="187"/>
      <c r="F3" s="187"/>
      <c r="G3" s="187"/>
      <c r="H3" s="187"/>
    </row>
    <row r="4" spans="1:15" ht="30" x14ac:dyDescent="0.2">
      <c r="A4" s="163" t="s">
        <v>2</v>
      </c>
      <c r="B4" s="164" t="s">
        <v>3</v>
      </c>
      <c r="C4" s="164" t="s">
        <v>4</v>
      </c>
      <c r="D4" s="164" t="s">
        <v>5</v>
      </c>
      <c r="E4" s="164" t="s">
        <v>6</v>
      </c>
      <c r="F4" s="164" t="s">
        <v>7</v>
      </c>
      <c r="G4" s="164" t="s">
        <v>8</v>
      </c>
      <c r="H4" s="120" t="s">
        <v>881</v>
      </c>
      <c r="I4" s="165"/>
      <c r="J4" s="165"/>
      <c r="K4" s="165"/>
      <c r="L4" s="165"/>
      <c r="M4" s="165"/>
      <c r="N4" s="165"/>
      <c r="O4" s="165"/>
    </row>
    <row r="5" spans="1:15" ht="14.1" customHeight="1" x14ac:dyDescent="0.2">
      <c r="A5" s="99"/>
      <c r="B5" s="1"/>
      <c r="C5" s="2" t="s">
        <v>9</v>
      </c>
      <c r="D5" s="1"/>
      <c r="E5" s="1"/>
      <c r="F5" s="1"/>
      <c r="G5" s="1"/>
      <c r="H5" s="109"/>
    </row>
    <row r="6" spans="1:15" ht="24" customHeight="1" x14ac:dyDescent="0.2">
      <c r="A6" s="99"/>
      <c r="B6" s="1"/>
      <c r="C6" s="2" t="s">
        <v>10</v>
      </c>
      <c r="D6" s="1"/>
      <c r="E6" s="1"/>
      <c r="F6" s="1"/>
      <c r="G6" s="1"/>
      <c r="H6" s="109"/>
    </row>
    <row r="7" spans="1:15" ht="17.100000000000001" customHeight="1" x14ac:dyDescent="0.2">
      <c r="A7" s="100">
        <v>1</v>
      </c>
      <c r="B7" s="3" t="s">
        <v>20</v>
      </c>
      <c r="C7" s="3" t="s">
        <v>21</v>
      </c>
      <c r="D7" s="3" t="s">
        <v>22</v>
      </c>
      <c r="E7" s="4">
        <v>137271</v>
      </c>
      <c r="F7" s="5">
        <v>1173.4611434999999</v>
      </c>
      <c r="G7" s="6">
        <v>8.1779210000000005E-2</v>
      </c>
      <c r="H7" s="109"/>
    </row>
    <row r="8" spans="1:15" ht="17.100000000000001" customHeight="1" x14ac:dyDescent="0.2">
      <c r="A8" s="100">
        <v>2</v>
      </c>
      <c r="B8" s="3" t="s">
        <v>17</v>
      </c>
      <c r="C8" s="3" t="s">
        <v>18</v>
      </c>
      <c r="D8" s="3" t="s">
        <v>19</v>
      </c>
      <c r="E8" s="4">
        <v>44211</v>
      </c>
      <c r="F8" s="5">
        <v>1026.8225805</v>
      </c>
      <c r="G8" s="6">
        <v>7.1559880000000006E-2</v>
      </c>
      <c r="H8" s="109"/>
    </row>
    <row r="9" spans="1:15" ht="17.100000000000001" customHeight="1" x14ac:dyDescent="0.2">
      <c r="A9" s="100">
        <v>3</v>
      </c>
      <c r="B9" s="3" t="s">
        <v>293</v>
      </c>
      <c r="C9" s="3" t="s">
        <v>294</v>
      </c>
      <c r="D9" s="3" t="s">
        <v>996</v>
      </c>
      <c r="E9" s="4">
        <v>53410</v>
      </c>
      <c r="F9" s="5">
        <v>794.50045499999999</v>
      </c>
      <c r="G9" s="6">
        <v>5.5369210000000002E-2</v>
      </c>
      <c r="H9" s="109"/>
    </row>
    <row r="10" spans="1:15" ht="29.1" customHeight="1" x14ac:dyDescent="0.2">
      <c r="A10" s="100">
        <v>4</v>
      </c>
      <c r="B10" s="3" t="s">
        <v>295</v>
      </c>
      <c r="C10" s="3" t="s">
        <v>296</v>
      </c>
      <c r="D10" s="3" t="s">
        <v>120</v>
      </c>
      <c r="E10" s="4">
        <v>27959</v>
      </c>
      <c r="F10" s="5">
        <v>729.57612549999999</v>
      </c>
      <c r="G10" s="6">
        <v>5.0844599999999997E-2</v>
      </c>
      <c r="H10" s="109"/>
    </row>
    <row r="11" spans="1:15" ht="17.100000000000001" customHeight="1" x14ac:dyDescent="0.2">
      <c r="A11" s="100">
        <v>5</v>
      </c>
      <c r="B11" s="3" t="s">
        <v>297</v>
      </c>
      <c r="C11" s="3" t="s">
        <v>298</v>
      </c>
      <c r="D11" s="3" t="s">
        <v>22</v>
      </c>
      <c r="E11" s="4">
        <v>44398</v>
      </c>
      <c r="F11" s="5">
        <v>710.19040800000005</v>
      </c>
      <c r="G11" s="6">
        <v>4.9493599999999999E-2</v>
      </c>
      <c r="H11" s="109"/>
    </row>
    <row r="12" spans="1:15" ht="17.100000000000001" customHeight="1" x14ac:dyDescent="0.2">
      <c r="A12" s="100">
        <v>6</v>
      </c>
      <c r="B12" s="3" t="s">
        <v>32</v>
      </c>
      <c r="C12" s="3" t="s">
        <v>33</v>
      </c>
      <c r="D12" s="3" t="s">
        <v>22</v>
      </c>
      <c r="E12" s="4">
        <v>123316</v>
      </c>
      <c r="F12" s="5">
        <v>644.69604800000002</v>
      </c>
      <c r="G12" s="6">
        <v>4.4929249999999997E-2</v>
      </c>
      <c r="H12" s="109"/>
    </row>
    <row r="13" spans="1:15" ht="17.100000000000001" customHeight="1" x14ac:dyDescent="0.2">
      <c r="A13" s="100">
        <v>7</v>
      </c>
      <c r="B13" s="3" t="s">
        <v>197</v>
      </c>
      <c r="C13" s="3" t="s">
        <v>198</v>
      </c>
      <c r="D13" s="3" t="s">
        <v>22</v>
      </c>
      <c r="E13" s="4">
        <v>66020</v>
      </c>
      <c r="F13" s="5">
        <v>557.27481999999998</v>
      </c>
      <c r="G13" s="6">
        <v>3.8836820000000001E-2</v>
      </c>
      <c r="H13" s="109"/>
      <c r="J13" s="169" t="s">
        <v>1060</v>
      </c>
    </row>
    <row r="14" spans="1:15" ht="17.100000000000001" customHeight="1" x14ac:dyDescent="0.2">
      <c r="A14" s="100">
        <v>8</v>
      </c>
      <c r="B14" s="3" t="s">
        <v>11</v>
      </c>
      <c r="C14" s="3" t="s">
        <v>12</v>
      </c>
      <c r="D14" s="3" t="s">
        <v>13</v>
      </c>
      <c r="E14" s="4">
        <v>23069</v>
      </c>
      <c r="F14" s="5">
        <v>486.55981350000002</v>
      </c>
      <c r="G14" s="6">
        <v>3.3908649999999999E-2</v>
      </c>
      <c r="H14" s="109"/>
    </row>
    <row r="15" spans="1:15" ht="29.1" customHeight="1" x14ac:dyDescent="0.2">
      <c r="A15" s="100">
        <v>9</v>
      </c>
      <c r="B15" s="3" t="s">
        <v>204</v>
      </c>
      <c r="C15" s="3" t="s">
        <v>205</v>
      </c>
      <c r="D15" s="3" t="s">
        <v>115</v>
      </c>
      <c r="E15" s="4">
        <v>120569</v>
      </c>
      <c r="F15" s="5">
        <v>366.3489065</v>
      </c>
      <c r="G15" s="6">
        <v>2.5531080000000001E-2</v>
      </c>
      <c r="H15" s="109"/>
    </row>
    <row r="16" spans="1:15" ht="29.1" customHeight="1" x14ac:dyDescent="0.2">
      <c r="A16" s="100">
        <v>10</v>
      </c>
      <c r="B16" s="3" t="s">
        <v>186</v>
      </c>
      <c r="C16" s="3" t="s">
        <v>187</v>
      </c>
      <c r="D16" s="3" t="s">
        <v>188</v>
      </c>
      <c r="E16" s="4">
        <v>8388</v>
      </c>
      <c r="F16" s="5">
        <v>346.26502799999997</v>
      </c>
      <c r="G16" s="6">
        <v>2.4131420000000001E-2</v>
      </c>
      <c r="H16" s="109"/>
    </row>
    <row r="17" spans="1:8" ht="17.100000000000001" customHeight="1" x14ac:dyDescent="0.2">
      <c r="A17" s="100">
        <v>11</v>
      </c>
      <c r="B17" s="3" t="s">
        <v>14</v>
      </c>
      <c r="C17" s="3" t="s">
        <v>15</v>
      </c>
      <c r="D17" s="3" t="s">
        <v>16</v>
      </c>
      <c r="E17" s="4">
        <v>45416</v>
      </c>
      <c r="F17" s="5">
        <v>337.10025999999999</v>
      </c>
      <c r="G17" s="6">
        <v>2.3492720000000002E-2</v>
      </c>
      <c r="H17" s="109"/>
    </row>
    <row r="18" spans="1:8" ht="17.100000000000001" customHeight="1" x14ac:dyDescent="0.2">
      <c r="A18" s="100">
        <v>12</v>
      </c>
      <c r="B18" s="3" t="s">
        <v>299</v>
      </c>
      <c r="C18" s="3" t="s">
        <v>300</v>
      </c>
      <c r="D18" s="3" t="s">
        <v>996</v>
      </c>
      <c r="E18" s="4">
        <v>8814</v>
      </c>
      <c r="F18" s="5">
        <v>291.99459899999999</v>
      </c>
      <c r="G18" s="6">
        <v>2.0349280000000001E-2</v>
      </c>
      <c r="H18" s="109"/>
    </row>
    <row r="19" spans="1:8" ht="17.100000000000001" customHeight="1" x14ac:dyDescent="0.2">
      <c r="A19" s="100">
        <v>13</v>
      </c>
      <c r="B19" s="3" t="s">
        <v>301</v>
      </c>
      <c r="C19" s="3" t="s">
        <v>302</v>
      </c>
      <c r="D19" s="3" t="s">
        <v>216</v>
      </c>
      <c r="E19" s="4">
        <v>24719</v>
      </c>
      <c r="F19" s="5">
        <v>277.09998999999999</v>
      </c>
      <c r="G19" s="6">
        <v>1.9311269999999998E-2</v>
      </c>
      <c r="H19" s="109"/>
    </row>
    <row r="20" spans="1:8" ht="17.100000000000001" customHeight="1" x14ac:dyDescent="0.2">
      <c r="A20" s="100">
        <v>14</v>
      </c>
      <c r="B20" s="3" t="s">
        <v>37</v>
      </c>
      <c r="C20" s="3" t="s">
        <v>38</v>
      </c>
      <c r="D20" s="3" t="s">
        <v>31</v>
      </c>
      <c r="E20" s="4">
        <v>15186</v>
      </c>
      <c r="F20" s="5">
        <v>274.06174199999998</v>
      </c>
      <c r="G20" s="6">
        <v>1.909953E-2</v>
      </c>
      <c r="H20" s="109"/>
    </row>
    <row r="21" spans="1:8" ht="29.1" customHeight="1" x14ac:dyDescent="0.2">
      <c r="A21" s="100">
        <v>15</v>
      </c>
      <c r="B21" s="3" t="s">
        <v>303</v>
      </c>
      <c r="C21" s="3" t="s">
        <v>304</v>
      </c>
      <c r="D21" s="3" t="s">
        <v>221</v>
      </c>
      <c r="E21" s="4">
        <v>28492</v>
      </c>
      <c r="F21" s="5">
        <v>272.55447199999998</v>
      </c>
      <c r="G21" s="6">
        <v>1.8994489999999999E-2</v>
      </c>
      <c r="H21" s="109"/>
    </row>
    <row r="22" spans="1:8" ht="29.1" customHeight="1" x14ac:dyDescent="0.2">
      <c r="A22" s="100">
        <v>16</v>
      </c>
      <c r="B22" s="3" t="s">
        <v>23</v>
      </c>
      <c r="C22" s="3" t="s">
        <v>24</v>
      </c>
      <c r="D22" s="3" t="s">
        <v>25</v>
      </c>
      <c r="E22" s="4">
        <v>3567</v>
      </c>
      <c r="F22" s="5">
        <v>259.01057100000003</v>
      </c>
      <c r="G22" s="6">
        <v>1.80506E-2</v>
      </c>
      <c r="H22" s="109"/>
    </row>
    <row r="23" spans="1:8" ht="17.100000000000001" customHeight="1" x14ac:dyDescent="0.2">
      <c r="A23" s="100">
        <v>17</v>
      </c>
      <c r="B23" s="3" t="s">
        <v>305</v>
      </c>
      <c r="C23" s="3" t="s">
        <v>306</v>
      </c>
      <c r="D23" s="3" t="s">
        <v>242</v>
      </c>
      <c r="E23" s="4">
        <v>16781</v>
      </c>
      <c r="F23" s="5">
        <v>254.76914199999999</v>
      </c>
      <c r="G23" s="6">
        <v>1.7755010000000002E-2</v>
      </c>
      <c r="H23" s="109"/>
    </row>
    <row r="24" spans="1:8" ht="17.100000000000001" customHeight="1" x14ac:dyDescent="0.2">
      <c r="A24" s="100">
        <v>18</v>
      </c>
      <c r="B24" s="3" t="s">
        <v>222</v>
      </c>
      <c r="C24" s="3" t="s">
        <v>223</v>
      </c>
      <c r="D24" s="3" t="s">
        <v>22</v>
      </c>
      <c r="E24" s="4">
        <v>160000</v>
      </c>
      <c r="F24" s="5">
        <v>254.4</v>
      </c>
      <c r="G24" s="6">
        <v>1.7729290000000002E-2</v>
      </c>
      <c r="H24" s="109"/>
    </row>
    <row r="25" spans="1:8" ht="17.100000000000001" customHeight="1" x14ac:dyDescent="0.2">
      <c r="A25" s="100">
        <v>19</v>
      </c>
      <c r="B25" s="3" t="s">
        <v>78</v>
      </c>
      <c r="C25" s="3" t="s">
        <v>79</v>
      </c>
      <c r="D25" s="3" t="s">
        <v>80</v>
      </c>
      <c r="E25" s="4">
        <v>8130</v>
      </c>
      <c r="F25" s="5">
        <v>242.42440500000001</v>
      </c>
      <c r="G25" s="6">
        <v>1.6894699999999999E-2</v>
      </c>
      <c r="H25" s="109"/>
    </row>
    <row r="26" spans="1:8" ht="17.100000000000001" customHeight="1" x14ac:dyDescent="0.2">
      <c r="A26" s="100">
        <v>20</v>
      </c>
      <c r="B26" s="3" t="s">
        <v>307</v>
      </c>
      <c r="C26" s="3" t="s">
        <v>308</v>
      </c>
      <c r="D26" s="3" t="s">
        <v>309</v>
      </c>
      <c r="E26" s="4">
        <v>9430</v>
      </c>
      <c r="F26" s="5">
        <v>232.03929500000001</v>
      </c>
      <c r="G26" s="6">
        <v>1.6170960000000002E-2</v>
      </c>
      <c r="H26" s="109"/>
    </row>
    <row r="27" spans="1:8" ht="17.100000000000001" customHeight="1" x14ac:dyDescent="0.2">
      <c r="A27" s="100">
        <v>21</v>
      </c>
      <c r="B27" s="3" t="s">
        <v>310</v>
      </c>
      <c r="C27" s="3" t="s">
        <v>311</v>
      </c>
      <c r="D27" s="3" t="s">
        <v>71</v>
      </c>
      <c r="E27" s="4">
        <v>17387</v>
      </c>
      <c r="F27" s="5">
        <v>220.745352</v>
      </c>
      <c r="G27" s="6">
        <v>1.5383880000000001E-2</v>
      </c>
      <c r="H27" s="109"/>
    </row>
    <row r="28" spans="1:8" ht="17.100000000000001" customHeight="1" x14ac:dyDescent="0.2">
      <c r="A28" s="100">
        <v>22</v>
      </c>
      <c r="B28" s="3" t="s">
        <v>312</v>
      </c>
      <c r="C28" s="3" t="s">
        <v>313</v>
      </c>
      <c r="D28" s="3" t="s">
        <v>309</v>
      </c>
      <c r="E28" s="4">
        <v>53592</v>
      </c>
      <c r="F28" s="5">
        <v>201.88106400000001</v>
      </c>
      <c r="G28" s="6">
        <v>1.406921E-2</v>
      </c>
      <c r="H28" s="109"/>
    </row>
    <row r="29" spans="1:8" ht="17.100000000000001" customHeight="1" x14ac:dyDescent="0.2">
      <c r="A29" s="100">
        <v>23</v>
      </c>
      <c r="B29" s="3" t="s">
        <v>286</v>
      </c>
      <c r="C29" s="3" t="s">
        <v>287</v>
      </c>
      <c r="D29" s="3" t="s">
        <v>19</v>
      </c>
      <c r="E29" s="4">
        <v>92048</v>
      </c>
      <c r="F29" s="5">
        <v>198.13332</v>
      </c>
      <c r="G29" s="6">
        <v>1.3808030000000001E-2</v>
      </c>
      <c r="H29" s="109"/>
    </row>
    <row r="30" spans="1:8" ht="17.100000000000001" customHeight="1" x14ac:dyDescent="0.2">
      <c r="A30" s="100">
        <v>24</v>
      </c>
      <c r="B30" s="3" t="s">
        <v>314</v>
      </c>
      <c r="C30" s="3" t="s">
        <v>315</v>
      </c>
      <c r="D30" s="3" t="s">
        <v>996</v>
      </c>
      <c r="E30" s="4">
        <v>18271</v>
      </c>
      <c r="F30" s="5">
        <v>196.888296</v>
      </c>
      <c r="G30" s="6">
        <v>1.3721260000000001E-2</v>
      </c>
      <c r="H30" s="109"/>
    </row>
    <row r="31" spans="1:8" ht="17.100000000000001" customHeight="1" x14ac:dyDescent="0.2">
      <c r="A31" s="100">
        <v>25</v>
      </c>
      <c r="B31" s="3" t="s">
        <v>211</v>
      </c>
      <c r="C31" s="3" t="s">
        <v>212</v>
      </c>
      <c r="D31" s="3" t="s">
        <v>213</v>
      </c>
      <c r="E31" s="4">
        <v>35316</v>
      </c>
      <c r="F31" s="5">
        <v>193.95547199999999</v>
      </c>
      <c r="G31" s="6">
        <v>1.351687E-2</v>
      </c>
      <c r="H31" s="109"/>
    </row>
    <row r="32" spans="1:8" ht="17.100000000000001" customHeight="1" x14ac:dyDescent="0.2">
      <c r="A32" s="100">
        <v>26</v>
      </c>
      <c r="B32" s="3" t="s">
        <v>201</v>
      </c>
      <c r="C32" s="3" t="s">
        <v>202</v>
      </c>
      <c r="D32" s="3" t="s">
        <v>203</v>
      </c>
      <c r="E32" s="4">
        <v>13636</v>
      </c>
      <c r="F32" s="5">
        <v>174.288534</v>
      </c>
      <c r="G32" s="6">
        <v>1.2146270000000001E-2</v>
      </c>
      <c r="H32" s="109"/>
    </row>
    <row r="33" spans="1:8" ht="17.100000000000001" customHeight="1" x14ac:dyDescent="0.2">
      <c r="A33" s="100">
        <v>27</v>
      </c>
      <c r="B33" s="3" t="s">
        <v>226</v>
      </c>
      <c r="C33" s="3" t="s">
        <v>227</v>
      </c>
      <c r="D33" s="3" t="s">
        <v>228</v>
      </c>
      <c r="E33" s="4">
        <v>443</v>
      </c>
      <c r="F33" s="5">
        <v>168.20554949999999</v>
      </c>
      <c r="G33" s="6">
        <v>1.1722349999999999E-2</v>
      </c>
      <c r="H33" s="109"/>
    </row>
    <row r="34" spans="1:8" ht="17.100000000000001" customHeight="1" x14ac:dyDescent="0.2">
      <c r="A34" s="100">
        <v>28</v>
      </c>
      <c r="B34" s="3" t="s">
        <v>106</v>
      </c>
      <c r="C34" s="3" t="s">
        <v>107</v>
      </c>
      <c r="D34" s="3" t="s">
        <v>108</v>
      </c>
      <c r="E34" s="4">
        <v>38023</v>
      </c>
      <c r="F34" s="5">
        <v>151.78781599999999</v>
      </c>
      <c r="G34" s="6">
        <v>1.057818E-2</v>
      </c>
      <c r="H34" s="109"/>
    </row>
    <row r="35" spans="1:8" ht="17.100000000000001" customHeight="1" x14ac:dyDescent="0.2">
      <c r="A35" s="100">
        <v>29</v>
      </c>
      <c r="B35" s="3" t="s">
        <v>316</v>
      </c>
      <c r="C35" s="3" t="s">
        <v>317</v>
      </c>
      <c r="D35" s="3" t="s">
        <v>996</v>
      </c>
      <c r="E35" s="4">
        <v>39000</v>
      </c>
      <c r="F35" s="5">
        <v>150.9495</v>
      </c>
      <c r="G35" s="6">
        <v>1.051976E-2</v>
      </c>
      <c r="H35" s="109"/>
    </row>
    <row r="36" spans="1:8" ht="17.100000000000001" customHeight="1" x14ac:dyDescent="0.2">
      <c r="A36" s="100">
        <v>30</v>
      </c>
      <c r="B36" s="3" t="s">
        <v>318</v>
      </c>
      <c r="C36" s="3" t="s">
        <v>319</v>
      </c>
      <c r="D36" s="3" t="s">
        <v>235</v>
      </c>
      <c r="E36" s="4">
        <v>12015</v>
      </c>
      <c r="F36" s="5">
        <v>148.853835</v>
      </c>
      <c r="G36" s="6">
        <v>1.037371E-2</v>
      </c>
      <c r="H36" s="109"/>
    </row>
    <row r="37" spans="1:8" ht="29.1" customHeight="1" x14ac:dyDescent="0.2">
      <c r="A37" s="100">
        <v>31</v>
      </c>
      <c r="B37" s="3" t="s">
        <v>189</v>
      </c>
      <c r="C37" s="3" t="s">
        <v>190</v>
      </c>
      <c r="D37" s="3" t="s">
        <v>191</v>
      </c>
      <c r="E37" s="4">
        <v>16000</v>
      </c>
      <c r="F37" s="5">
        <v>143.768</v>
      </c>
      <c r="G37" s="6">
        <v>1.001928E-2</v>
      </c>
      <c r="H37" s="109"/>
    </row>
    <row r="38" spans="1:8" ht="29.1" customHeight="1" x14ac:dyDescent="0.2">
      <c r="A38" s="100">
        <v>32</v>
      </c>
      <c r="B38" s="3" t="s">
        <v>256</v>
      </c>
      <c r="C38" s="3" t="s">
        <v>257</v>
      </c>
      <c r="D38" s="3" t="s">
        <v>221</v>
      </c>
      <c r="E38" s="4">
        <v>43242</v>
      </c>
      <c r="F38" s="5">
        <v>135.93122700000001</v>
      </c>
      <c r="G38" s="6">
        <v>9.4731299999999997E-3</v>
      </c>
      <c r="H38" s="109"/>
    </row>
    <row r="39" spans="1:8" ht="29.1" customHeight="1" x14ac:dyDescent="0.2">
      <c r="A39" s="100">
        <v>33</v>
      </c>
      <c r="B39" s="3" t="s">
        <v>320</v>
      </c>
      <c r="C39" s="3" t="s">
        <v>321</v>
      </c>
      <c r="D39" s="3" t="s">
        <v>188</v>
      </c>
      <c r="E39" s="4">
        <v>34955</v>
      </c>
      <c r="F39" s="5">
        <v>135.48558</v>
      </c>
      <c r="G39" s="6">
        <v>9.4420700000000003E-3</v>
      </c>
      <c r="H39" s="109"/>
    </row>
    <row r="40" spans="1:8" ht="17.100000000000001" customHeight="1" x14ac:dyDescent="0.2">
      <c r="A40" s="100">
        <v>34</v>
      </c>
      <c r="B40" s="3" t="s">
        <v>182</v>
      </c>
      <c r="C40" s="3" t="s">
        <v>183</v>
      </c>
      <c r="D40" s="3" t="s">
        <v>120</v>
      </c>
      <c r="E40" s="4">
        <v>10614</v>
      </c>
      <c r="F40" s="5">
        <v>127.723569</v>
      </c>
      <c r="G40" s="6">
        <v>8.9011300000000002E-3</v>
      </c>
      <c r="H40" s="109"/>
    </row>
    <row r="41" spans="1:8" ht="17.100000000000001" customHeight="1" x14ac:dyDescent="0.2">
      <c r="A41" s="100">
        <v>35</v>
      </c>
      <c r="B41" s="3" t="s">
        <v>322</v>
      </c>
      <c r="C41" s="3" t="s">
        <v>323</v>
      </c>
      <c r="D41" s="3" t="s">
        <v>996</v>
      </c>
      <c r="E41" s="4">
        <v>11437</v>
      </c>
      <c r="F41" s="5">
        <v>125.8355925</v>
      </c>
      <c r="G41" s="6">
        <v>8.7695599999999992E-3</v>
      </c>
      <c r="H41" s="109"/>
    </row>
    <row r="42" spans="1:8" ht="17.100000000000001" customHeight="1" x14ac:dyDescent="0.2">
      <c r="A42" s="100">
        <v>36</v>
      </c>
      <c r="B42" s="3" t="s">
        <v>113</v>
      </c>
      <c r="C42" s="3" t="s">
        <v>114</v>
      </c>
      <c r="D42" s="3" t="s">
        <v>115</v>
      </c>
      <c r="E42" s="4">
        <v>44599</v>
      </c>
      <c r="F42" s="5">
        <v>125.0778955</v>
      </c>
      <c r="G42" s="6">
        <v>8.7167500000000005E-3</v>
      </c>
      <c r="H42" s="109"/>
    </row>
    <row r="43" spans="1:8" ht="17.100000000000001" customHeight="1" x14ac:dyDescent="0.2">
      <c r="A43" s="100">
        <v>37</v>
      </c>
      <c r="B43" s="3" t="s">
        <v>116</v>
      </c>
      <c r="C43" s="3" t="s">
        <v>117</v>
      </c>
      <c r="D43" s="3" t="s">
        <v>19</v>
      </c>
      <c r="E43" s="4">
        <v>37123</v>
      </c>
      <c r="F43" s="5">
        <v>117.80984050000001</v>
      </c>
      <c r="G43" s="6">
        <v>8.2102400000000006E-3</v>
      </c>
      <c r="H43" s="109"/>
    </row>
    <row r="44" spans="1:8" ht="17.100000000000001" customHeight="1" x14ac:dyDescent="0.2">
      <c r="A44" s="100">
        <v>38</v>
      </c>
      <c r="B44" s="3" t="s">
        <v>55</v>
      </c>
      <c r="C44" s="3" t="s">
        <v>56</v>
      </c>
      <c r="D44" s="3" t="s">
        <v>57</v>
      </c>
      <c r="E44" s="4">
        <v>18275</v>
      </c>
      <c r="F44" s="5">
        <v>107.913875</v>
      </c>
      <c r="G44" s="6">
        <v>7.5205799999999998E-3</v>
      </c>
      <c r="H44" s="109"/>
    </row>
    <row r="45" spans="1:8" ht="17.100000000000001" customHeight="1" x14ac:dyDescent="0.2">
      <c r="A45" s="100">
        <v>39</v>
      </c>
      <c r="B45" s="3" t="s">
        <v>324</v>
      </c>
      <c r="C45" s="3" t="s">
        <v>325</v>
      </c>
      <c r="D45" s="3" t="s">
        <v>22</v>
      </c>
      <c r="E45" s="4">
        <v>4709</v>
      </c>
      <c r="F45" s="5">
        <v>81.430382499999993</v>
      </c>
      <c r="G45" s="6">
        <v>5.6749299999999999E-3</v>
      </c>
      <c r="H45" s="109"/>
    </row>
    <row r="46" spans="1:8" ht="17.100000000000001" customHeight="1" x14ac:dyDescent="0.2">
      <c r="A46" s="100">
        <v>40</v>
      </c>
      <c r="B46" s="3" t="s">
        <v>326</v>
      </c>
      <c r="C46" s="3" t="s">
        <v>327</v>
      </c>
      <c r="D46" s="3" t="s">
        <v>213</v>
      </c>
      <c r="E46" s="4">
        <v>77730</v>
      </c>
      <c r="F46" s="5">
        <v>80.800335000000004</v>
      </c>
      <c r="G46" s="6">
        <v>5.6310199999999996E-3</v>
      </c>
      <c r="H46" s="109"/>
    </row>
    <row r="47" spans="1:8" ht="17.100000000000001" customHeight="1" x14ac:dyDescent="0.2">
      <c r="A47" s="100">
        <v>41</v>
      </c>
      <c r="B47" s="3" t="s">
        <v>328</v>
      </c>
      <c r="C47" s="3" t="s">
        <v>329</v>
      </c>
      <c r="D47" s="3" t="s">
        <v>22</v>
      </c>
      <c r="E47" s="4">
        <v>7154</v>
      </c>
      <c r="F47" s="5">
        <v>77.098658</v>
      </c>
      <c r="G47" s="6">
        <v>5.3730499999999999E-3</v>
      </c>
      <c r="H47" s="109"/>
    </row>
    <row r="48" spans="1:8" ht="17.100000000000001" customHeight="1" x14ac:dyDescent="0.2">
      <c r="A48" s="100">
        <v>42</v>
      </c>
      <c r="B48" s="3" t="s">
        <v>330</v>
      </c>
      <c r="C48" s="3" t="s">
        <v>331</v>
      </c>
      <c r="D48" s="3" t="s">
        <v>97</v>
      </c>
      <c r="E48" s="4">
        <v>111123</v>
      </c>
      <c r="F48" s="5">
        <v>71.340965999999995</v>
      </c>
      <c r="G48" s="6">
        <v>4.9718000000000002E-3</v>
      </c>
      <c r="H48" s="109"/>
    </row>
    <row r="49" spans="1:8" ht="17.100000000000001" customHeight="1" x14ac:dyDescent="0.2">
      <c r="A49" s="100">
        <v>43</v>
      </c>
      <c r="B49" s="3" t="s">
        <v>214</v>
      </c>
      <c r="C49" s="3" t="s">
        <v>215</v>
      </c>
      <c r="D49" s="3" t="s">
        <v>216</v>
      </c>
      <c r="E49" s="4">
        <v>10058</v>
      </c>
      <c r="F49" s="5">
        <v>69.646620999999996</v>
      </c>
      <c r="G49" s="6">
        <v>4.8537199999999997E-3</v>
      </c>
      <c r="H49" s="109"/>
    </row>
    <row r="50" spans="1:8" ht="29.1" customHeight="1" x14ac:dyDescent="0.2">
      <c r="A50" s="100">
        <v>44</v>
      </c>
      <c r="B50" s="3" t="s">
        <v>268</v>
      </c>
      <c r="C50" s="3" t="s">
        <v>269</v>
      </c>
      <c r="D50" s="3" t="s">
        <v>221</v>
      </c>
      <c r="E50" s="4">
        <v>4108</v>
      </c>
      <c r="F50" s="5">
        <v>54.145493999999999</v>
      </c>
      <c r="G50" s="6">
        <v>3.7734299999999999E-3</v>
      </c>
      <c r="H50" s="109"/>
    </row>
    <row r="51" spans="1:8" ht="17.100000000000001" customHeight="1" x14ac:dyDescent="0.2">
      <c r="A51" s="100">
        <v>45</v>
      </c>
      <c r="B51" s="3" t="s">
        <v>332</v>
      </c>
      <c r="C51" s="3" t="s">
        <v>333</v>
      </c>
      <c r="D51" s="3" t="s">
        <v>334</v>
      </c>
      <c r="E51" s="4">
        <v>4917</v>
      </c>
      <c r="F51" s="5">
        <v>50.131273499999999</v>
      </c>
      <c r="G51" s="6">
        <v>3.4936799999999999E-3</v>
      </c>
      <c r="H51" s="109"/>
    </row>
    <row r="52" spans="1:8" ht="17.100000000000001" customHeight="1" x14ac:dyDescent="0.2">
      <c r="A52" s="100">
        <v>46</v>
      </c>
      <c r="B52" s="3" t="s">
        <v>335</v>
      </c>
      <c r="C52" s="3" t="s">
        <v>947</v>
      </c>
      <c r="D52" s="3" t="s">
        <v>16</v>
      </c>
      <c r="E52" s="4">
        <v>3244</v>
      </c>
      <c r="F52" s="5">
        <v>11.738414000000001</v>
      </c>
      <c r="G52" s="6">
        <v>8.1806000000000001E-4</v>
      </c>
      <c r="H52" s="109"/>
    </row>
    <row r="53" spans="1:8" ht="14.1" customHeight="1" x14ac:dyDescent="0.2">
      <c r="A53" s="99"/>
      <c r="B53" s="1"/>
      <c r="C53" s="2" t="s">
        <v>135</v>
      </c>
      <c r="D53" s="1"/>
      <c r="E53" s="1" t="s">
        <v>136</v>
      </c>
      <c r="F53" s="8">
        <v>12852.716266499998</v>
      </c>
      <c r="G53" s="9">
        <v>0.89571351999999993</v>
      </c>
      <c r="H53" s="109"/>
    </row>
    <row r="54" spans="1:8" ht="14.1" customHeight="1" x14ac:dyDescent="0.2">
      <c r="A54" s="99"/>
      <c r="B54" s="1"/>
      <c r="C54" s="10"/>
      <c r="D54" s="1"/>
      <c r="E54" s="1"/>
      <c r="F54" s="11"/>
      <c r="G54" s="11"/>
      <c r="H54" s="109"/>
    </row>
    <row r="55" spans="1:8" ht="14.1" customHeight="1" x14ac:dyDescent="0.2">
      <c r="A55" s="99"/>
      <c r="B55" s="1"/>
      <c r="C55" s="2" t="s">
        <v>137</v>
      </c>
      <c r="D55" s="1"/>
      <c r="E55" s="1"/>
      <c r="F55" s="1"/>
      <c r="G55" s="1"/>
      <c r="H55" s="109"/>
    </row>
    <row r="56" spans="1:8" ht="14.1" customHeight="1" x14ac:dyDescent="0.2">
      <c r="A56" s="99"/>
      <c r="B56" s="1"/>
      <c r="C56" s="2" t="s">
        <v>135</v>
      </c>
      <c r="D56" s="1"/>
      <c r="E56" s="1" t="s">
        <v>136</v>
      </c>
      <c r="F56" s="114">
        <v>0</v>
      </c>
      <c r="G56" s="9">
        <v>0</v>
      </c>
      <c r="H56" s="109"/>
    </row>
    <row r="57" spans="1:8" ht="14.1" customHeight="1" x14ac:dyDescent="0.2">
      <c r="A57" s="99"/>
      <c r="B57" s="1"/>
      <c r="C57" s="10"/>
      <c r="D57" s="1"/>
      <c r="E57" s="1"/>
      <c r="F57" s="11"/>
      <c r="G57" s="11"/>
      <c r="H57" s="109"/>
    </row>
    <row r="58" spans="1:8" ht="14.1" customHeight="1" x14ac:dyDescent="0.2">
      <c r="A58" s="99"/>
      <c r="B58" s="1"/>
      <c r="C58" s="2" t="s">
        <v>138</v>
      </c>
      <c r="D58" s="1"/>
      <c r="E58" s="1"/>
      <c r="F58" s="1"/>
      <c r="G58" s="1"/>
      <c r="H58" s="109"/>
    </row>
    <row r="59" spans="1:8" ht="14.1" customHeight="1" x14ac:dyDescent="0.2">
      <c r="A59" s="99"/>
      <c r="B59" s="1"/>
      <c r="C59" s="2" t="s">
        <v>135</v>
      </c>
      <c r="D59" s="1"/>
      <c r="E59" s="1" t="s">
        <v>136</v>
      </c>
      <c r="F59" s="114">
        <v>0</v>
      </c>
      <c r="G59" s="9">
        <v>0</v>
      </c>
      <c r="H59" s="109"/>
    </row>
    <row r="60" spans="1:8" ht="14.1" customHeight="1" x14ac:dyDescent="0.2">
      <c r="A60" s="99"/>
      <c r="B60" s="1"/>
      <c r="C60" s="10"/>
      <c r="D60" s="1"/>
      <c r="E60" s="1"/>
      <c r="F60" s="11"/>
      <c r="G60" s="11"/>
      <c r="H60" s="109"/>
    </row>
    <row r="61" spans="1:8" ht="14.1" customHeight="1" x14ac:dyDescent="0.2">
      <c r="A61" s="99"/>
      <c r="B61" s="1"/>
      <c r="C61" s="2" t="s">
        <v>139</v>
      </c>
      <c r="D61" s="1"/>
      <c r="E61" s="1"/>
      <c r="F61" s="1"/>
      <c r="G61" s="1"/>
      <c r="H61" s="109"/>
    </row>
    <row r="62" spans="1:8" ht="14.1" customHeight="1" x14ac:dyDescent="0.2">
      <c r="A62" s="99"/>
      <c r="B62" s="1"/>
      <c r="C62" s="2" t="s">
        <v>135</v>
      </c>
      <c r="D62" s="1"/>
      <c r="E62" s="1" t="s">
        <v>136</v>
      </c>
      <c r="F62" s="8">
        <v>0</v>
      </c>
      <c r="G62" s="9">
        <v>0</v>
      </c>
      <c r="H62" s="109"/>
    </row>
    <row r="63" spans="1:8" ht="14.1" customHeight="1" x14ac:dyDescent="0.2">
      <c r="A63" s="99"/>
      <c r="B63" s="1"/>
      <c r="C63" s="10"/>
      <c r="D63" s="1"/>
      <c r="E63" s="1"/>
      <c r="F63" s="11"/>
      <c r="G63" s="11"/>
      <c r="H63" s="109"/>
    </row>
    <row r="64" spans="1:8" ht="14.1" customHeight="1" x14ac:dyDescent="0.2">
      <c r="A64" s="99"/>
      <c r="B64" s="1"/>
      <c r="C64" s="2" t="s">
        <v>140</v>
      </c>
      <c r="D64" s="1"/>
      <c r="E64" s="1"/>
      <c r="F64" s="11"/>
      <c r="G64" s="11"/>
      <c r="H64" s="109"/>
    </row>
    <row r="65" spans="1:8" ht="14.1" customHeight="1" x14ac:dyDescent="0.2">
      <c r="A65" s="99"/>
      <c r="B65" s="1"/>
      <c r="C65" s="2" t="s">
        <v>135</v>
      </c>
      <c r="D65" s="1"/>
      <c r="E65" s="1" t="s">
        <v>136</v>
      </c>
      <c r="F65" s="114">
        <v>0</v>
      </c>
      <c r="G65" s="9">
        <v>0</v>
      </c>
      <c r="H65" s="109"/>
    </row>
    <row r="66" spans="1:8" ht="14.1" customHeight="1" x14ac:dyDescent="0.2">
      <c r="A66" s="99"/>
      <c r="B66" s="1"/>
      <c r="C66" s="10"/>
      <c r="D66" s="1"/>
      <c r="E66" s="1"/>
      <c r="F66" s="11"/>
      <c r="G66" s="11"/>
      <c r="H66" s="109"/>
    </row>
    <row r="67" spans="1:8" ht="14.1" customHeight="1" x14ac:dyDescent="0.2">
      <c r="A67" s="99"/>
      <c r="B67" s="1"/>
      <c r="C67" s="2" t="s">
        <v>141</v>
      </c>
      <c r="D67" s="1"/>
      <c r="E67" s="1"/>
      <c r="F67" s="11"/>
      <c r="G67" s="11"/>
      <c r="H67" s="109"/>
    </row>
    <row r="68" spans="1:8" ht="14.1" customHeight="1" x14ac:dyDescent="0.2">
      <c r="A68" s="99"/>
      <c r="B68" s="1"/>
      <c r="C68" s="2" t="s">
        <v>135</v>
      </c>
      <c r="D68" s="1"/>
      <c r="E68" s="1" t="s">
        <v>136</v>
      </c>
      <c r="F68" s="114">
        <v>0</v>
      </c>
      <c r="G68" s="9">
        <v>0</v>
      </c>
      <c r="H68" s="109"/>
    </row>
    <row r="69" spans="1:8" ht="14.1" customHeight="1" x14ac:dyDescent="0.2">
      <c r="A69" s="99"/>
      <c r="B69" s="1"/>
      <c r="C69" s="10"/>
      <c r="D69" s="1"/>
      <c r="E69" s="1"/>
      <c r="F69" s="11"/>
      <c r="G69" s="11"/>
      <c r="H69" s="109"/>
    </row>
    <row r="70" spans="1:8" ht="18" customHeight="1" x14ac:dyDescent="0.2">
      <c r="A70" s="99"/>
      <c r="B70" s="1"/>
      <c r="C70" s="2" t="s">
        <v>142</v>
      </c>
      <c r="D70" s="1"/>
      <c r="E70" s="1"/>
      <c r="F70" s="8">
        <v>12852.7162665</v>
      </c>
      <c r="G70" s="9">
        <v>0.89571352000000004</v>
      </c>
      <c r="H70" s="109"/>
    </row>
    <row r="71" spans="1:8" ht="14.1" customHeight="1" x14ac:dyDescent="0.2">
      <c r="A71" s="99"/>
      <c r="B71" s="1"/>
      <c r="C71" s="10"/>
      <c r="D71" s="1"/>
      <c r="E71" s="1"/>
      <c r="F71" s="11"/>
      <c r="G71" s="11"/>
      <c r="H71" s="109"/>
    </row>
    <row r="72" spans="1:8" ht="14.1" customHeight="1" x14ac:dyDescent="0.2">
      <c r="A72" s="99"/>
      <c r="B72" s="1"/>
      <c r="C72" s="2" t="s">
        <v>143</v>
      </c>
      <c r="D72" s="1"/>
      <c r="E72" s="1"/>
      <c r="F72" s="11"/>
      <c r="G72" s="11"/>
      <c r="H72" s="109"/>
    </row>
    <row r="73" spans="1:8" ht="24" customHeight="1" x14ac:dyDescent="0.2">
      <c r="A73" s="99"/>
      <c r="B73" s="1"/>
      <c r="C73" s="2" t="s">
        <v>10</v>
      </c>
      <c r="D73" s="1"/>
      <c r="E73" s="1"/>
      <c r="F73" s="11"/>
      <c r="G73" s="11"/>
      <c r="H73" s="109"/>
    </row>
    <row r="74" spans="1:8" ht="14.1" customHeight="1" x14ac:dyDescent="0.2">
      <c r="A74" s="99"/>
      <c r="B74" s="1"/>
      <c r="C74" s="2" t="s">
        <v>135</v>
      </c>
      <c r="D74" s="1"/>
      <c r="E74" s="1" t="s">
        <v>136</v>
      </c>
      <c r="F74" s="114">
        <v>0</v>
      </c>
      <c r="G74" s="9">
        <v>0</v>
      </c>
      <c r="H74" s="109"/>
    </row>
    <row r="75" spans="1:8" ht="14.1" customHeight="1" x14ac:dyDescent="0.2">
      <c r="A75" s="99"/>
      <c r="B75" s="1"/>
      <c r="C75" s="10"/>
      <c r="D75" s="1"/>
      <c r="E75" s="1"/>
      <c r="F75" s="11"/>
      <c r="G75" s="11"/>
      <c r="H75" s="109"/>
    </row>
    <row r="76" spans="1:8" ht="14.1" customHeight="1" x14ac:dyDescent="0.2">
      <c r="A76" s="99"/>
      <c r="B76" s="1"/>
      <c r="C76" s="2" t="s">
        <v>144</v>
      </c>
      <c r="D76" s="1"/>
      <c r="E76" s="1"/>
      <c r="F76" s="1"/>
      <c r="G76" s="1"/>
      <c r="H76" s="109"/>
    </row>
    <row r="77" spans="1:8" ht="14.1" customHeight="1" x14ac:dyDescent="0.2">
      <c r="A77" s="99"/>
      <c r="B77" s="1"/>
      <c r="C77" s="2" t="s">
        <v>135</v>
      </c>
      <c r="D77" s="1"/>
      <c r="E77" s="1" t="s">
        <v>136</v>
      </c>
      <c r="F77" s="114">
        <v>0</v>
      </c>
      <c r="G77" s="9">
        <v>0</v>
      </c>
      <c r="H77" s="109"/>
    </row>
    <row r="78" spans="1:8" ht="14.1" customHeight="1" x14ac:dyDescent="0.2">
      <c r="A78" s="99"/>
      <c r="B78" s="1"/>
      <c r="C78" s="10"/>
      <c r="D78" s="1"/>
      <c r="E78" s="1"/>
      <c r="F78" s="11"/>
      <c r="G78" s="11"/>
      <c r="H78" s="109"/>
    </row>
    <row r="79" spans="1:8" ht="14.1" customHeight="1" x14ac:dyDescent="0.2">
      <c r="A79" s="99"/>
      <c r="B79" s="1"/>
      <c r="C79" s="2" t="s">
        <v>145</v>
      </c>
      <c r="D79" s="1"/>
      <c r="E79" s="1"/>
      <c r="F79" s="1"/>
      <c r="G79" s="1"/>
      <c r="H79" s="109"/>
    </row>
    <row r="80" spans="1:8" ht="14.1" customHeight="1" x14ac:dyDescent="0.2">
      <c r="A80" s="99"/>
      <c r="B80" s="1"/>
      <c r="C80" s="2" t="s">
        <v>135</v>
      </c>
      <c r="D80" s="1"/>
      <c r="E80" s="1" t="s">
        <v>136</v>
      </c>
      <c r="F80" s="114">
        <v>0</v>
      </c>
      <c r="G80" s="9">
        <v>0</v>
      </c>
      <c r="H80" s="109"/>
    </row>
    <row r="81" spans="1:8" ht="14.1" customHeight="1" x14ac:dyDescent="0.2">
      <c r="A81" s="99"/>
      <c r="B81" s="1"/>
      <c r="C81" s="10"/>
      <c r="D81" s="1"/>
      <c r="E81" s="1"/>
      <c r="F81" s="11"/>
      <c r="G81" s="11"/>
      <c r="H81" s="109"/>
    </row>
    <row r="82" spans="1:8" ht="14.1" customHeight="1" x14ac:dyDescent="0.2">
      <c r="A82" s="99"/>
      <c r="B82" s="1"/>
      <c r="C82" s="2" t="s">
        <v>146</v>
      </c>
      <c r="D82" s="1"/>
      <c r="E82" s="1"/>
      <c r="F82" s="11"/>
      <c r="G82" s="11"/>
      <c r="H82" s="109"/>
    </row>
    <row r="83" spans="1:8" ht="14.1" customHeight="1" x14ac:dyDescent="0.2">
      <c r="A83" s="99"/>
      <c r="B83" s="1"/>
      <c r="C83" s="2" t="s">
        <v>135</v>
      </c>
      <c r="D83" s="1"/>
      <c r="E83" s="1" t="s">
        <v>136</v>
      </c>
      <c r="F83" s="114">
        <v>0</v>
      </c>
      <c r="G83" s="9">
        <v>0</v>
      </c>
      <c r="H83" s="109"/>
    </row>
    <row r="84" spans="1:8" ht="14.1" customHeight="1" x14ac:dyDescent="0.2">
      <c r="A84" s="99"/>
      <c r="B84" s="1"/>
      <c r="C84" s="10"/>
      <c r="D84" s="1"/>
      <c r="E84" s="1"/>
      <c r="F84" s="11"/>
      <c r="G84" s="11"/>
      <c r="H84" s="109"/>
    </row>
    <row r="85" spans="1:8" ht="14.1" customHeight="1" x14ac:dyDescent="0.2">
      <c r="A85" s="99"/>
      <c r="B85" s="1"/>
      <c r="C85" s="2" t="s">
        <v>147</v>
      </c>
      <c r="D85" s="1"/>
      <c r="E85" s="1"/>
      <c r="F85" s="8">
        <v>0</v>
      </c>
      <c r="G85" s="9">
        <v>0</v>
      </c>
      <c r="H85" s="109"/>
    </row>
    <row r="86" spans="1:8" ht="14.1" customHeight="1" x14ac:dyDescent="0.2">
      <c r="A86" s="99"/>
      <c r="B86" s="1"/>
      <c r="C86" s="10"/>
      <c r="D86" s="1"/>
      <c r="E86" s="1"/>
      <c r="F86" s="11"/>
      <c r="G86" s="11"/>
      <c r="H86" s="109"/>
    </row>
    <row r="87" spans="1:8" ht="14.1" customHeight="1" x14ac:dyDescent="0.2">
      <c r="A87" s="99"/>
      <c r="B87" s="1"/>
      <c r="C87" s="2" t="s">
        <v>148</v>
      </c>
      <c r="D87" s="1"/>
      <c r="E87" s="1"/>
      <c r="F87" s="11"/>
      <c r="G87" s="11"/>
      <c r="H87" s="109"/>
    </row>
    <row r="88" spans="1:8" ht="14.1" customHeight="1" x14ac:dyDescent="0.2">
      <c r="A88" s="99"/>
      <c r="B88" s="1"/>
      <c r="C88" s="2" t="s">
        <v>149</v>
      </c>
      <c r="D88" s="1"/>
      <c r="E88" s="1"/>
      <c r="F88" s="11"/>
      <c r="G88" s="11"/>
      <c r="H88" s="109"/>
    </row>
    <row r="89" spans="1:8" ht="14.1" customHeight="1" x14ac:dyDescent="0.2">
      <c r="A89" s="99"/>
      <c r="B89" s="1"/>
      <c r="C89" s="2" t="s">
        <v>135</v>
      </c>
      <c r="D89" s="1"/>
      <c r="E89" s="1" t="s">
        <v>136</v>
      </c>
      <c r="F89" s="114">
        <v>0</v>
      </c>
      <c r="G89" s="9">
        <v>0</v>
      </c>
      <c r="H89" s="109"/>
    </row>
    <row r="90" spans="1:8" ht="14.1" customHeight="1" x14ac:dyDescent="0.2">
      <c r="A90" s="99"/>
      <c r="B90" s="1"/>
      <c r="C90" s="10"/>
      <c r="D90" s="1"/>
      <c r="E90" s="1"/>
      <c r="F90" s="11"/>
      <c r="G90" s="11"/>
      <c r="H90" s="109"/>
    </row>
    <row r="91" spans="1:8" ht="14.1" customHeight="1" x14ac:dyDescent="0.2">
      <c r="A91" s="99"/>
      <c r="B91" s="1"/>
      <c r="C91" s="2" t="s">
        <v>150</v>
      </c>
      <c r="D91" s="1"/>
      <c r="E91" s="1"/>
      <c r="F91" s="11"/>
      <c r="G91" s="11"/>
      <c r="H91" s="109"/>
    </row>
    <row r="92" spans="1:8" ht="14.1" customHeight="1" x14ac:dyDescent="0.2">
      <c r="A92" s="99"/>
      <c r="B92" s="1"/>
      <c r="C92" s="2" t="s">
        <v>135</v>
      </c>
      <c r="D92" s="1"/>
      <c r="E92" s="1" t="s">
        <v>136</v>
      </c>
      <c r="F92" s="114">
        <v>0</v>
      </c>
      <c r="G92" s="9">
        <v>0</v>
      </c>
      <c r="H92" s="109"/>
    </row>
    <row r="93" spans="1:8" ht="14.1" customHeight="1" x14ac:dyDescent="0.2">
      <c r="A93" s="99"/>
      <c r="B93" s="1"/>
      <c r="C93" s="10"/>
      <c r="D93" s="1"/>
      <c r="E93" s="1"/>
      <c r="F93" s="11"/>
      <c r="G93" s="11"/>
      <c r="H93" s="109"/>
    </row>
    <row r="94" spans="1:8" ht="14.1" customHeight="1" x14ac:dyDescent="0.2">
      <c r="A94" s="99"/>
      <c r="B94" s="1"/>
      <c r="C94" s="2" t="s">
        <v>151</v>
      </c>
      <c r="D94" s="1"/>
      <c r="E94" s="1"/>
      <c r="F94" s="11"/>
      <c r="G94" s="11"/>
      <c r="H94" s="109"/>
    </row>
    <row r="95" spans="1:8" ht="14.1" customHeight="1" x14ac:dyDescent="0.2">
      <c r="A95" s="99"/>
      <c r="B95" s="1"/>
      <c r="C95" s="2" t="s">
        <v>135</v>
      </c>
      <c r="D95" s="1"/>
      <c r="E95" s="1" t="s">
        <v>136</v>
      </c>
      <c r="F95" s="114">
        <v>0</v>
      </c>
      <c r="G95" s="9">
        <v>0</v>
      </c>
      <c r="H95" s="109"/>
    </row>
    <row r="96" spans="1:8" ht="14.1" customHeight="1" x14ac:dyDescent="0.2">
      <c r="A96" s="99"/>
      <c r="B96" s="1"/>
      <c r="C96" s="10"/>
      <c r="D96" s="1"/>
      <c r="E96" s="1"/>
      <c r="F96" s="11"/>
      <c r="G96" s="11"/>
      <c r="H96" s="109"/>
    </row>
    <row r="97" spans="1:8" ht="14.1" customHeight="1" x14ac:dyDescent="0.2">
      <c r="A97" s="99"/>
      <c r="B97" s="1"/>
      <c r="C97" s="2" t="s">
        <v>152</v>
      </c>
      <c r="D97" s="1"/>
      <c r="E97" s="1"/>
      <c r="F97" s="11"/>
      <c r="G97" s="11"/>
      <c r="H97" s="109"/>
    </row>
    <row r="98" spans="1:8" ht="17.100000000000001" customHeight="1" x14ac:dyDescent="0.2">
      <c r="A98" s="100">
        <v>1</v>
      </c>
      <c r="B98" s="3"/>
      <c r="C98" s="3" t="s">
        <v>153</v>
      </c>
      <c r="D98" s="3"/>
      <c r="E98" s="7"/>
      <c r="F98" s="5">
        <v>1498.8310139990001</v>
      </c>
      <c r="G98" s="6">
        <v>0.10445443</v>
      </c>
      <c r="H98" s="109">
        <v>6.6015165706411798</v>
      </c>
    </row>
    <row r="99" spans="1:8" ht="14.1" customHeight="1" x14ac:dyDescent="0.2">
      <c r="A99" s="99"/>
      <c r="B99" s="1"/>
      <c r="C99" s="2" t="s">
        <v>135</v>
      </c>
      <c r="D99" s="1"/>
      <c r="E99" s="1" t="s">
        <v>136</v>
      </c>
      <c r="F99" s="8">
        <v>1498.8310139990001</v>
      </c>
      <c r="G99" s="9">
        <v>0.10445443</v>
      </c>
      <c r="H99" s="109"/>
    </row>
    <row r="100" spans="1:8" ht="14.1" customHeight="1" x14ac:dyDescent="0.2">
      <c r="A100" s="99"/>
      <c r="B100" s="1"/>
      <c r="C100" s="10"/>
      <c r="D100" s="1"/>
      <c r="E100" s="1"/>
      <c r="F100" s="11"/>
      <c r="G100" s="11"/>
      <c r="H100" s="109"/>
    </row>
    <row r="101" spans="1:8" ht="14.1" customHeight="1" x14ac:dyDescent="0.2">
      <c r="A101" s="99"/>
      <c r="B101" s="1"/>
      <c r="C101" s="2" t="s">
        <v>154</v>
      </c>
      <c r="D101" s="1"/>
      <c r="E101" s="1"/>
      <c r="F101" s="8">
        <v>1498.8310139990001</v>
      </c>
      <c r="G101" s="9">
        <v>0.10445443</v>
      </c>
      <c r="H101" s="109"/>
    </row>
    <row r="102" spans="1:8" ht="14.1" customHeight="1" x14ac:dyDescent="0.2">
      <c r="A102" s="99"/>
      <c r="B102" s="1"/>
      <c r="C102" s="11"/>
      <c r="D102" s="1"/>
      <c r="E102" s="1"/>
      <c r="F102" s="1"/>
      <c r="G102" s="1"/>
      <c r="H102" s="109"/>
    </row>
    <row r="103" spans="1:8" ht="14.1" customHeight="1" x14ac:dyDescent="0.2">
      <c r="A103" s="99"/>
      <c r="B103" s="1"/>
      <c r="C103" s="2" t="s">
        <v>155</v>
      </c>
      <c r="D103" s="1"/>
      <c r="E103" s="1"/>
      <c r="F103" s="1"/>
      <c r="G103" s="1"/>
      <c r="H103" s="109"/>
    </row>
    <row r="104" spans="1:8" ht="14.1" customHeight="1" x14ac:dyDescent="0.2">
      <c r="A104" s="99"/>
      <c r="B104" s="1"/>
      <c r="C104" s="2" t="s">
        <v>156</v>
      </c>
      <c r="D104" s="1"/>
      <c r="E104" s="1"/>
      <c r="F104" s="1"/>
      <c r="G104" s="1"/>
      <c r="H104" s="109"/>
    </row>
    <row r="105" spans="1:8" ht="14.1" customHeight="1" x14ac:dyDescent="0.2">
      <c r="A105" s="99"/>
      <c r="B105" s="1"/>
      <c r="C105" s="2" t="s">
        <v>135</v>
      </c>
      <c r="D105" s="1"/>
      <c r="E105" s="1" t="s">
        <v>136</v>
      </c>
      <c r="F105" s="114">
        <v>0</v>
      </c>
      <c r="G105" s="9">
        <v>0</v>
      </c>
      <c r="H105" s="109"/>
    </row>
    <row r="106" spans="1:8" ht="14.1" customHeight="1" x14ac:dyDescent="0.2">
      <c r="A106" s="99"/>
      <c r="B106" s="1"/>
      <c r="C106" s="10"/>
      <c r="D106" s="1"/>
      <c r="E106" s="1"/>
      <c r="F106" s="11"/>
      <c r="G106" s="11"/>
      <c r="H106" s="109"/>
    </row>
    <row r="107" spans="1:8" ht="14.1" customHeight="1" x14ac:dyDescent="0.2">
      <c r="A107" s="99"/>
      <c r="B107" s="1"/>
      <c r="C107" s="2" t="s">
        <v>157</v>
      </c>
      <c r="D107" s="1"/>
      <c r="E107" s="1"/>
      <c r="F107" s="1"/>
      <c r="G107" s="1"/>
      <c r="H107" s="109"/>
    </row>
    <row r="108" spans="1:8" ht="14.1" customHeight="1" x14ac:dyDescent="0.2">
      <c r="A108" s="99"/>
      <c r="B108" s="1"/>
      <c r="C108" s="2" t="s">
        <v>158</v>
      </c>
      <c r="D108" s="1"/>
      <c r="E108" s="1"/>
      <c r="F108" s="1"/>
      <c r="G108" s="1"/>
      <c r="H108" s="109"/>
    </row>
    <row r="109" spans="1:8" ht="14.1" customHeight="1" x14ac:dyDescent="0.2">
      <c r="A109" s="99"/>
      <c r="B109" s="1"/>
      <c r="C109" s="2" t="s">
        <v>135</v>
      </c>
      <c r="D109" s="1"/>
      <c r="E109" s="1" t="s">
        <v>136</v>
      </c>
      <c r="F109" s="114">
        <v>0</v>
      </c>
      <c r="G109" s="9">
        <v>0</v>
      </c>
      <c r="H109" s="109"/>
    </row>
    <row r="110" spans="1:8" ht="14.1" customHeight="1" x14ac:dyDescent="0.2">
      <c r="A110" s="99"/>
      <c r="B110" s="1"/>
      <c r="C110" s="10"/>
      <c r="D110" s="1"/>
      <c r="E110" s="1"/>
      <c r="F110" s="11"/>
      <c r="G110" s="11"/>
      <c r="H110" s="109"/>
    </row>
    <row r="111" spans="1:8" ht="24" customHeight="1" x14ac:dyDescent="0.2">
      <c r="A111" s="99"/>
      <c r="B111" s="1"/>
      <c r="C111" s="2" t="s">
        <v>159</v>
      </c>
      <c r="D111" s="1"/>
      <c r="E111" s="1"/>
      <c r="F111" s="11"/>
      <c r="G111" s="11"/>
      <c r="H111" s="109"/>
    </row>
    <row r="112" spans="1:8" ht="14.1" customHeight="1" x14ac:dyDescent="0.2">
      <c r="A112" s="99"/>
      <c r="B112" s="1"/>
      <c r="C112" s="2" t="s">
        <v>135</v>
      </c>
      <c r="D112" s="1"/>
      <c r="E112" s="1" t="s">
        <v>136</v>
      </c>
      <c r="F112" s="114">
        <v>0</v>
      </c>
      <c r="G112" s="9">
        <v>0</v>
      </c>
      <c r="H112" s="109"/>
    </row>
    <row r="113" spans="1:8" ht="14.1" customHeight="1" x14ac:dyDescent="0.2">
      <c r="A113" s="99"/>
      <c r="B113" s="1"/>
      <c r="C113" s="10"/>
      <c r="D113" s="1"/>
      <c r="E113" s="1"/>
      <c r="F113" s="11"/>
      <c r="G113" s="11"/>
      <c r="H113" s="109"/>
    </row>
    <row r="114" spans="1:8" ht="14.1" customHeight="1" x14ac:dyDescent="0.2">
      <c r="A114" s="99"/>
      <c r="B114" s="3"/>
      <c r="C114" s="3"/>
      <c r="D114" s="2"/>
      <c r="E114" s="1"/>
      <c r="F114" s="3"/>
      <c r="G114" s="7"/>
      <c r="H114" s="109"/>
    </row>
    <row r="115" spans="1:8" ht="18" customHeight="1" x14ac:dyDescent="0.2">
      <c r="A115" s="101"/>
      <c r="B115" s="3"/>
      <c r="C115" s="3" t="s">
        <v>160</v>
      </c>
      <c r="D115" s="3"/>
      <c r="E115" s="7"/>
      <c r="F115" s="5">
        <v>-2.40980668</v>
      </c>
      <c r="G115" s="6">
        <v>-1.6793999999999999E-4</v>
      </c>
      <c r="H115" s="109"/>
    </row>
    <row r="116" spans="1:8" ht="14.1" customHeight="1" x14ac:dyDescent="0.2">
      <c r="A116" s="102"/>
      <c r="B116" s="10"/>
      <c r="C116" s="2" t="s">
        <v>161</v>
      </c>
      <c r="D116" s="11"/>
      <c r="E116" s="11"/>
      <c r="F116" s="8">
        <v>14349.137473819001</v>
      </c>
      <c r="G116" s="12">
        <v>1.0000000099999999</v>
      </c>
      <c r="H116" s="109"/>
    </row>
    <row r="117" spans="1:8" ht="14.1" customHeight="1" x14ac:dyDescent="0.2">
      <c r="A117" s="13"/>
      <c r="B117" s="13"/>
      <c r="C117" s="13"/>
      <c r="D117" s="14"/>
      <c r="E117" s="14"/>
      <c r="F117" s="14"/>
      <c r="G117" s="14"/>
    </row>
    <row r="118" spans="1:8" ht="14.1" customHeight="1" x14ac:dyDescent="0.2">
      <c r="A118" s="15"/>
      <c r="B118" s="15"/>
      <c r="C118" s="15"/>
      <c r="D118" s="17"/>
      <c r="E118" s="17"/>
      <c r="F118" s="17"/>
      <c r="G118" s="17"/>
    </row>
    <row r="119" spans="1:8" ht="14.1" customHeight="1" x14ac:dyDescent="0.2">
      <c r="A119" s="15"/>
      <c r="B119" s="194" t="s">
        <v>163</v>
      </c>
      <c r="C119" s="195"/>
      <c r="D119" s="196"/>
      <c r="E119" s="18"/>
      <c r="F119" s="17"/>
      <c r="G119" s="17"/>
    </row>
    <row r="120" spans="1:8" ht="29.1" customHeight="1" x14ac:dyDescent="0.2">
      <c r="A120" s="15"/>
      <c r="B120" s="191" t="s">
        <v>164</v>
      </c>
      <c r="C120" s="192"/>
      <c r="D120" s="2" t="s">
        <v>165</v>
      </c>
      <c r="E120" s="18"/>
      <c r="F120" s="17"/>
      <c r="G120" s="17"/>
    </row>
    <row r="121" spans="1:8" ht="17.100000000000001" customHeight="1" x14ac:dyDescent="0.2">
      <c r="A121" s="15"/>
      <c r="B121" s="191" t="s">
        <v>166</v>
      </c>
      <c r="C121" s="192"/>
      <c r="D121" s="2" t="s">
        <v>165</v>
      </c>
      <c r="E121" s="18"/>
      <c r="F121" s="17"/>
      <c r="G121" s="17"/>
    </row>
    <row r="122" spans="1:8" ht="17.100000000000001" customHeight="1" x14ac:dyDescent="0.2">
      <c r="A122" s="15"/>
      <c r="B122" s="191" t="s">
        <v>167</v>
      </c>
      <c r="C122" s="192"/>
      <c r="D122" s="11" t="s">
        <v>136</v>
      </c>
      <c r="E122" s="18"/>
      <c r="F122" s="17"/>
      <c r="G122" s="17"/>
    </row>
    <row r="123" spans="1:8" ht="24" customHeight="1" x14ac:dyDescent="0.2">
      <c r="A123" s="19"/>
      <c r="B123" s="20" t="s">
        <v>136</v>
      </c>
      <c r="C123" s="20" t="s">
        <v>168</v>
      </c>
      <c r="D123" s="20" t="s">
        <v>169</v>
      </c>
      <c r="E123" s="19"/>
      <c r="F123" s="19"/>
      <c r="G123" s="19"/>
    </row>
    <row r="124" spans="1:8" ht="18" customHeight="1" x14ac:dyDescent="0.2">
      <c r="A124" s="19"/>
      <c r="B124" s="21" t="s">
        <v>170</v>
      </c>
      <c r="C124" s="20" t="s">
        <v>171</v>
      </c>
      <c r="D124" s="20" t="s">
        <v>172</v>
      </c>
      <c r="E124" s="19"/>
      <c r="F124" s="19"/>
      <c r="G124" s="19"/>
    </row>
    <row r="125" spans="1:8" ht="17.100000000000001" customHeight="1" x14ac:dyDescent="0.2">
      <c r="A125" s="19"/>
      <c r="B125" s="3" t="s">
        <v>173</v>
      </c>
      <c r="C125" s="22">
        <v>17.858899999999998</v>
      </c>
      <c r="D125" s="22">
        <v>17.376000000000001</v>
      </c>
      <c r="E125" s="19"/>
      <c r="F125" s="16"/>
      <c r="G125" s="23"/>
    </row>
    <row r="126" spans="1:8" ht="17.100000000000001" customHeight="1" x14ac:dyDescent="0.2">
      <c r="A126" s="19"/>
      <c r="B126" s="3" t="s">
        <v>994</v>
      </c>
      <c r="C126" s="22">
        <v>16.9864</v>
      </c>
      <c r="D126" s="22">
        <v>16.527100000000001</v>
      </c>
      <c r="E126" s="19"/>
      <c r="F126" s="16"/>
      <c r="G126" s="23"/>
    </row>
    <row r="127" spans="1:8" ht="17.100000000000001" customHeight="1" x14ac:dyDescent="0.2">
      <c r="A127" s="19"/>
      <c r="B127" s="3" t="s">
        <v>174</v>
      </c>
      <c r="C127" s="22">
        <v>17.392499999999998</v>
      </c>
      <c r="D127" s="22">
        <v>16.9148</v>
      </c>
      <c r="E127" s="19"/>
      <c r="F127" s="16"/>
      <c r="G127" s="23"/>
    </row>
    <row r="128" spans="1:8" ht="17.100000000000001" customHeight="1" x14ac:dyDescent="0.2">
      <c r="A128" s="19"/>
      <c r="B128" s="3" t="s">
        <v>995</v>
      </c>
      <c r="C128" s="22">
        <v>16.732600000000001</v>
      </c>
      <c r="D128" s="22">
        <v>16.273099999999999</v>
      </c>
      <c r="E128" s="19"/>
      <c r="F128" s="16"/>
      <c r="G128" s="23"/>
    </row>
    <row r="129" spans="1:15" ht="14.1" customHeight="1" x14ac:dyDescent="0.2">
      <c r="A129" s="19"/>
      <c r="B129" s="19"/>
      <c r="C129" s="19"/>
      <c r="D129" s="19"/>
      <c r="E129" s="19"/>
      <c r="F129" s="19"/>
      <c r="G129" s="19"/>
    </row>
    <row r="130" spans="1:15" ht="17.100000000000001" customHeight="1" x14ac:dyDescent="0.2">
      <c r="A130" s="19"/>
      <c r="B130" s="191" t="s">
        <v>1044</v>
      </c>
      <c r="C130" s="192"/>
      <c r="D130" s="2" t="s">
        <v>165</v>
      </c>
      <c r="E130" s="19"/>
      <c r="F130" s="19"/>
      <c r="G130" s="19"/>
    </row>
    <row r="131" spans="1:15" ht="18" customHeight="1" x14ac:dyDescent="0.2">
      <c r="A131" s="19"/>
      <c r="B131" s="24"/>
      <c r="C131" s="24"/>
      <c r="D131" s="24"/>
      <c r="E131" s="19"/>
      <c r="F131" s="19"/>
      <c r="G131" s="19"/>
    </row>
    <row r="132" spans="1:15" ht="29.1" customHeight="1" x14ac:dyDescent="0.2">
      <c r="A132" s="19"/>
      <c r="B132" s="191" t="s">
        <v>175</v>
      </c>
      <c r="C132" s="192"/>
      <c r="D132" s="2" t="s">
        <v>165</v>
      </c>
      <c r="E132" s="25"/>
      <c r="F132" s="19"/>
      <c r="G132" s="19"/>
    </row>
    <row r="133" spans="1:15" ht="29.1" customHeight="1" x14ac:dyDescent="0.2">
      <c r="A133" s="19"/>
      <c r="B133" s="191" t="s">
        <v>176</v>
      </c>
      <c r="C133" s="192"/>
      <c r="D133" s="2" t="s">
        <v>165</v>
      </c>
      <c r="E133" s="25"/>
      <c r="F133" s="19"/>
      <c r="G133" s="19"/>
    </row>
    <row r="134" spans="1:15" ht="17.100000000000001" customHeight="1" x14ac:dyDescent="0.2">
      <c r="A134" s="19"/>
      <c r="B134" s="191" t="s">
        <v>177</v>
      </c>
      <c r="C134" s="192"/>
      <c r="D134" s="2" t="s">
        <v>165</v>
      </c>
      <c r="E134" s="25"/>
      <c r="F134" s="19"/>
      <c r="G134" s="19"/>
    </row>
    <row r="135" spans="1:15" ht="17.100000000000001" customHeight="1" x14ac:dyDescent="0.2">
      <c r="A135" s="19"/>
      <c r="B135" s="191" t="s">
        <v>178</v>
      </c>
      <c r="C135" s="192"/>
      <c r="D135" s="26">
        <v>0.13936956967423142</v>
      </c>
      <c r="E135" s="19"/>
      <c r="F135" s="16"/>
      <c r="G135" s="23"/>
    </row>
    <row r="136" spans="1:15" ht="14.1" customHeight="1" x14ac:dyDescent="0.2">
      <c r="A136" s="24"/>
      <c r="B136" s="24"/>
      <c r="C136" s="24"/>
      <c r="D136" s="24"/>
      <c r="E136" s="24"/>
      <c r="F136" s="24"/>
      <c r="G136" s="24"/>
    </row>
    <row r="140" spans="1:15" x14ac:dyDescent="0.2">
      <c r="J140" s="170"/>
      <c r="K140" s="170"/>
      <c r="L140" s="170"/>
      <c r="M140" s="170"/>
      <c r="N140" s="170"/>
      <c r="O140" s="170"/>
    </row>
  </sheetData>
  <mergeCells count="13">
    <mergeCell ref="J2:N2"/>
    <mergeCell ref="B122:C122"/>
    <mergeCell ref="B119:D119"/>
    <mergeCell ref="B120:C120"/>
    <mergeCell ref="B121:C121"/>
    <mergeCell ref="A1:H1"/>
    <mergeCell ref="A2:H2"/>
    <mergeCell ref="A3:H3"/>
    <mergeCell ref="B135:C135"/>
    <mergeCell ref="B132:C132"/>
    <mergeCell ref="B133:C133"/>
    <mergeCell ref="B134:C134"/>
    <mergeCell ref="B130:C130"/>
  </mergeCells>
  <hyperlinks>
    <hyperlink ref="I1" location="Index!B4" display="Index" xr:uid="{25E59379-39C9-4D86-90A8-00B92ACE8074}"/>
  </hyperlinks>
  <pageMargins left="5.000000074505806E-2" right="5.000000074505806E-2" top="0.30000001192092896" bottom="0.20000000298023224" header="0" footer="0"/>
  <pageSetup paperSize="9"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40"/>
  <sheetViews>
    <sheetView showGridLines="0" workbookViewId="0">
      <selection sqref="A1:H1"/>
    </sheetView>
  </sheetViews>
  <sheetFormatPr defaultRowHeight="12.75" x14ac:dyDescent="0.2"/>
  <cols>
    <col min="1" max="1" width="5.85546875" bestFit="1"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87" t="s">
        <v>0</v>
      </c>
      <c r="B1" s="187"/>
      <c r="C1" s="187"/>
      <c r="D1" s="187"/>
      <c r="E1" s="187"/>
      <c r="F1" s="187"/>
      <c r="G1" s="187"/>
      <c r="H1" s="187"/>
      <c r="I1" s="167" t="s">
        <v>1055</v>
      </c>
    </row>
    <row r="2" spans="1:15" ht="17.100000000000001" customHeight="1" x14ac:dyDescent="0.2">
      <c r="A2" s="188" t="s">
        <v>336</v>
      </c>
      <c r="B2" s="189"/>
      <c r="C2" s="189"/>
      <c r="D2" s="189"/>
      <c r="E2" s="189"/>
      <c r="F2" s="189"/>
      <c r="G2" s="189"/>
      <c r="H2" s="190"/>
      <c r="J2" s="186" t="s">
        <v>1056</v>
      </c>
      <c r="K2" s="186"/>
      <c r="L2" s="186"/>
      <c r="M2" s="186"/>
      <c r="N2" s="186"/>
    </row>
    <row r="3" spans="1:15" ht="21" customHeight="1" x14ac:dyDescent="0.2">
      <c r="A3" s="187" t="s">
        <v>1052</v>
      </c>
      <c r="B3" s="187"/>
      <c r="C3" s="187"/>
      <c r="D3" s="187"/>
      <c r="E3" s="187"/>
      <c r="F3" s="187"/>
      <c r="G3" s="187"/>
      <c r="H3" s="187"/>
    </row>
    <row r="4" spans="1:15" ht="30" x14ac:dyDescent="0.2">
      <c r="A4" s="163" t="s">
        <v>2</v>
      </c>
      <c r="B4" s="164" t="s">
        <v>3</v>
      </c>
      <c r="C4" s="164" t="s">
        <v>4</v>
      </c>
      <c r="D4" s="164" t="s">
        <v>5</v>
      </c>
      <c r="E4" s="164" t="s">
        <v>6</v>
      </c>
      <c r="F4" s="164" t="s">
        <v>7</v>
      </c>
      <c r="G4" s="164" t="s">
        <v>8</v>
      </c>
      <c r="H4" s="120" t="s">
        <v>881</v>
      </c>
      <c r="I4" s="165"/>
      <c r="J4" s="165"/>
      <c r="K4" s="165"/>
      <c r="L4" s="165"/>
      <c r="M4" s="165"/>
      <c r="N4" s="165"/>
      <c r="O4" s="165"/>
    </row>
    <row r="5" spans="1:15" ht="14.1" customHeight="1" x14ac:dyDescent="0.2">
      <c r="A5" s="99"/>
      <c r="B5" s="1"/>
      <c r="C5" s="2" t="s">
        <v>9</v>
      </c>
      <c r="D5" s="1"/>
      <c r="E5" s="1"/>
      <c r="F5" s="1"/>
      <c r="G5" s="1"/>
      <c r="H5" s="109"/>
    </row>
    <row r="6" spans="1:15" ht="24" customHeight="1" x14ac:dyDescent="0.2">
      <c r="A6" s="99"/>
      <c r="B6" s="1"/>
      <c r="C6" s="2" t="s">
        <v>10</v>
      </c>
      <c r="D6" s="1"/>
      <c r="E6" s="1"/>
      <c r="F6" s="1"/>
      <c r="G6" s="1"/>
      <c r="H6" s="109"/>
    </row>
    <row r="7" spans="1:15" ht="17.100000000000001" customHeight="1" x14ac:dyDescent="0.2">
      <c r="A7" s="100">
        <v>1</v>
      </c>
      <c r="B7" s="3" t="s">
        <v>20</v>
      </c>
      <c r="C7" s="3" t="s">
        <v>21</v>
      </c>
      <c r="D7" s="3" t="s">
        <v>22</v>
      </c>
      <c r="E7" s="4">
        <v>80632</v>
      </c>
      <c r="F7" s="5">
        <v>689.28265199999998</v>
      </c>
      <c r="G7" s="6">
        <v>8.1765969999999993E-2</v>
      </c>
      <c r="H7" s="109"/>
    </row>
    <row r="8" spans="1:15" ht="17.100000000000001" customHeight="1" x14ac:dyDescent="0.2">
      <c r="A8" s="100">
        <v>2</v>
      </c>
      <c r="B8" s="3" t="s">
        <v>17</v>
      </c>
      <c r="C8" s="3" t="s">
        <v>18</v>
      </c>
      <c r="D8" s="3" t="s">
        <v>19</v>
      </c>
      <c r="E8" s="4">
        <v>26043</v>
      </c>
      <c r="F8" s="5">
        <v>604.86169649999999</v>
      </c>
      <c r="G8" s="6">
        <v>7.1751560000000006E-2</v>
      </c>
      <c r="H8" s="109"/>
    </row>
    <row r="9" spans="1:15" ht="17.100000000000001" customHeight="1" x14ac:dyDescent="0.2">
      <c r="A9" s="100">
        <v>3</v>
      </c>
      <c r="B9" s="3" t="s">
        <v>293</v>
      </c>
      <c r="C9" s="3" t="s">
        <v>294</v>
      </c>
      <c r="D9" s="3" t="s">
        <v>996</v>
      </c>
      <c r="E9" s="4">
        <v>31453</v>
      </c>
      <c r="F9" s="5">
        <v>467.87910149999999</v>
      </c>
      <c r="G9" s="6">
        <v>5.5502030000000001E-2</v>
      </c>
      <c r="H9" s="109"/>
    </row>
    <row r="10" spans="1:15" ht="29.1" customHeight="1" x14ac:dyDescent="0.2">
      <c r="A10" s="100">
        <v>4</v>
      </c>
      <c r="B10" s="3" t="s">
        <v>295</v>
      </c>
      <c r="C10" s="3" t="s">
        <v>296</v>
      </c>
      <c r="D10" s="3" t="s">
        <v>120</v>
      </c>
      <c r="E10" s="4">
        <v>16489</v>
      </c>
      <c r="F10" s="5">
        <v>430.27221050000003</v>
      </c>
      <c r="G10" s="6">
        <v>5.1040929999999998E-2</v>
      </c>
      <c r="H10" s="109"/>
    </row>
    <row r="11" spans="1:15" ht="17.100000000000001" customHeight="1" x14ac:dyDescent="0.2">
      <c r="A11" s="100">
        <v>5</v>
      </c>
      <c r="B11" s="3" t="s">
        <v>297</v>
      </c>
      <c r="C11" s="3" t="s">
        <v>298</v>
      </c>
      <c r="D11" s="3" t="s">
        <v>22</v>
      </c>
      <c r="E11" s="4">
        <v>26088</v>
      </c>
      <c r="F11" s="5">
        <v>417.30364800000001</v>
      </c>
      <c r="G11" s="6">
        <v>4.9502530000000003E-2</v>
      </c>
      <c r="H11" s="109"/>
    </row>
    <row r="12" spans="1:15" ht="17.100000000000001" customHeight="1" x14ac:dyDescent="0.2">
      <c r="A12" s="100">
        <v>6</v>
      </c>
      <c r="B12" s="3" t="s">
        <v>32</v>
      </c>
      <c r="C12" s="3" t="s">
        <v>33</v>
      </c>
      <c r="D12" s="3" t="s">
        <v>22</v>
      </c>
      <c r="E12" s="4">
        <v>73332</v>
      </c>
      <c r="F12" s="5">
        <v>383.37969600000002</v>
      </c>
      <c r="G12" s="6">
        <v>4.5478310000000001E-2</v>
      </c>
      <c r="H12" s="109"/>
    </row>
    <row r="13" spans="1:15" ht="17.100000000000001" customHeight="1" x14ac:dyDescent="0.2">
      <c r="A13" s="100">
        <v>7</v>
      </c>
      <c r="B13" s="3" t="s">
        <v>197</v>
      </c>
      <c r="C13" s="3" t="s">
        <v>198</v>
      </c>
      <c r="D13" s="3" t="s">
        <v>22</v>
      </c>
      <c r="E13" s="4">
        <v>38735</v>
      </c>
      <c r="F13" s="5">
        <v>326.96213499999999</v>
      </c>
      <c r="G13" s="6">
        <v>3.8785800000000002E-2</v>
      </c>
      <c r="H13" s="109"/>
      <c r="J13" s="169" t="s">
        <v>1060</v>
      </c>
    </row>
    <row r="14" spans="1:15" ht="17.100000000000001" customHeight="1" x14ac:dyDescent="0.2">
      <c r="A14" s="100">
        <v>8</v>
      </c>
      <c r="B14" s="3" t="s">
        <v>11</v>
      </c>
      <c r="C14" s="3" t="s">
        <v>12</v>
      </c>
      <c r="D14" s="3" t="s">
        <v>13</v>
      </c>
      <c r="E14" s="4">
        <v>13567</v>
      </c>
      <c r="F14" s="5">
        <v>286.14838049999997</v>
      </c>
      <c r="G14" s="6">
        <v>3.394428E-2</v>
      </c>
      <c r="H14" s="109"/>
    </row>
    <row r="15" spans="1:15" ht="29.1" customHeight="1" x14ac:dyDescent="0.2">
      <c r="A15" s="100">
        <v>9</v>
      </c>
      <c r="B15" s="3" t="s">
        <v>204</v>
      </c>
      <c r="C15" s="3" t="s">
        <v>205</v>
      </c>
      <c r="D15" s="3" t="s">
        <v>115</v>
      </c>
      <c r="E15" s="4">
        <v>70938</v>
      </c>
      <c r="F15" s="5">
        <v>215.54511299999999</v>
      </c>
      <c r="G15" s="6">
        <v>2.5568980000000002E-2</v>
      </c>
      <c r="H15" s="109"/>
    </row>
    <row r="16" spans="1:15" ht="29.1" customHeight="1" x14ac:dyDescent="0.2">
      <c r="A16" s="100">
        <v>10</v>
      </c>
      <c r="B16" s="3" t="s">
        <v>186</v>
      </c>
      <c r="C16" s="3" t="s">
        <v>187</v>
      </c>
      <c r="D16" s="3" t="s">
        <v>188</v>
      </c>
      <c r="E16" s="4">
        <v>4933</v>
      </c>
      <c r="F16" s="5">
        <v>203.639173</v>
      </c>
      <c r="G16" s="6">
        <v>2.415664E-2</v>
      </c>
      <c r="H16" s="109"/>
    </row>
    <row r="17" spans="1:8" ht="17.100000000000001" customHeight="1" x14ac:dyDescent="0.2">
      <c r="A17" s="100">
        <v>11</v>
      </c>
      <c r="B17" s="3" t="s">
        <v>14</v>
      </c>
      <c r="C17" s="3" t="s">
        <v>15</v>
      </c>
      <c r="D17" s="3" t="s">
        <v>16</v>
      </c>
      <c r="E17" s="4">
        <v>26720</v>
      </c>
      <c r="F17" s="5">
        <v>198.32919999999999</v>
      </c>
      <c r="G17" s="6">
        <v>2.3526749999999999E-2</v>
      </c>
      <c r="H17" s="109"/>
    </row>
    <row r="18" spans="1:8" ht="17.100000000000001" customHeight="1" x14ac:dyDescent="0.2">
      <c r="A18" s="100">
        <v>12</v>
      </c>
      <c r="B18" s="3" t="s">
        <v>299</v>
      </c>
      <c r="C18" s="3" t="s">
        <v>300</v>
      </c>
      <c r="D18" s="3" t="s">
        <v>996</v>
      </c>
      <c r="E18" s="4">
        <v>5191</v>
      </c>
      <c r="F18" s="5">
        <v>171.9700435</v>
      </c>
      <c r="G18" s="6">
        <v>2.0399899999999999E-2</v>
      </c>
      <c r="H18" s="109"/>
    </row>
    <row r="19" spans="1:8" ht="17.100000000000001" customHeight="1" x14ac:dyDescent="0.2">
      <c r="A19" s="100">
        <v>13</v>
      </c>
      <c r="B19" s="3" t="s">
        <v>301</v>
      </c>
      <c r="C19" s="3" t="s">
        <v>302</v>
      </c>
      <c r="D19" s="3" t="s">
        <v>216</v>
      </c>
      <c r="E19" s="4">
        <v>14560</v>
      </c>
      <c r="F19" s="5">
        <v>163.2176</v>
      </c>
      <c r="G19" s="6">
        <v>1.9361639999999999E-2</v>
      </c>
      <c r="H19" s="109"/>
    </row>
    <row r="20" spans="1:8" ht="17.100000000000001" customHeight="1" x14ac:dyDescent="0.2">
      <c r="A20" s="100">
        <v>14</v>
      </c>
      <c r="B20" s="3" t="s">
        <v>37</v>
      </c>
      <c r="C20" s="3" t="s">
        <v>38</v>
      </c>
      <c r="D20" s="3" t="s">
        <v>31</v>
      </c>
      <c r="E20" s="4">
        <v>8928</v>
      </c>
      <c r="F20" s="5">
        <v>161.123616</v>
      </c>
      <c r="G20" s="6">
        <v>1.9113249999999998E-2</v>
      </c>
      <c r="H20" s="109"/>
    </row>
    <row r="21" spans="1:8" ht="29.1" customHeight="1" x14ac:dyDescent="0.2">
      <c r="A21" s="100">
        <v>15</v>
      </c>
      <c r="B21" s="3" t="s">
        <v>303</v>
      </c>
      <c r="C21" s="3" t="s">
        <v>304</v>
      </c>
      <c r="D21" s="3" t="s">
        <v>221</v>
      </c>
      <c r="E21" s="4">
        <v>16801</v>
      </c>
      <c r="F21" s="5">
        <v>160.718366</v>
      </c>
      <c r="G21" s="6">
        <v>1.9065169999999999E-2</v>
      </c>
      <c r="H21" s="109"/>
    </row>
    <row r="22" spans="1:8" ht="17.100000000000001" customHeight="1" x14ac:dyDescent="0.2">
      <c r="A22" s="100">
        <v>16</v>
      </c>
      <c r="B22" s="3" t="s">
        <v>222</v>
      </c>
      <c r="C22" s="3" t="s">
        <v>223</v>
      </c>
      <c r="D22" s="3" t="s">
        <v>22</v>
      </c>
      <c r="E22" s="4">
        <v>96000</v>
      </c>
      <c r="F22" s="5">
        <v>152.63999999999999</v>
      </c>
      <c r="G22" s="6">
        <v>1.8106879999999999E-2</v>
      </c>
      <c r="H22" s="109"/>
    </row>
    <row r="23" spans="1:8" ht="29.1" customHeight="1" x14ac:dyDescent="0.2">
      <c r="A23" s="100">
        <v>17</v>
      </c>
      <c r="B23" s="3" t="s">
        <v>23</v>
      </c>
      <c r="C23" s="3" t="s">
        <v>24</v>
      </c>
      <c r="D23" s="3" t="s">
        <v>25</v>
      </c>
      <c r="E23" s="4">
        <v>2097</v>
      </c>
      <c r="F23" s="5">
        <v>152.26946100000001</v>
      </c>
      <c r="G23" s="6">
        <v>1.806292E-2</v>
      </c>
      <c r="H23" s="109"/>
    </row>
    <row r="24" spans="1:8" ht="17.100000000000001" customHeight="1" x14ac:dyDescent="0.2">
      <c r="A24" s="100">
        <v>18</v>
      </c>
      <c r="B24" s="3" t="s">
        <v>305</v>
      </c>
      <c r="C24" s="3" t="s">
        <v>306</v>
      </c>
      <c r="D24" s="3" t="s">
        <v>242</v>
      </c>
      <c r="E24" s="4">
        <v>9870</v>
      </c>
      <c r="F24" s="5">
        <v>149.84634</v>
      </c>
      <c r="G24" s="6">
        <v>1.777548E-2</v>
      </c>
      <c r="H24" s="109"/>
    </row>
    <row r="25" spans="1:8" ht="17.100000000000001" customHeight="1" x14ac:dyDescent="0.2">
      <c r="A25" s="100">
        <v>19</v>
      </c>
      <c r="B25" s="3" t="s">
        <v>78</v>
      </c>
      <c r="C25" s="3" t="s">
        <v>79</v>
      </c>
      <c r="D25" s="3" t="s">
        <v>80</v>
      </c>
      <c r="E25" s="4">
        <v>4780</v>
      </c>
      <c r="F25" s="5">
        <v>142.53243000000001</v>
      </c>
      <c r="G25" s="6">
        <v>1.6907869999999998E-2</v>
      </c>
      <c r="H25" s="109"/>
    </row>
    <row r="26" spans="1:8" ht="17.100000000000001" customHeight="1" x14ac:dyDescent="0.2">
      <c r="A26" s="100">
        <v>20</v>
      </c>
      <c r="B26" s="3" t="s">
        <v>307</v>
      </c>
      <c r="C26" s="3" t="s">
        <v>308</v>
      </c>
      <c r="D26" s="3" t="s">
        <v>309</v>
      </c>
      <c r="E26" s="4">
        <v>5513</v>
      </c>
      <c r="F26" s="5">
        <v>135.65563449999999</v>
      </c>
      <c r="G26" s="6">
        <v>1.609211E-2</v>
      </c>
      <c r="H26" s="109"/>
    </row>
    <row r="27" spans="1:8" ht="17.100000000000001" customHeight="1" x14ac:dyDescent="0.2">
      <c r="A27" s="100">
        <v>21</v>
      </c>
      <c r="B27" s="3" t="s">
        <v>310</v>
      </c>
      <c r="C27" s="3" t="s">
        <v>311</v>
      </c>
      <c r="D27" s="3" t="s">
        <v>71</v>
      </c>
      <c r="E27" s="4">
        <v>10176</v>
      </c>
      <c r="F27" s="5">
        <v>129.19449599999999</v>
      </c>
      <c r="G27" s="6">
        <v>1.532566E-2</v>
      </c>
      <c r="H27" s="109"/>
    </row>
    <row r="28" spans="1:8" ht="17.100000000000001" customHeight="1" x14ac:dyDescent="0.2">
      <c r="A28" s="100">
        <v>22</v>
      </c>
      <c r="B28" s="3" t="s">
        <v>312</v>
      </c>
      <c r="C28" s="3" t="s">
        <v>313</v>
      </c>
      <c r="D28" s="3" t="s">
        <v>309</v>
      </c>
      <c r="E28" s="4">
        <v>31300</v>
      </c>
      <c r="F28" s="5">
        <v>117.9071</v>
      </c>
      <c r="G28" s="6">
        <v>1.3986699999999999E-2</v>
      </c>
      <c r="H28" s="109"/>
    </row>
    <row r="29" spans="1:8" ht="17.100000000000001" customHeight="1" x14ac:dyDescent="0.2">
      <c r="A29" s="100">
        <v>23</v>
      </c>
      <c r="B29" s="3" t="s">
        <v>286</v>
      </c>
      <c r="C29" s="3" t="s">
        <v>287</v>
      </c>
      <c r="D29" s="3" t="s">
        <v>19</v>
      </c>
      <c r="E29" s="4">
        <v>54676</v>
      </c>
      <c r="F29" s="5">
        <v>117.69009</v>
      </c>
      <c r="G29" s="6">
        <v>1.396096E-2</v>
      </c>
      <c r="H29" s="109"/>
    </row>
    <row r="30" spans="1:8" ht="17.100000000000001" customHeight="1" x14ac:dyDescent="0.2">
      <c r="A30" s="100">
        <v>24</v>
      </c>
      <c r="B30" s="3" t="s">
        <v>314</v>
      </c>
      <c r="C30" s="3" t="s">
        <v>315</v>
      </c>
      <c r="D30" s="3" t="s">
        <v>996</v>
      </c>
      <c r="E30" s="4">
        <v>10771</v>
      </c>
      <c r="F30" s="5">
        <v>116.068296</v>
      </c>
      <c r="G30" s="6">
        <v>1.3768570000000001E-2</v>
      </c>
      <c r="H30" s="109"/>
    </row>
    <row r="31" spans="1:8" ht="17.100000000000001" customHeight="1" x14ac:dyDescent="0.2">
      <c r="A31" s="100">
        <v>25</v>
      </c>
      <c r="B31" s="3" t="s">
        <v>211</v>
      </c>
      <c r="C31" s="3" t="s">
        <v>212</v>
      </c>
      <c r="D31" s="3" t="s">
        <v>213</v>
      </c>
      <c r="E31" s="4">
        <v>20478</v>
      </c>
      <c r="F31" s="5">
        <v>112.465176</v>
      </c>
      <c r="G31" s="6">
        <v>1.334115E-2</v>
      </c>
      <c r="H31" s="109"/>
    </row>
    <row r="32" spans="1:8" ht="17.100000000000001" customHeight="1" x14ac:dyDescent="0.2">
      <c r="A32" s="100">
        <v>26</v>
      </c>
      <c r="B32" s="3" t="s">
        <v>201</v>
      </c>
      <c r="C32" s="3" t="s">
        <v>202</v>
      </c>
      <c r="D32" s="3" t="s">
        <v>203</v>
      </c>
      <c r="E32" s="4">
        <v>8029</v>
      </c>
      <c r="F32" s="5">
        <v>102.6226635</v>
      </c>
      <c r="G32" s="6">
        <v>1.217359E-2</v>
      </c>
      <c r="H32" s="109"/>
    </row>
    <row r="33" spans="1:8" ht="17.100000000000001" customHeight="1" x14ac:dyDescent="0.2">
      <c r="A33" s="100">
        <v>27</v>
      </c>
      <c r="B33" s="3" t="s">
        <v>226</v>
      </c>
      <c r="C33" s="3" t="s">
        <v>227</v>
      </c>
      <c r="D33" s="3" t="s">
        <v>228</v>
      </c>
      <c r="E33" s="4">
        <v>260</v>
      </c>
      <c r="F33" s="5">
        <v>98.721090000000004</v>
      </c>
      <c r="G33" s="6">
        <v>1.1710760000000001E-2</v>
      </c>
      <c r="H33" s="109"/>
    </row>
    <row r="34" spans="1:8" ht="17.100000000000001" customHeight="1" x14ac:dyDescent="0.2">
      <c r="A34" s="100">
        <v>28</v>
      </c>
      <c r="B34" s="3" t="s">
        <v>106</v>
      </c>
      <c r="C34" s="3" t="s">
        <v>107</v>
      </c>
      <c r="D34" s="3" t="s">
        <v>108</v>
      </c>
      <c r="E34" s="4">
        <v>22685</v>
      </c>
      <c r="F34" s="5">
        <v>90.558520000000001</v>
      </c>
      <c r="G34" s="6">
        <v>1.074248E-2</v>
      </c>
      <c r="H34" s="109"/>
    </row>
    <row r="35" spans="1:8" ht="17.100000000000001" customHeight="1" x14ac:dyDescent="0.2">
      <c r="A35" s="100">
        <v>29</v>
      </c>
      <c r="B35" s="3" t="s">
        <v>316</v>
      </c>
      <c r="C35" s="3" t="s">
        <v>317</v>
      </c>
      <c r="D35" s="3" t="s">
        <v>996</v>
      </c>
      <c r="E35" s="4">
        <v>23000</v>
      </c>
      <c r="F35" s="5">
        <v>89.021500000000003</v>
      </c>
      <c r="G35" s="6">
        <v>1.0560150000000001E-2</v>
      </c>
      <c r="H35" s="109"/>
    </row>
    <row r="36" spans="1:8" ht="17.100000000000001" customHeight="1" x14ac:dyDescent="0.2">
      <c r="A36" s="100">
        <v>30</v>
      </c>
      <c r="B36" s="3" t="s">
        <v>318</v>
      </c>
      <c r="C36" s="3" t="s">
        <v>319</v>
      </c>
      <c r="D36" s="3" t="s">
        <v>235</v>
      </c>
      <c r="E36" s="4">
        <v>7066</v>
      </c>
      <c r="F36" s="5">
        <v>87.540673999999996</v>
      </c>
      <c r="G36" s="6">
        <v>1.038449E-2</v>
      </c>
      <c r="H36" s="109"/>
    </row>
    <row r="37" spans="1:8" ht="29.1" customHeight="1" x14ac:dyDescent="0.2">
      <c r="A37" s="100">
        <v>31</v>
      </c>
      <c r="B37" s="3" t="s">
        <v>189</v>
      </c>
      <c r="C37" s="3" t="s">
        <v>190</v>
      </c>
      <c r="D37" s="3" t="s">
        <v>191</v>
      </c>
      <c r="E37" s="4">
        <v>9400</v>
      </c>
      <c r="F37" s="5">
        <v>84.463700000000003</v>
      </c>
      <c r="G37" s="6">
        <v>1.0019480000000001E-2</v>
      </c>
      <c r="H37" s="109"/>
    </row>
    <row r="38" spans="1:8" ht="29.1" customHeight="1" x14ac:dyDescent="0.2">
      <c r="A38" s="100">
        <v>32</v>
      </c>
      <c r="B38" s="3" t="s">
        <v>256</v>
      </c>
      <c r="C38" s="3" t="s">
        <v>257</v>
      </c>
      <c r="D38" s="3" t="s">
        <v>221</v>
      </c>
      <c r="E38" s="4">
        <v>25434</v>
      </c>
      <c r="F38" s="5">
        <v>79.951779000000002</v>
      </c>
      <c r="G38" s="6">
        <v>9.4842599999999996E-3</v>
      </c>
      <c r="H38" s="109"/>
    </row>
    <row r="39" spans="1:8" ht="29.1" customHeight="1" x14ac:dyDescent="0.2">
      <c r="A39" s="100">
        <v>33</v>
      </c>
      <c r="B39" s="3" t="s">
        <v>320</v>
      </c>
      <c r="C39" s="3" t="s">
        <v>321</v>
      </c>
      <c r="D39" s="3" t="s">
        <v>188</v>
      </c>
      <c r="E39" s="4">
        <v>20479</v>
      </c>
      <c r="F39" s="5">
        <v>79.376604</v>
      </c>
      <c r="G39" s="6">
        <v>9.4160300000000006E-3</v>
      </c>
      <c r="H39" s="109"/>
    </row>
    <row r="40" spans="1:8" ht="17.100000000000001" customHeight="1" x14ac:dyDescent="0.2">
      <c r="A40" s="100">
        <v>34</v>
      </c>
      <c r="B40" s="3" t="s">
        <v>182</v>
      </c>
      <c r="C40" s="3" t="s">
        <v>183</v>
      </c>
      <c r="D40" s="3" t="s">
        <v>120</v>
      </c>
      <c r="E40" s="4">
        <v>6241</v>
      </c>
      <c r="F40" s="5">
        <v>75.101073499999998</v>
      </c>
      <c r="G40" s="6">
        <v>8.9088499999999994E-3</v>
      </c>
      <c r="H40" s="109"/>
    </row>
    <row r="41" spans="1:8" ht="17.100000000000001" customHeight="1" x14ac:dyDescent="0.2">
      <c r="A41" s="100">
        <v>35</v>
      </c>
      <c r="B41" s="3" t="s">
        <v>322</v>
      </c>
      <c r="C41" s="3" t="s">
        <v>323</v>
      </c>
      <c r="D41" s="3" t="s">
        <v>996</v>
      </c>
      <c r="E41" s="4">
        <v>6698</v>
      </c>
      <c r="F41" s="5">
        <v>73.694744999999998</v>
      </c>
      <c r="G41" s="6">
        <v>8.7420199999999997E-3</v>
      </c>
      <c r="H41" s="109"/>
    </row>
    <row r="42" spans="1:8" ht="17.100000000000001" customHeight="1" x14ac:dyDescent="0.2">
      <c r="A42" s="100">
        <v>36</v>
      </c>
      <c r="B42" s="3" t="s">
        <v>113</v>
      </c>
      <c r="C42" s="3" t="s">
        <v>114</v>
      </c>
      <c r="D42" s="3" t="s">
        <v>115</v>
      </c>
      <c r="E42" s="4">
        <v>26229</v>
      </c>
      <c r="F42" s="5">
        <v>73.559230499999998</v>
      </c>
      <c r="G42" s="6">
        <v>8.7259399999999997E-3</v>
      </c>
      <c r="H42" s="109"/>
    </row>
    <row r="43" spans="1:8" ht="17.100000000000001" customHeight="1" x14ac:dyDescent="0.2">
      <c r="A43" s="100">
        <v>37</v>
      </c>
      <c r="B43" s="3" t="s">
        <v>116</v>
      </c>
      <c r="C43" s="3" t="s">
        <v>117</v>
      </c>
      <c r="D43" s="3" t="s">
        <v>19</v>
      </c>
      <c r="E43" s="4">
        <v>21882</v>
      </c>
      <c r="F43" s="5">
        <v>69.442526999999998</v>
      </c>
      <c r="G43" s="6">
        <v>8.2375999999999994E-3</v>
      </c>
      <c r="H43" s="109"/>
    </row>
    <row r="44" spans="1:8" ht="17.100000000000001" customHeight="1" x14ac:dyDescent="0.2">
      <c r="A44" s="100">
        <v>38</v>
      </c>
      <c r="B44" s="3" t="s">
        <v>332</v>
      </c>
      <c r="C44" s="3" t="s">
        <v>333</v>
      </c>
      <c r="D44" s="3" t="s">
        <v>334</v>
      </c>
      <c r="E44" s="4">
        <v>6326</v>
      </c>
      <c r="F44" s="5">
        <v>64.496733000000006</v>
      </c>
      <c r="G44" s="6">
        <v>7.6509100000000003E-3</v>
      </c>
      <c r="H44" s="109"/>
    </row>
    <row r="45" spans="1:8" ht="17.100000000000001" customHeight="1" x14ac:dyDescent="0.2">
      <c r="A45" s="100">
        <v>39</v>
      </c>
      <c r="B45" s="3" t="s">
        <v>55</v>
      </c>
      <c r="C45" s="3" t="s">
        <v>56</v>
      </c>
      <c r="D45" s="3" t="s">
        <v>57</v>
      </c>
      <c r="E45" s="4">
        <v>10722</v>
      </c>
      <c r="F45" s="5">
        <v>63.313409999999998</v>
      </c>
      <c r="G45" s="6">
        <v>7.5105399999999996E-3</v>
      </c>
      <c r="H45" s="109"/>
    </row>
    <row r="46" spans="1:8" ht="17.100000000000001" customHeight="1" x14ac:dyDescent="0.2">
      <c r="A46" s="100">
        <v>40</v>
      </c>
      <c r="B46" s="3" t="s">
        <v>324</v>
      </c>
      <c r="C46" s="3" t="s">
        <v>325</v>
      </c>
      <c r="D46" s="3" t="s">
        <v>22</v>
      </c>
      <c r="E46" s="4">
        <v>2804</v>
      </c>
      <c r="F46" s="5">
        <v>48.488169999999997</v>
      </c>
      <c r="G46" s="6">
        <v>5.7518999999999999E-3</v>
      </c>
      <c r="H46" s="109"/>
    </row>
    <row r="47" spans="1:8" ht="17.100000000000001" customHeight="1" x14ac:dyDescent="0.2">
      <c r="A47" s="100">
        <v>41</v>
      </c>
      <c r="B47" s="3" t="s">
        <v>326</v>
      </c>
      <c r="C47" s="3" t="s">
        <v>327</v>
      </c>
      <c r="D47" s="3" t="s">
        <v>213</v>
      </c>
      <c r="E47" s="4">
        <v>45750</v>
      </c>
      <c r="F47" s="5">
        <v>47.557124999999999</v>
      </c>
      <c r="G47" s="6">
        <v>5.6414500000000001E-3</v>
      </c>
      <c r="H47" s="109"/>
    </row>
    <row r="48" spans="1:8" ht="17.100000000000001" customHeight="1" x14ac:dyDescent="0.2">
      <c r="A48" s="100">
        <v>42</v>
      </c>
      <c r="B48" s="3" t="s">
        <v>328</v>
      </c>
      <c r="C48" s="3" t="s">
        <v>329</v>
      </c>
      <c r="D48" s="3" t="s">
        <v>22</v>
      </c>
      <c r="E48" s="4">
        <v>4209</v>
      </c>
      <c r="F48" s="5">
        <v>45.360393000000002</v>
      </c>
      <c r="G48" s="6">
        <v>5.3808600000000003E-3</v>
      </c>
      <c r="H48" s="109"/>
    </row>
    <row r="49" spans="1:8" ht="17.100000000000001" customHeight="1" x14ac:dyDescent="0.2">
      <c r="A49" s="100">
        <v>43</v>
      </c>
      <c r="B49" s="3" t="s">
        <v>214</v>
      </c>
      <c r="C49" s="3" t="s">
        <v>215</v>
      </c>
      <c r="D49" s="3" t="s">
        <v>216</v>
      </c>
      <c r="E49" s="4">
        <v>5927</v>
      </c>
      <c r="F49" s="5">
        <v>41.041511499999999</v>
      </c>
      <c r="G49" s="6">
        <v>4.8685400000000002E-3</v>
      </c>
      <c r="H49" s="109"/>
    </row>
    <row r="50" spans="1:8" ht="17.100000000000001" customHeight="1" x14ac:dyDescent="0.2">
      <c r="A50" s="100">
        <v>44</v>
      </c>
      <c r="B50" s="3" t="s">
        <v>330</v>
      </c>
      <c r="C50" s="3" t="s">
        <v>331</v>
      </c>
      <c r="D50" s="3" t="s">
        <v>97</v>
      </c>
      <c r="E50" s="4">
        <v>55523</v>
      </c>
      <c r="F50" s="5">
        <v>35.645766000000002</v>
      </c>
      <c r="G50" s="6">
        <v>4.2284699999999998E-3</v>
      </c>
      <c r="H50" s="109"/>
    </row>
    <row r="51" spans="1:8" ht="29.1" customHeight="1" x14ac:dyDescent="0.2">
      <c r="A51" s="100">
        <v>45</v>
      </c>
      <c r="B51" s="3" t="s">
        <v>268</v>
      </c>
      <c r="C51" s="3" t="s">
        <v>269</v>
      </c>
      <c r="D51" s="3" t="s">
        <v>221</v>
      </c>
      <c r="E51" s="4">
        <v>2422</v>
      </c>
      <c r="F51" s="5">
        <v>31.923171</v>
      </c>
      <c r="G51" s="6">
        <v>3.7868799999999998E-3</v>
      </c>
      <c r="H51" s="109"/>
    </row>
    <row r="52" spans="1:8" ht="17.100000000000001" customHeight="1" x14ac:dyDescent="0.2">
      <c r="A52" s="100">
        <v>46</v>
      </c>
      <c r="B52" s="3" t="s">
        <v>335</v>
      </c>
      <c r="C52" s="3" t="s">
        <v>947</v>
      </c>
      <c r="D52" s="3" t="s">
        <v>16</v>
      </c>
      <c r="E52" s="4">
        <v>1908</v>
      </c>
      <c r="F52" s="5">
        <v>6.9040980000000003</v>
      </c>
      <c r="G52" s="6">
        <v>8.1899999999999996E-4</v>
      </c>
      <c r="H52" s="109"/>
    </row>
    <row r="53" spans="1:8" ht="14.1" customHeight="1" x14ac:dyDescent="0.2">
      <c r="A53" s="99"/>
      <c r="B53" s="1"/>
      <c r="C53" s="2" t="s">
        <v>135</v>
      </c>
      <c r="D53" s="1"/>
      <c r="E53" s="1" t="s">
        <v>136</v>
      </c>
      <c r="F53" s="8">
        <v>7595.6861389999995</v>
      </c>
      <c r="G53" s="9">
        <v>0.90103624000000015</v>
      </c>
      <c r="H53" s="109"/>
    </row>
    <row r="54" spans="1:8" ht="14.1" customHeight="1" x14ac:dyDescent="0.2">
      <c r="A54" s="99"/>
      <c r="B54" s="1"/>
      <c r="C54" s="10"/>
      <c r="D54" s="1"/>
      <c r="E54" s="1"/>
      <c r="F54" s="11"/>
      <c r="G54" s="11"/>
      <c r="H54" s="109"/>
    </row>
    <row r="55" spans="1:8" ht="14.1" customHeight="1" x14ac:dyDescent="0.2">
      <c r="A55" s="99"/>
      <c r="B55" s="1"/>
      <c r="C55" s="2" t="s">
        <v>137</v>
      </c>
      <c r="D55" s="1"/>
      <c r="E55" s="1"/>
      <c r="F55" s="1"/>
      <c r="G55" s="1"/>
      <c r="H55" s="109"/>
    </row>
    <row r="56" spans="1:8" ht="14.1" customHeight="1" x14ac:dyDescent="0.2">
      <c r="A56" s="99"/>
      <c r="B56" s="1"/>
      <c r="C56" s="2" t="s">
        <v>135</v>
      </c>
      <c r="D56" s="1"/>
      <c r="E56" s="1" t="s">
        <v>136</v>
      </c>
      <c r="F56" s="8">
        <v>0</v>
      </c>
      <c r="G56" s="9">
        <v>0</v>
      </c>
      <c r="H56" s="109"/>
    </row>
    <row r="57" spans="1:8" ht="14.1" customHeight="1" x14ac:dyDescent="0.2">
      <c r="A57" s="99"/>
      <c r="B57" s="1"/>
      <c r="C57" s="10"/>
      <c r="D57" s="1"/>
      <c r="E57" s="1"/>
      <c r="F57" s="11"/>
      <c r="G57" s="11"/>
      <c r="H57" s="109"/>
    </row>
    <row r="58" spans="1:8" ht="14.1" customHeight="1" x14ac:dyDescent="0.2">
      <c r="A58" s="99"/>
      <c r="B58" s="1"/>
      <c r="C58" s="2" t="s">
        <v>138</v>
      </c>
      <c r="D58" s="1"/>
      <c r="E58" s="1"/>
      <c r="F58" s="1"/>
      <c r="G58" s="1"/>
      <c r="H58" s="109"/>
    </row>
    <row r="59" spans="1:8" ht="14.1" customHeight="1" x14ac:dyDescent="0.2">
      <c r="A59" s="99"/>
      <c r="B59" s="1"/>
      <c r="C59" s="2" t="s">
        <v>135</v>
      </c>
      <c r="D59" s="1"/>
      <c r="E59" s="1" t="s">
        <v>136</v>
      </c>
      <c r="F59" s="8">
        <v>0</v>
      </c>
      <c r="G59" s="9">
        <v>0</v>
      </c>
      <c r="H59" s="109"/>
    </row>
    <row r="60" spans="1:8" ht="14.1" customHeight="1" x14ac:dyDescent="0.2">
      <c r="A60" s="99"/>
      <c r="B60" s="1"/>
      <c r="C60" s="10"/>
      <c r="D60" s="1"/>
      <c r="E60" s="1"/>
      <c r="F60" s="11"/>
      <c r="G60" s="11"/>
      <c r="H60" s="109"/>
    </row>
    <row r="61" spans="1:8" ht="14.1" customHeight="1" x14ac:dyDescent="0.2">
      <c r="A61" s="99"/>
      <c r="B61" s="1"/>
      <c r="C61" s="2" t="s">
        <v>139</v>
      </c>
      <c r="D61" s="1"/>
      <c r="E61" s="1"/>
      <c r="F61" s="1"/>
      <c r="G61" s="1"/>
      <c r="H61" s="109"/>
    </row>
    <row r="62" spans="1:8" ht="14.1" customHeight="1" x14ac:dyDescent="0.2">
      <c r="A62" s="99"/>
      <c r="B62" s="1"/>
      <c r="C62" s="2" t="s">
        <v>135</v>
      </c>
      <c r="D62" s="1"/>
      <c r="E62" s="1" t="s">
        <v>136</v>
      </c>
      <c r="F62" s="8">
        <v>0</v>
      </c>
      <c r="G62" s="9">
        <v>8.1899999999999996E-4</v>
      </c>
      <c r="H62" s="109"/>
    </row>
    <row r="63" spans="1:8" ht="14.1" customHeight="1" x14ac:dyDescent="0.2">
      <c r="A63" s="99"/>
      <c r="B63" s="1"/>
      <c r="C63" s="10"/>
      <c r="D63" s="1"/>
      <c r="E63" s="1"/>
      <c r="F63" s="11"/>
      <c r="G63" s="11"/>
      <c r="H63" s="109"/>
    </row>
    <row r="64" spans="1:8" ht="14.1" customHeight="1" x14ac:dyDescent="0.2">
      <c r="A64" s="99"/>
      <c r="B64" s="1"/>
      <c r="C64" s="2" t="s">
        <v>140</v>
      </c>
      <c r="D64" s="1"/>
      <c r="E64" s="1"/>
      <c r="F64" s="11"/>
      <c r="G64" s="11"/>
      <c r="H64" s="109"/>
    </row>
    <row r="65" spans="1:8" ht="14.1" customHeight="1" x14ac:dyDescent="0.2">
      <c r="A65" s="99"/>
      <c r="B65" s="1"/>
      <c r="C65" s="2" t="s">
        <v>135</v>
      </c>
      <c r="D65" s="1"/>
      <c r="E65" s="1" t="s">
        <v>136</v>
      </c>
      <c r="F65" s="8">
        <v>0</v>
      </c>
      <c r="G65" s="9">
        <v>0</v>
      </c>
      <c r="H65" s="109"/>
    </row>
    <row r="66" spans="1:8" ht="14.1" customHeight="1" x14ac:dyDescent="0.2">
      <c r="A66" s="99"/>
      <c r="B66" s="1"/>
      <c r="C66" s="10"/>
      <c r="D66" s="1"/>
      <c r="E66" s="1"/>
      <c r="F66" s="11"/>
      <c r="G66" s="11"/>
      <c r="H66" s="109"/>
    </row>
    <row r="67" spans="1:8" ht="14.1" customHeight="1" x14ac:dyDescent="0.2">
      <c r="A67" s="99"/>
      <c r="B67" s="1"/>
      <c r="C67" s="2" t="s">
        <v>141</v>
      </c>
      <c r="D67" s="1"/>
      <c r="E67" s="1"/>
      <c r="F67" s="11"/>
      <c r="G67" s="11"/>
      <c r="H67" s="109"/>
    </row>
    <row r="68" spans="1:8" ht="14.1" customHeight="1" x14ac:dyDescent="0.2">
      <c r="A68" s="99"/>
      <c r="B68" s="1"/>
      <c r="C68" s="2" t="s">
        <v>135</v>
      </c>
      <c r="D68" s="1"/>
      <c r="E68" s="1" t="s">
        <v>136</v>
      </c>
      <c r="F68" s="8">
        <v>0</v>
      </c>
      <c r="G68" s="9">
        <v>0</v>
      </c>
      <c r="H68" s="109"/>
    </row>
    <row r="69" spans="1:8" ht="14.1" customHeight="1" x14ac:dyDescent="0.2">
      <c r="A69" s="99"/>
      <c r="B69" s="1"/>
      <c r="C69" s="10"/>
      <c r="D69" s="1"/>
      <c r="E69" s="1"/>
      <c r="F69" s="11"/>
      <c r="G69" s="11"/>
      <c r="H69" s="109"/>
    </row>
    <row r="70" spans="1:8" ht="18" customHeight="1" x14ac:dyDescent="0.2">
      <c r="A70" s="99"/>
      <c r="B70" s="1"/>
      <c r="C70" s="2" t="s">
        <v>142</v>
      </c>
      <c r="D70" s="1"/>
      <c r="E70" s="1"/>
      <c r="F70" s="8">
        <v>7595.6861390000004</v>
      </c>
      <c r="G70" s="9">
        <v>0.90103624000000004</v>
      </c>
      <c r="H70" s="109"/>
    </row>
    <row r="71" spans="1:8" ht="14.1" customHeight="1" x14ac:dyDescent="0.2">
      <c r="A71" s="99"/>
      <c r="B71" s="1"/>
      <c r="C71" s="10"/>
      <c r="D71" s="1"/>
      <c r="E71" s="1"/>
      <c r="F71" s="11"/>
      <c r="G71" s="11"/>
      <c r="H71" s="109"/>
    </row>
    <row r="72" spans="1:8" ht="14.1" customHeight="1" x14ac:dyDescent="0.2">
      <c r="A72" s="99"/>
      <c r="B72" s="1"/>
      <c r="C72" s="2" t="s">
        <v>143</v>
      </c>
      <c r="D72" s="1"/>
      <c r="E72" s="1"/>
      <c r="F72" s="11"/>
      <c r="G72" s="11"/>
      <c r="H72" s="109"/>
    </row>
    <row r="73" spans="1:8" ht="24" customHeight="1" x14ac:dyDescent="0.2">
      <c r="A73" s="99"/>
      <c r="B73" s="1"/>
      <c r="C73" s="2" t="s">
        <v>10</v>
      </c>
      <c r="D73" s="1"/>
      <c r="E73" s="1"/>
      <c r="F73" s="11"/>
      <c r="G73" s="11"/>
      <c r="H73" s="109"/>
    </row>
    <row r="74" spans="1:8" ht="14.1" customHeight="1" x14ac:dyDescent="0.2">
      <c r="A74" s="99"/>
      <c r="B74" s="1"/>
      <c r="C74" s="2" t="s">
        <v>135</v>
      </c>
      <c r="D74" s="1"/>
      <c r="E74" s="1" t="s">
        <v>136</v>
      </c>
      <c r="F74" s="8">
        <v>0</v>
      </c>
      <c r="G74" s="9">
        <v>0</v>
      </c>
      <c r="H74" s="109"/>
    </row>
    <row r="75" spans="1:8" ht="14.1" customHeight="1" x14ac:dyDescent="0.2">
      <c r="A75" s="99"/>
      <c r="B75" s="1"/>
      <c r="C75" s="10"/>
      <c r="D75" s="1"/>
      <c r="E75" s="1"/>
      <c r="F75" s="11"/>
      <c r="G75" s="11"/>
      <c r="H75" s="109"/>
    </row>
    <row r="76" spans="1:8" ht="14.1" customHeight="1" x14ac:dyDescent="0.2">
      <c r="A76" s="99"/>
      <c r="B76" s="1"/>
      <c r="C76" s="2" t="s">
        <v>144</v>
      </c>
      <c r="D76" s="1"/>
      <c r="E76" s="1"/>
      <c r="F76" s="1"/>
      <c r="G76" s="1"/>
      <c r="H76" s="109"/>
    </row>
    <row r="77" spans="1:8" ht="14.1" customHeight="1" x14ac:dyDescent="0.2">
      <c r="A77" s="99"/>
      <c r="B77" s="1"/>
      <c r="C77" s="2" t="s">
        <v>135</v>
      </c>
      <c r="D77" s="1"/>
      <c r="E77" s="1" t="s">
        <v>136</v>
      </c>
      <c r="F77" s="8">
        <v>0</v>
      </c>
      <c r="G77" s="9">
        <v>0</v>
      </c>
      <c r="H77" s="109"/>
    </row>
    <row r="78" spans="1:8" ht="14.1" customHeight="1" x14ac:dyDescent="0.2">
      <c r="A78" s="99"/>
      <c r="B78" s="1"/>
      <c r="C78" s="10"/>
      <c r="D78" s="1"/>
      <c r="E78" s="1"/>
      <c r="F78" s="11"/>
      <c r="G78" s="11"/>
      <c r="H78" s="109"/>
    </row>
    <row r="79" spans="1:8" ht="14.1" customHeight="1" x14ac:dyDescent="0.2">
      <c r="A79" s="99"/>
      <c r="B79" s="1"/>
      <c r="C79" s="2" t="s">
        <v>145</v>
      </c>
      <c r="D79" s="1"/>
      <c r="E79" s="1"/>
      <c r="F79" s="1"/>
      <c r="G79" s="1"/>
      <c r="H79" s="109"/>
    </row>
    <row r="80" spans="1:8" ht="14.1" customHeight="1" x14ac:dyDescent="0.2">
      <c r="A80" s="99"/>
      <c r="B80" s="1"/>
      <c r="C80" s="2" t="s">
        <v>135</v>
      </c>
      <c r="D80" s="1"/>
      <c r="E80" s="1" t="s">
        <v>136</v>
      </c>
      <c r="F80" s="8">
        <v>0</v>
      </c>
      <c r="G80" s="9">
        <v>0</v>
      </c>
      <c r="H80" s="109"/>
    </row>
    <row r="81" spans="1:8" ht="14.1" customHeight="1" x14ac:dyDescent="0.2">
      <c r="A81" s="99"/>
      <c r="B81" s="1"/>
      <c r="C81" s="10"/>
      <c r="D81" s="1"/>
      <c r="E81" s="1"/>
      <c r="F81" s="11"/>
      <c r="G81" s="11"/>
      <c r="H81" s="109"/>
    </row>
    <row r="82" spans="1:8" ht="14.1" customHeight="1" x14ac:dyDescent="0.2">
      <c r="A82" s="99"/>
      <c r="B82" s="1"/>
      <c r="C82" s="2" t="s">
        <v>146</v>
      </c>
      <c r="D82" s="1"/>
      <c r="E82" s="1"/>
      <c r="F82" s="11"/>
      <c r="G82" s="11"/>
      <c r="H82" s="109"/>
    </row>
    <row r="83" spans="1:8" ht="14.1" customHeight="1" x14ac:dyDescent="0.2">
      <c r="A83" s="99"/>
      <c r="B83" s="1"/>
      <c r="C83" s="2" t="s">
        <v>135</v>
      </c>
      <c r="D83" s="1"/>
      <c r="E83" s="1" t="s">
        <v>136</v>
      </c>
      <c r="F83" s="8">
        <v>0</v>
      </c>
      <c r="G83" s="9">
        <v>0</v>
      </c>
      <c r="H83" s="109"/>
    </row>
    <row r="84" spans="1:8" ht="14.1" customHeight="1" x14ac:dyDescent="0.2">
      <c r="A84" s="99"/>
      <c r="B84" s="1"/>
      <c r="C84" s="10"/>
      <c r="D84" s="1"/>
      <c r="E84" s="1"/>
      <c r="F84" s="11"/>
      <c r="G84" s="11"/>
      <c r="H84" s="109"/>
    </row>
    <row r="85" spans="1:8" ht="14.1" customHeight="1" x14ac:dyDescent="0.2">
      <c r="A85" s="99"/>
      <c r="B85" s="1"/>
      <c r="C85" s="2" t="s">
        <v>147</v>
      </c>
      <c r="D85" s="1"/>
      <c r="E85" s="1"/>
      <c r="F85" s="8">
        <v>0</v>
      </c>
      <c r="G85" s="9">
        <v>0</v>
      </c>
      <c r="H85" s="109"/>
    </row>
    <row r="86" spans="1:8" ht="14.1" customHeight="1" x14ac:dyDescent="0.2">
      <c r="A86" s="99"/>
      <c r="B86" s="1"/>
      <c r="C86" s="10"/>
      <c r="D86" s="1"/>
      <c r="E86" s="1"/>
      <c r="F86" s="11"/>
      <c r="G86" s="11"/>
      <c r="H86" s="109"/>
    </row>
    <row r="87" spans="1:8" ht="14.1" customHeight="1" x14ac:dyDescent="0.2">
      <c r="A87" s="99"/>
      <c r="B87" s="1"/>
      <c r="C87" s="2" t="s">
        <v>148</v>
      </c>
      <c r="D87" s="1"/>
      <c r="E87" s="1"/>
      <c r="F87" s="11"/>
      <c r="G87" s="11"/>
      <c r="H87" s="109"/>
    </row>
    <row r="88" spans="1:8" ht="14.1" customHeight="1" x14ac:dyDescent="0.2">
      <c r="A88" s="99"/>
      <c r="B88" s="1"/>
      <c r="C88" s="2" t="s">
        <v>149</v>
      </c>
      <c r="D88" s="1"/>
      <c r="E88" s="1"/>
      <c r="F88" s="11"/>
      <c r="G88" s="11"/>
      <c r="H88" s="109"/>
    </row>
    <row r="89" spans="1:8" ht="14.1" customHeight="1" x14ac:dyDescent="0.2">
      <c r="A89" s="99"/>
      <c r="B89" s="1"/>
      <c r="C89" s="2" t="s">
        <v>135</v>
      </c>
      <c r="D89" s="1"/>
      <c r="E89" s="1" t="s">
        <v>136</v>
      </c>
      <c r="F89" s="8">
        <v>0</v>
      </c>
      <c r="G89" s="9">
        <v>0</v>
      </c>
      <c r="H89" s="109"/>
    </row>
    <row r="90" spans="1:8" ht="14.1" customHeight="1" x14ac:dyDescent="0.2">
      <c r="A90" s="99"/>
      <c r="B90" s="1"/>
      <c r="C90" s="10"/>
      <c r="D90" s="1"/>
      <c r="E90" s="1"/>
      <c r="F90" s="11"/>
      <c r="G90" s="11"/>
      <c r="H90" s="109"/>
    </row>
    <row r="91" spans="1:8" ht="14.1" customHeight="1" x14ac:dyDescent="0.2">
      <c r="A91" s="99"/>
      <c r="B91" s="1"/>
      <c r="C91" s="2" t="s">
        <v>150</v>
      </c>
      <c r="D91" s="1"/>
      <c r="E91" s="1"/>
      <c r="F91" s="11"/>
      <c r="G91" s="11"/>
      <c r="H91" s="109"/>
    </row>
    <row r="92" spans="1:8" ht="14.1" customHeight="1" x14ac:dyDescent="0.2">
      <c r="A92" s="99"/>
      <c r="B92" s="1"/>
      <c r="C92" s="2" t="s">
        <v>135</v>
      </c>
      <c r="D92" s="1"/>
      <c r="E92" s="1" t="s">
        <v>136</v>
      </c>
      <c r="F92" s="8">
        <v>0</v>
      </c>
      <c r="G92" s="9">
        <v>0</v>
      </c>
      <c r="H92" s="109"/>
    </row>
    <row r="93" spans="1:8" ht="14.1" customHeight="1" x14ac:dyDescent="0.2">
      <c r="A93" s="99"/>
      <c r="B93" s="1"/>
      <c r="C93" s="10"/>
      <c r="D93" s="1"/>
      <c r="E93" s="1"/>
      <c r="F93" s="11"/>
      <c r="G93" s="11"/>
      <c r="H93" s="109"/>
    </row>
    <row r="94" spans="1:8" ht="14.1" customHeight="1" x14ac:dyDescent="0.2">
      <c r="A94" s="99"/>
      <c r="B94" s="1"/>
      <c r="C94" s="2" t="s">
        <v>151</v>
      </c>
      <c r="D94" s="1"/>
      <c r="E94" s="1"/>
      <c r="F94" s="11"/>
      <c r="G94" s="11"/>
      <c r="H94" s="109"/>
    </row>
    <row r="95" spans="1:8" ht="14.1" customHeight="1" x14ac:dyDescent="0.2">
      <c r="A95" s="99"/>
      <c r="B95" s="1"/>
      <c r="C95" s="2" t="s">
        <v>135</v>
      </c>
      <c r="D95" s="1"/>
      <c r="E95" s="1" t="s">
        <v>136</v>
      </c>
      <c r="F95" s="8">
        <v>0</v>
      </c>
      <c r="G95" s="9">
        <v>0</v>
      </c>
      <c r="H95" s="109"/>
    </row>
    <row r="96" spans="1:8" ht="14.1" customHeight="1" x14ac:dyDescent="0.2">
      <c r="A96" s="99"/>
      <c r="B96" s="1"/>
      <c r="C96" s="10"/>
      <c r="D96" s="1"/>
      <c r="E96" s="1"/>
      <c r="F96" s="11"/>
      <c r="G96" s="11"/>
      <c r="H96" s="109"/>
    </row>
    <row r="97" spans="1:8" ht="14.1" customHeight="1" x14ac:dyDescent="0.2">
      <c r="A97" s="99"/>
      <c r="B97" s="1"/>
      <c r="C97" s="2" t="s">
        <v>152</v>
      </c>
      <c r="D97" s="1"/>
      <c r="E97" s="1"/>
      <c r="F97" s="11"/>
      <c r="G97" s="11"/>
      <c r="H97" s="109"/>
    </row>
    <row r="98" spans="1:8" ht="17.100000000000001" customHeight="1" x14ac:dyDescent="0.2">
      <c r="A98" s="100">
        <v>1</v>
      </c>
      <c r="B98" s="3"/>
      <c r="C98" s="3" t="s">
        <v>153</v>
      </c>
      <c r="D98" s="3"/>
      <c r="E98" s="7"/>
      <c r="F98" s="5">
        <v>835.84753199600004</v>
      </c>
      <c r="G98" s="6">
        <v>9.9152190000000001E-2</v>
      </c>
      <c r="H98" s="109">
        <v>6.6015165706411798</v>
      </c>
    </row>
    <row r="99" spans="1:8" ht="14.1" customHeight="1" x14ac:dyDescent="0.2">
      <c r="A99" s="99"/>
      <c r="B99" s="1"/>
      <c r="C99" s="2" t="s">
        <v>135</v>
      </c>
      <c r="D99" s="1"/>
      <c r="E99" s="1" t="s">
        <v>136</v>
      </c>
      <c r="F99" s="8">
        <v>835.84753199600004</v>
      </c>
      <c r="G99" s="9">
        <v>9.9152190000000001E-2</v>
      </c>
      <c r="H99" s="109"/>
    </row>
    <row r="100" spans="1:8" ht="14.1" customHeight="1" x14ac:dyDescent="0.2">
      <c r="A100" s="99"/>
      <c r="B100" s="1"/>
      <c r="C100" s="10"/>
      <c r="D100" s="1"/>
      <c r="E100" s="1"/>
      <c r="F100" s="11"/>
      <c r="G100" s="11"/>
      <c r="H100" s="109"/>
    </row>
    <row r="101" spans="1:8" ht="14.1" customHeight="1" x14ac:dyDescent="0.2">
      <c r="A101" s="99"/>
      <c r="B101" s="1"/>
      <c r="C101" s="2" t="s">
        <v>154</v>
      </c>
      <c r="D101" s="1"/>
      <c r="E101" s="1"/>
      <c r="F101" s="8">
        <v>835.84753199600004</v>
      </c>
      <c r="G101" s="9">
        <v>9.9152190000000001E-2</v>
      </c>
      <c r="H101" s="109"/>
    </row>
    <row r="102" spans="1:8" ht="14.1" customHeight="1" x14ac:dyDescent="0.2">
      <c r="A102" s="99"/>
      <c r="B102" s="1"/>
      <c r="C102" s="11"/>
      <c r="D102" s="1"/>
      <c r="E102" s="1"/>
      <c r="F102" s="1"/>
      <c r="G102" s="1"/>
      <c r="H102" s="109"/>
    </row>
    <row r="103" spans="1:8" ht="14.1" customHeight="1" x14ac:dyDescent="0.2">
      <c r="A103" s="99"/>
      <c r="B103" s="1"/>
      <c r="C103" s="2" t="s">
        <v>155</v>
      </c>
      <c r="D103" s="1"/>
      <c r="E103" s="1"/>
      <c r="F103" s="1"/>
      <c r="G103" s="1"/>
      <c r="H103" s="109"/>
    </row>
    <row r="104" spans="1:8" ht="14.1" customHeight="1" x14ac:dyDescent="0.2">
      <c r="A104" s="99"/>
      <c r="B104" s="1"/>
      <c r="C104" s="2" t="s">
        <v>156</v>
      </c>
      <c r="D104" s="1"/>
      <c r="E104" s="1"/>
      <c r="F104" s="1"/>
      <c r="G104" s="1"/>
      <c r="H104" s="109"/>
    </row>
    <row r="105" spans="1:8" ht="14.1" customHeight="1" x14ac:dyDescent="0.2">
      <c r="A105" s="99"/>
      <c r="B105" s="1"/>
      <c r="C105" s="2" t="s">
        <v>135</v>
      </c>
      <c r="D105" s="1"/>
      <c r="E105" s="1" t="s">
        <v>136</v>
      </c>
      <c r="F105" s="8">
        <v>0</v>
      </c>
      <c r="G105" s="9">
        <v>0</v>
      </c>
      <c r="H105" s="109"/>
    </row>
    <row r="106" spans="1:8" ht="14.1" customHeight="1" x14ac:dyDescent="0.2">
      <c r="A106" s="99"/>
      <c r="B106" s="1"/>
      <c r="C106" s="10"/>
      <c r="D106" s="1"/>
      <c r="E106" s="1"/>
      <c r="F106" s="11"/>
      <c r="G106" s="11"/>
      <c r="H106" s="109"/>
    </row>
    <row r="107" spans="1:8" ht="14.1" customHeight="1" x14ac:dyDescent="0.2">
      <c r="A107" s="99"/>
      <c r="B107" s="1"/>
      <c r="C107" s="2" t="s">
        <v>157</v>
      </c>
      <c r="D107" s="1"/>
      <c r="E107" s="1"/>
      <c r="F107" s="1"/>
      <c r="G107" s="1"/>
      <c r="H107" s="109"/>
    </row>
    <row r="108" spans="1:8" ht="14.1" customHeight="1" x14ac:dyDescent="0.2">
      <c r="A108" s="99"/>
      <c r="B108" s="1"/>
      <c r="C108" s="2" t="s">
        <v>158</v>
      </c>
      <c r="D108" s="1"/>
      <c r="E108" s="1"/>
      <c r="F108" s="1"/>
      <c r="G108" s="1"/>
      <c r="H108" s="109"/>
    </row>
    <row r="109" spans="1:8" ht="14.1" customHeight="1" x14ac:dyDescent="0.2">
      <c r="A109" s="99"/>
      <c r="B109" s="1"/>
      <c r="C109" s="2" t="s">
        <v>135</v>
      </c>
      <c r="D109" s="1"/>
      <c r="E109" s="1" t="s">
        <v>136</v>
      </c>
      <c r="F109" s="8">
        <v>0</v>
      </c>
      <c r="G109" s="9">
        <v>0</v>
      </c>
      <c r="H109" s="109"/>
    </row>
    <row r="110" spans="1:8" ht="14.1" customHeight="1" x14ac:dyDescent="0.2">
      <c r="A110" s="99"/>
      <c r="B110" s="1"/>
      <c r="C110" s="10"/>
      <c r="D110" s="1"/>
      <c r="E110" s="1"/>
      <c r="F110" s="11"/>
      <c r="G110" s="11"/>
      <c r="H110" s="109"/>
    </row>
    <row r="111" spans="1:8" ht="24" customHeight="1" x14ac:dyDescent="0.2">
      <c r="A111" s="99"/>
      <c r="B111" s="1"/>
      <c r="C111" s="2" t="s">
        <v>159</v>
      </c>
      <c r="D111" s="1"/>
      <c r="E111" s="1"/>
      <c r="F111" s="11"/>
      <c r="G111" s="11"/>
      <c r="H111" s="109"/>
    </row>
    <row r="112" spans="1:8" ht="14.1" customHeight="1" x14ac:dyDescent="0.2">
      <c r="A112" s="99"/>
      <c r="B112" s="1"/>
      <c r="C112" s="2" t="s">
        <v>135</v>
      </c>
      <c r="D112" s="1"/>
      <c r="E112" s="1" t="s">
        <v>136</v>
      </c>
      <c r="F112" s="8">
        <v>0</v>
      </c>
      <c r="G112" s="9">
        <v>0</v>
      </c>
      <c r="H112" s="109"/>
    </row>
    <row r="113" spans="1:8" ht="14.1" customHeight="1" x14ac:dyDescent="0.2">
      <c r="A113" s="99"/>
      <c r="B113" s="1"/>
      <c r="C113" s="10"/>
      <c r="D113" s="1"/>
      <c r="E113" s="1"/>
      <c r="F113" s="11"/>
      <c r="G113" s="11"/>
      <c r="H113" s="109"/>
    </row>
    <row r="114" spans="1:8" ht="14.1" customHeight="1" x14ac:dyDescent="0.2">
      <c r="A114" s="99"/>
      <c r="B114" s="3"/>
      <c r="C114" s="3"/>
      <c r="D114" s="2"/>
      <c r="E114" s="1"/>
      <c r="F114" s="3"/>
      <c r="G114" s="7"/>
      <c r="H114" s="109"/>
    </row>
    <row r="115" spans="1:8" ht="18" customHeight="1" x14ac:dyDescent="0.2">
      <c r="A115" s="101"/>
      <c r="B115" s="3"/>
      <c r="C115" s="3" t="s">
        <v>160</v>
      </c>
      <c r="D115" s="3"/>
      <c r="E115" s="7"/>
      <c r="F115" s="5">
        <v>-1.58829357</v>
      </c>
      <c r="G115" s="6">
        <v>-1.8840999999999999E-4</v>
      </c>
      <c r="H115" s="109"/>
    </row>
    <row r="116" spans="1:8" ht="14.1" customHeight="1" x14ac:dyDescent="0.2">
      <c r="A116" s="102"/>
      <c r="B116" s="10"/>
      <c r="C116" s="2" t="s">
        <v>161</v>
      </c>
      <c r="D116" s="11"/>
      <c r="E116" s="11"/>
      <c r="F116" s="8">
        <v>8429.9453774260001</v>
      </c>
      <c r="G116" s="12">
        <v>1.0000000200000001</v>
      </c>
      <c r="H116" s="109"/>
    </row>
    <row r="117" spans="1:8" ht="14.1" customHeight="1" x14ac:dyDescent="0.2">
      <c r="A117" s="13"/>
      <c r="B117" s="13"/>
      <c r="C117" s="13"/>
      <c r="D117" s="14"/>
      <c r="E117" s="14"/>
      <c r="F117" s="14"/>
      <c r="G117" s="14"/>
    </row>
    <row r="118" spans="1:8" ht="14.1" customHeight="1" x14ac:dyDescent="0.2">
      <c r="A118" s="15"/>
      <c r="B118" s="15"/>
      <c r="C118" s="15"/>
      <c r="D118" s="17"/>
      <c r="E118" s="17"/>
      <c r="F118" s="17"/>
      <c r="G118" s="17"/>
    </row>
    <row r="119" spans="1:8" ht="14.1" customHeight="1" x14ac:dyDescent="0.2">
      <c r="A119" s="15"/>
      <c r="B119" s="194" t="s">
        <v>163</v>
      </c>
      <c r="C119" s="195"/>
      <c r="D119" s="196"/>
      <c r="E119" s="18"/>
      <c r="F119" s="17"/>
      <c r="G119" s="17"/>
    </row>
    <row r="120" spans="1:8" ht="29.1" customHeight="1" x14ac:dyDescent="0.2">
      <c r="A120" s="15"/>
      <c r="B120" s="191" t="s">
        <v>164</v>
      </c>
      <c r="C120" s="192"/>
      <c r="D120" s="2" t="s">
        <v>165</v>
      </c>
      <c r="E120" s="18"/>
      <c r="F120" s="17"/>
      <c r="G120" s="17"/>
    </row>
    <row r="121" spans="1:8" ht="17.100000000000001" customHeight="1" x14ac:dyDescent="0.2">
      <c r="A121" s="15"/>
      <c r="B121" s="191" t="s">
        <v>166</v>
      </c>
      <c r="C121" s="192"/>
      <c r="D121" s="2" t="s">
        <v>165</v>
      </c>
      <c r="E121" s="18"/>
      <c r="F121" s="17"/>
      <c r="G121" s="17"/>
    </row>
    <row r="122" spans="1:8" ht="17.100000000000001" customHeight="1" x14ac:dyDescent="0.2">
      <c r="A122" s="15"/>
      <c r="B122" s="191" t="s">
        <v>167</v>
      </c>
      <c r="C122" s="192"/>
      <c r="D122" s="11" t="s">
        <v>136</v>
      </c>
      <c r="E122" s="18"/>
      <c r="F122" s="17"/>
      <c r="G122" s="17"/>
    </row>
    <row r="123" spans="1:8" ht="24" customHeight="1" x14ac:dyDescent="0.2">
      <c r="A123" s="19"/>
      <c r="B123" s="20" t="s">
        <v>136</v>
      </c>
      <c r="C123" s="20" t="s">
        <v>168</v>
      </c>
      <c r="D123" s="20" t="s">
        <v>169</v>
      </c>
      <c r="E123" s="19"/>
      <c r="F123" s="19"/>
      <c r="G123" s="19"/>
    </row>
    <row r="124" spans="1:8" ht="18" customHeight="1" x14ac:dyDescent="0.2">
      <c r="A124" s="19"/>
      <c r="B124" s="21" t="s">
        <v>170</v>
      </c>
      <c r="C124" s="20" t="s">
        <v>171</v>
      </c>
      <c r="D124" s="20" t="s">
        <v>172</v>
      </c>
      <c r="E124" s="19"/>
      <c r="F124" s="19"/>
      <c r="G124" s="19"/>
    </row>
    <row r="125" spans="1:8" ht="17.100000000000001" customHeight="1" x14ac:dyDescent="0.2">
      <c r="A125" s="19"/>
      <c r="B125" s="3" t="s">
        <v>173</v>
      </c>
      <c r="C125" s="22">
        <v>17.852699999999999</v>
      </c>
      <c r="D125" s="22">
        <v>17.354700000000001</v>
      </c>
      <c r="E125" s="19"/>
      <c r="F125" s="16"/>
      <c r="G125" s="23"/>
    </row>
    <row r="126" spans="1:8" ht="17.100000000000001" customHeight="1" x14ac:dyDescent="0.2">
      <c r="A126" s="19"/>
      <c r="B126" s="3" t="s">
        <v>994</v>
      </c>
      <c r="C126" s="22">
        <v>16.991099999999999</v>
      </c>
      <c r="D126" s="22">
        <v>16.517199999999999</v>
      </c>
      <c r="E126" s="19"/>
      <c r="F126" s="16"/>
      <c r="G126" s="23"/>
    </row>
    <row r="127" spans="1:8" ht="17.100000000000001" customHeight="1" x14ac:dyDescent="0.2">
      <c r="A127" s="19"/>
      <c r="B127" s="3" t="s">
        <v>174</v>
      </c>
      <c r="C127" s="22">
        <v>17.375399999999999</v>
      </c>
      <c r="D127" s="22">
        <v>16.883500000000002</v>
      </c>
      <c r="E127" s="19"/>
      <c r="F127" s="16"/>
      <c r="G127" s="23"/>
    </row>
    <row r="128" spans="1:8" ht="17.100000000000001" customHeight="1" x14ac:dyDescent="0.2">
      <c r="A128" s="19"/>
      <c r="B128" s="3" t="s">
        <v>995</v>
      </c>
      <c r="C128" s="22">
        <v>16.726600000000001</v>
      </c>
      <c r="D128" s="22">
        <v>16.253</v>
      </c>
      <c r="E128" s="19"/>
      <c r="F128" s="16"/>
      <c r="G128" s="23"/>
    </row>
    <row r="129" spans="1:15" ht="14.1" customHeight="1" x14ac:dyDescent="0.2">
      <c r="A129" s="19"/>
      <c r="B129" s="19"/>
      <c r="C129" s="19"/>
      <c r="D129" s="19"/>
      <c r="E129" s="19"/>
      <c r="F129" s="19"/>
      <c r="G129" s="19"/>
    </row>
    <row r="130" spans="1:15" ht="17.100000000000001" customHeight="1" x14ac:dyDescent="0.2">
      <c r="A130" s="19"/>
      <c r="B130" s="191" t="s">
        <v>1044</v>
      </c>
      <c r="C130" s="192"/>
      <c r="D130" s="2" t="s">
        <v>165</v>
      </c>
      <c r="E130" s="19"/>
      <c r="F130" s="19"/>
      <c r="G130" s="19"/>
    </row>
    <row r="131" spans="1:15" ht="18" customHeight="1" x14ac:dyDescent="0.2">
      <c r="A131" s="19"/>
      <c r="B131" s="24"/>
      <c r="C131" s="24"/>
      <c r="D131" s="24"/>
      <c r="E131" s="19"/>
      <c r="F131" s="19"/>
      <c r="G131" s="19"/>
    </row>
    <row r="132" spans="1:15" ht="29.1" customHeight="1" x14ac:dyDescent="0.2">
      <c r="A132" s="19"/>
      <c r="B132" s="191" t="s">
        <v>175</v>
      </c>
      <c r="C132" s="192"/>
      <c r="D132" s="2" t="s">
        <v>165</v>
      </c>
      <c r="E132" s="25"/>
      <c r="F132" s="19"/>
      <c r="G132" s="19"/>
    </row>
    <row r="133" spans="1:15" ht="29.1" customHeight="1" x14ac:dyDescent="0.2">
      <c r="A133" s="19"/>
      <c r="B133" s="191" t="s">
        <v>176</v>
      </c>
      <c r="C133" s="192"/>
      <c r="D133" s="2" t="s">
        <v>165</v>
      </c>
      <c r="E133" s="25"/>
      <c r="F133" s="19"/>
      <c r="G133" s="19"/>
    </row>
    <row r="134" spans="1:15" ht="17.100000000000001" customHeight="1" x14ac:dyDescent="0.2">
      <c r="A134" s="19"/>
      <c r="B134" s="191" t="s">
        <v>177</v>
      </c>
      <c r="C134" s="192"/>
      <c r="D134" s="2" t="s">
        <v>165</v>
      </c>
      <c r="E134" s="25"/>
      <c r="F134" s="19"/>
      <c r="G134" s="19"/>
    </row>
    <row r="135" spans="1:15" ht="17.100000000000001" customHeight="1" x14ac:dyDescent="0.2">
      <c r="A135" s="19"/>
      <c r="B135" s="191" t="s">
        <v>178</v>
      </c>
      <c r="C135" s="192"/>
      <c r="D135" s="26">
        <v>0.1398183615130387</v>
      </c>
      <c r="E135" s="19"/>
      <c r="F135" s="16"/>
      <c r="G135" s="23"/>
    </row>
    <row r="136" spans="1:15" ht="14.1" customHeight="1" x14ac:dyDescent="0.2">
      <c r="A136" s="24"/>
      <c r="B136" s="24"/>
      <c r="C136" s="24"/>
      <c r="D136" s="24"/>
      <c r="E136" s="24"/>
      <c r="F136" s="24"/>
      <c r="G136" s="24"/>
    </row>
    <row r="140" spans="1:15" x14ac:dyDescent="0.2">
      <c r="J140" s="170"/>
      <c r="K140" s="170"/>
      <c r="L140" s="170"/>
      <c r="M140" s="170"/>
      <c r="N140" s="170"/>
      <c r="O140" s="170"/>
    </row>
  </sheetData>
  <mergeCells count="13">
    <mergeCell ref="J2:N2"/>
    <mergeCell ref="B122:C122"/>
    <mergeCell ref="B119:D119"/>
    <mergeCell ref="B120:C120"/>
    <mergeCell ref="B121:C121"/>
    <mergeCell ref="A1:H1"/>
    <mergeCell ref="A2:H2"/>
    <mergeCell ref="A3:H3"/>
    <mergeCell ref="B135:C135"/>
    <mergeCell ref="B132:C132"/>
    <mergeCell ref="B133:C133"/>
    <mergeCell ref="B134:C134"/>
    <mergeCell ref="B130:C130"/>
  </mergeCells>
  <hyperlinks>
    <hyperlink ref="I1" location="Index!B5" display="Index" xr:uid="{D493B958-FA19-4A49-82E9-5B5BA5E69B8E}"/>
  </hyperlinks>
  <pageMargins left="5.000000074505806E-2" right="5.000000074505806E-2" top="0.30000001192092896" bottom="0.20000000298023224" header="0" footer="0"/>
  <pageSetup paperSize="9"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16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7" t="s">
        <v>0</v>
      </c>
      <c r="B1" s="187"/>
      <c r="C1" s="187"/>
      <c r="D1" s="187"/>
      <c r="E1" s="187"/>
      <c r="F1" s="187"/>
      <c r="G1" s="187"/>
      <c r="H1" s="187"/>
      <c r="I1" s="167" t="s">
        <v>1055</v>
      </c>
    </row>
    <row r="2" spans="1:14" ht="17.100000000000001" customHeight="1" x14ac:dyDescent="0.2">
      <c r="A2" s="188" t="s">
        <v>337</v>
      </c>
      <c r="B2" s="189"/>
      <c r="C2" s="189"/>
      <c r="D2" s="189"/>
      <c r="E2" s="189"/>
      <c r="F2" s="189"/>
      <c r="G2" s="189"/>
      <c r="H2" s="190"/>
      <c r="J2" s="186" t="s">
        <v>1056</v>
      </c>
      <c r="K2" s="186"/>
      <c r="L2" s="186"/>
      <c r="M2" s="186"/>
      <c r="N2" s="186"/>
    </row>
    <row r="3" spans="1:14" ht="21" customHeight="1" x14ac:dyDescent="0.2">
      <c r="A3" s="187" t="s">
        <v>1052</v>
      </c>
      <c r="B3" s="187"/>
      <c r="C3" s="187"/>
      <c r="D3" s="187"/>
      <c r="E3" s="187"/>
      <c r="F3" s="187"/>
      <c r="G3" s="187"/>
      <c r="H3" s="187"/>
    </row>
    <row r="4" spans="1:14" ht="30" x14ac:dyDescent="0.2">
      <c r="A4" s="163" t="s">
        <v>2</v>
      </c>
      <c r="B4" s="164" t="s">
        <v>3</v>
      </c>
      <c r="C4" s="164" t="s">
        <v>4</v>
      </c>
      <c r="D4" s="164" t="s">
        <v>5</v>
      </c>
      <c r="E4" s="164" t="s">
        <v>6</v>
      </c>
      <c r="F4" s="164" t="s">
        <v>7</v>
      </c>
      <c r="G4" s="164" t="s">
        <v>8</v>
      </c>
      <c r="H4" s="120" t="s">
        <v>881</v>
      </c>
      <c r="I4" s="165"/>
      <c r="J4" s="165"/>
      <c r="K4" s="165"/>
      <c r="L4" s="165"/>
      <c r="M4" s="165"/>
      <c r="N4" s="165"/>
    </row>
    <row r="5" spans="1:14" ht="14.1" customHeight="1" x14ac:dyDescent="0.2">
      <c r="A5" s="99"/>
      <c r="B5" s="1"/>
      <c r="C5" s="2" t="s">
        <v>9</v>
      </c>
      <c r="D5" s="1"/>
      <c r="E5" s="1"/>
      <c r="F5" s="1"/>
      <c r="G5" s="1"/>
      <c r="H5" s="109"/>
    </row>
    <row r="6" spans="1:14" ht="24" customHeight="1" x14ac:dyDescent="0.2">
      <c r="A6" s="99"/>
      <c r="B6" s="1"/>
      <c r="C6" s="2" t="s">
        <v>10</v>
      </c>
      <c r="D6" s="1"/>
      <c r="E6" s="1"/>
      <c r="F6" s="1"/>
      <c r="G6" s="1"/>
      <c r="H6" s="109"/>
    </row>
    <row r="7" spans="1:14" ht="17.100000000000001" customHeight="1" x14ac:dyDescent="0.2">
      <c r="A7" s="100">
        <v>1</v>
      </c>
      <c r="B7" s="3" t="s">
        <v>20</v>
      </c>
      <c r="C7" s="3" t="s">
        <v>21</v>
      </c>
      <c r="D7" s="3" t="s">
        <v>22</v>
      </c>
      <c r="E7" s="4">
        <v>3400000</v>
      </c>
      <c r="F7" s="5">
        <v>29064.9</v>
      </c>
      <c r="G7" s="6">
        <v>5.9497189999999998E-2</v>
      </c>
      <c r="H7" s="109"/>
    </row>
    <row r="8" spans="1:14" ht="17.100000000000001" customHeight="1" x14ac:dyDescent="0.2">
      <c r="A8" s="100">
        <v>2</v>
      </c>
      <c r="B8" s="3" t="s">
        <v>297</v>
      </c>
      <c r="C8" s="3" t="s">
        <v>298</v>
      </c>
      <c r="D8" s="3" t="s">
        <v>22</v>
      </c>
      <c r="E8" s="4">
        <v>1392929</v>
      </c>
      <c r="F8" s="5">
        <v>22281.292283999999</v>
      </c>
      <c r="G8" s="6">
        <v>4.5610829999999998E-2</v>
      </c>
      <c r="H8" s="109"/>
    </row>
    <row r="9" spans="1:14" ht="17.100000000000001" customHeight="1" x14ac:dyDescent="0.2">
      <c r="A9" s="100">
        <v>3</v>
      </c>
      <c r="B9" s="3" t="s">
        <v>17</v>
      </c>
      <c r="C9" s="3" t="s">
        <v>18</v>
      </c>
      <c r="D9" s="3" t="s">
        <v>19</v>
      </c>
      <c r="E9" s="4">
        <v>870000</v>
      </c>
      <c r="F9" s="5">
        <v>20206.185000000001</v>
      </c>
      <c r="G9" s="6">
        <v>4.1362990000000002E-2</v>
      </c>
      <c r="H9" s="109"/>
    </row>
    <row r="10" spans="1:14" ht="17.100000000000001" customHeight="1" x14ac:dyDescent="0.2">
      <c r="A10" s="100">
        <v>4</v>
      </c>
      <c r="B10" s="3" t="s">
        <v>293</v>
      </c>
      <c r="C10" s="3" t="s">
        <v>294</v>
      </c>
      <c r="D10" s="3" t="s">
        <v>996</v>
      </c>
      <c r="E10" s="4">
        <v>1279690</v>
      </c>
      <c r="F10" s="5">
        <v>19036.028595</v>
      </c>
      <c r="G10" s="6">
        <v>3.8967630000000003E-2</v>
      </c>
      <c r="H10" s="109"/>
    </row>
    <row r="11" spans="1:14" ht="17.100000000000001" customHeight="1" x14ac:dyDescent="0.2">
      <c r="A11" s="100">
        <v>5</v>
      </c>
      <c r="B11" s="3" t="s">
        <v>32</v>
      </c>
      <c r="C11" s="3" t="s">
        <v>33</v>
      </c>
      <c r="D11" s="3" t="s">
        <v>22</v>
      </c>
      <c r="E11" s="4">
        <v>2580000</v>
      </c>
      <c r="F11" s="5">
        <v>13488.24</v>
      </c>
      <c r="G11" s="6">
        <v>2.7611050000000002E-2</v>
      </c>
      <c r="H11" s="109"/>
    </row>
    <row r="12" spans="1:14" ht="17.100000000000001" customHeight="1" x14ac:dyDescent="0.2">
      <c r="A12" s="100">
        <v>6</v>
      </c>
      <c r="B12" s="3" t="s">
        <v>11</v>
      </c>
      <c r="C12" s="3" t="s">
        <v>12</v>
      </c>
      <c r="D12" s="3" t="s">
        <v>13</v>
      </c>
      <c r="E12" s="4">
        <v>625000</v>
      </c>
      <c r="F12" s="5">
        <v>13182.1875</v>
      </c>
      <c r="G12" s="6">
        <v>2.698455E-2</v>
      </c>
      <c r="H12" s="109"/>
    </row>
    <row r="13" spans="1:14" ht="17.100000000000001" customHeight="1" x14ac:dyDescent="0.2">
      <c r="A13" s="100">
        <v>7</v>
      </c>
      <c r="B13" s="3" t="s">
        <v>197</v>
      </c>
      <c r="C13" s="3" t="s">
        <v>198</v>
      </c>
      <c r="D13" s="3" t="s">
        <v>22</v>
      </c>
      <c r="E13" s="4">
        <v>1371950</v>
      </c>
      <c r="F13" s="5">
        <v>11580.62995</v>
      </c>
      <c r="G13" s="6">
        <v>2.3706080000000001E-2</v>
      </c>
      <c r="H13" s="109"/>
      <c r="J13" s="169" t="s">
        <v>1061</v>
      </c>
    </row>
    <row r="14" spans="1:14" ht="17.100000000000001" customHeight="1" x14ac:dyDescent="0.2">
      <c r="A14" s="100">
        <v>8</v>
      </c>
      <c r="B14" s="3" t="s">
        <v>338</v>
      </c>
      <c r="C14" s="3" t="s">
        <v>339</v>
      </c>
      <c r="D14" s="3" t="s">
        <v>22</v>
      </c>
      <c r="E14" s="4">
        <v>3875118</v>
      </c>
      <c r="F14" s="5">
        <v>10832.892368999999</v>
      </c>
      <c r="G14" s="6">
        <v>2.2175429999999999E-2</v>
      </c>
      <c r="H14" s="109"/>
    </row>
    <row r="15" spans="1:14" ht="29.1" customHeight="1" x14ac:dyDescent="0.2">
      <c r="A15" s="100">
        <v>9</v>
      </c>
      <c r="B15" s="3" t="s">
        <v>295</v>
      </c>
      <c r="C15" s="3" t="s">
        <v>296</v>
      </c>
      <c r="D15" s="3" t="s">
        <v>120</v>
      </c>
      <c r="E15" s="4">
        <v>384006</v>
      </c>
      <c r="F15" s="5">
        <v>10020.444567</v>
      </c>
      <c r="G15" s="6">
        <v>2.0512309999999999E-2</v>
      </c>
      <c r="H15" s="109"/>
    </row>
    <row r="16" spans="1:14" ht="17.100000000000001" customHeight="1" x14ac:dyDescent="0.2">
      <c r="A16" s="100">
        <v>10</v>
      </c>
      <c r="B16" s="3" t="s">
        <v>34</v>
      </c>
      <c r="C16" s="3" t="s">
        <v>35</v>
      </c>
      <c r="D16" s="3" t="s">
        <v>36</v>
      </c>
      <c r="E16" s="4">
        <v>310000</v>
      </c>
      <c r="F16" s="5">
        <v>9973.7849999999999</v>
      </c>
      <c r="G16" s="6">
        <v>2.0416799999999999E-2</v>
      </c>
      <c r="H16" s="109"/>
    </row>
    <row r="17" spans="1:10" ht="17.100000000000001" customHeight="1" x14ac:dyDescent="0.2">
      <c r="A17" s="100">
        <v>11</v>
      </c>
      <c r="B17" s="3" t="s">
        <v>45</v>
      </c>
      <c r="C17" s="3" t="s">
        <v>46</v>
      </c>
      <c r="D17" s="3" t="s">
        <v>47</v>
      </c>
      <c r="E17" s="4">
        <v>6352636</v>
      </c>
      <c r="F17" s="5">
        <v>9243.0853800000004</v>
      </c>
      <c r="G17" s="6">
        <v>1.892102E-2</v>
      </c>
      <c r="H17" s="109"/>
    </row>
    <row r="18" spans="1:10" ht="17.100000000000001" customHeight="1" x14ac:dyDescent="0.2">
      <c r="A18" s="100">
        <v>12</v>
      </c>
      <c r="B18" s="3" t="s">
        <v>340</v>
      </c>
      <c r="C18" s="3" t="s">
        <v>341</v>
      </c>
      <c r="D18" s="3" t="s">
        <v>235</v>
      </c>
      <c r="E18" s="4">
        <v>2750000</v>
      </c>
      <c r="F18" s="5">
        <v>8545.625</v>
      </c>
      <c r="G18" s="6">
        <v>1.7493290000000002E-2</v>
      </c>
      <c r="H18" s="109"/>
    </row>
    <row r="19" spans="1:10" ht="17.100000000000001" customHeight="1" x14ac:dyDescent="0.2">
      <c r="A19" s="100">
        <v>13</v>
      </c>
      <c r="B19" s="3" t="s">
        <v>299</v>
      </c>
      <c r="C19" s="3" t="s">
        <v>300</v>
      </c>
      <c r="D19" s="3" t="s">
        <v>996</v>
      </c>
      <c r="E19" s="4">
        <v>257671</v>
      </c>
      <c r="F19" s="5">
        <v>8536.2537235</v>
      </c>
      <c r="G19" s="6">
        <v>1.7474110000000001E-2</v>
      </c>
      <c r="H19" s="109"/>
    </row>
    <row r="20" spans="1:10" ht="17.100000000000001" customHeight="1" x14ac:dyDescent="0.2">
      <c r="A20" s="100">
        <v>14</v>
      </c>
      <c r="B20" s="3" t="s">
        <v>104</v>
      </c>
      <c r="C20" s="3" t="s">
        <v>105</v>
      </c>
      <c r="D20" s="3" t="s">
        <v>80</v>
      </c>
      <c r="E20" s="4">
        <v>1863566</v>
      </c>
      <c r="F20" s="5">
        <v>8350.6392460000006</v>
      </c>
      <c r="G20" s="6">
        <v>1.7094140000000001E-2</v>
      </c>
      <c r="H20" s="109"/>
    </row>
    <row r="21" spans="1:10" ht="17.100000000000001" customHeight="1" x14ac:dyDescent="0.2">
      <c r="A21" s="100">
        <v>15</v>
      </c>
      <c r="B21" s="3" t="s">
        <v>342</v>
      </c>
      <c r="C21" s="3" t="s">
        <v>343</v>
      </c>
      <c r="D21" s="3" t="s">
        <v>31</v>
      </c>
      <c r="E21" s="4">
        <v>856506</v>
      </c>
      <c r="F21" s="5">
        <v>8185.6278419999999</v>
      </c>
      <c r="G21" s="6">
        <v>1.6756360000000001E-2</v>
      </c>
      <c r="H21" s="109"/>
    </row>
    <row r="22" spans="1:10" ht="17.100000000000001" customHeight="1" x14ac:dyDescent="0.2">
      <c r="A22" s="100">
        <v>16</v>
      </c>
      <c r="B22" s="3" t="s">
        <v>43</v>
      </c>
      <c r="C22" s="3" t="s">
        <v>44</v>
      </c>
      <c r="D22" s="3" t="s">
        <v>31</v>
      </c>
      <c r="E22" s="4">
        <v>254000</v>
      </c>
      <c r="F22" s="5">
        <v>7826.6289999999999</v>
      </c>
      <c r="G22" s="6">
        <v>1.6021469999999999E-2</v>
      </c>
      <c r="H22" s="109"/>
      <c r="J22" s="169" t="s">
        <v>1062</v>
      </c>
    </row>
    <row r="23" spans="1:10" ht="17.100000000000001" customHeight="1" x14ac:dyDescent="0.2">
      <c r="A23" s="100">
        <v>17</v>
      </c>
      <c r="B23" s="3" t="s">
        <v>266</v>
      </c>
      <c r="C23" s="3" t="s">
        <v>267</v>
      </c>
      <c r="D23" s="3" t="s">
        <v>80</v>
      </c>
      <c r="E23" s="4">
        <v>1535229</v>
      </c>
      <c r="F23" s="5">
        <v>7781.3081865000004</v>
      </c>
      <c r="G23" s="6">
        <v>1.59287E-2</v>
      </c>
      <c r="H23" s="109"/>
    </row>
    <row r="24" spans="1:10" ht="17.100000000000001" customHeight="1" x14ac:dyDescent="0.2">
      <c r="A24" s="100">
        <v>18</v>
      </c>
      <c r="B24" s="3" t="s">
        <v>194</v>
      </c>
      <c r="C24" s="3" t="s">
        <v>195</v>
      </c>
      <c r="D24" s="3" t="s">
        <v>196</v>
      </c>
      <c r="E24" s="4">
        <v>586800</v>
      </c>
      <c r="F24" s="5">
        <v>7632.8010000000004</v>
      </c>
      <c r="G24" s="6">
        <v>1.56247E-2</v>
      </c>
      <c r="H24" s="109"/>
    </row>
    <row r="25" spans="1:10" ht="17.100000000000001" customHeight="1" x14ac:dyDescent="0.2">
      <c r="A25" s="100">
        <v>19</v>
      </c>
      <c r="B25" s="3" t="s">
        <v>344</v>
      </c>
      <c r="C25" s="3" t="s">
        <v>345</v>
      </c>
      <c r="D25" s="3" t="s">
        <v>120</v>
      </c>
      <c r="E25" s="4">
        <v>570000</v>
      </c>
      <c r="F25" s="5">
        <v>7608.93</v>
      </c>
      <c r="G25" s="6">
        <v>1.5575830000000001E-2</v>
      </c>
      <c r="H25" s="109"/>
    </row>
    <row r="26" spans="1:10" ht="17.100000000000001" customHeight="1" x14ac:dyDescent="0.2">
      <c r="A26" s="100">
        <v>20</v>
      </c>
      <c r="B26" s="3" t="s">
        <v>14</v>
      </c>
      <c r="C26" s="3" t="s">
        <v>15</v>
      </c>
      <c r="D26" s="3" t="s">
        <v>16</v>
      </c>
      <c r="E26" s="4">
        <v>1002403</v>
      </c>
      <c r="F26" s="5">
        <v>7440.3362674999998</v>
      </c>
      <c r="G26" s="6">
        <v>1.523071E-2</v>
      </c>
      <c r="H26" s="109"/>
    </row>
    <row r="27" spans="1:10" ht="17.100000000000001" customHeight="1" x14ac:dyDescent="0.2">
      <c r="A27" s="100">
        <v>21</v>
      </c>
      <c r="B27" s="3" t="s">
        <v>224</v>
      </c>
      <c r="C27" s="3" t="s">
        <v>225</v>
      </c>
      <c r="D27" s="3" t="s">
        <v>196</v>
      </c>
      <c r="E27" s="4">
        <v>510839</v>
      </c>
      <c r="F27" s="5">
        <v>7391.3294910000004</v>
      </c>
      <c r="G27" s="6">
        <v>1.5130390000000001E-2</v>
      </c>
      <c r="H27" s="109"/>
    </row>
    <row r="28" spans="1:10" ht="17.100000000000001" customHeight="1" x14ac:dyDescent="0.2">
      <c r="A28" s="100">
        <v>22</v>
      </c>
      <c r="B28" s="3" t="s">
        <v>284</v>
      </c>
      <c r="C28" s="3" t="s">
        <v>285</v>
      </c>
      <c r="D28" s="3" t="s">
        <v>996</v>
      </c>
      <c r="E28" s="4">
        <v>358000</v>
      </c>
      <c r="F28" s="5">
        <v>7286.732</v>
      </c>
      <c r="G28" s="6">
        <v>1.4916280000000001E-2</v>
      </c>
      <c r="H28" s="109"/>
    </row>
    <row r="29" spans="1:10" ht="17.100000000000001" customHeight="1" x14ac:dyDescent="0.2">
      <c r="A29" s="100">
        <v>23</v>
      </c>
      <c r="B29" s="3" t="s">
        <v>78</v>
      </c>
      <c r="C29" s="3" t="s">
        <v>79</v>
      </c>
      <c r="D29" s="3" t="s">
        <v>80</v>
      </c>
      <c r="E29" s="4">
        <v>242298</v>
      </c>
      <c r="F29" s="5">
        <v>7224.9629130000003</v>
      </c>
      <c r="G29" s="6">
        <v>1.478983E-2</v>
      </c>
      <c r="H29" s="109"/>
    </row>
    <row r="30" spans="1:10" ht="17.100000000000001" customHeight="1" x14ac:dyDescent="0.2">
      <c r="A30" s="100">
        <v>24</v>
      </c>
      <c r="B30" s="3" t="s">
        <v>307</v>
      </c>
      <c r="C30" s="3" t="s">
        <v>308</v>
      </c>
      <c r="D30" s="3" t="s">
        <v>309</v>
      </c>
      <c r="E30" s="4">
        <v>290831</v>
      </c>
      <c r="F30" s="5">
        <v>7156.3330015000001</v>
      </c>
      <c r="G30" s="6">
        <v>1.464934E-2</v>
      </c>
      <c r="H30" s="109"/>
    </row>
    <row r="31" spans="1:10" ht="17.100000000000001" customHeight="1" x14ac:dyDescent="0.2">
      <c r="A31" s="100">
        <v>25</v>
      </c>
      <c r="B31" s="3" t="s">
        <v>243</v>
      </c>
      <c r="C31" s="3" t="s">
        <v>244</v>
      </c>
      <c r="D31" s="3" t="s">
        <v>31</v>
      </c>
      <c r="E31" s="4">
        <v>364960</v>
      </c>
      <c r="F31" s="5">
        <v>6892.2695999999996</v>
      </c>
      <c r="G31" s="6">
        <v>1.410879E-2</v>
      </c>
      <c r="H31" s="109"/>
    </row>
    <row r="32" spans="1:10" ht="17.100000000000001" customHeight="1" x14ac:dyDescent="0.2">
      <c r="A32" s="100">
        <v>26</v>
      </c>
      <c r="B32" s="3" t="s">
        <v>98</v>
      </c>
      <c r="C32" s="3" t="s">
        <v>99</v>
      </c>
      <c r="D32" s="3" t="s">
        <v>97</v>
      </c>
      <c r="E32" s="4">
        <v>801652</v>
      </c>
      <c r="F32" s="5">
        <v>6873.3642479999999</v>
      </c>
      <c r="G32" s="6">
        <v>1.407009E-2</v>
      </c>
      <c r="H32" s="109"/>
    </row>
    <row r="33" spans="1:8" ht="17.100000000000001" customHeight="1" x14ac:dyDescent="0.2">
      <c r="A33" s="100">
        <v>27</v>
      </c>
      <c r="B33" s="3" t="s">
        <v>328</v>
      </c>
      <c r="C33" s="3" t="s">
        <v>329</v>
      </c>
      <c r="D33" s="3" t="s">
        <v>22</v>
      </c>
      <c r="E33" s="4">
        <v>635000</v>
      </c>
      <c r="F33" s="5">
        <v>6843.3950000000004</v>
      </c>
      <c r="G33" s="6">
        <v>1.400875E-2</v>
      </c>
      <c r="H33" s="109"/>
    </row>
    <row r="34" spans="1:8" ht="17.100000000000001" customHeight="1" x14ac:dyDescent="0.2">
      <c r="A34" s="100">
        <v>28</v>
      </c>
      <c r="B34" s="3" t="s">
        <v>106</v>
      </c>
      <c r="C34" s="3" t="s">
        <v>107</v>
      </c>
      <c r="D34" s="3" t="s">
        <v>108</v>
      </c>
      <c r="E34" s="4">
        <v>1649310</v>
      </c>
      <c r="F34" s="5">
        <v>6584.0455199999997</v>
      </c>
      <c r="G34" s="6">
        <v>1.347784E-2</v>
      </c>
      <c r="H34" s="109"/>
    </row>
    <row r="35" spans="1:8" ht="17.100000000000001" customHeight="1" x14ac:dyDescent="0.2">
      <c r="A35" s="100">
        <v>29</v>
      </c>
      <c r="B35" s="3" t="s">
        <v>55</v>
      </c>
      <c r="C35" s="3" t="s">
        <v>56</v>
      </c>
      <c r="D35" s="3" t="s">
        <v>57</v>
      </c>
      <c r="E35" s="4">
        <v>1105000</v>
      </c>
      <c r="F35" s="5">
        <v>6525.0249999999996</v>
      </c>
      <c r="G35" s="6">
        <v>1.3357030000000001E-2</v>
      </c>
      <c r="H35" s="109"/>
    </row>
    <row r="36" spans="1:8" ht="17.100000000000001" customHeight="1" x14ac:dyDescent="0.2">
      <c r="A36" s="100">
        <v>30</v>
      </c>
      <c r="B36" s="3" t="s">
        <v>184</v>
      </c>
      <c r="C36" s="3" t="s">
        <v>185</v>
      </c>
      <c r="D36" s="3" t="s">
        <v>996</v>
      </c>
      <c r="E36" s="4">
        <v>130715</v>
      </c>
      <c r="F36" s="5">
        <v>6265.3006649999998</v>
      </c>
      <c r="G36" s="6">
        <v>1.2825359999999999E-2</v>
      </c>
      <c r="H36" s="109"/>
    </row>
    <row r="37" spans="1:8" ht="29.1" customHeight="1" x14ac:dyDescent="0.2">
      <c r="A37" s="100">
        <v>31</v>
      </c>
      <c r="B37" s="3" t="s">
        <v>118</v>
      </c>
      <c r="C37" s="3" t="s">
        <v>119</v>
      </c>
      <c r="D37" s="3" t="s">
        <v>120</v>
      </c>
      <c r="E37" s="4">
        <v>808159</v>
      </c>
      <c r="F37" s="5">
        <v>6113.7228349999996</v>
      </c>
      <c r="G37" s="6">
        <v>1.251507E-2</v>
      </c>
      <c r="H37" s="109"/>
    </row>
    <row r="38" spans="1:8" ht="17.100000000000001" customHeight="1" x14ac:dyDescent="0.2">
      <c r="A38" s="100">
        <v>32</v>
      </c>
      <c r="B38" s="3" t="s">
        <v>346</v>
      </c>
      <c r="C38" s="3" t="s">
        <v>347</v>
      </c>
      <c r="D38" s="3" t="s">
        <v>120</v>
      </c>
      <c r="E38" s="4">
        <v>99037</v>
      </c>
      <c r="F38" s="5">
        <v>6053.2404770000003</v>
      </c>
      <c r="G38" s="6">
        <v>1.2391259999999999E-2</v>
      </c>
      <c r="H38" s="109"/>
    </row>
    <row r="39" spans="1:8" ht="29.1" customHeight="1" x14ac:dyDescent="0.2">
      <c r="A39" s="100">
        <v>33</v>
      </c>
      <c r="B39" s="3" t="s">
        <v>303</v>
      </c>
      <c r="C39" s="3" t="s">
        <v>304</v>
      </c>
      <c r="D39" s="3" t="s">
        <v>221</v>
      </c>
      <c r="E39" s="4">
        <v>622280</v>
      </c>
      <c r="F39" s="5">
        <v>5952.7304800000002</v>
      </c>
      <c r="G39" s="6">
        <v>1.218551E-2</v>
      </c>
      <c r="H39" s="109"/>
    </row>
    <row r="40" spans="1:8" ht="29.1" customHeight="1" x14ac:dyDescent="0.2">
      <c r="A40" s="100">
        <v>34</v>
      </c>
      <c r="B40" s="3" t="s">
        <v>23</v>
      </c>
      <c r="C40" s="3" t="s">
        <v>24</v>
      </c>
      <c r="D40" s="3" t="s">
        <v>25</v>
      </c>
      <c r="E40" s="4">
        <v>81217</v>
      </c>
      <c r="F40" s="5">
        <v>5897.4100209999997</v>
      </c>
      <c r="G40" s="6">
        <v>1.207227E-2</v>
      </c>
      <c r="H40" s="109"/>
    </row>
    <row r="41" spans="1:8" ht="29.1" customHeight="1" x14ac:dyDescent="0.2">
      <c r="A41" s="100">
        <v>35</v>
      </c>
      <c r="B41" s="3" t="s">
        <v>186</v>
      </c>
      <c r="C41" s="3" t="s">
        <v>187</v>
      </c>
      <c r="D41" s="3" t="s">
        <v>188</v>
      </c>
      <c r="E41" s="4">
        <v>140588</v>
      </c>
      <c r="F41" s="5">
        <v>5803.6132280000002</v>
      </c>
      <c r="G41" s="6">
        <v>1.188026E-2</v>
      </c>
      <c r="H41" s="109"/>
    </row>
    <row r="42" spans="1:8" ht="17.100000000000001" customHeight="1" x14ac:dyDescent="0.2">
      <c r="A42" s="100">
        <v>36</v>
      </c>
      <c r="B42" s="3" t="s">
        <v>348</v>
      </c>
      <c r="C42" s="3" t="s">
        <v>349</v>
      </c>
      <c r="D42" s="3" t="s">
        <v>71</v>
      </c>
      <c r="E42" s="4">
        <v>1355977</v>
      </c>
      <c r="F42" s="5">
        <v>5704.5952390000002</v>
      </c>
      <c r="G42" s="6">
        <v>1.167757E-2</v>
      </c>
      <c r="H42" s="109"/>
    </row>
    <row r="43" spans="1:8" ht="29.1" customHeight="1" x14ac:dyDescent="0.2">
      <c r="A43" s="100">
        <v>37</v>
      </c>
      <c r="B43" s="3" t="s">
        <v>204</v>
      </c>
      <c r="C43" s="3" t="s">
        <v>205</v>
      </c>
      <c r="D43" s="3" t="s">
        <v>115</v>
      </c>
      <c r="E43" s="4">
        <v>1831839</v>
      </c>
      <c r="F43" s="5">
        <v>5566.0428014999998</v>
      </c>
      <c r="G43" s="6">
        <v>1.139395E-2</v>
      </c>
      <c r="H43" s="109"/>
    </row>
    <row r="44" spans="1:8" ht="17.100000000000001" customHeight="1" x14ac:dyDescent="0.2">
      <c r="A44" s="100">
        <v>38</v>
      </c>
      <c r="B44" s="3" t="s">
        <v>214</v>
      </c>
      <c r="C44" s="3" t="s">
        <v>215</v>
      </c>
      <c r="D44" s="3" t="s">
        <v>216</v>
      </c>
      <c r="E44" s="4">
        <v>800000</v>
      </c>
      <c r="F44" s="5">
        <v>5539.6</v>
      </c>
      <c r="G44" s="6">
        <v>1.133982E-2</v>
      </c>
      <c r="H44" s="109"/>
    </row>
    <row r="45" spans="1:8" ht="17.100000000000001" customHeight="1" x14ac:dyDescent="0.2">
      <c r="A45" s="100">
        <v>39</v>
      </c>
      <c r="B45" s="3" t="s">
        <v>69</v>
      </c>
      <c r="C45" s="3" t="s">
        <v>70</v>
      </c>
      <c r="D45" s="3" t="s">
        <v>71</v>
      </c>
      <c r="E45" s="4">
        <v>63700</v>
      </c>
      <c r="F45" s="5">
        <v>5493.7109499999997</v>
      </c>
      <c r="G45" s="6">
        <v>1.124588E-2</v>
      </c>
      <c r="H45" s="109"/>
    </row>
    <row r="46" spans="1:8" ht="29.1" customHeight="1" x14ac:dyDescent="0.2">
      <c r="A46" s="100">
        <v>40</v>
      </c>
      <c r="B46" s="3" t="s">
        <v>350</v>
      </c>
      <c r="C46" s="3" t="s">
        <v>351</v>
      </c>
      <c r="D46" s="3" t="s">
        <v>221</v>
      </c>
      <c r="E46" s="4">
        <v>187233</v>
      </c>
      <c r="F46" s="5">
        <v>5290.4556480000001</v>
      </c>
      <c r="G46" s="6">
        <v>1.082981E-2</v>
      </c>
      <c r="H46" s="109"/>
    </row>
    <row r="47" spans="1:8" ht="29.1" customHeight="1" x14ac:dyDescent="0.2">
      <c r="A47" s="100">
        <v>41</v>
      </c>
      <c r="B47" s="3" t="s">
        <v>258</v>
      </c>
      <c r="C47" s="3" t="s">
        <v>259</v>
      </c>
      <c r="D47" s="3" t="s">
        <v>191</v>
      </c>
      <c r="E47" s="4">
        <v>167631</v>
      </c>
      <c r="F47" s="5">
        <v>5195.8066605000004</v>
      </c>
      <c r="G47" s="6">
        <v>1.0636059999999999E-2</v>
      </c>
      <c r="H47" s="109"/>
    </row>
    <row r="48" spans="1:8" ht="17.100000000000001" customHeight="1" x14ac:dyDescent="0.2">
      <c r="A48" s="100">
        <v>42</v>
      </c>
      <c r="B48" s="3" t="s">
        <v>280</v>
      </c>
      <c r="C48" s="3" t="s">
        <v>281</v>
      </c>
      <c r="D48" s="3" t="s">
        <v>91</v>
      </c>
      <c r="E48" s="4">
        <v>1176577</v>
      </c>
      <c r="F48" s="5">
        <v>5161.0550105000002</v>
      </c>
      <c r="G48" s="6">
        <v>1.056492E-2</v>
      </c>
      <c r="H48" s="109"/>
    </row>
    <row r="49" spans="1:8" ht="17.100000000000001" customHeight="1" x14ac:dyDescent="0.2">
      <c r="A49" s="100">
        <v>43</v>
      </c>
      <c r="B49" s="3" t="s">
        <v>83</v>
      </c>
      <c r="C49" s="3" t="s">
        <v>84</v>
      </c>
      <c r="D49" s="3" t="s">
        <v>31</v>
      </c>
      <c r="E49" s="4">
        <v>326278</v>
      </c>
      <c r="F49" s="5">
        <v>5122.8908780000002</v>
      </c>
      <c r="G49" s="6">
        <v>1.0486789999999999E-2</v>
      </c>
      <c r="H49" s="109"/>
    </row>
    <row r="50" spans="1:8" ht="17.100000000000001" customHeight="1" x14ac:dyDescent="0.2">
      <c r="A50" s="100">
        <v>44</v>
      </c>
      <c r="B50" s="3" t="s">
        <v>352</v>
      </c>
      <c r="C50" s="3" t="s">
        <v>353</v>
      </c>
      <c r="D50" s="3" t="s">
        <v>57</v>
      </c>
      <c r="E50" s="4">
        <v>320375</v>
      </c>
      <c r="F50" s="5">
        <v>5060.6435000000001</v>
      </c>
      <c r="G50" s="6">
        <v>1.035937E-2</v>
      </c>
      <c r="H50" s="109"/>
    </row>
    <row r="51" spans="1:8" ht="17.100000000000001" customHeight="1" x14ac:dyDescent="0.2">
      <c r="A51" s="100">
        <v>45</v>
      </c>
      <c r="B51" s="3" t="s">
        <v>354</v>
      </c>
      <c r="C51" s="3" t="s">
        <v>355</v>
      </c>
      <c r="D51" s="3" t="s">
        <v>115</v>
      </c>
      <c r="E51" s="4">
        <v>205000</v>
      </c>
      <c r="F51" s="5">
        <v>4864.24</v>
      </c>
      <c r="G51" s="6">
        <v>9.9573200000000004E-3</v>
      </c>
      <c r="H51" s="109"/>
    </row>
    <row r="52" spans="1:8" ht="17.100000000000001" customHeight="1" x14ac:dyDescent="0.2">
      <c r="A52" s="100">
        <v>46</v>
      </c>
      <c r="B52" s="3" t="s">
        <v>264</v>
      </c>
      <c r="C52" s="3" t="s">
        <v>265</v>
      </c>
      <c r="D52" s="3" t="s">
        <v>996</v>
      </c>
      <c r="E52" s="4">
        <v>101000</v>
      </c>
      <c r="F52" s="5">
        <v>4769.2704999999996</v>
      </c>
      <c r="G52" s="6">
        <v>9.7629199999999996E-3</v>
      </c>
      <c r="H52" s="109"/>
    </row>
    <row r="53" spans="1:8" ht="17.100000000000001" customHeight="1" x14ac:dyDescent="0.2">
      <c r="A53" s="100">
        <v>47</v>
      </c>
      <c r="B53" s="3" t="s">
        <v>229</v>
      </c>
      <c r="C53" s="3" t="s">
        <v>230</v>
      </c>
      <c r="D53" s="3" t="s">
        <v>115</v>
      </c>
      <c r="E53" s="4">
        <v>530000</v>
      </c>
      <c r="F53" s="5">
        <v>4727.6000000000004</v>
      </c>
      <c r="G53" s="6">
        <v>9.6776199999999996E-3</v>
      </c>
      <c r="H53" s="109"/>
    </row>
    <row r="54" spans="1:8" ht="17.100000000000001" customHeight="1" x14ac:dyDescent="0.2">
      <c r="A54" s="100">
        <v>48</v>
      </c>
      <c r="B54" s="3" t="s">
        <v>102</v>
      </c>
      <c r="C54" s="3" t="s">
        <v>103</v>
      </c>
      <c r="D54" s="3" t="s">
        <v>47</v>
      </c>
      <c r="E54" s="4">
        <v>378482</v>
      </c>
      <c r="F54" s="5">
        <v>4708.1268389999996</v>
      </c>
      <c r="G54" s="6">
        <v>9.6377500000000005E-3</v>
      </c>
      <c r="H54" s="109"/>
    </row>
    <row r="55" spans="1:8" ht="17.100000000000001" customHeight="1" x14ac:dyDescent="0.2">
      <c r="A55" s="100">
        <v>49</v>
      </c>
      <c r="B55" s="3" t="s">
        <v>192</v>
      </c>
      <c r="C55" s="3" t="s">
        <v>193</v>
      </c>
      <c r="D55" s="3" t="s">
        <v>80</v>
      </c>
      <c r="E55" s="4">
        <v>169137</v>
      </c>
      <c r="F55" s="5">
        <v>4688.1393660000003</v>
      </c>
      <c r="G55" s="6">
        <v>9.5968400000000006E-3</v>
      </c>
      <c r="H55" s="109"/>
    </row>
    <row r="56" spans="1:8" ht="17.100000000000001" customHeight="1" x14ac:dyDescent="0.2">
      <c r="A56" s="100">
        <v>50</v>
      </c>
      <c r="B56" s="3" t="s">
        <v>208</v>
      </c>
      <c r="C56" s="3" t="s">
        <v>209</v>
      </c>
      <c r="D56" s="3" t="s">
        <v>210</v>
      </c>
      <c r="E56" s="4">
        <v>1743213</v>
      </c>
      <c r="F56" s="5">
        <v>4658.7367425000002</v>
      </c>
      <c r="G56" s="6">
        <v>9.5366500000000007E-3</v>
      </c>
      <c r="H56" s="109"/>
    </row>
    <row r="57" spans="1:8" ht="17.100000000000001" customHeight="1" x14ac:dyDescent="0.2">
      <c r="A57" s="100">
        <v>51</v>
      </c>
      <c r="B57" s="3" t="s">
        <v>222</v>
      </c>
      <c r="C57" s="3" t="s">
        <v>223</v>
      </c>
      <c r="D57" s="3" t="s">
        <v>22</v>
      </c>
      <c r="E57" s="4">
        <v>2900000</v>
      </c>
      <c r="F57" s="5">
        <v>4611</v>
      </c>
      <c r="G57" s="6">
        <v>9.4389299999999999E-3</v>
      </c>
      <c r="H57" s="109"/>
    </row>
    <row r="58" spans="1:8" ht="17.100000000000001" customHeight="1" x14ac:dyDescent="0.2">
      <c r="A58" s="100">
        <v>52</v>
      </c>
      <c r="B58" s="3" t="s">
        <v>356</v>
      </c>
      <c r="C58" s="3" t="s">
        <v>357</v>
      </c>
      <c r="D58" s="3" t="s">
        <v>203</v>
      </c>
      <c r="E58" s="4">
        <v>133556</v>
      </c>
      <c r="F58" s="5">
        <v>4563.5417420000003</v>
      </c>
      <c r="G58" s="6">
        <v>9.3417799999999992E-3</v>
      </c>
      <c r="H58" s="109"/>
    </row>
    <row r="59" spans="1:8" ht="17.100000000000001" customHeight="1" x14ac:dyDescent="0.2">
      <c r="A59" s="100">
        <v>53</v>
      </c>
      <c r="B59" s="3" t="s">
        <v>67</v>
      </c>
      <c r="C59" s="3" t="s">
        <v>68</v>
      </c>
      <c r="D59" s="3" t="s">
        <v>28</v>
      </c>
      <c r="E59" s="4">
        <v>2249244</v>
      </c>
      <c r="F59" s="5">
        <v>4555.8437219999996</v>
      </c>
      <c r="G59" s="6">
        <v>9.3260200000000008E-3</v>
      </c>
      <c r="H59" s="109"/>
    </row>
    <row r="60" spans="1:8" ht="17.100000000000001" customHeight="1" x14ac:dyDescent="0.2">
      <c r="A60" s="100">
        <v>54</v>
      </c>
      <c r="B60" s="3" t="s">
        <v>262</v>
      </c>
      <c r="C60" s="3" t="s">
        <v>263</v>
      </c>
      <c r="D60" s="3" t="s">
        <v>115</v>
      </c>
      <c r="E60" s="4">
        <v>535000</v>
      </c>
      <c r="F60" s="5">
        <v>4392.0825000000004</v>
      </c>
      <c r="G60" s="6">
        <v>8.9908000000000002E-3</v>
      </c>
      <c r="H60" s="109"/>
    </row>
    <row r="61" spans="1:8" ht="17.100000000000001" customHeight="1" x14ac:dyDescent="0.2">
      <c r="A61" s="100">
        <v>55</v>
      </c>
      <c r="B61" s="3" t="s">
        <v>233</v>
      </c>
      <c r="C61" s="3" t="s">
        <v>234</v>
      </c>
      <c r="D61" s="3" t="s">
        <v>235</v>
      </c>
      <c r="E61" s="4">
        <v>985365</v>
      </c>
      <c r="F61" s="5">
        <v>4343.9816025</v>
      </c>
      <c r="G61" s="6">
        <v>8.8923300000000004E-3</v>
      </c>
      <c r="H61" s="109"/>
    </row>
    <row r="62" spans="1:8" ht="17.100000000000001" customHeight="1" x14ac:dyDescent="0.2">
      <c r="A62" s="100">
        <v>56</v>
      </c>
      <c r="B62" s="3" t="s">
        <v>358</v>
      </c>
      <c r="C62" s="3" t="s">
        <v>359</v>
      </c>
      <c r="D62" s="3" t="s">
        <v>36</v>
      </c>
      <c r="E62" s="4">
        <v>5600000</v>
      </c>
      <c r="F62" s="5">
        <v>3908.8</v>
      </c>
      <c r="G62" s="6">
        <v>8.00149E-3</v>
      </c>
      <c r="H62" s="109"/>
    </row>
    <row r="63" spans="1:8" ht="29.1" customHeight="1" x14ac:dyDescent="0.2">
      <c r="A63" s="100">
        <v>57</v>
      </c>
      <c r="B63" s="3" t="s">
        <v>254</v>
      </c>
      <c r="C63" s="3" t="s">
        <v>255</v>
      </c>
      <c r="D63" s="3" t="s">
        <v>188</v>
      </c>
      <c r="E63" s="4">
        <v>150285</v>
      </c>
      <c r="F63" s="5">
        <v>3259.0053674999999</v>
      </c>
      <c r="G63" s="6">
        <v>6.6713299999999996E-3</v>
      </c>
      <c r="H63" s="109"/>
    </row>
    <row r="64" spans="1:8" ht="17.100000000000001" customHeight="1" x14ac:dyDescent="0.2">
      <c r="A64" s="100">
        <v>58</v>
      </c>
      <c r="B64" s="3" t="s">
        <v>360</v>
      </c>
      <c r="C64" s="3" t="s">
        <v>361</v>
      </c>
      <c r="D64" s="3" t="s">
        <v>80</v>
      </c>
      <c r="E64" s="4">
        <v>328185</v>
      </c>
      <c r="F64" s="5">
        <v>3227.6994749999999</v>
      </c>
      <c r="G64" s="6">
        <v>6.6072500000000003E-3</v>
      </c>
      <c r="H64" s="109"/>
    </row>
    <row r="65" spans="1:8" ht="17.100000000000001" customHeight="1" x14ac:dyDescent="0.2">
      <c r="A65" s="100">
        <v>59</v>
      </c>
      <c r="B65" s="3" t="s">
        <v>290</v>
      </c>
      <c r="C65" s="3" t="s">
        <v>291</v>
      </c>
      <c r="D65" s="3" t="s">
        <v>115</v>
      </c>
      <c r="E65" s="4">
        <v>111208</v>
      </c>
      <c r="F65" s="5">
        <v>3214.6340519999999</v>
      </c>
      <c r="G65" s="6">
        <v>6.5805000000000004E-3</v>
      </c>
      <c r="H65" s="109"/>
    </row>
    <row r="66" spans="1:8" ht="29.1" customHeight="1" x14ac:dyDescent="0.2">
      <c r="A66" s="100">
        <v>60</v>
      </c>
      <c r="B66" s="3" t="s">
        <v>76</v>
      </c>
      <c r="C66" s="3" t="s">
        <v>77</v>
      </c>
      <c r="D66" s="3" t="s">
        <v>25</v>
      </c>
      <c r="E66" s="4">
        <v>170000</v>
      </c>
      <c r="F66" s="5">
        <v>3117.63</v>
      </c>
      <c r="G66" s="6">
        <v>6.3819300000000001E-3</v>
      </c>
      <c r="H66" s="109"/>
    </row>
    <row r="67" spans="1:8" ht="17.100000000000001" customHeight="1" x14ac:dyDescent="0.2">
      <c r="A67" s="100">
        <v>61</v>
      </c>
      <c r="B67" s="3" t="s">
        <v>226</v>
      </c>
      <c r="C67" s="3" t="s">
        <v>227</v>
      </c>
      <c r="D67" s="3" t="s">
        <v>228</v>
      </c>
      <c r="E67" s="4">
        <v>7800</v>
      </c>
      <c r="F67" s="5">
        <v>2961.6327000000001</v>
      </c>
      <c r="G67" s="6">
        <v>6.0625999999999996E-3</v>
      </c>
      <c r="H67" s="109"/>
    </row>
    <row r="68" spans="1:8" ht="17.100000000000001" customHeight="1" x14ac:dyDescent="0.2">
      <c r="A68" s="100">
        <v>62</v>
      </c>
      <c r="B68" s="3" t="s">
        <v>180</v>
      </c>
      <c r="C68" s="3" t="s">
        <v>181</v>
      </c>
      <c r="D68" s="3" t="s">
        <v>22</v>
      </c>
      <c r="E68" s="4">
        <v>2250000</v>
      </c>
      <c r="F68" s="5">
        <v>2905.875</v>
      </c>
      <c r="G68" s="6">
        <v>5.94846E-3</v>
      </c>
      <c r="H68" s="109"/>
    </row>
    <row r="69" spans="1:8" ht="17.100000000000001" customHeight="1" x14ac:dyDescent="0.2">
      <c r="A69" s="100">
        <v>63</v>
      </c>
      <c r="B69" s="3" t="s">
        <v>245</v>
      </c>
      <c r="C69" s="3" t="s">
        <v>246</v>
      </c>
      <c r="D69" s="3" t="s">
        <v>120</v>
      </c>
      <c r="E69" s="4">
        <v>492415</v>
      </c>
      <c r="F69" s="5">
        <v>2831.1400425000002</v>
      </c>
      <c r="G69" s="6">
        <v>5.7954699999999996E-3</v>
      </c>
      <c r="H69" s="109"/>
    </row>
    <row r="70" spans="1:8" ht="17.100000000000001" customHeight="1" x14ac:dyDescent="0.2">
      <c r="A70" s="100">
        <v>64</v>
      </c>
      <c r="B70" s="3" t="s">
        <v>63</v>
      </c>
      <c r="C70" s="3" t="s">
        <v>64</v>
      </c>
      <c r="D70" s="3" t="s">
        <v>36</v>
      </c>
      <c r="E70" s="4">
        <v>881341</v>
      </c>
      <c r="F70" s="5">
        <v>2798.6983455</v>
      </c>
      <c r="G70" s="6">
        <v>5.7290600000000002E-3</v>
      </c>
      <c r="H70" s="109"/>
    </row>
    <row r="71" spans="1:8" ht="17.100000000000001" customHeight="1" x14ac:dyDescent="0.2">
      <c r="A71" s="100">
        <v>65</v>
      </c>
      <c r="B71" s="3" t="s">
        <v>362</v>
      </c>
      <c r="C71" s="3" t="s">
        <v>363</v>
      </c>
      <c r="D71" s="3" t="s">
        <v>115</v>
      </c>
      <c r="E71" s="4">
        <v>348399</v>
      </c>
      <c r="F71" s="5">
        <v>2710.1958209999998</v>
      </c>
      <c r="G71" s="6">
        <v>5.5478999999999997E-3</v>
      </c>
      <c r="H71" s="109"/>
    </row>
    <row r="72" spans="1:8" ht="29.1" customHeight="1" x14ac:dyDescent="0.2">
      <c r="A72" s="100">
        <v>66</v>
      </c>
      <c r="B72" s="3" t="s">
        <v>364</v>
      </c>
      <c r="C72" s="3" t="s">
        <v>365</v>
      </c>
      <c r="D72" s="3" t="s">
        <v>188</v>
      </c>
      <c r="E72" s="4">
        <v>35000</v>
      </c>
      <c r="F72" s="5">
        <v>2461.5324999999998</v>
      </c>
      <c r="G72" s="6">
        <v>5.03887E-3</v>
      </c>
      <c r="H72" s="109"/>
    </row>
    <row r="73" spans="1:8" ht="17.100000000000001" customHeight="1" x14ac:dyDescent="0.2">
      <c r="A73" s="100">
        <v>67</v>
      </c>
      <c r="B73" s="3" t="s">
        <v>278</v>
      </c>
      <c r="C73" s="3" t="s">
        <v>279</v>
      </c>
      <c r="D73" s="3" t="s">
        <v>115</v>
      </c>
      <c r="E73" s="4">
        <v>198211</v>
      </c>
      <c r="F73" s="5">
        <v>2130.0745115</v>
      </c>
      <c r="G73" s="6">
        <v>4.3603599999999998E-3</v>
      </c>
      <c r="H73" s="109"/>
    </row>
    <row r="74" spans="1:8" ht="17.100000000000001" customHeight="1" x14ac:dyDescent="0.2">
      <c r="A74" s="100">
        <v>68</v>
      </c>
      <c r="B74" s="3" t="s">
        <v>366</v>
      </c>
      <c r="C74" s="3" t="s">
        <v>367</v>
      </c>
      <c r="D74" s="3" t="s">
        <v>203</v>
      </c>
      <c r="E74" s="4">
        <v>989118</v>
      </c>
      <c r="F74" s="5">
        <v>1384.2706410000001</v>
      </c>
      <c r="G74" s="6">
        <v>2.8336699999999999E-3</v>
      </c>
      <c r="H74" s="109"/>
    </row>
    <row r="75" spans="1:8" ht="29.1" customHeight="1" x14ac:dyDescent="0.2">
      <c r="A75" s="100">
        <v>69</v>
      </c>
      <c r="B75" s="3" t="s">
        <v>85</v>
      </c>
      <c r="C75" s="3" t="s">
        <v>86</v>
      </c>
      <c r="D75" s="3" t="s">
        <v>25</v>
      </c>
      <c r="E75" s="4">
        <v>5000</v>
      </c>
      <c r="F75" s="5">
        <v>1304.3975</v>
      </c>
      <c r="G75" s="6">
        <v>2.67016E-3</v>
      </c>
      <c r="H75" s="109"/>
    </row>
    <row r="76" spans="1:8" ht="17.100000000000001" customHeight="1" x14ac:dyDescent="0.2">
      <c r="A76" s="100">
        <v>70</v>
      </c>
      <c r="B76" s="3" t="s">
        <v>130</v>
      </c>
      <c r="C76" s="3" t="s">
        <v>131</v>
      </c>
      <c r="D76" s="3" t="s">
        <v>120</v>
      </c>
      <c r="E76" s="4">
        <v>378482</v>
      </c>
      <c r="F76" s="5">
        <v>856.5426142</v>
      </c>
      <c r="G76" s="6">
        <v>1.7533799999999999E-3</v>
      </c>
      <c r="H76" s="109"/>
    </row>
    <row r="77" spans="1:8" ht="14.1" customHeight="1" x14ac:dyDescent="0.2">
      <c r="A77" s="99"/>
      <c r="B77" s="1"/>
      <c r="C77" s="2" t="s">
        <v>135</v>
      </c>
      <c r="D77" s="1"/>
      <c r="E77" s="1" t="s">
        <v>136</v>
      </c>
      <c r="F77" s="8">
        <v>477770.78766169999</v>
      </c>
      <c r="G77" s="9">
        <v>0.97801881999999996</v>
      </c>
      <c r="H77" s="109"/>
    </row>
    <row r="78" spans="1:8" ht="14.1" customHeight="1" x14ac:dyDescent="0.2">
      <c r="A78" s="99"/>
      <c r="B78" s="1"/>
      <c r="C78" s="10"/>
      <c r="D78" s="1"/>
      <c r="E78" s="1"/>
      <c r="F78" s="11"/>
      <c r="G78" s="11"/>
      <c r="H78" s="109"/>
    </row>
    <row r="79" spans="1:8" ht="14.1" customHeight="1" x14ac:dyDescent="0.2">
      <c r="A79" s="99"/>
      <c r="B79" s="1"/>
      <c r="C79" s="2" t="s">
        <v>137</v>
      </c>
      <c r="D79" s="1"/>
      <c r="E79" s="1"/>
      <c r="F79" s="1"/>
      <c r="G79" s="1"/>
      <c r="H79" s="109"/>
    </row>
    <row r="80" spans="1:8" ht="14.1" customHeight="1" x14ac:dyDescent="0.2">
      <c r="A80" s="99"/>
      <c r="B80" s="1"/>
      <c r="C80" s="2" t="s">
        <v>135</v>
      </c>
      <c r="D80" s="1"/>
      <c r="E80" s="1" t="s">
        <v>136</v>
      </c>
      <c r="F80" s="8">
        <v>0</v>
      </c>
      <c r="G80" s="9">
        <v>0</v>
      </c>
      <c r="H80" s="109"/>
    </row>
    <row r="81" spans="1:8" ht="14.1" customHeight="1" x14ac:dyDescent="0.2">
      <c r="A81" s="99"/>
      <c r="B81" s="1"/>
      <c r="C81" s="10"/>
      <c r="D81" s="1"/>
      <c r="E81" s="1"/>
      <c r="F81" s="11"/>
      <c r="G81" s="11"/>
      <c r="H81" s="109"/>
    </row>
    <row r="82" spans="1:8" ht="14.1" customHeight="1" x14ac:dyDescent="0.2">
      <c r="A82" s="99"/>
      <c r="B82" s="1"/>
      <c r="C82" s="2" t="s">
        <v>138</v>
      </c>
      <c r="D82" s="1"/>
      <c r="E82" s="1"/>
      <c r="F82" s="1"/>
      <c r="G82" s="1"/>
      <c r="H82" s="109"/>
    </row>
    <row r="83" spans="1:8" ht="14.1" customHeight="1" x14ac:dyDescent="0.2">
      <c r="A83" s="99"/>
      <c r="B83" s="1"/>
      <c r="C83" s="2" t="s">
        <v>135</v>
      </c>
      <c r="D83" s="1"/>
      <c r="E83" s="1" t="s">
        <v>136</v>
      </c>
      <c r="F83" s="8">
        <v>0</v>
      </c>
      <c r="G83" s="9">
        <v>0</v>
      </c>
      <c r="H83" s="109"/>
    </row>
    <row r="84" spans="1:8" ht="14.1" customHeight="1" x14ac:dyDescent="0.2">
      <c r="A84" s="99"/>
      <c r="B84" s="1"/>
      <c r="C84" s="10"/>
      <c r="D84" s="1"/>
      <c r="E84" s="1"/>
      <c r="F84" s="11"/>
      <c r="G84" s="11"/>
      <c r="H84" s="109"/>
    </row>
    <row r="85" spans="1:8" ht="14.1" customHeight="1" x14ac:dyDescent="0.2">
      <c r="A85" s="99"/>
      <c r="B85" s="1"/>
      <c r="C85" s="2" t="s">
        <v>139</v>
      </c>
      <c r="D85" s="1"/>
      <c r="E85" s="1"/>
      <c r="F85" s="1"/>
      <c r="G85" s="1"/>
      <c r="H85" s="109"/>
    </row>
    <row r="86" spans="1:8" ht="14.1" customHeight="1" x14ac:dyDescent="0.2">
      <c r="A86" s="99"/>
      <c r="B86" s="1"/>
      <c r="C86" s="2" t="s">
        <v>135</v>
      </c>
      <c r="D86" s="1"/>
      <c r="E86" s="1" t="s">
        <v>136</v>
      </c>
      <c r="F86" s="8">
        <v>0</v>
      </c>
      <c r="G86" s="9">
        <v>0</v>
      </c>
      <c r="H86" s="109"/>
    </row>
    <row r="87" spans="1:8" ht="14.1" customHeight="1" x14ac:dyDescent="0.2">
      <c r="A87" s="99"/>
      <c r="B87" s="1"/>
      <c r="C87" s="10"/>
      <c r="D87" s="1"/>
      <c r="E87" s="1"/>
      <c r="F87" s="11"/>
      <c r="G87" s="11"/>
      <c r="H87" s="109"/>
    </row>
    <row r="88" spans="1:8" ht="14.1" customHeight="1" x14ac:dyDescent="0.2">
      <c r="A88" s="99"/>
      <c r="B88" s="1"/>
      <c r="C88" s="2" t="s">
        <v>140</v>
      </c>
      <c r="D88" s="1"/>
      <c r="E88" s="1"/>
      <c r="F88" s="11"/>
      <c r="G88" s="11"/>
      <c r="H88" s="109"/>
    </row>
    <row r="89" spans="1:8" ht="14.1" customHeight="1" x14ac:dyDescent="0.2">
      <c r="A89" s="99"/>
      <c r="B89" s="1"/>
      <c r="C89" s="2" t="s">
        <v>135</v>
      </c>
      <c r="D89" s="1"/>
      <c r="E89" s="1" t="s">
        <v>136</v>
      </c>
      <c r="F89" s="8">
        <v>0</v>
      </c>
      <c r="G89" s="9">
        <v>0</v>
      </c>
      <c r="H89" s="109"/>
    </row>
    <row r="90" spans="1:8" ht="14.1" customHeight="1" x14ac:dyDescent="0.2">
      <c r="A90" s="99"/>
      <c r="B90" s="1"/>
      <c r="C90" s="10"/>
      <c r="D90" s="1"/>
      <c r="E90" s="1"/>
      <c r="F90" s="11"/>
      <c r="G90" s="11"/>
      <c r="H90" s="109"/>
    </row>
    <row r="91" spans="1:8" ht="14.1" customHeight="1" x14ac:dyDescent="0.2">
      <c r="A91" s="99"/>
      <c r="B91" s="1"/>
      <c r="C91" s="2" t="s">
        <v>141</v>
      </c>
      <c r="D91" s="1"/>
      <c r="E91" s="1"/>
      <c r="F91" s="11"/>
      <c r="G91" s="11"/>
      <c r="H91" s="109"/>
    </row>
    <row r="92" spans="1:8" ht="14.1" customHeight="1" x14ac:dyDescent="0.2">
      <c r="A92" s="99"/>
      <c r="B92" s="1"/>
      <c r="C92" s="2" t="s">
        <v>135</v>
      </c>
      <c r="D92" s="1"/>
      <c r="E92" s="1" t="s">
        <v>136</v>
      </c>
      <c r="F92" s="8">
        <v>0</v>
      </c>
      <c r="G92" s="9">
        <v>0</v>
      </c>
      <c r="H92" s="109"/>
    </row>
    <row r="93" spans="1:8" ht="14.1" customHeight="1" x14ac:dyDescent="0.2">
      <c r="A93" s="99"/>
      <c r="B93" s="1"/>
      <c r="C93" s="10"/>
      <c r="D93" s="1"/>
      <c r="E93" s="1"/>
      <c r="F93" s="11"/>
      <c r="G93" s="11"/>
      <c r="H93" s="109"/>
    </row>
    <row r="94" spans="1:8" ht="18" customHeight="1" x14ac:dyDescent="0.2">
      <c r="A94" s="99"/>
      <c r="B94" s="1"/>
      <c r="C94" s="2" t="s">
        <v>142</v>
      </c>
      <c r="D94" s="1"/>
      <c r="E94" s="1"/>
      <c r="F94" s="8">
        <v>477770.78766169999</v>
      </c>
      <c r="G94" s="9">
        <v>0.97801881999999996</v>
      </c>
      <c r="H94" s="109"/>
    </row>
    <row r="95" spans="1:8" ht="14.1" customHeight="1" x14ac:dyDescent="0.2">
      <c r="A95" s="99"/>
      <c r="B95" s="1"/>
      <c r="C95" s="10"/>
      <c r="D95" s="1"/>
      <c r="E95" s="1"/>
      <c r="F95" s="11"/>
      <c r="G95" s="11"/>
      <c r="H95" s="109"/>
    </row>
    <row r="96" spans="1:8" ht="14.1" customHeight="1" x14ac:dyDescent="0.2">
      <c r="A96" s="99"/>
      <c r="B96" s="1"/>
      <c r="C96" s="2" t="s">
        <v>143</v>
      </c>
      <c r="D96" s="1"/>
      <c r="E96" s="1"/>
      <c r="F96" s="11"/>
      <c r="G96" s="11"/>
      <c r="H96" s="109"/>
    </row>
    <row r="97" spans="1:8" ht="24" customHeight="1" x14ac:dyDescent="0.2">
      <c r="A97" s="99"/>
      <c r="B97" s="1"/>
      <c r="C97" s="2" t="s">
        <v>10</v>
      </c>
      <c r="D97" s="1"/>
      <c r="E97" s="1"/>
      <c r="F97" s="11"/>
      <c r="G97" s="11"/>
      <c r="H97" s="109"/>
    </row>
    <row r="98" spans="1:8" ht="14.1" customHeight="1" x14ac:dyDescent="0.2">
      <c r="A98" s="99"/>
      <c r="B98" s="1"/>
      <c r="C98" s="2" t="s">
        <v>135</v>
      </c>
      <c r="D98" s="1"/>
      <c r="E98" s="1" t="s">
        <v>136</v>
      </c>
      <c r="F98" s="8">
        <v>0</v>
      </c>
      <c r="G98" s="9">
        <v>0</v>
      </c>
      <c r="H98" s="109"/>
    </row>
    <row r="99" spans="1:8" ht="14.1" customHeight="1" x14ac:dyDescent="0.2">
      <c r="A99" s="99"/>
      <c r="B99" s="1"/>
      <c r="C99" s="10"/>
      <c r="D99" s="1"/>
      <c r="E99" s="1"/>
      <c r="F99" s="11"/>
      <c r="G99" s="11"/>
      <c r="H99" s="109"/>
    </row>
    <row r="100" spans="1:8" ht="14.1" customHeight="1" x14ac:dyDescent="0.2">
      <c r="A100" s="99"/>
      <c r="B100" s="1"/>
      <c r="C100" s="2" t="s">
        <v>144</v>
      </c>
      <c r="D100" s="1"/>
      <c r="E100" s="1"/>
      <c r="F100" s="1"/>
      <c r="G100" s="1"/>
      <c r="H100" s="109"/>
    </row>
    <row r="101" spans="1:8" ht="14.1" customHeight="1" x14ac:dyDescent="0.2">
      <c r="A101" s="99"/>
      <c r="B101" s="1"/>
      <c r="C101" s="2" t="s">
        <v>135</v>
      </c>
      <c r="D101" s="1"/>
      <c r="E101" s="1" t="s">
        <v>136</v>
      </c>
      <c r="F101" s="8">
        <v>0</v>
      </c>
      <c r="G101" s="9">
        <v>0</v>
      </c>
      <c r="H101" s="109"/>
    </row>
    <row r="102" spans="1:8" ht="14.1" customHeight="1" x14ac:dyDescent="0.2">
      <c r="A102" s="99"/>
      <c r="B102" s="1"/>
      <c r="C102" s="10"/>
      <c r="D102" s="1"/>
      <c r="E102" s="1"/>
      <c r="F102" s="11"/>
      <c r="G102" s="11"/>
      <c r="H102" s="109"/>
    </row>
    <row r="103" spans="1:8" ht="14.1" customHeight="1" x14ac:dyDescent="0.2">
      <c r="A103" s="99"/>
      <c r="B103" s="1"/>
      <c r="C103" s="2" t="s">
        <v>145</v>
      </c>
      <c r="D103" s="1"/>
      <c r="E103" s="1"/>
      <c r="F103" s="1"/>
      <c r="G103" s="1"/>
      <c r="H103" s="109"/>
    </row>
    <row r="104" spans="1:8" ht="14.1" customHeight="1" x14ac:dyDescent="0.2">
      <c r="A104" s="99"/>
      <c r="B104" s="1"/>
      <c r="C104" s="2" t="s">
        <v>135</v>
      </c>
      <c r="D104" s="1"/>
      <c r="E104" s="1" t="s">
        <v>136</v>
      </c>
      <c r="F104" s="8">
        <v>0</v>
      </c>
      <c r="G104" s="9">
        <v>0</v>
      </c>
      <c r="H104" s="109"/>
    </row>
    <row r="105" spans="1:8" ht="14.1" customHeight="1" x14ac:dyDescent="0.2">
      <c r="A105" s="99"/>
      <c r="B105" s="1"/>
      <c r="C105" s="10"/>
      <c r="D105" s="1"/>
      <c r="E105" s="1"/>
      <c r="F105" s="11"/>
      <c r="G105" s="11"/>
      <c r="H105" s="109"/>
    </row>
    <row r="106" spans="1:8" ht="14.1" customHeight="1" x14ac:dyDescent="0.2">
      <c r="A106" s="99"/>
      <c r="B106" s="1"/>
      <c r="C106" s="2" t="s">
        <v>146</v>
      </c>
      <c r="D106" s="1"/>
      <c r="E106" s="1"/>
      <c r="F106" s="11"/>
      <c r="G106" s="11"/>
      <c r="H106" s="109"/>
    </row>
    <row r="107" spans="1:8" ht="14.1" customHeight="1" x14ac:dyDescent="0.2">
      <c r="A107" s="99"/>
      <c r="B107" s="1"/>
      <c r="C107" s="2" t="s">
        <v>135</v>
      </c>
      <c r="D107" s="1"/>
      <c r="E107" s="1" t="s">
        <v>136</v>
      </c>
      <c r="F107" s="8">
        <v>0</v>
      </c>
      <c r="G107" s="9">
        <v>0</v>
      </c>
      <c r="H107" s="109"/>
    </row>
    <row r="108" spans="1:8" ht="14.1" customHeight="1" x14ac:dyDescent="0.2">
      <c r="A108" s="99"/>
      <c r="B108" s="1"/>
      <c r="C108" s="10"/>
      <c r="D108" s="1"/>
      <c r="E108" s="1"/>
      <c r="F108" s="11"/>
      <c r="G108" s="11"/>
      <c r="H108" s="109"/>
    </row>
    <row r="109" spans="1:8" ht="14.1" customHeight="1" x14ac:dyDescent="0.2">
      <c r="A109" s="99"/>
      <c r="B109" s="1"/>
      <c r="C109" s="2" t="s">
        <v>147</v>
      </c>
      <c r="D109" s="1"/>
      <c r="E109" s="1"/>
      <c r="F109" s="8">
        <v>0</v>
      </c>
      <c r="G109" s="9">
        <v>0</v>
      </c>
      <c r="H109" s="109"/>
    </row>
    <row r="110" spans="1:8" ht="14.1" customHeight="1" x14ac:dyDescent="0.2">
      <c r="A110" s="99"/>
      <c r="B110" s="1"/>
      <c r="C110" s="10"/>
      <c r="D110" s="1"/>
      <c r="E110" s="1"/>
      <c r="F110" s="11"/>
      <c r="G110" s="11"/>
      <c r="H110" s="109"/>
    </row>
    <row r="111" spans="1:8" ht="14.1" customHeight="1" x14ac:dyDescent="0.2">
      <c r="A111" s="99"/>
      <c r="B111" s="1"/>
      <c r="C111" s="2" t="s">
        <v>148</v>
      </c>
      <c r="D111" s="1"/>
      <c r="E111" s="1"/>
      <c r="F111" s="11"/>
      <c r="G111" s="11"/>
      <c r="H111" s="109"/>
    </row>
    <row r="112" spans="1:8" ht="14.1" customHeight="1" x14ac:dyDescent="0.2">
      <c r="A112" s="99"/>
      <c r="B112" s="1"/>
      <c r="C112" s="2" t="s">
        <v>149</v>
      </c>
      <c r="D112" s="1"/>
      <c r="E112" s="1"/>
      <c r="F112" s="11"/>
      <c r="G112" s="11"/>
      <c r="H112" s="109"/>
    </row>
    <row r="113" spans="1:8" ht="14.1" customHeight="1" x14ac:dyDescent="0.2">
      <c r="A113" s="99"/>
      <c r="B113" s="1"/>
      <c r="C113" s="2" t="s">
        <v>135</v>
      </c>
      <c r="D113" s="1"/>
      <c r="E113" s="1" t="s">
        <v>136</v>
      </c>
      <c r="F113" s="8">
        <v>0</v>
      </c>
      <c r="G113" s="9">
        <v>0</v>
      </c>
      <c r="H113" s="109"/>
    </row>
    <row r="114" spans="1:8" ht="14.1" customHeight="1" x14ac:dyDescent="0.2">
      <c r="A114" s="99"/>
      <c r="B114" s="1"/>
      <c r="C114" s="10"/>
      <c r="D114" s="1"/>
      <c r="E114" s="1"/>
      <c r="F114" s="11"/>
      <c r="G114" s="11"/>
      <c r="H114" s="109"/>
    </row>
    <row r="115" spans="1:8" ht="14.1" customHeight="1" x14ac:dyDescent="0.2">
      <c r="A115" s="99"/>
      <c r="B115" s="1"/>
      <c r="C115" s="2" t="s">
        <v>150</v>
      </c>
      <c r="D115" s="1"/>
      <c r="E115" s="1"/>
      <c r="F115" s="11"/>
      <c r="G115" s="11"/>
      <c r="H115" s="109"/>
    </row>
    <row r="116" spans="1:8" ht="14.1" customHeight="1" x14ac:dyDescent="0.2">
      <c r="A116" s="99"/>
      <c r="B116" s="1"/>
      <c r="C116" s="2" t="s">
        <v>135</v>
      </c>
      <c r="D116" s="1"/>
      <c r="E116" s="1" t="s">
        <v>136</v>
      </c>
      <c r="F116" s="8">
        <v>0</v>
      </c>
      <c r="G116" s="9">
        <v>0</v>
      </c>
      <c r="H116" s="109"/>
    </row>
    <row r="117" spans="1:8" ht="14.1" customHeight="1" x14ac:dyDescent="0.2">
      <c r="A117" s="99"/>
      <c r="B117" s="1"/>
      <c r="C117" s="10"/>
      <c r="D117" s="1"/>
      <c r="E117" s="1"/>
      <c r="F117" s="11"/>
      <c r="G117" s="11"/>
      <c r="H117" s="109"/>
    </row>
    <row r="118" spans="1:8" ht="14.1" customHeight="1" x14ac:dyDescent="0.2">
      <c r="A118" s="99"/>
      <c r="B118" s="1"/>
      <c r="C118" s="2" t="s">
        <v>151</v>
      </c>
      <c r="D118" s="1"/>
      <c r="E118" s="1"/>
      <c r="F118" s="11"/>
      <c r="G118" s="11"/>
      <c r="H118" s="109"/>
    </row>
    <row r="119" spans="1:8" ht="14.1" customHeight="1" x14ac:dyDescent="0.2">
      <c r="A119" s="99"/>
      <c r="B119" s="1"/>
      <c r="C119" s="2" t="s">
        <v>135</v>
      </c>
      <c r="D119" s="1"/>
      <c r="E119" s="1" t="s">
        <v>136</v>
      </c>
      <c r="F119" s="8">
        <v>0</v>
      </c>
      <c r="G119" s="9">
        <v>0</v>
      </c>
      <c r="H119" s="109"/>
    </row>
    <row r="120" spans="1:8" ht="14.1" customHeight="1" x14ac:dyDescent="0.2">
      <c r="A120" s="99"/>
      <c r="B120" s="1"/>
      <c r="C120" s="10"/>
      <c r="D120" s="1"/>
      <c r="E120" s="1"/>
      <c r="F120" s="11"/>
      <c r="G120" s="11"/>
      <c r="H120" s="109"/>
    </row>
    <row r="121" spans="1:8" ht="14.1" customHeight="1" x14ac:dyDescent="0.2">
      <c r="A121" s="99"/>
      <c r="B121" s="1"/>
      <c r="C121" s="2" t="s">
        <v>152</v>
      </c>
      <c r="D121" s="1"/>
      <c r="E121" s="1"/>
      <c r="F121" s="11"/>
      <c r="G121" s="11"/>
      <c r="H121" s="109"/>
    </row>
    <row r="122" spans="1:8" ht="17.100000000000001" customHeight="1" x14ac:dyDescent="0.2">
      <c r="A122" s="100">
        <v>1</v>
      </c>
      <c r="B122" s="3"/>
      <c r="C122" s="3" t="s">
        <v>153</v>
      </c>
      <c r="D122" s="3"/>
      <c r="E122" s="7"/>
      <c r="F122" s="5">
        <v>10298.567605046001</v>
      </c>
      <c r="G122" s="6">
        <v>2.1081639999999999E-2</v>
      </c>
      <c r="H122" s="109">
        <v>6.6015165706411798</v>
      </c>
    </row>
    <row r="123" spans="1:8" ht="14.1" customHeight="1" x14ac:dyDescent="0.2">
      <c r="A123" s="99"/>
      <c r="B123" s="1"/>
      <c r="C123" s="2" t="s">
        <v>135</v>
      </c>
      <c r="D123" s="1"/>
      <c r="E123" s="1" t="s">
        <v>136</v>
      </c>
      <c r="F123" s="8">
        <v>10298.567605046001</v>
      </c>
      <c r="G123" s="9">
        <v>2.1081639999999999E-2</v>
      </c>
      <c r="H123" s="109"/>
    </row>
    <row r="124" spans="1:8" ht="14.1" customHeight="1" x14ac:dyDescent="0.2">
      <c r="A124" s="99"/>
      <c r="B124" s="1"/>
      <c r="C124" s="10"/>
      <c r="D124" s="1"/>
      <c r="E124" s="1"/>
      <c r="F124" s="11"/>
      <c r="G124" s="11"/>
      <c r="H124" s="109"/>
    </row>
    <row r="125" spans="1:8" ht="14.1" customHeight="1" x14ac:dyDescent="0.2">
      <c r="A125" s="99"/>
      <c r="B125" s="1"/>
      <c r="C125" s="2" t="s">
        <v>154</v>
      </c>
      <c r="D125" s="1"/>
      <c r="E125" s="1"/>
      <c r="F125" s="8">
        <v>10298.567605046001</v>
      </c>
      <c r="G125" s="9">
        <v>2.1081639999999999E-2</v>
      </c>
      <c r="H125" s="109"/>
    </row>
    <row r="126" spans="1:8" ht="14.1" customHeight="1" x14ac:dyDescent="0.2">
      <c r="A126" s="99"/>
      <c r="B126" s="1"/>
      <c r="C126" s="11"/>
      <c r="D126" s="1"/>
      <c r="E126" s="1"/>
      <c r="F126" s="1"/>
      <c r="G126" s="1"/>
      <c r="H126" s="109"/>
    </row>
    <row r="127" spans="1:8" ht="14.1" customHeight="1" x14ac:dyDescent="0.2">
      <c r="A127" s="99"/>
      <c r="B127" s="1"/>
      <c r="C127" s="2" t="s">
        <v>155</v>
      </c>
      <c r="D127" s="1"/>
      <c r="E127" s="1"/>
      <c r="F127" s="1"/>
      <c r="G127" s="1"/>
      <c r="H127" s="109"/>
    </row>
    <row r="128" spans="1:8" ht="14.1" customHeight="1" x14ac:dyDescent="0.2">
      <c r="A128" s="99"/>
      <c r="B128" s="1"/>
      <c r="C128" s="2" t="s">
        <v>156</v>
      </c>
      <c r="D128" s="1"/>
      <c r="E128" s="1"/>
      <c r="F128" s="1"/>
      <c r="G128" s="1"/>
      <c r="H128" s="109"/>
    </row>
    <row r="129" spans="1:14" ht="14.1" customHeight="1" x14ac:dyDescent="0.2">
      <c r="A129" s="99"/>
      <c r="B129" s="1"/>
      <c r="C129" s="2" t="s">
        <v>135</v>
      </c>
      <c r="D129" s="1"/>
      <c r="E129" s="1" t="s">
        <v>136</v>
      </c>
      <c r="F129" s="8">
        <v>0</v>
      </c>
      <c r="G129" s="9">
        <v>0</v>
      </c>
      <c r="H129" s="109"/>
    </row>
    <row r="130" spans="1:14" ht="14.1" customHeight="1" x14ac:dyDescent="0.2">
      <c r="A130" s="99"/>
      <c r="B130" s="1"/>
      <c r="C130" s="10"/>
      <c r="D130" s="1"/>
      <c r="E130" s="1"/>
      <c r="F130" s="11"/>
      <c r="G130" s="11"/>
      <c r="H130" s="109"/>
    </row>
    <row r="131" spans="1:14" ht="14.1" customHeight="1" x14ac:dyDescent="0.2">
      <c r="A131" s="99"/>
      <c r="B131" s="1"/>
      <c r="C131" s="2" t="s">
        <v>157</v>
      </c>
      <c r="D131" s="1"/>
      <c r="E131" s="1"/>
      <c r="F131" s="1"/>
      <c r="G131" s="1"/>
      <c r="H131" s="109"/>
    </row>
    <row r="132" spans="1:14" ht="14.1" customHeight="1" x14ac:dyDescent="0.2">
      <c r="A132" s="99"/>
      <c r="B132" s="1"/>
      <c r="C132" s="2" t="s">
        <v>158</v>
      </c>
      <c r="D132" s="1"/>
      <c r="E132" s="1"/>
      <c r="F132" s="1"/>
      <c r="G132" s="1"/>
      <c r="H132" s="109"/>
    </row>
    <row r="133" spans="1:14" ht="14.1" customHeight="1" x14ac:dyDescent="0.2">
      <c r="A133" s="99"/>
      <c r="B133" s="1"/>
      <c r="C133" s="2" t="s">
        <v>135</v>
      </c>
      <c r="D133" s="1"/>
      <c r="E133" s="1" t="s">
        <v>136</v>
      </c>
      <c r="F133" s="8">
        <v>0</v>
      </c>
      <c r="G133" s="9">
        <v>0</v>
      </c>
      <c r="H133" s="109"/>
    </row>
    <row r="134" spans="1:14" ht="14.1" customHeight="1" x14ac:dyDescent="0.2">
      <c r="A134" s="99"/>
      <c r="B134" s="1"/>
      <c r="C134" s="10"/>
      <c r="D134" s="1"/>
      <c r="E134" s="1"/>
      <c r="F134" s="11"/>
      <c r="G134" s="11"/>
      <c r="H134" s="109"/>
    </row>
    <row r="135" spans="1:14" ht="24" customHeight="1" x14ac:dyDescent="0.2">
      <c r="A135" s="99"/>
      <c r="B135" s="1"/>
      <c r="C135" s="2" t="s">
        <v>159</v>
      </c>
      <c r="D135" s="1"/>
      <c r="E135" s="1"/>
      <c r="F135" s="11"/>
      <c r="G135" s="11"/>
      <c r="H135" s="109"/>
    </row>
    <row r="136" spans="1:14" ht="14.1" customHeight="1" x14ac:dyDescent="0.2">
      <c r="A136" s="99"/>
      <c r="B136" s="1"/>
      <c r="C136" s="2" t="s">
        <v>135</v>
      </c>
      <c r="D136" s="1"/>
      <c r="E136" s="1" t="s">
        <v>136</v>
      </c>
      <c r="F136" s="8">
        <v>0</v>
      </c>
      <c r="G136" s="9">
        <v>0</v>
      </c>
      <c r="H136" s="109"/>
    </row>
    <row r="137" spans="1:14" ht="14.1" customHeight="1" x14ac:dyDescent="0.2">
      <c r="A137" s="99"/>
      <c r="B137" s="1"/>
      <c r="C137" s="10"/>
      <c r="D137" s="1"/>
      <c r="E137" s="1"/>
      <c r="F137" s="11"/>
      <c r="G137" s="11"/>
      <c r="H137" s="109"/>
      <c r="J137" s="170"/>
      <c r="K137" s="170"/>
      <c r="L137" s="170"/>
      <c r="M137" s="170"/>
      <c r="N137" s="170"/>
    </row>
    <row r="138" spans="1:14" ht="14.1" customHeight="1" x14ac:dyDescent="0.2">
      <c r="A138" s="99"/>
      <c r="B138" s="3"/>
      <c r="C138" s="3"/>
      <c r="D138" s="2"/>
      <c r="E138" s="1"/>
      <c r="F138" s="3"/>
      <c r="G138" s="7"/>
      <c r="H138" s="109"/>
    </row>
    <row r="139" spans="1:14" ht="18" customHeight="1" x14ac:dyDescent="0.2">
      <c r="A139" s="101"/>
      <c r="B139" s="3"/>
      <c r="C139" s="3" t="s">
        <v>160</v>
      </c>
      <c r="D139" s="3"/>
      <c r="E139" s="7"/>
      <c r="F139" s="5">
        <v>439.43861494999999</v>
      </c>
      <c r="G139" s="6">
        <v>8.9955000000000005E-4</v>
      </c>
      <c r="H139" s="109"/>
    </row>
    <row r="140" spans="1:14" ht="14.1" customHeight="1" x14ac:dyDescent="0.2">
      <c r="A140" s="102"/>
      <c r="B140" s="10"/>
      <c r="C140" s="2" t="s">
        <v>161</v>
      </c>
      <c r="D140" s="11"/>
      <c r="E140" s="11"/>
      <c r="F140" s="8">
        <v>488508.79388169601</v>
      </c>
      <c r="G140" s="12">
        <v>1.0000000099999999</v>
      </c>
      <c r="H140" s="109"/>
    </row>
    <row r="141" spans="1:14" ht="14.1" customHeight="1" x14ac:dyDescent="0.2">
      <c r="A141" s="13"/>
      <c r="B141" s="13"/>
      <c r="C141" s="13"/>
      <c r="D141" s="14"/>
      <c r="E141" s="14"/>
      <c r="F141" s="14"/>
      <c r="G141" s="14"/>
    </row>
    <row r="142" spans="1:14" ht="14.1" customHeight="1" x14ac:dyDescent="0.2">
      <c r="A142" s="15"/>
      <c r="B142" s="15"/>
      <c r="C142" s="15"/>
      <c r="D142" s="17"/>
      <c r="E142" s="17"/>
      <c r="F142" s="17"/>
      <c r="G142" s="17"/>
    </row>
    <row r="143" spans="1:14" ht="14.1" customHeight="1" x14ac:dyDescent="0.2">
      <c r="A143" s="15"/>
      <c r="B143" s="194" t="s">
        <v>163</v>
      </c>
      <c r="C143" s="195"/>
      <c r="D143" s="196"/>
      <c r="E143" s="18"/>
      <c r="F143" s="17"/>
      <c r="G143" s="17"/>
    </row>
    <row r="144" spans="1:14" ht="29.1" customHeight="1" x14ac:dyDescent="0.2">
      <c r="A144" s="15"/>
      <c r="B144" s="191" t="s">
        <v>164</v>
      </c>
      <c r="C144" s="192"/>
      <c r="D144" s="2" t="s">
        <v>165</v>
      </c>
      <c r="E144" s="18"/>
      <c r="F144" s="17"/>
      <c r="G144" s="17"/>
    </row>
    <row r="145" spans="1:7" ht="17.100000000000001" customHeight="1" x14ac:dyDescent="0.2">
      <c r="A145" s="15"/>
      <c r="B145" s="191" t="s">
        <v>166</v>
      </c>
      <c r="C145" s="192"/>
      <c r="D145" s="2" t="s">
        <v>165</v>
      </c>
      <c r="E145" s="18"/>
      <c r="F145" s="17"/>
      <c r="G145" s="17"/>
    </row>
    <row r="146" spans="1:7" ht="17.100000000000001" customHeight="1" x14ac:dyDescent="0.2">
      <c r="A146" s="15"/>
      <c r="B146" s="191" t="s">
        <v>167</v>
      </c>
      <c r="C146" s="192"/>
      <c r="D146" s="11" t="s">
        <v>136</v>
      </c>
      <c r="E146" s="18"/>
      <c r="F146" s="17"/>
      <c r="G146" s="17"/>
    </row>
    <row r="147" spans="1:7" ht="24" customHeight="1" x14ac:dyDescent="0.2">
      <c r="A147" s="19"/>
      <c r="B147" s="20" t="s">
        <v>136</v>
      </c>
      <c r="C147" s="20" t="s">
        <v>168</v>
      </c>
      <c r="D147" s="20" t="s">
        <v>169</v>
      </c>
      <c r="E147" s="19"/>
      <c r="F147" s="19"/>
      <c r="G147" s="19"/>
    </row>
    <row r="148" spans="1:7" ht="18" customHeight="1" x14ac:dyDescent="0.2">
      <c r="A148" s="19"/>
      <c r="B148" s="21" t="s">
        <v>170</v>
      </c>
      <c r="C148" s="20" t="s">
        <v>171</v>
      </c>
      <c r="D148" s="20" t="s">
        <v>172</v>
      </c>
      <c r="E148" s="19"/>
      <c r="F148" s="19"/>
      <c r="G148" s="19"/>
    </row>
    <row r="149" spans="1:7" ht="17.100000000000001" customHeight="1" x14ac:dyDescent="0.2">
      <c r="A149" s="19"/>
      <c r="B149" s="3" t="s">
        <v>173</v>
      </c>
      <c r="C149" s="22">
        <v>59.052300000000002</v>
      </c>
      <c r="D149" s="22">
        <v>58.220500000000001</v>
      </c>
      <c r="E149" s="19"/>
      <c r="F149" s="16"/>
      <c r="G149" s="23"/>
    </row>
    <row r="150" spans="1:7" ht="17.100000000000001" customHeight="1" x14ac:dyDescent="0.2">
      <c r="A150" s="19"/>
      <c r="B150" s="3" t="s">
        <v>994</v>
      </c>
      <c r="C150" s="22">
        <v>25.417000000000002</v>
      </c>
      <c r="D150" s="22">
        <v>25.059100000000001</v>
      </c>
      <c r="E150" s="19"/>
      <c r="F150" s="16"/>
      <c r="G150" s="23"/>
    </row>
    <row r="151" spans="1:7" ht="17.100000000000001" customHeight="1" x14ac:dyDescent="0.2">
      <c r="A151" s="19"/>
      <c r="B151" s="3" t="s">
        <v>174</v>
      </c>
      <c r="C151" s="22">
        <v>53.911999999999999</v>
      </c>
      <c r="D151" s="22">
        <v>53.104199999999999</v>
      </c>
      <c r="E151" s="19"/>
      <c r="F151" s="16"/>
      <c r="G151" s="23"/>
    </row>
    <row r="152" spans="1:7" ht="17.100000000000001" customHeight="1" x14ac:dyDescent="0.2">
      <c r="A152" s="19"/>
      <c r="B152" s="3" t="s">
        <v>995</v>
      </c>
      <c r="C152" s="22">
        <v>22.715900000000001</v>
      </c>
      <c r="D152" s="22">
        <v>22.375599999999999</v>
      </c>
      <c r="E152" s="19"/>
      <c r="F152" s="16"/>
      <c r="G152" s="23"/>
    </row>
    <row r="153" spans="1:7" ht="14.1" customHeight="1" x14ac:dyDescent="0.2">
      <c r="A153" s="19"/>
      <c r="B153" s="19"/>
      <c r="C153" s="19"/>
      <c r="D153" s="19"/>
      <c r="E153" s="19"/>
      <c r="F153" s="19"/>
      <c r="G153" s="19"/>
    </row>
    <row r="154" spans="1:7" ht="17.100000000000001" customHeight="1" x14ac:dyDescent="0.2">
      <c r="A154" s="19"/>
      <c r="B154" s="191" t="s">
        <v>1044</v>
      </c>
      <c r="C154" s="192"/>
      <c r="D154" s="2" t="s">
        <v>165</v>
      </c>
      <c r="E154" s="19"/>
      <c r="F154" s="19"/>
      <c r="G154" s="19"/>
    </row>
    <row r="155" spans="1:7" ht="18" customHeight="1" x14ac:dyDescent="0.2">
      <c r="A155" s="19"/>
      <c r="B155" s="24"/>
      <c r="C155" s="24"/>
      <c r="D155" s="24"/>
      <c r="E155" s="19"/>
      <c r="F155" s="19"/>
      <c r="G155" s="19"/>
    </row>
    <row r="156" spans="1:7" ht="29.1" customHeight="1" x14ac:dyDescent="0.2">
      <c r="A156" s="19"/>
      <c r="B156" s="191" t="s">
        <v>175</v>
      </c>
      <c r="C156" s="192"/>
      <c r="D156" s="2" t="s">
        <v>165</v>
      </c>
      <c r="E156" s="25"/>
      <c r="F156" s="19"/>
      <c r="G156" s="19"/>
    </row>
    <row r="157" spans="1:7" ht="29.1" customHeight="1" x14ac:dyDescent="0.2">
      <c r="A157" s="19"/>
      <c r="B157" s="191" t="s">
        <v>176</v>
      </c>
      <c r="C157" s="192"/>
      <c r="D157" s="2" t="s">
        <v>165</v>
      </c>
      <c r="E157" s="25"/>
      <c r="F157" s="19"/>
      <c r="G157" s="19"/>
    </row>
    <row r="158" spans="1:7" ht="17.100000000000001" customHeight="1" x14ac:dyDescent="0.2">
      <c r="A158" s="19"/>
      <c r="B158" s="191" t="s">
        <v>177</v>
      </c>
      <c r="C158" s="192"/>
      <c r="D158" s="2" t="s">
        <v>165</v>
      </c>
      <c r="E158" s="25"/>
      <c r="F158" s="19"/>
      <c r="G158" s="19"/>
    </row>
    <row r="159" spans="1:7" ht="17.100000000000001" customHeight="1" x14ac:dyDescent="0.2">
      <c r="A159" s="19"/>
      <c r="B159" s="191" t="s">
        <v>178</v>
      </c>
      <c r="C159" s="192"/>
      <c r="D159" s="26">
        <v>0.19867779373198347</v>
      </c>
      <c r="E159" s="19"/>
      <c r="F159" s="16"/>
      <c r="G159" s="23"/>
    </row>
    <row r="160" spans="1:7" ht="14.1" customHeight="1" x14ac:dyDescent="0.2">
      <c r="A160" s="24"/>
      <c r="B160" s="24"/>
      <c r="C160" s="24"/>
      <c r="D160" s="24"/>
      <c r="E160" s="24"/>
      <c r="F160" s="24"/>
      <c r="G160" s="24"/>
    </row>
  </sheetData>
  <mergeCells count="13">
    <mergeCell ref="J2:N2"/>
    <mergeCell ref="B146:C146"/>
    <mergeCell ref="B143:D143"/>
    <mergeCell ref="B144:C144"/>
    <mergeCell ref="B145:C145"/>
    <mergeCell ref="A1:H1"/>
    <mergeCell ref="A2:H2"/>
    <mergeCell ref="A3:H3"/>
    <mergeCell ref="B159:C159"/>
    <mergeCell ref="B156:C156"/>
    <mergeCell ref="B157:C157"/>
    <mergeCell ref="B158:C158"/>
    <mergeCell ref="B154:C154"/>
  </mergeCells>
  <hyperlinks>
    <hyperlink ref="I1" location="Index!B6" display="Index" xr:uid="{CA047003-F0BA-4F7F-8013-1AFF491F8ED8}"/>
  </hyperlinks>
  <pageMargins left="5.000000074505806E-2" right="5.000000074505806E-2" top="0.30000001192092896" bottom="0.20000000298023224" header="0" footer="0"/>
  <pageSetup paperSize="9"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N165"/>
  <sheetViews>
    <sheetView showGridLines="0" workbookViewId="0">
      <selection sqref="A1:H1"/>
    </sheetView>
  </sheetViews>
  <sheetFormatPr defaultRowHeight="12.75" x14ac:dyDescent="0.2"/>
  <cols>
    <col min="1" max="1" width="5.85546875" bestFit="1"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7" t="s">
        <v>0</v>
      </c>
      <c r="B1" s="187"/>
      <c r="C1" s="187"/>
      <c r="D1" s="187"/>
      <c r="E1" s="187"/>
      <c r="F1" s="187"/>
      <c r="G1" s="187"/>
      <c r="H1" s="187"/>
      <c r="I1" s="167" t="s">
        <v>1055</v>
      </c>
    </row>
    <row r="2" spans="1:14" ht="17.100000000000001" customHeight="1" x14ac:dyDescent="0.2">
      <c r="A2" s="188" t="s">
        <v>368</v>
      </c>
      <c r="B2" s="189"/>
      <c r="C2" s="189"/>
      <c r="D2" s="189"/>
      <c r="E2" s="189"/>
      <c r="F2" s="189"/>
      <c r="G2" s="189"/>
      <c r="H2" s="190"/>
      <c r="J2" s="186" t="s">
        <v>1056</v>
      </c>
      <c r="K2" s="186"/>
      <c r="L2" s="186"/>
      <c r="M2" s="186"/>
      <c r="N2" s="186"/>
    </row>
    <row r="3" spans="1:14" ht="21" customHeight="1" x14ac:dyDescent="0.2">
      <c r="A3" s="187" t="s">
        <v>1052</v>
      </c>
      <c r="B3" s="187"/>
      <c r="C3" s="187"/>
      <c r="D3" s="187"/>
      <c r="E3" s="187"/>
      <c r="F3" s="187"/>
      <c r="G3" s="187"/>
      <c r="H3" s="187"/>
    </row>
    <row r="4" spans="1:14" ht="30" x14ac:dyDescent="0.2">
      <c r="A4" s="163" t="s">
        <v>2</v>
      </c>
      <c r="B4" s="164" t="s">
        <v>3</v>
      </c>
      <c r="C4" s="164" t="s">
        <v>4</v>
      </c>
      <c r="D4" s="164" t="s">
        <v>5</v>
      </c>
      <c r="E4" s="164" t="s">
        <v>6</v>
      </c>
      <c r="F4" s="164" t="s">
        <v>7</v>
      </c>
      <c r="G4" s="164" t="s">
        <v>8</v>
      </c>
      <c r="H4" s="120" t="s">
        <v>881</v>
      </c>
      <c r="I4" s="165"/>
      <c r="J4" s="165"/>
      <c r="K4" s="165"/>
      <c r="L4" s="165"/>
      <c r="M4" s="165"/>
      <c r="N4" s="165"/>
    </row>
    <row r="5" spans="1:14" ht="14.1" customHeight="1" x14ac:dyDescent="0.2">
      <c r="A5" s="99"/>
      <c r="B5" s="1"/>
      <c r="C5" s="2" t="s">
        <v>9</v>
      </c>
      <c r="D5" s="1"/>
      <c r="E5" s="1"/>
      <c r="F5" s="1"/>
      <c r="G5" s="1"/>
      <c r="H5" s="109"/>
    </row>
    <row r="6" spans="1:14" ht="24" customHeight="1" x14ac:dyDescent="0.2">
      <c r="A6" s="99"/>
      <c r="B6" s="1"/>
      <c r="C6" s="2" t="s">
        <v>10</v>
      </c>
      <c r="D6" s="1"/>
      <c r="E6" s="1"/>
      <c r="F6" s="1"/>
      <c r="G6" s="1"/>
      <c r="H6" s="109"/>
    </row>
    <row r="7" spans="1:14" ht="14.1" customHeight="1" x14ac:dyDescent="0.2">
      <c r="A7" s="99"/>
      <c r="B7" s="1"/>
      <c r="C7" s="2" t="s">
        <v>135</v>
      </c>
      <c r="D7" s="1"/>
      <c r="E7" s="1" t="s">
        <v>136</v>
      </c>
      <c r="F7" s="8">
        <v>0</v>
      </c>
      <c r="G7" s="9">
        <v>0</v>
      </c>
      <c r="H7" s="109"/>
    </row>
    <row r="8" spans="1:14" ht="14.1" customHeight="1" x14ac:dyDescent="0.2">
      <c r="A8" s="99"/>
      <c r="B8" s="1"/>
      <c r="C8" s="10"/>
      <c r="D8" s="1"/>
      <c r="E8" s="1"/>
      <c r="F8" s="11"/>
      <c r="G8" s="11"/>
      <c r="H8" s="109"/>
    </row>
    <row r="9" spans="1:14" ht="14.1" customHeight="1" x14ac:dyDescent="0.2">
      <c r="A9" s="99"/>
      <c r="B9" s="1"/>
      <c r="C9" s="2" t="s">
        <v>137</v>
      </c>
      <c r="D9" s="1"/>
      <c r="E9" s="1"/>
      <c r="F9" s="1"/>
      <c r="G9" s="1"/>
      <c r="H9" s="109"/>
    </row>
    <row r="10" spans="1:14" ht="14.1" customHeight="1" x14ac:dyDescent="0.2">
      <c r="A10" s="99"/>
      <c r="B10" s="1"/>
      <c r="C10" s="2" t="s">
        <v>135</v>
      </c>
      <c r="D10" s="1"/>
      <c r="E10" s="1" t="s">
        <v>136</v>
      </c>
      <c r="F10" s="8">
        <v>0</v>
      </c>
      <c r="G10" s="9">
        <v>0</v>
      </c>
      <c r="H10" s="109"/>
    </row>
    <row r="11" spans="1:14" ht="14.1" customHeight="1" x14ac:dyDescent="0.2">
      <c r="A11" s="99"/>
      <c r="B11" s="1"/>
      <c r="C11" s="10"/>
      <c r="D11" s="1"/>
      <c r="E11" s="1"/>
      <c r="F11" s="11"/>
      <c r="G11" s="11"/>
      <c r="H11" s="109"/>
    </row>
    <row r="12" spans="1:14" ht="14.1" customHeight="1" x14ac:dyDescent="0.2">
      <c r="A12" s="99"/>
      <c r="B12" s="1"/>
      <c r="C12" s="2" t="s">
        <v>138</v>
      </c>
      <c r="D12" s="1"/>
      <c r="E12" s="1"/>
      <c r="F12" s="1"/>
      <c r="G12" s="1"/>
      <c r="H12" s="109"/>
    </row>
    <row r="13" spans="1:14" ht="14.1" customHeight="1" x14ac:dyDescent="0.2">
      <c r="A13" s="99"/>
      <c r="B13" s="1"/>
      <c r="C13" s="2" t="s">
        <v>135</v>
      </c>
      <c r="D13" s="1"/>
      <c r="E13" s="1" t="s">
        <v>136</v>
      </c>
      <c r="F13" s="8">
        <v>0</v>
      </c>
      <c r="G13" s="9">
        <v>0</v>
      </c>
      <c r="H13" s="109"/>
    </row>
    <row r="14" spans="1:14" ht="14.1" customHeight="1" x14ac:dyDescent="0.2">
      <c r="A14" s="99"/>
      <c r="B14" s="1"/>
      <c r="C14" s="10"/>
      <c r="D14" s="1"/>
      <c r="E14" s="1"/>
      <c r="F14" s="11"/>
      <c r="G14" s="11"/>
      <c r="H14" s="109"/>
      <c r="J14" s="169" t="s">
        <v>1063</v>
      </c>
    </row>
    <row r="15" spans="1:14" ht="14.1" customHeight="1" x14ac:dyDescent="0.2">
      <c r="A15" s="99"/>
      <c r="B15" s="1"/>
      <c r="C15" s="2" t="s">
        <v>139</v>
      </c>
      <c r="D15" s="1"/>
      <c r="E15" s="1"/>
      <c r="F15" s="1"/>
      <c r="G15" s="1"/>
      <c r="H15" s="109"/>
    </row>
    <row r="16" spans="1:14" ht="14.1" customHeight="1" x14ac:dyDescent="0.2">
      <c r="A16" s="99"/>
      <c r="B16" s="1"/>
      <c r="C16" s="2" t="s">
        <v>135</v>
      </c>
      <c r="D16" s="1"/>
      <c r="E16" s="1" t="s">
        <v>136</v>
      </c>
      <c r="F16" s="8">
        <v>0</v>
      </c>
      <c r="G16" s="9">
        <v>0</v>
      </c>
      <c r="H16" s="109"/>
    </row>
    <row r="17" spans="1:8" ht="14.1" customHeight="1" x14ac:dyDescent="0.2">
      <c r="A17" s="99"/>
      <c r="B17" s="1"/>
      <c r="C17" s="10"/>
      <c r="D17" s="1"/>
      <c r="E17" s="1"/>
      <c r="F17" s="11"/>
      <c r="G17" s="11"/>
      <c r="H17" s="109"/>
    </row>
    <row r="18" spans="1:8" ht="14.1" customHeight="1" x14ac:dyDescent="0.2">
      <c r="A18" s="99"/>
      <c r="B18" s="1"/>
      <c r="C18" s="2" t="s">
        <v>140</v>
      </c>
      <c r="D18" s="1"/>
      <c r="E18" s="1"/>
      <c r="F18" s="11"/>
      <c r="G18" s="11"/>
      <c r="H18" s="109"/>
    </row>
    <row r="19" spans="1:8" ht="14.1" customHeight="1" x14ac:dyDescent="0.2">
      <c r="A19" s="99"/>
      <c r="B19" s="1"/>
      <c r="C19" s="2" t="s">
        <v>135</v>
      </c>
      <c r="D19" s="1"/>
      <c r="E19" s="1" t="s">
        <v>136</v>
      </c>
      <c r="F19" s="8">
        <v>0</v>
      </c>
      <c r="G19" s="9">
        <v>0</v>
      </c>
      <c r="H19" s="109"/>
    </row>
    <row r="20" spans="1:8" ht="14.1" customHeight="1" x14ac:dyDescent="0.2">
      <c r="A20" s="99"/>
      <c r="B20" s="1"/>
      <c r="C20" s="10"/>
      <c r="D20" s="1"/>
      <c r="E20" s="1"/>
      <c r="F20" s="11"/>
      <c r="G20" s="11"/>
      <c r="H20" s="109"/>
    </row>
    <row r="21" spans="1:8" ht="14.1" customHeight="1" x14ac:dyDescent="0.2">
      <c r="A21" s="99"/>
      <c r="B21" s="1"/>
      <c r="C21" s="2" t="s">
        <v>141</v>
      </c>
      <c r="D21" s="1"/>
      <c r="E21" s="1"/>
      <c r="F21" s="11"/>
      <c r="G21" s="11"/>
      <c r="H21" s="109"/>
    </row>
    <row r="22" spans="1:8" ht="14.1" customHeight="1" x14ac:dyDescent="0.2">
      <c r="A22" s="99"/>
      <c r="B22" s="1"/>
      <c r="C22" s="2" t="s">
        <v>135</v>
      </c>
      <c r="D22" s="1"/>
      <c r="E22" s="1" t="s">
        <v>136</v>
      </c>
      <c r="F22" s="8">
        <v>0</v>
      </c>
      <c r="G22" s="9">
        <v>0</v>
      </c>
      <c r="H22" s="109"/>
    </row>
    <row r="23" spans="1:8" ht="14.1" customHeight="1" x14ac:dyDescent="0.2">
      <c r="A23" s="99"/>
      <c r="B23" s="1"/>
      <c r="C23" s="10"/>
      <c r="D23" s="1"/>
      <c r="E23" s="1"/>
      <c r="F23" s="11"/>
      <c r="G23" s="11"/>
      <c r="H23" s="109"/>
    </row>
    <row r="24" spans="1:8" ht="18" customHeight="1" x14ac:dyDescent="0.2">
      <c r="A24" s="99"/>
      <c r="B24" s="1"/>
      <c r="C24" s="2" t="s">
        <v>142</v>
      </c>
      <c r="D24" s="1"/>
      <c r="E24" s="1"/>
      <c r="F24" s="8">
        <v>0</v>
      </c>
      <c r="G24" s="9">
        <v>0</v>
      </c>
      <c r="H24" s="109"/>
    </row>
    <row r="25" spans="1:8" ht="14.1" customHeight="1" x14ac:dyDescent="0.2">
      <c r="A25" s="99"/>
      <c r="B25" s="1"/>
      <c r="C25" s="10"/>
      <c r="D25" s="1"/>
      <c r="E25" s="1"/>
      <c r="F25" s="11"/>
      <c r="G25" s="11"/>
      <c r="H25" s="109"/>
    </row>
    <row r="26" spans="1:8" ht="14.1" customHeight="1" x14ac:dyDescent="0.2">
      <c r="A26" s="99"/>
      <c r="B26" s="1"/>
      <c r="C26" s="2" t="s">
        <v>143</v>
      </c>
      <c r="D26" s="1"/>
      <c r="E26" s="1"/>
      <c r="F26" s="11"/>
      <c r="G26" s="11"/>
      <c r="H26" s="109"/>
    </row>
    <row r="27" spans="1:8" ht="24" customHeight="1" x14ac:dyDescent="0.2">
      <c r="A27" s="99"/>
      <c r="B27" s="1"/>
      <c r="C27" s="2" t="s">
        <v>10</v>
      </c>
      <c r="D27" s="1"/>
      <c r="E27" s="1"/>
      <c r="F27" s="11"/>
      <c r="G27" s="11"/>
      <c r="H27" s="109"/>
    </row>
    <row r="28" spans="1:8" ht="14.1" customHeight="1" x14ac:dyDescent="0.2">
      <c r="A28" s="99"/>
      <c r="B28" s="1"/>
      <c r="C28" s="2" t="s">
        <v>135</v>
      </c>
      <c r="D28" s="1"/>
      <c r="E28" s="1" t="s">
        <v>136</v>
      </c>
      <c r="F28" s="8">
        <v>0</v>
      </c>
      <c r="G28" s="9">
        <v>0</v>
      </c>
      <c r="H28" s="109"/>
    </row>
    <row r="29" spans="1:8" ht="14.1" customHeight="1" x14ac:dyDescent="0.2">
      <c r="A29" s="99"/>
      <c r="B29" s="1"/>
      <c r="C29" s="10"/>
      <c r="D29" s="1"/>
      <c r="E29" s="1"/>
      <c r="F29" s="11"/>
      <c r="G29" s="11"/>
      <c r="H29" s="109"/>
    </row>
    <row r="30" spans="1:8" ht="14.1" customHeight="1" x14ac:dyDescent="0.2">
      <c r="A30" s="99"/>
      <c r="B30" s="1"/>
      <c r="C30" s="2" t="s">
        <v>144</v>
      </c>
      <c r="D30" s="1"/>
      <c r="E30" s="1"/>
      <c r="F30" s="1"/>
      <c r="G30" s="1"/>
      <c r="H30" s="109"/>
    </row>
    <row r="31" spans="1:8" ht="14.1" customHeight="1" x14ac:dyDescent="0.2">
      <c r="A31" s="99"/>
      <c r="B31" s="1"/>
      <c r="C31" s="2" t="s">
        <v>135</v>
      </c>
      <c r="D31" s="1"/>
      <c r="E31" s="1" t="s">
        <v>136</v>
      </c>
      <c r="F31" s="8">
        <v>0</v>
      </c>
      <c r="G31" s="9">
        <v>0</v>
      </c>
      <c r="H31" s="109"/>
    </row>
    <row r="32" spans="1:8" ht="14.1" customHeight="1" x14ac:dyDescent="0.2">
      <c r="A32" s="99"/>
      <c r="B32" s="1"/>
      <c r="C32" s="10"/>
      <c r="D32" s="1"/>
      <c r="E32" s="1"/>
      <c r="F32" s="11"/>
      <c r="G32" s="11"/>
      <c r="H32" s="109"/>
    </row>
    <row r="33" spans="1:8" ht="14.1" customHeight="1" x14ac:dyDescent="0.2">
      <c r="A33" s="99"/>
      <c r="B33" s="1"/>
      <c r="C33" s="2" t="s">
        <v>145</v>
      </c>
      <c r="D33" s="1"/>
      <c r="E33" s="1"/>
      <c r="F33" s="1"/>
      <c r="G33" s="1"/>
      <c r="H33" s="109"/>
    </row>
    <row r="34" spans="1:8" ht="14.1" customHeight="1" x14ac:dyDescent="0.2">
      <c r="A34" s="99"/>
      <c r="B34" s="1"/>
      <c r="C34" s="2" t="s">
        <v>135</v>
      </c>
      <c r="D34" s="1"/>
      <c r="E34" s="1" t="s">
        <v>136</v>
      </c>
      <c r="F34" s="8">
        <v>0</v>
      </c>
      <c r="G34" s="9">
        <v>0</v>
      </c>
      <c r="H34" s="109"/>
    </row>
    <row r="35" spans="1:8" ht="14.1" customHeight="1" x14ac:dyDescent="0.2">
      <c r="A35" s="99"/>
      <c r="B35" s="1"/>
      <c r="C35" s="10"/>
      <c r="D35" s="1"/>
      <c r="E35" s="1"/>
      <c r="F35" s="11"/>
      <c r="G35" s="11"/>
      <c r="H35" s="109"/>
    </row>
    <row r="36" spans="1:8" ht="14.1" customHeight="1" x14ac:dyDescent="0.2">
      <c r="A36" s="99"/>
      <c r="B36" s="1"/>
      <c r="C36" s="2" t="s">
        <v>146</v>
      </c>
      <c r="D36" s="1"/>
      <c r="E36" s="1"/>
      <c r="F36" s="11"/>
      <c r="G36" s="11"/>
      <c r="H36" s="109"/>
    </row>
    <row r="37" spans="1:8" ht="14.1" customHeight="1" x14ac:dyDescent="0.2">
      <c r="A37" s="99"/>
      <c r="B37" s="1"/>
      <c r="C37" s="2" t="s">
        <v>135</v>
      </c>
      <c r="D37" s="1"/>
      <c r="E37" s="1" t="s">
        <v>136</v>
      </c>
      <c r="F37" s="8">
        <v>0</v>
      </c>
      <c r="G37" s="9">
        <v>0</v>
      </c>
      <c r="H37" s="109"/>
    </row>
    <row r="38" spans="1:8" ht="14.1" customHeight="1" x14ac:dyDescent="0.2">
      <c r="A38" s="99"/>
      <c r="B38" s="1"/>
      <c r="C38" s="10"/>
      <c r="D38" s="1"/>
      <c r="E38" s="1"/>
      <c r="F38" s="11"/>
      <c r="G38" s="11"/>
      <c r="H38" s="109"/>
    </row>
    <row r="39" spans="1:8" ht="14.1" customHeight="1" x14ac:dyDescent="0.2">
      <c r="A39" s="99"/>
      <c r="B39" s="1"/>
      <c r="C39" s="2" t="s">
        <v>147</v>
      </c>
      <c r="D39" s="1"/>
      <c r="E39" s="1"/>
      <c r="F39" s="8">
        <v>0</v>
      </c>
      <c r="G39" s="9">
        <v>0</v>
      </c>
      <c r="H39" s="109"/>
    </row>
    <row r="40" spans="1:8" ht="14.1" customHeight="1" x14ac:dyDescent="0.2">
      <c r="A40" s="99"/>
      <c r="B40" s="1"/>
      <c r="C40" s="10"/>
      <c r="D40" s="1"/>
      <c r="E40" s="1"/>
      <c r="F40" s="11"/>
      <c r="G40" s="11"/>
      <c r="H40" s="109"/>
    </row>
    <row r="41" spans="1:8" ht="14.1" customHeight="1" x14ac:dyDescent="0.2">
      <c r="A41" s="99"/>
      <c r="B41" s="1"/>
      <c r="C41" s="2" t="s">
        <v>148</v>
      </c>
      <c r="D41" s="1"/>
      <c r="E41" s="1"/>
      <c r="F41" s="11"/>
      <c r="G41" s="11"/>
      <c r="H41" s="109"/>
    </row>
    <row r="42" spans="1:8" ht="14.1" customHeight="1" x14ac:dyDescent="0.2">
      <c r="A42" s="99"/>
      <c r="B42" s="1"/>
      <c r="C42" s="2" t="s">
        <v>149</v>
      </c>
      <c r="D42" s="1"/>
      <c r="E42" s="1"/>
      <c r="F42" s="11"/>
      <c r="G42" s="11"/>
      <c r="H42" s="109"/>
    </row>
    <row r="43" spans="1:8" ht="14.1" customHeight="1" x14ac:dyDescent="0.2">
      <c r="A43" s="99"/>
      <c r="B43" s="1"/>
      <c r="C43" s="2" t="s">
        <v>135</v>
      </c>
      <c r="D43" s="1"/>
      <c r="E43" s="1" t="s">
        <v>136</v>
      </c>
      <c r="F43" s="8">
        <v>0</v>
      </c>
      <c r="G43" s="9">
        <v>0</v>
      </c>
      <c r="H43" s="109"/>
    </row>
    <row r="44" spans="1:8" ht="14.1" customHeight="1" x14ac:dyDescent="0.2">
      <c r="A44" s="99"/>
      <c r="B44" s="1"/>
      <c r="C44" s="10"/>
      <c r="D44" s="1"/>
      <c r="E44" s="1"/>
      <c r="F44" s="11"/>
      <c r="G44" s="11"/>
      <c r="H44" s="109"/>
    </row>
    <row r="45" spans="1:8" ht="14.1" customHeight="1" x14ac:dyDescent="0.2">
      <c r="A45" s="99"/>
      <c r="B45" s="1"/>
      <c r="C45" s="2" t="s">
        <v>150</v>
      </c>
      <c r="D45" s="1"/>
      <c r="E45" s="1"/>
      <c r="F45" s="11"/>
      <c r="G45" s="11"/>
      <c r="H45" s="109"/>
    </row>
    <row r="46" spans="1:8" ht="14.1" customHeight="1" x14ac:dyDescent="0.2">
      <c r="A46" s="99"/>
      <c r="B46" s="1"/>
      <c r="C46" s="2" t="s">
        <v>135</v>
      </c>
      <c r="D46" s="1"/>
      <c r="E46" s="1" t="s">
        <v>136</v>
      </c>
      <c r="F46" s="8">
        <v>0</v>
      </c>
      <c r="G46" s="9">
        <v>0</v>
      </c>
      <c r="H46" s="109"/>
    </row>
    <row r="47" spans="1:8" ht="14.1" customHeight="1" x14ac:dyDescent="0.2">
      <c r="A47" s="99"/>
      <c r="B47" s="1"/>
      <c r="C47" s="10"/>
      <c r="D47" s="1"/>
      <c r="E47" s="1"/>
      <c r="F47" s="11"/>
      <c r="G47" s="11"/>
      <c r="H47" s="109"/>
    </row>
    <row r="48" spans="1:8" ht="14.1" customHeight="1" x14ac:dyDescent="0.2">
      <c r="A48" s="99"/>
      <c r="B48" s="1"/>
      <c r="C48" s="2" t="s">
        <v>151</v>
      </c>
      <c r="D48" s="1"/>
      <c r="E48" s="1"/>
      <c r="F48" s="11"/>
      <c r="G48" s="11"/>
      <c r="H48" s="109"/>
    </row>
    <row r="49" spans="1:8" ht="14.1" customHeight="1" x14ac:dyDescent="0.2">
      <c r="A49" s="99"/>
      <c r="B49" s="1"/>
      <c r="C49" s="2" t="s">
        <v>135</v>
      </c>
      <c r="D49" s="1"/>
      <c r="E49" s="1" t="s">
        <v>136</v>
      </c>
      <c r="F49" s="8">
        <v>0</v>
      </c>
      <c r="G49" s="9">
        <v>0</v>
      </c>
      <c r="H49" s="109"/>
    </row>
    <row r="50" spans="1:8" ht="14.1" customHeight="1" x14ac:dyDescent="0.2">
      <c r="A50" s="99"/>
      <c r="B50" s="1"/>
      <c r="C50" s="10"/>
      <c r="D50" s="1"/>
      <c r="E50" s="1"/>
      <c r="F50" s="11"/>
      <c r="G50" s="11"/>
      <c r="H50" s="109"/>
    </row>
    <row r="51" spans="1:8" ht="14.1" customHeight="1" x14ac:dyDescent="0.2">
      <c r="A51" s="99"/>
      <c r="B51" s="1"/>
      <c r="C51" s="2" t="s">
        <v>152</v>
      </c>
      <c r="D51" s="1"/>
      <c r="E51" s="1"/>
      <c r="F51" s="11"/>
      <c r="G51" s="11"/>
      <c r="H51" s="109"/>
    </row>
    <row r="52" spans="1:8" ht="17.100000000000001" customHeight="1" x14ac:dyDescent="0.2">
      <c r="A52" s="100">
        <v>1</v>
      </c>
      <c r="B52" s="3"/>
      <c r="C52" s="3" t="s">
        <v>153</v>
      </c>
      <c r="D52" s="3"/>
      <c r="E52" s="7"/>
      <c r="F52" s="5">
        <v>31368.912496862999</v>
      </c>
      <c r="G52" s="6">
        <v>0.99527852000000006</v>
      </c>
      <c r="H52" s="109">
        <v>6.6015165706411798</v>
      </c>
    </row>
    <row r="53" spans="1:8" ht="14.1" customHeight="1" x14ac:dyDescent="0.2">
      <c r="A53" s="99"/>
      <c r="B53" s="1"/>
      <c r="C53" s="2" t="s">
        <v>135</v>
      </c>
      <c r="D53" s="1"/>
      <c r="E53" s="1" t="s">
        <v>136</v>
      </c>
      <c r="F53" s="8">
        <v>31368.912496862999</v>
      </c>
      <c r="G53" s="9">
        <v>0.99527852000000006</v>
      </c>
      <c r="H53" s="109"/>
    </row>
    <row r="54" spans="1:8" ht="14.1" customHeight="1" x14ac:dyDescent="0.2">
      <c r="A54" s="99"/>
      <c r="B54" s="1"/>
      <c r="C54" s="10"/>
      <c r="D54" s="1"/>
      <c r="E54" s="1"/>
      <c r="F54" s="11"/>
      <c r="G54" s="11"/>
      <c r="H54" s="109"/>
    </row>
    <row r="55" spans="1:8" ht="14.1" customHeight="1" x14ac:dyDescent="0.2">
      <c r="A55" s="99"/>
      <c r="B55" s="1"/>
      <c r="C55" s="2" t="s">
        <v>154</v>
      </c>
      <c r="D55" s="1"/>
      <c r="E55" s="1"/>
      <c r="F55" s="8">
        <v>31368.912496862999</v>
      </c>
      <c r="G55" s="9">
        <v>0.99527852000000006</v>
      </c>
      <c r="H55" s="109"/>
    </row>
    <row r="56" spans="1:8" ht="14.1" customHeight="1" x14ac:dyDescent="0.2">
      <c r="A56" s="99"/>
      <c r="B56" s="1"/>
      <c r="C56" s="11"/>
      <c r="D56" s="1"/>
      <c r="E56" s="1"/>
      <c r="F56" s="1"/>
      <c r="G56" s="1"/>
      <c r="H56" s="109"/>
    </row>
    <row r="57" spans="1:8" ht="14.1" customHeight="1" x14ac:dyDescent="0.2">
      <c r="A57" s="99"/>
      <c r="B57" s="1"/>
      <c r="C57" s="2" t="s">
        <v>155</v>
      </c>
      <c r="D57" s="1"/>
      <c r="E57" s="1"/>
      <c r="F57" s="1"/>
      <c r="G57" s="1"/>
      <c r="H57" s="109"/>
    </row>
    <row r="58" spans="1:8" ht="14.1" customHeight="1" x14ac:dyDescent="0.2">
      <c r="A58" s="99"/>
      <c r="B58" s="1"/>
      <c r="C58" s="2" t="s">
        <v>156</v>
      </c>
      <c r="D58" s="1"/>
      <c r="E58" s="1"/>
      <c r="F58" s="1"/>
      <c r="G58" s="1"/>
      <c r="H58" s="109"/>
    </row>
    <row r="59" spans="1:8" ht="14.1" customHeight="1" x14ac:dyDescent="0.2">
      <c r="A59" s="99"/>
      <c r="B59" s="1"/>
      <c r="C59" s="2" t="s">
        <v>135</v>
      </c>
      <c r="D59" s="1"/>
      <c r="E59" s="1" t="s">
        <v>136</v>
      </c>
      <c r="F59" s="8">
        <v>0</v>
      </c>
      <c r="G59" s="9">
        <v>0</v>
      </c>
      <c r="H59" s="109"/>
    </row>
    <row r="60" spans="1:8" ht="14.1" customHeight="1" x14ac:dyDescent="0.2">
      <c r="A60" s="99"/>
      <c r="B60" s="1"/>
      <c r="C60" s="10"/>
      <c r="D60" s="1"/>
      <c r="E60" s="1"/>
      <c r="F60" s="11"/>
      <c r="G60" s="11"/>
      <c r="H60" s="109"/>
    </row>
    <row r="61" spans="1:8" ht="14.1" customHeight="1" x14ac:dyDescent="0.2">
      <c r="A61" s="99"/>
      <c r="B61" s="1"/>
      <c r="C61" s="2" t="s">
        <v>157</v>
      </c>
      <c r="D61" s="1"/>
      <c r="E61" s="1"/>
      <c r="F61" s="1"/>
      <c r="G61" s="1"/>
      <c r="H61" s="109"/>
    </row>
    <row r="62" spans="1:8" ht="14.1" customHeight="1" x14ac:dyDescent="0.2">
      <c r="A62" s="99"/>
      <c r="B62" s="1"/>
      <c r="C62" s="2" t="s">
        <v>158</v>
      </c>
      <c r="D62" s="1"/>
      <c r="E62" s="1"/>
      <c r="F62" s="1"/>
      <c r="G62" s="1"/>
      <c r="H62" s="109"/>
    </row>
    <row r="63" spans="1:8" ht="14.1" customHeight="1" x14ac:dyDescent="0.2">
      <c r="A63" s="99"/>
      <c r="B63" s="1"/>
      <c r="C63" s="2" t="s">
        <v>135</v>
      </c>
      <c r="D63" s="1"/>
      <c r="E63" s="1" t="s">
        <v>136</v>
      </c>
      <c r="F63" s="8">
        <v>0</v>
      </c>
      <c r="G63" s="9">
        <v>0</v>
      </c>
      <c r="H63" s="109"/>
    </row>
    <row r="64" spans="1:8" ht="14.1" customHeight="1" x14ac:dyDescent="0.2">
      <c r="A64" s="99"/>
      <c r="B64" s="1"/>
      <c r="C64" s="10"/>
      <c r="D64" s="1"/>
      <c r="E64" s="1"/>
      <c r="F64" s="11"/>
      <c r="G64" s="11"/>
      <c r="H64" s="109"/>
    </row>
    <row r="65" spans="1:8" ht="24" customHeight="1" x14ac:dyDescent="0.2">
      <c r="A65" s="99"/>
      <c r="B65" s="1"/>
      <c r="C65" s="2" t="s">
        <v>159</v>
      </c>
      <c r="D65" s="1"/>
      <c r="E65" s="1"/>
      <c r="F65" s="11"/>
      <c r="G65" s="11"/>
      <c r="H65" s="109"/>
    </row>
    <row r="66" spans="1:8" ht="14.1" customHeight="1" x14ac:dyDescent="0.2">
      <c r="A66" s="99"/>
      <c r="B66" s="1"/>
      <c r="C66" s="2" t="s">
        <v>135</v>
      </c>
      <c r="D66" s="1"/>
      <c r="E66" s="1" t="s">
        <v>136</v>
      </c>
      <c r="F66" s="8">
        <v>0</v>
      </c>
      <c r="G66" s="9">
        <v>0</v>
      </c>
      <c r="H66" s="109"/>
    </row>
    <row r="67" spans="1:8" ht="14.1" customHeight="1" x14ac:dyDescent="0.2">
      <c r="A67" s="99"/>
      <c r="B67" s="1"/>
      <c r="C67" s="10"/>
      <c r="D67" s="1"/>
      <c r="E67" s="1"/>
      <c r="F67" s="11"/>
      <c r="G67" s="11"/>
      <c r="H67" s="109"/>
    </row>
    <row r="68" spans="1:8" ht="14.1" customHeight="1" x14ac:dyDescent="0.2">
      <c r="A68" s="99"/>
      <c r="B68" s="3"/>
      <c r="C68" s="3"/>
      <c r="D68" s="2"/>
      <c r="E68" s="1"/>
      <c r="F68" s="3"/>
      <c r="G68" s="7"/>
      <c r="H68" s="109"/>
    </row>
    <row r="69" spans="1:8" ht="18" customHeight="1" x14ac:dyDescent="0.2">
      <c r="A69" s="101"/>
      <c r="B69" s="3"/>
      <c r="C69" s="3" t="s">
        <v>160</v>
      </c>
      <c r="D69" s="3"/>
      <c r="E69" s="7"/>
      <c r="F69" s="5">
        <v>148.81026831</v>
      </c>
      <c r="G69" s="6">
        <v>4.7214800000000001E-3</v>
      </c>
      <c r="H69" s="109"/>
    </row>
    <row r="70" spans="1:8" ht="14.1" customHeight="1" x14ac:dyDescent="0.2">
      <c r="A70" s="102"/>
      <c r="B70" s="10"/>
      <c r="C70" s="2" t="s">
        <v>161</v>
      </c>
      <c r="D70" s="11"/>
      <c r="E70" s="11"/>
      <c r="F70" s="8">
        <v>31517.722765172999</v>
      </c>
      <c r="G70" s="12">
        <v>1</v>
      </c>
      <c r="H70" s="109"/>
    </row>
    <row r="71" spans="1:8" ht="14.1" customHeight="1" x14ac:dyDescent="0.2">
      <c r="A71" s="13"/>
      <c r="B71" s="13"/>
      <c r="C71" s="13"/>
      <c r="D71" s="14"/>
      <c r="E71" s="14"/>
      <c r="F71" s="14"/>
      <c r="G71" s="14"/>
    </row>
    <row r="72" spans="1:8" ht="14.1" customHeight="1" x14ac:dyDescent="0.2">
      <c r="A72" s="15"/>
      <c r="B72" s="15"/>
      <c r="C72" s="15"/>
      <c r="D72" s="17"/>
      <c r="E72" s="17"/>
      <c r="F72" s="17"/>
      <c r="G72" s="17"/>
    </row>
    <row r="73" spans="1:8" ht="14.1" customHeight="1" x14ac:dyDescent="0.2">
      <c r="A73" s="15"/>
      <c r="B73" s="194" t="s">
        <v>163</v>
      </c>
      <c r="C73" s="195"/>
      <c r="D73" s="196"/>
      <c r="E73" s="18"/>
      <c r="F73" s="17"/>
      <c r="G73" s="17"/>
    </row>
    <row r="74" spans="1:8" ht="29.1" customHeight="1" x14ac:dyDescent="0.2">
      <c r="A74" s="15"/>
      <c r="B74" s="191" t="s">
        <v>164</v>
      </c>
      <c r="C74" s="192"/>
      <c r="D74" s="2" t="s">
        <v>165</v>
      </c>
      <c r="E74" s="18"/>
      <c r="F74" s="17"/>
      <c r="G74" s="17"/>
    </row>
    <row r="75" spans="1:8" ht="17.100000000000001" customHeight="1" x14ac:dyDescent="0.2">
      <c r="A75" s="15"/>
      <c r="B75" s="191" t="s">
        <v>166</v>
      </c>
      <c r="C75" s="192"/>
      <c r="D75" s="2" t="s">
        <v>165</v>
      </c>
      <c r="E75" s="18"/>
      <c r="F75" s="17"/>
      <c r="G75" s="17"/>
    </row>
    <row r="76" spans="1:8" ht="17.100000000000001" customHeight="1" x14ac:dyDescent="0.2">
      <c r="A76" s="15"/>
      <c r="B76" s="191" t="s">
        <v>167</v>
      </c>
      <c r="C76" s="192"/>
      <c r="D76" s="11" t="s">
        <v>136</v>
      </c>
      <c r="E76" s="18"/>
      <c r="F76" s="17"/>
      <c r="G76" s="17"/>
    </row>
    <row r="77" spans="1:8" ht="24" customHeight="1" x14ac:dyDescent="0.2">
      <c r="A77" s="19"/>
      <c r="B77" s="20" t="s">
        <v>136</v>
      </c>
      <c r="C77" s="20" t="s">
        <v>168</v>
      </c>
      <c r="D77" s="20" t="s">
        <v>169</v>
      </c>
      <c r="E77" s="19"/>
      <c r="F77" s="19"/>
      <c r="G77" s="19"/>
    </row>
    <row r="78" spans="1:8" ht="18" customHeight="1" x14ac:dyDescent="0.2">
      <c r="A78" s="19"/>
      <c r="B78" s="21" t="s">
        <v>170</v>
      </c>
      <c r="C78" s="20" t="s">
        <v>171</v>
      </c>
      <c r="D78" s="20" t="s">
        <v>172</v>
      </c>
      <c r="E78" s="19"/>
      <c r="F78" s="19"/>
      <c r="G78" s="19"/>
    </row>
    <row r="79" spans="1:8" ht="17.100000000000001" customHeight="1" x14ac:dyDescent="0.2">
      <c r="A79" s="19"/>
      <c r="B79" s="3" t="s">
        <v>173</v>
      </c>
      <c r="C79" s="22">
        <v>17.452300000000001</v>
      </c>
      <c r="D79" s="22">
        <v>17.524999999999999</v>
      </c>
      <c r="E79" s="19"/>
      <c r="F79" s="16"/>
      <c r="G79" s="23"/>
    </row>
    <row r="80" spans="1:8" ht="17.100000000000001" customHeight="1" x14ac:dyDescent="0.2">
      <c r="A80" s="19"/>
      <c r="B80" s="3" t="s">
        <v>994</v>
      </c>
      <c r="C80" s="22">
        <v>17.452300000000001</v>
      </c>
      <c r="D80" s="22">
        <v>17.524999999999999</v>
      </c>
      <c r="E80" s="19"/>
      <c r="F80" s="16"/>
      <c r="G80" s="23"/>
    </row>
    <row r="81" spans="1:7" ht="17.100000000000001" customHeight="1" x14ac:dyDescent="0.2">
      <c r="A81" s="19"/>
      <c r="B81" s="3" t="s">
        <v>174</v>
      </c>
      <c r="C81" s="22">
        <v>16.914400000000001</v>
      </c>
      <c r="D81" s="22">
        <v>16.979099999999999</v>
      </c>
      <c r="E81" s="19"/>
      <c r="F81" s="16"/>
      <c r="G81" s="23"/>
    </row>
    <row r="82" spans="1:7" ht="17.100000000000001" customHeight="1" x14ac:dyDescent="0.2">
      <c r="A82" s="19"/>
      <c r="B82" s="3" t="s">
        <v>995</v>
      </c>
      <c r="C82" s="22">
        <v>16.914400000000001</v>
      </c>
      <c r="D82" s="22">
        <v>16.979099999999999</v>
      </c>
      <c r="E82" s="19"/>
      <c r="F82" s="16"/>
      <c r="G82" s="23"/>
    </row>
    <row r="83" spans="1:7" ht="14.1" customHeight="1" x14ac:dyDescent="0.2">
      <c r="A83" s="19"/>
      <c r="B83" s="19"/>
      <c r="C83" s="19"/>
      <c r="D83" s="19"/>
      <c r="E83" s="19"/>
      <c r="F83" s="19"/>
      <c r="G83" s="19"/>
    </row>
    <row r="84" spans="1:7" ht="17.100000000000001" customHeight="1" x14ac:dyDescent="0.2">
      <c r="A84" s="19"/>
      <c r="B84" s="191" t="s">
        <v>1044</v>
      </c>
      <c r="C84" s="192"/>
      <c r="D84" s="2" t="s">
        <v>165</v>
      </c>
      <c r="E84" s="19"/>
      <c r="F84" s="19"/>
      <c r="G84" s="19"/>
    </row>
    <row r="85" spans="1:7" ht="18" customHeight="1" x14ac:dyDescent="0.2">
      <c r="A85" s="19"/>
      <c r="B85" s="24"/>
      <c r="C85" s="24"/>
      <c r="D85" s="24"/>
      <c r="E85" s="19"/>
      <c r="F85" s="19"/>
      <c r="G85" s="19"/>
    </row>
    <row r="86" spans="1:7" ht="29.1" customHeight="1" x14ac:dyDescent="0.2">
      <c r="A86" s="19"/>
      <c r="B86" s="191" t="s">
        <v>175</v>
      </c>
      <c r="C86" s="192"/>
      <c r="D86" s="2" t="s">
        <v>165</v>
      </c>
      <c r="E86" s="25"/>
      <c r="F86" s="19"/>
      <c r="G86" s="19"/>
    </row>
    <row r="87" spans="1:7" ht="29.1" customHeight="1" x14ac:dyDescent="0.2">
      <c r="A87" s="19"/>
      <c r="B87" s="191" t="s">
        <v>176</v>
      </c>
      <c r="C87" s="192"/>
      <c r="D87" s="2" t="s">
        <v>165</v>
      </c>
      <c r="E87" s="25"/>
      <c r="F87" s="19"/>
      <c r="G87" s="19"/>
    </row>
    <row r="88" spans="1:7" ht="17.100000000000001" customHeight="1" x14ac:dyDescent="0.2">
      <c r="A88" s="19"/>
      <c r="B88" s="191" t="s">
        <v>177</v>
      </c>
      <c r="C88" s="192"/>
      <c r="D88" s="2" t="s">
        <v>165</v>
      </c>
      <c r="E88" s="25"/>
      <c r="F88" s="19"/>
      <c r="G88" s="19"/>
    </row>
    <row r="89" spans="1:7" ht="17.100000000000001" customHeight="1" x14ac:dyDescent="0.2">
      <c r="A89" s="19"/>
      <c r="B89" s="191" t="s">
        <v>178</v>
      </c>
      <c r="C89" s="192"/>
      <c r="D89" s="26">
        <v>0.19184307814598384</v>
      </c>
      <c r="E89" s="19"/>
      <c r="F89" s="16"/>
      <c r="G89" s="23"/>
    </row>
    <row r="90" spans="1:7" ht="14.1" customHeight="1" x14ac:dyDescent="0.2">
      <c r="A90" s="24"/>
      <c r="B90" s="24"/>
      <c r="C90" s="24"/>
      <c r="D90" s="24"/>
      <c r="E90" s="24"/>
      <c r="F90" s="24"/>
      <c r="G90" s="24"/>
    </row>
    <row r="165" spans="10:14" x14ac:dyDescent="0.2">
      <c r="J165" s="170"/>
      <c r="K165" s="170"/>
      <c r="L165" s="170"/>
      <c r="M165" s="170"/>
      <c r="N165" s="170"/>
    </row>
  </sheetData>
  <mergeCells count="13">
    <mergeCell ref="J2:N2"/>
    <mergeCell ref="B75:C75"/>
    <mergeCell ref="B76:C76"/>
    <mergeCell ref="B73:D73"/>
    <mergeCell ref="B74:C74"/>
    <mergeCell ref="A1:H1"/>
    <mergeCell ref="A2:H2"/>
    <mergeCell ref="A3:H3"/>
    <mergeCell ref="B88:C88"/>
    <mergeCell ref="B89:C89"/>
    <mergeCell ref="B84:C84"/>
    <mergeCell ref="B86:C86"/>
    <mergeCell ref="B87:C87"/>
  </mergeCells>
  <hyperlinks>
    <hyperlink ref="I1" location="Index!B7" display="Index" xr:uid="{CDE1751F-CFD3-44ED-8EBC-D8CD8FEF416D}"/>
  </hyperlinks>
  <pageMargins left="5.000000074505806E-2" right="5.000000074505806E-2" top="0.30000001192092896" bottom="0.20000000298023224" header="0" footer="0"/>
  <pageSetup paperSize="9"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65"/>
  <sheetViews>
    <sheetView showGridLines="0" workbookViewId="0">
      <selection sqref="A1:H1"/>
    </sheetView>
  </sheetViews>
  <sheetFormatPr defaultRowHeight="12.75" x14ac:dyDescent="0.2"/>
  <cols>
    <col min="1" max="1" width="5.85546875" bestFit="1" customWidth="1"/>
    <col min="2" max="2" width="19.140625" customWidth="1"/>
    <col min="3" max="3" width="34.28515625" customWidth="1"/>
    <col min="4" max="4" width="17.85546875" customWidth="1"/>
    <col min="5" max="6" width="19.140625" customWidth="1"/>
    <col min="7" max="7" width="16.42578125" customWidth="1"/>
  </cols>
  <sheetData>
    <row r="1" spans="1:14" ht="18" customHeight="1" x14ac:dyDescent="0.2">
      <c r="A1" s="187" t="s">
        <v>0</v>
      </c>
      <c r="B1" s="187"/>
      <c r="C1" s="187"/>
      <c r="D1" s="187"/>
      <c r="E1" s="187"/>
      <c r="F1" s="187"/>
      <c r="G1" s="187"/>
      <c r="H1" s="187"/>
      <c r="I1" s="167" t="s">
        <v>1055</v>
      </c>
    </row>
    <row r="2" spans="1:14" ht="17.100000000000001" customHeight="1" x14ac:dyDescent="0.2">
      <c r="A2" s="188" t="s">
        <v>369</v>
      </c>
      <c r="B2" s="189"/>
      <c r="C2" s="189"/>
      <c r="D2" s="189"/>
      <c r="E2" s="189"/>
      <c r="F2" s="189"/>
      <c r="G2" s="189"/>
      <c r="H2" s="190"/>
      <c r="J2" s="186" t="s">
        <v>1056</v>
      </c>
      <c r="K2" s="186"/>
      <c r="L2" s="186"/>
      <c r="M2" s="186"/>
      <c r="N2" s="186"/>
    </row>
    <row r="3" spans="1:14" ht="21" customHeight="1" x14ac:dyDescent="0.2">
      <c r="A3" s="187" t="s">
        <v>1052</v>
      </c>
      <c r="B3" s="187"/>
      <c r="C3" s="187"/>
      <c r="D3" s="187"/>
      <c r="E3" s="187"/>
      <c r="F3" s="187"/>
      <c r="G3" s="187"/>
      <c r="H3" s="187"/>
    </row>
    <row r="4" spans="1:14" ht="30" x14ac:dyDescent="0.2">
      <c r="A4" s="163" t="s">
        <v>2</v>
      </c>
      <c r="B4" s="164" t="s">
        <v>3</v>
      </c>
      <c r="C4" s="164" t="s">
        <v>4</v>
      </c>
      <c r="D4" s="164" t="s">
        <v>5</v>
      </c>
      <c r="E4" s="164" t="s">
        <v>6</v>
      </c>
      <c r="F4" s="164" t="s">
        <v>7</v>
      </c>
      <c r="G4" s="164" t="s">
        <v>8</v>
      </c>
      <c r="H4" s="120" t="s">
        <v>881</v>
      </c>
      <c r="I4" s="165"/>
      <c r="J4" s="165"/>
      <c r="K4" s="165"/>
      <c r="L4" s="165"/>
      <c r="M4" s="165"/>
      <c r="N4" s="165"/>
    </row>
    <row r="5" spans="1:14" ht="14.1" customHeight="1" x14ac:dyDescent="0.2">
      <c r="A5" s="99"/>
      <c r="B5" s="1"/>
      <c r="C5" s="2" t="s">
        <v>9</v>
      </c>
      <c r="D5" s="1"/>
      <c r="E5" s="1"/>
      <c r="F5" s="1"/>
      <c r="G5" s="1"/>
      <c r="H5" s="109"/>
    </row>
    <row r="6" spans="1:14" ht="24" customHeight="1" x14ac:dyDescent="0.2">
      <c r="A6" s="99"/>
      <c r="B6" s="1"/>
      <c r="C6" s="2" t="s">
        <v>10</v>
      </c>
      <c r="D6" s="1"/>
      <c r="E6" s="1"/>
      <c r="F6" s="1"/>
      <c r="G6" s="1"/>
      <c r="H6" s="109"/>
    </row>
    <row r="7" spans="1:14" ht="14.1" customHeight="1" x14ac:dyDescent="0.2">
      <c r="A7" s="99"/>
      <c r="B7" s="1"/>
      <c r="C7" s="2" t="s">
        <v>135</v>
      </c>
      <c r="D7" s="1"/>
      <c r="E7" s="1" t="s">
        <v>136</v>
      </c>
      <c r="F7" s="8">
        <v>0</v>
      </c>
      <c r="G7" s="9">
        <v>0</v>
      </c>
      <c r="H7" s="109"/>
    </row>
    <row r="8" spans="1:14" ht="14.1" customHeight="1" x14ac:dyDescent="0.2">
      <c r="A8" s="99"/>
      <c r="B8" s="1"/>
      <c r="C8" s="10"/>
      <c r="D8" s="1"/>
      <c r="E8" s="1"/>
      <c r="F8" s="11"/>
      <c r="G8" s="11"/>
      <c r="H8" s="109"/>
    </row>
    <row r="9" spans="1:14" ht="14.1" customHeight="1" x14ac:dyDescent="0.2">
      <c r="A9" s="99"/>
      <c r="B9" s="1"/>
      <c r="C9" s="2" t="s">
        <v>137</v>
      </c>
      <c r="D9" s="1"/>
      <c r="E9" s="1"/>
      <c r="F9" s="1"/>
      <c r="G9" s="1"/>
      <c r="H9" s="109"/>
    </row>
    <row r="10" spans="1:14" ht="14.1" customHeight="1" x14ac:dyDescent="0.2">
      <c r="A10" s="99"/>
      <c r="B10" s="1"/>
      <c r="C10" s="2" t="s">
        <v>135</v>
      </c>
      <c r="D10" s="1"/>
      <c r="E10" s="1" t="s">
        <v>136</v>
      </c>
      <c r="F10" s="8">
        <v>0</v>
      </c>
      <c r="G10" s="9">
        <v>0</v>
      </c>
      <c r="H10" s="109"/>
    </row>
    <row r="11" spans="1:14" ht="14.1" customHeight="1" x14ac:dyDescent="0.2">
      <c r="A11" s="99"/>
      <c r="B11" s="1"/>
      <c r="C11" s="10"/>
      <c r="D11" s="1"/>
      <c r="E11" s="1"/>
      <c r="F11" s="11"/>
      <c r="G11" s="11"/>
      <c r="H11" s="109"/>
    </row>
    <row r="12" spans="1:14" ht="14.1" customHeight="1" x14ac:dyDescent="0.2">
      <c r="A12" s="99"/>
      <c r="B12" s="1"/>
      <c r="C12" s="2" t="s">
        <v>138</v>
      </c>
      <c r="D12" s="1"/>
      <c r="E12" s="1"/>
      <c r="F12" s="1"/>
      <c r="G12" s="1"/>
      <c r="H12" s="109"/>
    </row>
    <row r="13" spans="1:14" ht="14.1" customHeight="1" x14ac:dyDescent="0.2">
      <c r="A13" s="99"/>
      <c r="B13" s="1"/>
      <c r="C13" s="2" t="s">
        <v>135</v>
      </c>
      <c r="D13" s="1"/>
      <c r="E13" s="1" t="s">
        <v>136</v>
      </c>
      <c r="F13" s="8">
        <v>0</v>
      </c>
      <c r="G13" s="9">
        <v>0</v>
      </c>
      <c r="H13" s="109"/>
      <c r="J13" s="169" t="s">
        <v>1064</v>
      </c>
    </row>
    <row r="14" spans="1:14" ht="14.1" customHeight="1" x14ac:dyDescent="0.2">
      <c r="A14" s="99"/>
      <c r="B14" s="1"/>
      <c r="C14" s="10"/>
      <c r="D14" s="1"/>
      <c r="E14" s="1"/>
      <c r="F14" s="11"/>
      <c r="G14" s="11"/>
      <c r="H14" s="109"/>
    </row>
    <row r="15" spans="1:14" ht="14.1" customHeight="1" x14ac:dyDescent="0.2">
      <c r="A15" s="99"/>
      <c r="B15" s="1"/>
      <c r="C15" s="2" t="s">
        <v>139</v>
      </c>
      <c r="D15" s="1"/>
      <c r="E15" s="1"/>
      <c r="F15" s="1"/>
      <c r="G15" s="1"/>
      <c r="H15" s="109"/>
    </row>
    <row r="16" spans="1:14" ht="14.1" customHeight="1" x14ac:dyDescent="0.2">
      <c r="A16" s="99"/>
      <c r="B16" s="1"/>
      <c r="C16" s="2" t="s">
        <v>135</v>
      </c>
      <c r="D16" s="1"/>
      <c r="E16" s="1" t="s">
        <v>136</v>
      </c>
      <c r="F16" s="8">
        <v>0</v>
      </c>
      <c r="G16" s="9">
        <v>0</v>
      </c>
      <c r="H16" s="109"/>
    </row>
    <row r="17" spans="1:8" ht="14.1" customHeight="1" x14ac:dyDescent="0.2">
      <c r="A17" s="99"/>
      <c r="B17" s="1"/>
      <c r="C17" s="10"/>
      <c r="D17" s="1"/>
      <c r="E17" s="1"/>
      <c r="F17" s="11"/>
      <c r="G17" s="11"/>
      <c r="H17" s="109"/>
    </row>
    <row r="18" spans="1:8" ht="14.1" customHeight="1" x14ac:dyDescent="0.2">
      <c r="A18" s="99"/>
      <c r="B18" s="1"/>
      <c r="C18" s="2" t="s">
        <v>140</v>
      </c>
      <c r="D18" s="1"/>
      <c r="E18" s="1"/>
      <c r="F18" s="11"/>
      <c r="G18" s="11"/>
      <c r="H18" s="109"/>
    </row>
    <row r="19" spans="1:8" ht="14.1" customHeight="1" x14ac:dyDescent="0.2">
      <c r="A19" s="99"/>
      <c r="B19" s="1"/>
      <c r="C19" s="2" t="s">
        <v>135</v>
      </c>
      <c r="D19" s="1"/>
      <c r="E19" s="1" t="s">
        <v>136</v>
      </c>
      <c r="F19" s="8">
        <v>0</v>
      </c>
      <c r="G19" s="9">
        <v>0</v>
      </c>
      <c r="H19" s="109"/>
    </row>
    <row r="20" spans="1:8" ht="14.1" customHeight="1" x14ac:dyDescent="0.2">
      <c r="A20" s="99"/>
      <c r="B20" s="1"/>
      <c r="C20" s="10"/>
      <c r="D20" s="1"/>
      <c r="E20" s="1"/>
      <c r="F20" s="11"/>
      <c r="G20" s="11"/>
      <c r="H20" s="109"/>
    </row>
    <row r="21" spans="1:8" ht="14.1" customHeight="1" x14ac:dyDescent="0.2">
      <c r="A21" s="99"/>
      <c r="B21" s="1"/>
      <c r="C21" s="2" t="s">
        <v>141</v>
      </c>
      <c r="D21" s="1"/>
      <c r="E21" s="1"/>
      <c r="F21" s="11"/>
      <c r="G21" s="11"/>
      <c r="H21" s="109"/>
    </row>
    <row r="22" spans="1:8" ht="14.1" customHeight="1" x14ac:dyDescent="0.2">
      <c r="A22" s="99"/>
      <c r="B22" s="1"/>
      <c r="C22" s="2" t="s">
        <v>135</v>
      </c>
      <c r="D22" s="1"/>
      <c r="E22" s="1" t="s">
        <v>136</v>
      </c>
      <c r="F22" s="8">
        <v>0</v>
      </c>
      <c r="G22" s="9">
        <v>0</v>
      </c>
      <c r="H22" s="109"/>
    </row>
    <row r="23" spans="1:8" ht="14.1" customHeight="1" x14ac:dyDescent="0.2">
      <c r="A23" s="99"/>
      <c r="B23" s="1"/>
      <c r="C23" s="10"/>
      <c r="D23" s="1"/>
      <c r="E23" s="1"/>
      <c r="F23" s="11"/>
      <c r="G23" s="11"/>
      <c r="H23" s="109"/>
    </row>
    <row r="24" spans="1:8" ht="18" customHeight="1" x14ac:dyDescent="0.2">
      <c r="A24" s="99"/>
      <c r="B24" s="1"/>
      <c r="C24" s="2" t="s">
        <v>142</v>
      </c>
      <c r="D24" s="1"/>
      <c r="E24" s="1"/>
      <c r="F24" s="8">
        <v>0</v>
      </c>
      <c r="G24" s="9">
        <v>0</v>
      </c>
      <c r="H24" s="109"/>
    </row>
    <row r="25" spans="1:8" ht="14.1" customHeight="1" x14ac:dyDescent="0.2">
      <c r="A25" s="99"/>
      <c r="B25" s="1"/>
      <c r="C25" s="10"/>
      <c r="D25" s="1"/>
      <c r="E25" s="1"/>
      <c r="F25" s="11"/>
      <c r="G25" s="11"/>
      <c r="H25" s="109"/>
    </row>
    <row r="26" spans="1:8" ht="14.1" customHeight="1" x14ac:dyDescent="0.2">
      <c r="A26" s="99"/>
      <c r="B26" s="1"/>
      <c r="C26" s="2" t="s">
        <v>143</v>
      </c>
      <c r="D26" s="1"/>
      <c r="E26" s="1"/>
      <c r="F26" s="11"/>
      <c r="G26" s="11"/>
      <c r="H26" s="109"/>
    </row>
    <row r="27" spans="1:8" ht="24" customHeight="1" x14ac:dyDescent="0.2">
      <c r="A27" s="99"/>
      <c r="B27" s="1"/>
      <c r="C27" s="2" t="s">
        <v>10</v>
      </c>
      <c r="D27" s="1"/>
      <c r="E27" s="1"/>
      <c r="F27" s="11"/>
      <c r="G27" s="11"/>
      <c r="H27" s="109"/>
    </row>
    <row r="28" spans="1:8" ht="14.1" customHeight="1" x14ac:dyDescent="0.2">
      <c r="A28" s="99"/>
      <c r="B28" s="1"/>
      <c r="C28" s="2" t="s">
        <v>135</v>
      </c>
      <c r="D28" s="1"/>
      <c r="E28" s="1" t="s">
        <v>136</v>
      </c>
      <c r="F28" s="8">
        <v>0</v>
      </c>
      <c r="G28" s="9">
        <v>0</v>
      </c>
      <c r="H28" s="109"/>
    </row>
    <row r="29" spans="1:8" ht="14.1" customHeight="1" x14ac:dyDescent="0.2">
      <c r="A29" s="99"/>
      <c r="B29" s="1"/>
      <c r="C29" s="10"/>
      <c r="D29" s="1"/>
      <c r="E29" s="1"/>
      <c r="F29" s="11"/>
      <c r="G29" s="11"/>
      <c r="H29" s="109"/>
    </row>
    <row r="30" spans="1:8" ht="14.1" customHeight="1" x14ac:dyDescent="0.2">
      <c r="A30" s="99"/>
      <c r="B30" s="1"/>
      <c r="C30" s="2" t="s">
        <v>144</v>
      </c>
      <c r="D30" s="1"/>
      <c r="E30" s="1"/>
      <c r="F30" s="1"/>
      <c r="G30" s="1"/>
      <c r="H30" s="109"/>
    </row>
    <row r="31" spans="1:8" ht="14.1" customHeight="1" x14ac:dyDescent="0.2">
      <c r="A31" s="99"/>
      <c r="B31" s="1"/>
      <c r="C31" s="2" t="s">
        <v>135</v>
      </c>
      <c r="D31" s="1"/>
      <c r="E31" s="1" t="s">
        <v>136</v>
      </c>
      <c r="F31" s="8">
        <v>0</v>
      </c>
      <c r="G31" s="9">
        <v>0</v>
      </c>
      <c r="H31" s="109"/>
    </row>
    <row r="32" spans="1:8" ht="14.1" customHeight="1" x14ac:dyDescent="0.2">
      <c r="A32" s="99"/>
      <c r="B32" s="1"/>
      <c r="C32" s="10"/>
      <c r="D32" s="1"/>
      <c r="E32" s="1"/>
      <c r="F32" s="11"/>
      <c r="G32" s="11"/>
      <c r="H32" s="109"/>
    </row>
    <row r="33" spans="1:8" ht="14.1" customHeight="1" x14ac:dyDescent="0.2">
      <c r="A33" s="99"/>
      <c r="B33" s="1"/>
      <c r="C33" s="2" t="s">
        <v>145</v>
      </c>
      <c r="D33" s="1"/>
      <c r="E33" s="1"/>
      <c r="F33" s="1"/>
      <c r="G33" s="1"/>
      <c r="H33" s="109"/>
    </row>
    <row r="34" spans="1:8" ht="14.1" customHeight="1" x14ac:dyDescent="0.2">
      <c r="A34" s="99"/>
      <c r="B34" s="1"/>
      <c r="C34" s="2" t="s">
        <v>135</v>
      </c>
      <c r="D34" s="1"/>
      <c r="E34" s="1" t="s">
        <v>136</v>
      </c>
      <c r="F34" s="8">
        <v>0</v>
      </c>
      <c r="G34" s="9">
        <v>0</v>
      </c>
      <c r="H34" s="109"/>
    </row>
    <row r="35" spans="1:8" ht="14.1" customHeight="1" x14ac:dyDescent="0.2">
      <c r="A35" s="99"/>
      <c r="B35" s="1"/>
      <c r="C35" s="10"/>
      <c r="D35" s="1"/>
      <c r="E35" s="1"/>
      <c r="F35" s="11"/>
      <c r="G35" s="11"/>
      <c r="H35" s="109"/>
    </row>
    <row r="36" spans="1:8" ht="14.1" customHeight="1" x14ac:dyDescent="0.2">
      <c r="A36" s="99"/>
      <c r="B36" s="1"/>
      <c r="C36" s="2" t="s">
        <v>146</v>
      </c>
      <c r="D36" s="1"/>
      <c r="E36" s="1"/>
      <c r="F36" s="11"/>
      <c r="G36" s="11"/>
      <c r="H36" s="109"/>
    </row>
    <row r="37" spans="1:8" ht="14.1" customHeight="1" x14ac:dyDescent="0.2">
      <c r="A37" s="99"/>
      <c r="B37" s="1"/>
      <c r="C37" s="2" t="s">
        <v>135</v>
      </c>
      <c r="D37" s="1"/>
      <c r="E37" s="1" t="s">
        <v>136</v>
      </c>
      <c r="F37" s="8">
        <v>0</v>
      </c>
      <c r="G37" s="9">
        <v>0</v>
      </c>
      <c r="H37" s="109"/>
    </row>
    <row r="38" spans="1:8" ht="14.1" customHeight="1" x14ac:dyDescent="0.2">
      <c r="A38" s="99"/>
      <c r="B38" s="1"/>
      <c r="C38" s="10"/>
      <c r="D38" s="1"/>
      <c r="E38" s="1"/>
      <c r="F38" s="11"/>
      <c r="G38" s="11"/>
      <c r="H38" s="109"/>
    </row>
    <row r="39" spans="1:8" ht="14.1" customHeight="1" x14ac:dyDescent="0.2">
      <c r="A39" s="99"/>
      <c r="B39" s="1"/>
      <c r="C39" s="2" t="s">
        <v>147</v>
      </c>
      <c r="D39" s="1"/>
      <c r="E39" s="1"/>
      <c r="F39" s="8">
        <v>0</v>
      </c>
      <c r="G39" s="9">
        <v>0</v>
      </c>
      <c r="H39" s="109"/>
    </row>
    <row r="40" spans="1:8" ht="14.1" customHeight="1" x14ac:dyDescent="0.2">
      <c r="A40" s="99"/>
      <c r="B40" s="1"/>
      <c r="C40" s="10"/>
      <c r="D40" s="1"/>
      <c r="E40" s="1"/>
      <c r="F40" s="11"/>
      <c r="G40" s="11"/>
      <c r="H40" s="109"/>
    </row>
    <row r="41" spans="1:8" ht="14.1" customHeight="1" x14ac:dyDescent="0.2">
      <c r="A41" s="99"/>
      <c r="B41" s="1"/>
      <c r="C41" s="2" t="s">
        <v>148</v>
      </c>
      <c r="D41" s="1"/>
      <c r="E41" s="1"/>
      <c r="F41" s="11"/>
      <c r="G41" s="11"/>
      <c r="H41" s="109"/>
    </row>
    <row r="42" spans="1:8" ht="14.1" customHeight="1" x14ac:dyDescent="0.2">
      <c r="A42" s="99"/>
      <c r="B42" s="1"/>
      <c r="C42" s="2" t="s">
        <v>149</v>
      </c>
      <c r="D42" s="1"/>
      <c r="E42" s="1"/>
      <c r="F42" s="11"/>
      <c r="G42" s="11"/>
      <c r="H42" s="109"/>
    </row>
    <row r="43" spans="1:8" ht="14.1" customHeight="1" x14ac:dyDescent="0.2">
      <c r="A43" s="99"/>
      <c r="B43" s="1"/>
      <c r="C43" s="2" t="s">
        <v>135</v>
      </c>
      <c r="D43" s="1"/>
      <c r="E43" s="1" t="s">
        <v>136</v>
      </c>
      <c r="F43" s="8">
        <v>0</v>
      </c>
      <c r="G43" s="9">
        <v>0</v>
      </c>
      <c r="H43" s="109"/>
    </row>
    <row r="44" spans="1:8" ht="14.1" customHeight="1" x14ac:dyDescent="0.2">
      <c r="A44" s="99"/>
      <c r="B44" s="1"/>
      <c r="C44" s="10"/>
      <c r="D44" s="1"/>
      <c r="E44" s="1"/>
      <c r="F44" s="11"/>
      <c r="G44" s="11"/>
      <c r="H44" s="109"/>
    </row>
    <row r="45" spans="1:8" ht="14.1" customHeight="1" x14ac:dyDescent="0.2">
      <c r="A45" s="99"/>
      <c r="B45" s="1"/>
      <c r="C45" s="2" t="s">
        <v>150</v>
      </c>
      <c r="D45" s="1"/>
      <c r="E45" s="1"/>
      <c r="F45" s="11"/>
      <c r="G45" s="11"/>
      <c r="H45" s="109"/>
    </row>
    <row r="46" spans="1:8" ht="14.1" customHeight="1" x14ac:dyDescent="0.2">
      <c r="A46" s="99"/>
      <c r="B46" s="1"/>
      <c r="C46" s="2" t="s">
        <v>135</v>
      </c>
      <c r="D46" s="1"/>
      <c r="E46" s="1" t="s">
        <v>136</v>
      </c>
      <c r="F46" s="8">
        <v>0</v>
      </c>
      <c r="G46" s="9">
        <v>0</v>
      </c>
      <c r="H46" s="109"/>
    </row>
    <row r="47" spans="1:8" ht="14.1" customHeight="1" x14ac:dyDescent="0.2">
      <c r="A47" s="99"/>
      <c r="B47" s="1"/>
      <c r="C47" s="10"/>
      <c r="D47" s="1"/>
      <c r="E47" s="1"/>
      <c r="F47" s="11"/>
      <c r="G47" s="11"/>
      <c r="H47" s="109"/>
    </row>
    <row r="48" spans="1:8" ht="14.1" customHeight="1" x14ac:dyDescent="0.2">
      <c r="A48" s="99"/>
      <c r="B48" s="1"/>
      <c r="C48" s="2" t="s">
        <v>151</v>
      </c>
      <c r="D48" s="1"/>
      <c r="E48" s="1"/>
      <c r="F48" s="11"/>
      <c r="G48" s="11"/>
      <c r="H48" s="109"/>
    </row>
    <row r="49" spans="1:8" ht="14.1" customHeight="1" x14ac:dyDescent="0.2">
      <c r="A49" s="99"/>
      <c r="B49" s="1"/>
      <c r="C49" s="2" t="s">
        <v>135</v>
      </c>
      <c r="D49" s="1"/>
      <c r="E49" s="1" t="s">
        <v>136</v>
      </c>
      <c r="F49" s="8">
        <v>0</v>
      </c>
      <c r="G49" s="9">
        <v>0</v>
      </c>
      <c r="H49" s="109"/>
    </row>
    <row r="50" spans="1:8" ht="14.1" customHeight="1" x14ac:dyDescent="0.2">
      <c r="A50" s="99"/>
      <c r="B50" s="1"/>
      <c r="C50" s="10"/>
      <c r="D50" s="1"/>
      <c r="E50" s="1"/>
      <c r="F50" s="11"/>
      <c r="G50" s="11"/>
      <c r="H50" s="109"/>
    </row>
    <row r="51" spans="1:8" ht="14.1" customHeight="1" x14ac:dyDescent="0.2">
      <c r="A51" s="99"/>
      <c r="B51" s="1"/>
      <c r="C51" s="2" t="s">
        <v>152</v>
      </c>
      <c r="D51" s="1"/>
      <c r="E51" s="1"/>
      <c r="F51" s="11"/>
      <c r="G51" s="11"/>
      <c r="H51" s="109"/>
    </row>
    <row r="52" spans="1:8" ht="17.100000000000001" customHeight="1" x14ac:dyDescent="0.2">
      <c r="A52" s="100">
        <v>1</v>
      </c>
      <c r="B52" s="3"/>
      <c r="C52" s="3" t="s">
        <v>153</v>
      </c>
      <c r="D52" s="3"/>
      <c r="E52" s="7"/>
      <c r="F52" s="5">
        <v>33360.861048040002</v>
      </c>
      <c r="G52" s="6">
        <v>0.99522321000000002</v>
      </c>
      <c r="H52" s="109">
        <v>6.6015165706411798</v>
      </c>
    </row>
    <row r="53" spans="1:8" ht="14.1" customHeight="1" x14ac:dyDescent="0.2">
      <c r="A53" s="99"/>
      <c r="B53" s="1"/>
      <c r="C53" s="2" t="s">
        <v>135</v>
      </c>
      <c r="D53" s="1"/>
      <c r="E53" s="1" t="s">
        <v>136</v>
      </c>
      <c r="F53" s="8">
        <v>33360.861048040002</v>
      </c>
      <c r="G53" s="9">
        <v>0.99522321000000002</v>
      </c>
      <c r="H53" s="109"/>
    </row>
    <row r="54" spans="1:8" ht="14.1" customHeight="1" x14ac:dyDescent="0.2">
      <c r="A54" s="99"/>
      <c r="B54" s="1"/>
      <c r="C54" s="10"/>
      <c r="D54" s="1"/>
      <c r="E54" s="1"/>
      <c r="F54" s="11"/>
      <c r="G54" s="11"/>
      <c r="H54" s="109"/>
    </row>
    <row r="55" spans="1:8" ht="14.1" customHeight="1" x14ac:dyDescent="0.2">
      <c r="A55" s="99"/>
      <c r="B55" s="1"/>
      <c r="C55" s="2" t="s">
        <v>154</v>
      </c>
      <c r="D55" s="1"/>
      <c r="E55" s="1"/>
      <c r="F55" s="8">
        <v>33360.861048040002</v>
      </c>
      <c r="G55" s="9">
        <v>0.99522321000000002</v>
      </c>
      <c r="H55" s="109"/>
    </row>
    <row r="56" spans="1:8" ht="14.1" customHeight="1" x14ac:dyDescent="0.2">
      <c r="A56" s="99"/>
      <c r="B56" s="1"/>
      <c r="C56" s="11"/>
      <c r="D56" s="1"/>
      <c r="E56" s="1"/>
      <c r="F56" s="1"/>
      <c r="G56" s="1"/>
      <c r="H56" s="109"/>
    </row>
    <row r="57" spans="1:8" ht="14.1" customHeight="1" x14ac:dyDescent="0.2">
      <c r="A57" s="99"/>
      <c r="B57" s="1"/>
      <c r="C57" s="2" t="s">
        <v>155</v>
      </c>
      <c r="D57" s="1"/>
      <c r="E57" s="1"/>
      <c r="F57" s="1"/>
      <c r="G57" s="1"/>
      <c r="H57" s="109"/>
    </row>
    <row r="58" spans="1:8" ht="14.1" customHeight="1" x14ac:dyDescent="0.2">
      <c r="A58" s="99"/>
      <c r="B58" s="1"/>
      <c r="C58" s="2" t="s">
        <v>156</v>
      </c>
      <c r="D58" s="1"/>
      <c r="E58" s="1"/>
      <c r="F58" s="1"/>
      <c r="G58" s="1"/>
      <c r="H58" s="109"/>
    </row>
    <row r="59" spans="1:8" ht="14.1" customHeight="1" x14ac:dyDescent="0.2">
      <c r="A59" s="99"/>
      <c r="B59" s="1"/>
      <c r="C59" s="2" t="s">
        <v>135</v>
      </c>
      <c r="D59" s="1"/>
      <c r="E59" s="1" t="s">
        <v>136</v>
      </c>
      <c r="F59" s="8">
        <v>0</v>
      </c>
      <c r="G59" s="9">
        <v>0</v>
      </c>
      <c r="H59" s="109"/>
    </row>
    <row r="60" spans="1:8" ht="14.1" customHeight="1" x14ac:dyDescent="0.2">
      <c r="A60" s="99"/>
      <c r="B60" s="1"/>
      <c r="C60" s="10"/>
      <c r="D60" s="1"/>
      <c r="E60" s="1"/>
      <c r="F60" s="11"/>
      <c r="G60" s="11"/>
      <c r="H60" s="109"/>
    </row>
    <row r="61" spans="1:8" ht="14.1" customHeight="1" x14ac:dyDescent="0.2">
      <c r="A61" s="99"/>
      <c r="B61" s="1"/>
      <c r="C61" s="2" t="s">
        <v>157</v>
      </c>
      <c r="D61" s="1"/>
      <c r="E61" s="1"/>
      <c r="F61" s="1"/>
      <c r="G61" s="1"/>
      <c r="H61" s="109"/>
    </row>
    <row r="62" spans="1:8" ht="14.1" customHeight="1" x14ac:dyDescent="0.2">
      <c r="A62" s="99"/>
      <c r="B62" s="1"/>
      <c r="C62" s="2" t="s">
        <v>158</v>
      </c>
      <c r="D62" s="1"/>
      <c r="E62" s="1"/>
      <c r="F62" s="1"/>
      <c r="G62" s="1"/>
      <c r="H62" s="109"/>
    </row>
    <row r="63" spans="1:8" ht="14.1" customHeight="1" x14ac:dyDescent="0.2">
      <c r="A63" s="99"/>
      <c r="B63" s="1"/>
      <c r="C63" s="2" t="s">
        <v>135</v>
      </c>
      <c r="D63" s="1"/>
      <c r="E63" s="1" t="s">
        <v>136</v>
      </c>
      <c r="F63" s="8">
        <v>0</v>
      </c>
      <c r="G63" s="9">
        <v>0</v>
      </c>
      <c r="H63" s="109"/>
    </row>
    <row r="64" spans="1:8" ht="14.1" customHeight="1" x14ac:dyDescent="0.2">
      <c r="A64" s="99"/>
      <c r="B64" s="1"/>
      <c r="C64" s="10"/>
      <c r="D64" s="1"/>
      <c r="E64" s="1"/>
      <c r="F64" s="11"/>
      <c r="G64" s="11"/>
      <c r="H64" s="109"/>
    </row>
    <row r="65" spans="1:8" ht="24" customHeight="1" x14ac:dyDescent="0.2">
      <c r="A65" s="99"/>
      <c r="B65" s="1"/>
      <c r="C65" s="2" t="s">
        <v>159</v>
      </c>
      <c r="D65" s="1"/>
      <c r="E65" s="1"/>
      <c r="F65" s="11"/>
      <c r="G65" s="11"/>
      <c r="H65" s="109"/>
    </row>
    <row r="66" spans="1:8" ht="14.1" customHeight="1" x14ac:dyDescent="0.2">
      <c r="A66" s="99"/>
      <c r="B66" s="1"/>
      <c r="C66" s="2" t="s">
        <v>135</v>
      </c>
      <c r="D66" s="1"/>
      <c r="E66" s="1" t="s">
        <v>136</v>
      </c>
      <c r="F66" s="8">
        <v>0</v>
      </c>
      <c r="G66" s="9">
        <v>0</v>
      </c>
      <c r="H66" s="109"/>
    </row>
    <row r="67" spans="1:8" ht="14.1" customHeight="1" x14ac:dyDescent="0.2">
      <c r="A67" s="99"/>
      <c r="B67" s="1"/>
      <c r="C67" s="10"/>
      <c r="D67" s="1"/>
      <c r="E67" s="1"/>
      <c r="F67" s="11"/>
      <c r="G67" s="11"/>
      <c r="H67" s="109"/>
    </row>
    <row r="68" spans="1:8" ht="14.1" customHeight="1" x14ac:dyDescent="0.2">
      <c r="A68" s="99"/>
      <c r="B68" s="3"/>
      <c r="C68" s="3"/>
      <c r="D68" s="2"/>
      <c r="E68" s="1"/>
      <c r="F68" s="3"/>
      <c r="G68" s="7"/>
      <c r="H68" s="109"/>
    </row>
    <row r="69" spans="1:8" ht="18" customHeight="1" x14ac:dyDescent="0.2">
      <c r="A69" s="101"/>
      <c r="B69" s="3"/>
      <c r="C69" s="3" t="s">
        <v>160</v>
      </c>
      <c r="D69" s="3"/>
      <c r="E69" s="7"/>
      <c r="F69" s="5">
        <v>160.12287021</v>
      </c>
      <c r="G69" s="6">
        <v>4.7768000000000003E-3</v>
      </c>
      <c r="H69" s="109"/>
    </row>
    <row r="70" spans="1:8" ht="14.1" customHeight="1" x14ac:dyDescent="0.2">
      <c r="A70" s="102"/>
      <c r="B70" s="10"/>
      <c r="C70" s="2" t="s">
        <v>161</v>
      </c>
      <c r="D70" s="11"/>
      <c r="E70" s="11"/>
      <c r="F70" s="8">
        <v>33520.98391825</v>
      </c>
      <c r="G70" s="12">
        <v>1.0000000099999999</v>
      </c>
      <c r="H70" s="109"/>
    </row>
    <row r="71" spans="1:8" ht="14.1" customHeight="1" x14ac:dyDescent="0.2">
      <c r="A71" s="13"/>
      <c r="B71" s="13"/>
      <c r="C71" s="13"/>
      <c r="D71" s="14"/>
      <c r="E71" s="14"/>
      <c r="F71" s="14"/>
      <c r="G71" s="14"/>
    </row>
    <row r="72" spans="1:8" ht="14.1" customHeight="1" x14ac:dyDescent="0.2">
      <c r="A72" s="15"/>
      <c r="B72" s="15"/>
      <c r="C72" s="15"/>
      <c r="D72" s="17"/>
      <c r="E72" s="17"/>
      <c r="F72" s="17"/>
      <c r="G72" s="17"/>
    </row>
    <row r="73" spans="1:8" ht="14.1" customHeight="1" x14ac:dyDescent="0.2">
      <c r="A73" s="15"/>
      <c r="B73" s="194" t="s">
        <v>163</v>
      </c>
      <c r="C73" s="195"/>
      <c r="D73" s="196"/>
      <c r="E73" s="18"/>
      <c r="F73" s="17"/>
      <c r="G73" s="17"/>
    </row>
    <row r="74" spans="1:8" ht="29.1" customHeight="1" x14ac:dyDescent="0.2">
      <c r="A74" s="15"/>
      <c r="B74" s="191" t="s">
        <v>164</v>
      </c>
      <c r="C74" s="192"/>
      <c r="D74" s="2" t="s">
        <v>165</v>
      </c>
      <c r="E74" s="18"/>
      <c r="F74" s="17"/>
      <c r="G74" s="17"/>
    </row>
    <row r="75" spans="1:8" ht="17.100000000000001" customHeight="1" x14ac:dyDescent="0.2">
      <c r="A75" s="15"/>
      <c r="B75" s="191" t="s">
        <v>166</v>
      </c>
      <c r="C75" s="192"/>
      <c r="D75" s="2" t="s">
        <v>165</v>
      </c>
      <c r="E75" s="18"/>
      <c r="F75" s="17"/>
      <c r="G75" s="17"/>
    </row>
    <row r="76" spans="1:8" ht="17.100000000000001" customHeight="1" x14ac:dyDescent="0.2">
      <c r="A76" s="15"/>
      <c r="B76" s="191" t="s">
        <v>167</v>
      </c>
      <c r="C76" s="192"/>
      <c r="D76" s="11" t="s">
        <v>136</v>
      </c>
      <c r="E76" s="18"/>
      <c r="F76" s="17"/>
      <c r="G76" s="17"/>
    </row>
    <row r="77" spans="1:8" ht="24" customHeight="1" x14ac:dyDescent="0.2">
      <c r="A77" s="19"/>
      <c r="B77" s="20" t="s">
        <v>136</v>
      </c>
      <c r="C77" s="20" t="s">
        <v>168</v>
      </c>
      <c r="D77" s="20" t="s">
        <v>169</v>
      </c>
      <c r="E77" s="19"/>
      <c r="F77" s="19"/>
      <c r="G77" s="19"/>
    </row>
    <row r="78" spans="1:8" ht="18" customHeight="1" x14ac:dyDescent="0.2">
      <c r="A78" s="19"/>
      <c r="B78" s="21" t="s">
        <v>170</v>
      </c>
      <c r="C78" s="20" t="s">
        <v>171</v>
      </c>
      <c r="D78" s="20" t="s">
        <v>172</v>
      </c>
      <c r="E78" s="19"/>
      <c r="F78" s="19"/>
      <c r="G78" s="19"/>
    </row>
    <row r="79" spans="1:8" ht="17.100000000000001" customHeight="1" x14ac:dyDescent="0.2">
      <c r="A79" s="19"/>
      <c r="B79" s="3" t="s">
        <v>173</v>
      </c>
      <c r="C79" s="22">
        <v>17.900200000000002</v>
      </c>
      <c r="D79" s="22">
        <v>17.909300000000002</v>
      </c>
      <c r="E79" s="19"/>
      <c r="F79" s="16"/>
      <c r="G79" s="23"/>
    </row>
    <row r="80" spans="1:8" ht="17.100000000000001" customHeight="1" x14ac:dyDescent="0.2">
      <c r="A80" s="19"/>
      <c r="B80" s="3" t="s">
        <v>994</v>
      </c>
      <c r="C80" s="22">
        <v>17.900200000000002</v>
      </c>
      <c r="D80" s="22">
        <v>17.909300000000002</v>
      </c>
      <c r="E80" s="19"/>
      <c r="F80" s="16"/>
      <c r="G80" s="23"/>
    </row>
    <row r="81" spans="1:7" ht="17.100000000000001" customHeight="1" x14ac:dyDescent="0.2">
      <c r="A81" s="19"/>
      <c r="B81" s="3" t="s">
        <v>174</v>
      </c>
      <c r="C81" s="22">
        <v>17.103899999999999</v>
      </c>
      <c r="D81" s="22">
        <v>17.102399999999999</v>
      </c>
      <c r="E81" s="19"/>
      <c r="F81" s="16"/>
      <c r="G81" s="23"/>
    </row>
    <row r="82" spans="1:7" ht="17.100000000000001" customHeight="1" x14ac:dyDescent="0.2">
      <c r="A82" s="19"/>
      <c r="B82" s="3" t="s">
        <v>995</v>
      </c>
      <c r="C82" s="22">
        <v>17.103899999999999</v>
      </c>
      <c r="D82" s="22">
        <v>17.102399999999999</v>
      </c>
      <c r="E82" s="19"/>
      <c r="F82" s="16"/>
      <c r="G82" s="23"/>
    </row>
    <row r="83" spans="1:7" ht="14.1" customHeight="1" x14ac:dyDescent="0.2">
      <c r="A83" s="19"/>
      <c r="B83" s="19"/>
      <c r="C83" s="19"/>
      <c r="D83" s="19"/>
      <c r="E83" s="19"/>
      <c r="F83" s="19"/>
      <c r="G83" s="19"/>
    </row>
    <row r="84" spans="1:7" ht="17.100000000000001" customHeight="1" x14ac:dyDescent="0.2">
      <c r="A84" s="19"/>
      <c r="B84" s="191" t="s">
        <v>1044</v>
      </c>
      <c r="C84" s="192"/>
      <c r="D84" s="2" t="s">
        <v>165</v>
      </c>
      <c r="E84" s="19"/>
      <c r="F84" s="19"/>
      <c r="G84" s="19"/>
    </row>
    <row r="85" spans="1:7" ht="18" customHeight="1" x14ac:dyDescent="0.2">
      <c r="A85" s="19"/>
      <c r="B85" s="24"/>
      <c r="C85" s="24"/>
      <c r="D85" s="24"/>
      <c r="E85" s="19"/>
      <c r="F85" s="19"/>
      <c r="G85" s="19"/>
    </row>
    <row r="86" spans="1:7" ht="29.1" customHeight="1" x14ac:dyDescent="0.2">
      <c r="A86" s="19"/>
      <c r="B86" s="191" t="s">
        <v>175</v>
      </c>
      <c r="C86" s="192"/>
      <c r="D86" s="2" t="s">
        <v>165</v>
      </c>
      <c r="E86" s="25"/>
      <c r="F86" s="19"/>
      <c r="G86" s="19"/>
    </row>
    <row r="87" spans="1:7" ht="29.1" customHeight="1" x14ac:dyDescent="0.2">
      <c r="A87" s="19"/>
      <c r="B87" s="191" t="s">
        <v>176</v>
      </c>
      <c r="C87" s="192"/>
      <c r="D87" s="2" t="s">
        <v>165</v>
      </c>
      <c r="E87" s="25"/>
      <c r="F87" s="19"/>
      <c r="G87" s="19"/>
    </row>
    <row r="88" spans="1:7" ht="17.100000000000001" customHeight="1" x14ac:dyDescent="0.2">
      <c r="A88" s="19"/>
      <c r="B88" s="191" t="s">
        <v>177</v>
      </c>
      <c r="C88" s="192"/>
      <c r="D88" s="2" t="s">
        <v>165</v>
      </c>
      <c r="E88" s="25"/>
      <c r="F88" s="19"/>
      <c r="G88" s="19"/>
    </row>
    <row r="89" spans="1:7" ht="17.100000000000001" customHeight="1" x14ac:dyDescent="0.2">
      <c r="A89" s="19"/>
      <c r="B89" s="191" t="s">
        <v>178</v>
      </c>
      <c r="C89" s="192"/>
      <c r="D89" s="26">
        <v>0.19223984422038726</v>
      </c>
      <c r="E89" s="19"/>
      <c r="F89" s="16"/>
      <c r="G89" s="23"/>
    </row>
    <row r="90" spans="1:7" ht="14.1" customHeight="1" x14ac:dyDescent="0.2">
      <c r="A90" s="24"/>
      <c r="B90" s="24"/>
      <c r="C90" s="24"/>
      <c r="D90" s="24"/>
      <c r="E90" s="24"/>
      <c r="F90" s="24"/>
      <c r="G90" s="24"/>
    </row>
    <row r="165" spans="10:14" x14ac:dyDescent="0.2">
      <c r="J165" s="170"/>
      <c r="K165" s="170"/>
      <c r="L165" s="170"/>
      <c r="M165" s="170"/>
      <c r="N165" s="170"/>
    </row>
  </sheetData>
  <mergeCells count="13">
    <mergeCell ref="J2:N2"/>
    <mergeCell ref="B75:C75"/>
    <mergeCell ref="B76:C76"/>
    <mergeCell ref="B73:D73"/>
    <mergeCell ref="B74:C74"/>
    <mergeCell ref="A1:H1"/>
    <mergeCell ref="A2:H2"/>
    <mergeCell ref="A3:H3"/>
    <mergeCell ref="B88:C88"/>
    <mergeCell ref="B89:C89"/>
    <mergeCell ref="B84:C84"/>
    <mergeCell ref="B86:C86"/>
    <mergeCell ref="B87:C87"/>
  </mergeCells>
  <hyperlinks>
    <hyperlink ref="I1" location="Index!B8" display="Index" xr:uid="{EF2E4C0F-2679-4CF3-8793-64C739E8FB66}"/>
  </hyperlinks>
  <pageMargins left="5.000000074505806E-2" right="5.000000074505806E-2" top="0.30000001192092896" bottom="0.20000000298023224" header="0" footer="0"/>
  <pageSetup paperSize="9"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64"/>
  <sheetViews>
    <sheetView showGridLines="0" workbookViewId="0">
      <selection sqref="A1:H1"/>
    </sheetView>
  </sheetViews>
  <sheetFormatPr defaultRowHeight="12.75" x14ac:dyDescent="0.2"/>
  <cols>
    <col min="1" max="1" width="5.85546875" bestFit="1"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7" t="s">
        <v>0</v>
      </c>
      <c r="B1" s="187"/>
      <c r="C1" s="187"/>
      <c r="D1" s="187"/>
      <c r="E1" s="187"/>
      <c r="F1" s="187"/>
      <c r="G1" s="187"/>
      <c r="H1" s="187"/>
      <c r="I1" s="167" t="s">
        <v>1055</v>
      </c>
    </row>
    <row r="2" spans="1:14" ht="17.100000000000001" customHeight="1" x14ac:dyDescent="0.2">
      <c r="A2" s="188" t="s">
        <v>370</v>
      </c>
      <c r="B2" s="189"/>
      <c r="C2" s="189"/>
      <c r="D2" s="189"/>
      <c r="E2" s="189"/>
      <c r="F2" s="189"/>
      <c r="G2" s="189"/>
      <c r="H2" s="190"/>
      <c r="J2" s="186" t="s">
        <v>1056</v>
      </c>
      <c r="K2" s="186"/>
      <c r="L2" s="186"/>
      <c r="M2" s="186"/>
      <c r="N2" s="186"/>
    </row>
    <row r="3" spans="1:14" ht="21" customHeight="1" x14ac:dyDescent="0.2">
      <c r="A3" s="187" t="s">
        <v>1052</v>
      </c>
      <c r="B3" s="187"/>
      <c r="C3" s="187"/>
      <c r="D3" s="187"/>
      <c r="E3" s="187"/>
      <c r="F3" s="187"/>
      <c r="G3" s="187"/>
      <c r="H3" s="187"/>
    </row>
    <row r="4" spans="1:14" ht="30" x14ac:dyDescent="0.2">
      <c r="A4" s="163" t="s">
        <v>2</v>
      </c>
      <c r="B4" s="164" t="s">
        <v>3</v>
      </c>
      <c r="C4" s="164" t="s">
        <v>4</v>
      </c>
      <c r="D4" s="164" t="s">
        <v>5</v>
      </c>
      <c r="E4" s="164" t="s">
        <v>6</v>
      </c>
      <c r="F4" s="164" t="s">
        <v>7</v>
      </c>
      <c r="G4" s="164" t="s">
        <v>8</v>
      </c>
      <c r="H4" s="120" t="s">
        <v>881</v>
      </c>
      <c r="I4" s="165"/>
      <c r="J4" s="165"/>
      <c r="K4" s="165"/>
      <c r="L4" s="165"/>
      <c r="M4" s="165"/>
      <c r="N4" s="165"/>
    </row>
    <row r="5" spans="1:14" ht="14.1" customHeight="1" x14ac:dyDescent="0.2">
      <c r="A5" s="99"/>
      <c r="B5" s="1"/>
      <c r="C5" s="2" t="s">
        <v>9</v>
      </c>
      <c r="D5" s="1"/>
      <c r="E5" s="1"/>
      <c r="F5" s="1"/>
      <c r="G5" s="1"/>
      <c r="H5" s="109"/>
    </row>
    <row r="6" spans="1:14" ht="24" customHeight="1" x14ac:dyDescent="0.2">
      <c r="A6" s="99"/>
      <c r="B6" s="1"/>
      <c r="C6" s="2" t="s">
        <v>10</v>
      </c>
      <c r="D6" s="1"/>
      <c r="E6" s="1"/>
      <c r="F6" s="1"/>
      <c r="G6" s="1"/>
      <c r="H6" s="109"/>
    </row>
    <row r="7" spans="1:14" ht="17.100000000000001" customHeight="1" x14ac:dyDescent="0.2">
      <c r="A7" s="100">
        <v>1</v>
      </c>
      <c r="B7" s="3" t="s">
        <v>371</v>
      </c>
      <c r="C7" s="3" t="s">
        <v>372</v>
      </c>
      <c r="D7" s="3" t="s">
        <v>22</v>
      </c>
      <c r="E7" s="4">
        <v>1790187</v>
      </c>
      <c r="F7" s="5">
        <v>1279.9837050000001</v>
      </c>
      <c r="G7" s="6">
        <v>4.3003220000000002E-2</v>
      </c>
      <c r="H7" s="109"/>
    </row>
    <row r="8" spans="1:14" ht="29.1" customHeight="1" x14ac:dyDescent="0.2">
      <c r="A8" s="100">
        <v>2</v>
      </c>
      <c r="B8" s="3" t="s">
        <v>204</v>
      </c>
      <c r="C8" s="3" t="s">
        <v>205</v>
      </c>
      <c r="D8" s="3" t="s">
        <v>115</v>
      </c>
      <c r="E8" s="4">
        <v>196831</v>
      </c>
      <c r="F8" s="5">
        <v>598.07099349999999</v>
      </c>
      <c r="G8" s="6">
        <v>2.009321E-2</v>
      </c>
      <c r="H8" s="109"/>
    </row>
    <row r="9" spans="1:14" ht="17.100000000000001" customHeight="1" x14ac:dyDescent="0.2">
      <c r="A9" s="100">
        <v>3</v>
      </c>
      <c r="B9" s="3" t="s">
        <v>305</v>
      </c>
      <c r="C9" s="3" t="s">
        <v>306</v>
      </c>
      <c r="D9" s="3" t="s">
        <v>242</v>
      </c>
      <c r="E9" s="4">
        <v>38609</v>
      </c>
      <c r="F9" s="5">
        <v>586.16183799999999</v>
      </c>
      <c r="G9" s="6">
        <v>1.9693100000000002E-2</v>
      </c>
      <c r="H9" s="109"/>
    </row>
    <row r="10" spans="1:14" ht="17.100000000000001" customHeight="1" x14ac:dyDescent="0.2">
      <c r="A10" s="100">
        <v>4</v>
      </c>
      <c r="B10" s="3" t="s">
        <v>286</v>
      </c>
      <c r="C10" s="3" t="s">
        <v>287</v>
      </c>
      <c r="D10" s="3" t="s">
        <v>19</v>
      </c>
      <c r="E10" s="4">
        <v>247778</v>
      </c>
      <c r="F10" s="5">
        <v>533.34214499999996</v>
      </c>
      <c r="G10" s="6">
        <v>1.7918529999999998E-2</v>
      </c>
      <c r="H10" s="109"/>
    </row>
    <row r="11" spans="1:14" ht="29.1" customHeight="1" x14ac:dyDescent="0.2">
      <c r="A11" s="100">
        <v>5</v>
      </c>
      <c r="B11" s="3" t="s">
        <v>256</v>
      </c>
      <c r="C11" s="3" t="s">
        <v>257</v>
      </c>
      <c r="D11" s="3" t="s">
        <v>221</v>
      </c>
      <c r="E11" s="4">
        <v>97944</v>
      </c>
      <c r="F11" s="5">
        <v>307.88696399999998</v>
      </c>
      <c r="G11" s="6">
        <v>1.0343979999999999E-2</v>
      </c>
      <c r="H11" s="109"/>
    </row>
    <row r="12" spans="1:14" ht="29.1" customHeight="1" x14ac:dyDescent="0.2">
      <c r="A12" s="100">
        <v>6</v>
      </c>
      <c r="B12" s="3" t="s">
        <v>186</v>
      </c>
      <c r="C12" s="3" t="s">
        <v>187</v>
      </c>
      <c r="D12" s="3" t="s">
        <v>188</v>
      </c>
      <c r="E12" s="4">
        <v>7140</v>
      </c>
      <c r="F12" s="5">
        <v>294.74633999999998</v>
      </c>
      <c r="G12" s="6">
        <v>9.9024999999999998E-3</v>
      </c>
      <c r="H12" s="109"/>
    </row>
    <row r="13" spans="1:14" ht="17.100000000000001" customHeight="1" x14ac:dyDescent="0.2">
      <c r="A13" s="100">
        <v>7</v>
      </c>
      <c r="B13" s="3" t="s">
        <v>332</v>
      </c>
      <c r="C13" s="3" t="s">
        <v>333</v>
      </c>
      <c r="D13" s="3" t="s">
        <v>334</v>
      </c>
      <c r="E13" s="4">
        <v>26413</v>
      </c>
      <c r="F13" s="5">
        <v>269.29374150000001</v>
      </c>
      <c r="G13" s="6">
        <v>9.0473800000000007E-3</v>
      </c>
      <c r="H13" s="109"/>
      <c r="J13" s="169" t="s">
        <v>1064</v>
      </c>
    </row>
    <row r="14" spans="1:14" ht="17.100000000000001" customHeight="1" x14ac:dyDescent="0.2">
      <c r="A14" s="100">
        <v>8</v>
      </c>
      <c r="B14" s="3" t="s">
        <v>373</v>
      </c>
      <c r="C14" s="3" t="s">
        <v>374</v>
      </c>
      <c r="D14" s="3" t="s">
        <v>997</v>
      </c>
      <c r="E14" s="4">
        <v>22625</v>
      </c>
      <c r="F14" s="5">
        <v>231.71393749999999</v>
      </c>
      <c r="G14" s="6">
        <v>7.7848199999999996E-3</v>
      </c>
      <c r="H14" s="109"/>
    </row>
    <row r="15" spans="1:14" ht="17.100000000000001" customHeight="1" x14ac:dyDescent="0.2">
      <c r="A15" s="100">
        <v>9</v>
      </c>
      <c r="B15" s="3" t="s">
        <v>375</v>
      </c>
      <c r="C15" s="3" t="s">
        <v>376</v>
      </c>
      <c r="D15" s="3" t="s">
        <v>120</v>
      </c>
      <c r="E15" s="4">
        <v>31597</v>
      </c>
      <c r="F15" s="5">
        <v>228.96766049999999</v>
      </c>
      <c r="G15" s="6">
        <v>7.6925600000000002E-3</v>
      </c>
      <c r="H15" s="109"/>
    </row>
    <row r="16" spans="1:14" ht="17.100000000000001" customHeight="1" x14ac:dyDescent="0.2">
      <c r="A16" s="100">
        <v>10</v>
      </c>
      <c r="B16" s="3" t="s">
        <v>377</v>
      </c>
      <c r="C16" s="3" t="s">
        <v>378</v>
      </c>
      <c r="D16" s="3" t="s">
        <v>13</v>
      </c>
      <c r="E16" s="4">
        <v>229417</v>
      </c>
      <c r="F16" s="5">
        <v>171.0303735</v>
      </c>
      <c r="G16" s="6">
        <v>5.7460599999999999E-3</v>
      </c>
      <c r="H16" s="109"/>
    </row>
    <row r="17" spans="1:8" ht="29.1" customHeight="1" x14ac:dyDescent="0.2">
      <c r="A17" s="100">
        <v>11</v>
      </c>
      <c r="B17" s="3" t="s">
        <v>379</v>
      </c>
      <c r="C17" s="3" t="s">
        <v>380</v>
      </c>
      <c r="D17" s="3" t="s">
        <v>62</v>
      </c>
      <c r="E17" s="4">
        <v>8043</v>
      </c>
      <c r="F17" s="5">
        <v>160.9364085</v>
      </c>
      <c r="G17" s="6">
        <v>5.4069299999999999E-3</v>
      </c>
      <c r="H17" s="109"/>
    </row>
    <row r="18" spans="1:8" ht="29.1" customHeight="1" x14ac:dyDescent="0.2">
      <c r="A18" s="100">
        <v>12</v>
      </c>
      <c r="B18" s="3" t="s">
        <v>381</v>
      </c>
      <c r="C18" s="3" t="s">
        <v>382</v>
      </c>
      <c r="D18" s="3" t="s">
        <v>383</v>
      </c>
      <c r="E18" s="4">
        <v>148126</v>
      </c>
      <c r="F18" s="5">
        <v>146.64474000000001</v>
      </c>
      <c r="G18" s="6">
        <v>4.9267800000000004E-3</v>
      </c>
      <c r="H18" s="109"/>
    </row>
    <row r="19" spans="1:8" ht="17.100000000000001" customHeight="1" x14ac:dyDescent="0.2">
      <c r="A19" s="100">
        <v>13</v>
      </c>
      <c r="B19" s="3" t="s">
        <v>384</v>
      </c>
      <c r="C19" s="3" t="s">
        <v>385</v>
      </c>
      <c r="D19" s="3" t="s">
        <v>334</v>
      </c>
      <c r="E19" s="4">
        <v>9000</v>
      </c>
      <c r="F19" s="5">
        <v>126.2385</v>
      </c>
      <c r="G19" s="6">
        <v>4.2411999999999997E-3</v>
      </c>
      <c r="H19" s="109"/>
    </row>
    <row r="20" spans="1:8" ht="17.100000000000001" customHeight="1" x14ac:dyDescent="0.2">
      <c r="A20" s="100">
        <v>14</v>
      </c>
      <c r="B20" s="3" t="s">
        <v>386</v>
      </c>
      <c r="C20" s="3" t="s">
        <v>387</v>
      </c>
      <c r="D20" s="3" t="s">
        <v>228</v>
      </c>
      <c r="E20" s="4">
        <v>19867</v>
      </c>
      <c r="F20" s="5">
        <v>117.791443</v>
      </c>
      <c r="G20" s="6">
        <v>3.9573999999999998E-3</v>
      </c>
      <c r="H20" s="109"/>
    </row>
    <row r="21" spans="1:8" ht="17.100000000000001" customHeight="1" x14ac:dyDescent="0.2">
      <c r="A21" s="100">
        <v>15</v>
      </c>
      <c r="B21" s="3" t="s">
        <v>388</v>
      </c>
      <c r="C21" s="3" t="s">
        <v>389</v>
      </c>
      <c r="D21" s="3" t="s">
        <v>115</v>
      </c>
      <c r="E21" s="4">
        <v>25807</v>
      </c>
      <c r="F21" s="5">
        <v>105.628051</v>
      </c>
      <c r="G21" s="6">
        <v>3.5487499999999998E-3</v>
      </c>
      <c r="H21" s="109"/>
    </row>
    <row r="22" spans="1:8" ht="17.100000000000001" customHeight="1" x14ac:dyDescent="0.2">
      <c r="A22" s="100">
        <v>16</v>
      </c>
      <c r="B22" s="3" t="s">
        <v>330</v>
      </c>
      <c r="C22" s="3" t="s">
        <v>331</v>
      </c>
      <c r="D22" s="3" t="s">
        <v>97</v>
      </c>
      <c r="E22" s="4">
        <v>154250</v>
      </c>
      <c r="F22" s="5">
        <v>99.028499999999994</v>
      </c>
      <c r="G22" s="6">
        <v>3.3270299999999999E-3</v>
      </c>
      <c r="H22" s="109"/>
    </row>
    <row r="23" spans="1:8" ht="29.1" customHeight="1" x14ac:dyDescent="0.2">
      <c r="A23" s="100">
        <v>17</v>
      </c>
      <c r="B23" s="3" t="s">
        <v>390</v>
      </c>
      <c r="C23" s="3" t="s">
        <v>391</v>
      </c>
      <c r="D23" s="3" t="s">
        <v>392</v>
      </c>
      <c r="E23" s="4">
        <v>24499</v>
      </c>
      <c r="F23" s="5">
        <v>87.853414000000001</v>
      </c>
      <c r="G23" s="6">
        <v>2.9515800000000001E-3</v>
      </c>
      <c r="H23" s="109"/>
    </row>
    <row r="24" spans="1:8" ht="29.1" customHeight="1" x14ac:dyDescent="0.2">
      <c r="A24" s="100">
        <v>18</v>
      </c>
      <c r="B24" s="3" t="s">
        <v>393</v>
      </c>
      <c r="C24" s="3" t="s">
        <v>394</v>
      </c>
      <c r="D24" s="3" t="s">
        <v>191</v>
      </c>
      <c r="E24" s="4">
        <v>8803</v>
      </c>
      <c r="F24" s="5">
        <v>44.221870500000001</v>
      </c>
      <c r="G24" s="6">
        <v>1.4857099999999999E-3</v>
      </c>
      <c r="H24" s="109"/>
    </row>
    <row r="25" spans="1:8" ht="17.100000000000001" customHeight="1" x14ac:dyDescent="0.2">
      <c r="A25" s="100">
        <v>19</v>
      </c>
      <c r="B25" s="3" t="s">
        <v>395</v>
      </c>
      <c r="C25" s="3" t="s">
        <v>396</v>
      </c>
      <c r="D25" s="3" t="s">
        <v>115</v>
      </c>
      <c r="E25" s="4">
        <v>18413</v>
      </c>
      <c r="F25" s="5">
        <v>36.043447499999999</v>
      </c>
      <c r="G25" s="6">
        <v>1.21094E-3</v>
      </c>
      <c r="H25" s="109"/>
    </row>
    <row r="26" spans="1:8" ht="14.1" customHeight="1" x14ac:dyDescent="0.2">
      <c r="A26" s="99"/>
      <c r="B26" s="1"/>
      <c r="C26" s="2" t="s">
        <v>135</v>
      </c>
      <c r="D26" s="1"/>
      <c r="E26" s="1" t="s">
        <v>136</v>
      </c>
      <c r="F26" s="8">
        <v>5425.584073</v>
      </c>
      <c r="G26" s="9">
        <v>0.18228168</v>
      </c>
      <c r="H26" s="109"/>
    </row>
    <row r="27" spans="1:8" ht="14.1" customHeight="1" x14ac:dyDescent="0.2">
      <c r="A27" s="99"/>
      <c r="B27" s="1"/>
      <c r="C27" s="10"/>
      <c r="D27" s="1"/>
      <c r="E27" s="1"/>
      <c r="F27" s="11"/>
      <c r="G27" s="11"/>
      <c r="H27" s="109"/>
    </row>
    <row r="28" spans="1:8" ht="14.1" customHeight="1" x14ac:dyDescent="0.2">
      <c r="A28" s="99"/>
      <c r="B28" s="1"/>
      <c r="C28" s="2" t="s">
        <v>137</v>
      </c>
      <c r="D28" s="1"/>
      <c r="E28" s="1"/>
      <c r="F28" s="1"/>
      <c r="G28" s="1"/>
      <c r="H28" s="109"/>
    </row>
    <row r="29" spans="1:8" ht="14.1" customHeight="1" x14ac:dyDescent="0.2">
      <c r="A29" s="99"/>
      <c r="B29" s="1"/>
      <c r="C29" s="2" t="s">
        <v>135</v>
      </c>
      <c r="D29" s="1"/>
      <c r="E29" s="1" t="s">
        <v>136</v>
      </c>
      <c r="F29" s="115">
        <v>0</v>
      </c>
      <c r="G29" s="9">
        <v>0</v>
      </c>
      <c r="H29" s="109"/>
    </row>
    <row r="30" spans="1:8" ht="14.1" customHeight="1" x14ac:dyDescent="0.2">
      <c r="A30" s="99"/>
      <c r="B30" s="1"/>
      <c r="C30" s="10"/>
      <c r="D30" s="1"/>
      <c r="E30" s="1"/>
      <c r="F30" s="11"/>
      <c r="G30" s="11"/>
      <c r="H30" s="109"/>
    </row>
    <row r="31" spans="1:8" ht="14.1" customHeight="1" x14ac:dyDescent="0.2">
      <c r="A31" s="99"/>
      <c r="B31" s="1"/>
      <c r="C31" s="2" t="s">
        <v>138</v>
      </c>
      <c r="D31" s="1"/>
      <c r="E31" s="1"/>
      <c r="F31" s="1"/>
      <c r="G31" s="1"/>
      <c r="H31" s="109"/>
    </row>
    <row r="32" spans="1:8" ht="14.1" customHeight="1" x14ac:dyDescent="0.2">
      <c r="A32" s="99"/>
      <c r="B32" s="1"/>
      <c r="C32" s="2" t="s">
        <v>135</v>
      </c>
      <c r="D32" s="1"/>
      <c r="E32" s="1" t="s">
        <v>136</v>
      </c>
      <c r="F32" s="115">
        <v>0</v>
      </c>
      <c r="G32" s="9">
        <v>0</v>
      </c>
      <c r="H32" s="109"/>
    </row>
    <row r="33" spans="1:8" ht="14.1" customHeight="1" x14ac:dyDescent="0.2">
      <c r="A33" s="99"/>
      <c r="B33" s="1"/>
      <c r="C33" s="10"/>
      <c r="D33" s="1"/>
      <c r="E33" s="1"/>
      <c r="F33" s="11"/>
      <c r="G33" s="11"/>
      <c r="H33" s="109"/>
    </row>
    <row r="34" spans="1:8" ht="14.1" customHeight="1" x14ac:dyDescent="0.2">
      <c r="A34" s="99"/>
      <c r="B34" s="1"/>
      <c r="C34" s="2" t="s">
        <v>139</v>
      </c>
      <c r="D34" s="1"/>
      <c r="E34" s="1"/>
      <c r="F34" s="1"/>
      <c r="G34" s="1"/>
      <c r="H34" s="109"/>
    </row>
    <row r="35" spans="1:8" ht="14.1" customHeight="1" x14ac:dyDescent="0.2">
      <c r="A35" s="99"/>
      <c r="B35" s="1"/>
      <c r="C35" s="2" t="s">
        <v>135</v>
      </c>
      <c r="D35" s="1"/>
      <c r="E35" s="1" t="s">
        <v>136</v>
      </c>
      <c r="F35" s="115">
        <v>0</v>
      </c>
      <c r="G35" s="9">
        <v>0</v>
      </c>
      <c r="H35" s="109"/>
    </row>
    <row r="36" spans="1:8" ht="14.1" customHeight="1" x14ac:dyDescent="0.2">
      <c r="A36" s="99"/>
      <c r="B36" s="1"/>
      <c r="C36" s="10"/>
      <c r="D36" s="1"/>
      <c r="E36" s="1"/>
      <c r="F36" s="11"/>
      <c r="G36" s="11"/>
      <c r="H36" s="109"/>
    </row>
    <row r="37" spans="1:8" ht="14.1" customHeight="1" x14ac:dyDescent="0.2">
      <c r="A37" s="99"/>
      <c r="B37" s="1"/>
      <c r="C37" s="2" t="s">
        <v>140</v>
      </c>
      <c r="D37" s="1"/>
      <c r="E37" s="1"/>
      <c r="F37" s="11"/>
      <c r="G37" s="11"/>
      <c r="H37" s="109"/>
    </row>
    <row r="38" spans="1:8" ht="14.1" customHeight="1" x14ac:dyDescent="0.2">
      <c r="A38" s="99"/>
      <c r="B38" s="1"/>
      <c r="C38" s="2" t="s">
        <v>135</v>
      </c>
      <c r="D38" s="1"/>
      <c r="E38" s="1" t="s">
        <v>136</v>
      </c>
      <c r="F38" s="115">
        <v>0</v>
      </c>
      <c r="G38" s="9">
        <v>0</v>
      </c>
      <c r="H38" s="109"/>
    </row>
    <row r="39" spans="1:8" ht="14.1" customHeight="1" x14ac:dyDescent="0.2">
      <c r="A39" s="99"/>
      <c r="B39" s="1"/>
      <c r="C39" s="10"/>
      <c r="D39" s="1"/>
      <c r="E39" s="1"/>
      <c r="F39" s="11"/>
      <c r="G39" s="11"/>
      <c r="H39" s="109"/>
    </row>
    <row r="40" spans="1:8" ht="14.1" customHeight="1" x14ac:dyDescent="0.2">
      <c r="A40" s="99"/>
      <c r="B40" s="1"/>
      <c r="C40" s="2" t="s">
        <v>141</v>
      </c>
      <c r="D40" s="1"/>
      <c r="E40" s="1"/>
      <c r="F40" s="11"/>
      <c r="G40" s="11"/>
      <c r="H40" s="109"/>
    </row>
    <row r="41" spans="1:8" ht="14.1" customHeight="1" x14ac:dyDescent="0.2">
      <c r="A41" s="99"/>
      <c r="B41" s="1"/>
      <c r="C41" s="2" t="s">
        <v>135</v>
      </c>
      <c r="D41" s="1"/>
      <c r="E41" s="1" t="s">
        <v>136</v>
      </c>
      <c r="F41" s="115">
        <v>0</v>
      </c>
      <c r="G41" s="9">
        <v>0</v>
      </c>
      <c r="H41" s="109"/>
    </row>
    <row r="42" spans="1:8" ht="14.1" customHeight="1" x14ac:dyDescent="0.2">
      <c r="A42" s="99"/>
      <c r="B42" s="1"/>
      <c r="C42" s="10"/>
      <c r="D42" s="1"/>
      <c r="E42" s="1"/>
      <c r="F42" s="11"/>
      <c r="G42" s="11"/>
      <c r="H42" s="109"/>
    </row>
    <row r="43" spans="1:8" ht="18" customHeight="1" x14ac:dyDescent="0.2">
      <c r="A43" s="99"/>
      <c r="B43" s="1"/>
      <c r="C43" s="2" t="s">
        <v>142</v>
      </c>
      <c r="D43" s="1"/>
      <c r="E43" s="1"/>
      <c r="F43" s="8">
        <v>5425.584073</v>
      </c>
      <c r="G43" s="9">
        <v>0.18228168</v>
      </c>
      <c r="H43" s="109"/>
    </row>
    <row r="44" spans="1:8" ht="14.1" customHeight="1" x14ac:dyDescent="0.2">
      <c r="A44" s="99"/>
      <c r="B44" s="1"/>
      <c r="C44" s="10"/>
      <c r="D44" s="1"/>
      <c r="E44" s="1"/>
      <c r="F44" s="11"/>
      <c r="G44" s="11"/>
      <c r="H44" s="109"/>
    </row>
    <row r="45" spans="1:8" ht="14.1" customHeight="1" x14ac:dyDescent="0.2">
      <c r="A45" s="99"/>
      <c r="B45" s="1"/>
      <c r="C45" s="2" t="s">
        <v>143</v>
      </c>
      <c r="D45" s="1"/>
      <c r="E45" s="1"/>
      <c r="F45" s="11"/>
      <c r="G45" s="11"/>
      <c r="H45" s="109"/>
    </row>
    <row r="46" spans="1:8" ht="24" customHeight="1" x14ac:dyDescent="0.2">
      <c r="A46" s="99"/>
      <c r="B46" s="1"/>
      <c r="C46" s="2" t="s">
        <v>10</v>
      </c>
      <c r="D46" s="1"/>
      <c r="E46" s="1"/>
      <c r="F46" s="11"/>
      <c r="G46" s="11"/>
      <c r="H46" s="109"/>
    </row>
    <row r="47" spans="1:8" ht="14.1" customHeight="1" x14ac:dyDescent="0.2">
      <c r="A47" s="99"/>
      <c r="B47" s="1"/>
      <c r="C47" s="2" t="s">
        <v>135</v>
      </c>
      <c r="D47" s="1"/>
      <c r="E47" s="1" t="s">
        <v>136</v>
      </c>
      <c r="F47" s="115">
        <v>0</v>
      </c>
      <c r="G47" s="9">
        <v>0</v>
      </c>
      <c r="H47" s="109"/>
    </row>
    <row r="48" spans="1:8" ht="14.1" customHeight="1" x14ac:dyDescent="0.2">
      <c r="A48" s="99"/>
      <c r="B48" s="1"/>
      <c r="C48" s="10"/>
      <c r="D48" s="1"/>
      <c r="E48" s="1"/>
      <c r="F48" s="11"/>
      <c r="G48" s="11"/>
      <c r="H48" s="109"/>
    </row>
    <row r="49" spans="1:8" ht="14.1" customHeight="1" x14ac:dyDescent="0.2">
      <c r="A49" s="99"/>
      <c r="B49" s="1"/>
      <c r="C49" s="2" t="s">
        <v>144</v>
      </c>
      <c r="D49" s="1"/>
      <c r="E49" s="1"/>
      <c r="F49" s="1"/>
      <c r="G49" s="1"/>
      <c r="H49" s="109"/>
    </row>
    <row r="50" spans="1:8" ht="14.1" customHeight="1" x14ac:dyDescent="0.2">
      <c r="A50" s="99"/>
      <c r="B50" s="1"/>
      <c r="C50" s="2" t="s">
        <v>135</v>
      </c>
      <c r="D50" s="1"/>
      <c r="E50" s="1" t="s">
        <v>136</v>
      </c>
      <c r="F50" s="115">
        <v>0</v>
      </c>
      <c r="G50" s="9">
        <v>0</v>
      </c>
      <c r="H50" s="109"/>
    </row>
    <row r="51" spans="1:8" ht="14.1" customHeight="1" x14ac:dyDescent="0.2">
      <c r="A51" s="99"/>
      <c r="B51" s="1"/>
      <c r="C51" s="10"/>
      <c r="D51" s="1"/>
      <c r="E51" s="1"/>
      <c r="F51" s="11"/>
      <c r="G51" s="11"/>
      <c r="H51" s="109"/>
    </row>
    <row r="52" spans="1:8" ht="14.1" customHeight="1" x14ac:dyDescent="0.2">
      <c r="A52" s="99"/>
      <c r="B52" s="1"/>
      <c r="C52" s="2" t="s">
        <v>145</v>
      </c>
      <c r="D52" s="1"/>
      <c r="E52" s="1"/>
      <c r="F52" s="1"/>
      <c r="G52" s="1"/>
      <c r="H52" s="109"/>
    </row>
    <row r="53" spans="1:8" ht="14.1" customHeight="1" x14ac:dyDescent="0.2">
      <c r="A53" s="99"/>
      <c r="B53" s="1"/>
      <c r="C53" s="2" t="s">
        <v>135</v>
      </c>
      <c r="D53" s="1"/>
      <c r="E53" s="1" t="s">
        <v>136</v>
      </c>
      <c r="F53" s="115">
        <v>0</v>
      </c>
      <c r="G53" s="9">
        <v>0</v>
      </c>
      <c r="H53" s="109"/>
    </row>
    <row r="54" spans="1:8" ht="14.1" customHeight="1" x14ac:dyDescent="0.2">
      <c r="A54" s="99"/>
      <c r="B54" s="1"/>
      <c r="C54" s="10"/>
      <c r="D54" s="1"/>
      <c r="E54" s="1"/>
      <c r="F54" s="11"/>
      <c r="G54" s="11"/>
      <c r="H54" s="109"/>
    </row>
    <row r="55" spans="1:8" ht="14.1" customHeight="1" x14ac:dyDescent="0.2">
      <c r="A55" s="99"/>
      <c r="B55" s="1"/>
      <c r="C55" s="2" t="s">
        <v>146</v>
      </c>
      <c r="D55" s="1"/>
      <c r="E55" s="1"/>
      <c r="F55" s="11"/>
      <c r="G55" s="11"/>
      <c r="H55" s="109"/>
    </row>
    <row r="56" spans="1:8" ht="14.1" customHeight="1" x14ac:dyDescent="0.2">
      <c r="A56" s="99"/>
      <c r="B56" s="1"/>
      <c r="C56" s="2" t="s">
        <v>135</v>
      </c>
      <c r="D56" s="1"/>
      <c r="E56" s="1" t="s">
        <v>136</v>
      </c>
      <c r="F56" s="115">
        <v>0</v>
      </c>
      <c r="G56" s="9">
        <v>0</v>
      </c>
      <c r="H56" s="109"/>
    </row>
    <row r="57" spans="1:8" ht="14.1" customHeight="1" x14ac:dyDescent="0.2">
      <c r="A57" s="99"/>
      <c r="B57" s="1"/>
      <c r="C57" s="10"/>
      <c r="D57" s="1"/>
      <c r="E57" s="1"/>
      <c r="F57" s="11"/>
      <c r="G57" s="11"/>
      <c r="H57" s="109"/>
    </row>
    <row r="58" spans="1:8" ht="14.1" customHeight="1" x14ac:dyDescent="0.2">
      <c r="A58" s="99"/>
      <c r="B58" s="1"/>
      <c r="C58" s="2" t="s">
        <v>147</v>
      </c>
      <c r="D58" s="1"/>
      <c r="E58" s="1"/>
      <c r="F58" s="8">
        <v>0</v>
      </c>
      <c r="G58" s="9">
        <v>0</v>
      </c>
      <c r="H58" s="109"/>
    </row>
    <row r="59" spans="1:8" ht="14.1" customHeight="1" x14ac:dyDescent="0.2">
      <c r="A59" s="99"/>
      <c r="B59" s="1"/>
      <c r="C59" s="10"/>
      <c r="D59" s="1"/>
      <c r="E59" s="1"/>
      <c r="F59" s="11"/>
      <c r="G59" s="11"/>
      <c r="H59" s="109"/>
    </row>
    <row r="60" spans="1:8" ht="14.1" customHeight="1" x14ac:dyDescent="0.2">
      <c r="A60" s="99"/>
      <c r="B60" s="1"/>
      <c r="C60" s="2" t="s">
        <v>148</v>
      </c>
      <c r="D60" s="1"/>
      <c r="E60" s="1"/>
      <c r="F60" s="11"/>
      <c r="G60" s="11"/>
      <c r="H60" s="109"/>
    </row>
    <row r="61" spans="1:8" ht="14.1" customHeight="1" x14ac:dyDescent="0.2">
      <c r="A61" s="99"/>
      <c r="B61" s="1"/>
      <c r="C61" s="2" t="s">
        <v>149</v>
      </c>
      <c r="D61" s="1"/>
      <c r="E61" s="1"/>
      <c r="F61" s="11"/>
      <c r="G61" s="11"/>
      <c r="H61" s="109"/>
    </row>
    <row r="62" spans="1:8" ht="14.1" customHeight="1" x14ac:dyDescent="0.2">
      <c r="A62" s="99"/>
      <c r="B62" s="1"/>
      <c r="C62" s="2" t="s">
        <v>135</v>
      </c>
      <c r="D62" s="1"/>
      <c r="E62" s="1" t="s">
        <v>136</v>
      </c>
      <c r="F62" s="115">
        <v>0</v>
      </c>
      <c r="G62" s="9">
        <v>0</v>
      </c>
      <c r="H62" s="109"/>
    </row>
    <row r="63" spans="1:8" ht="14.1" customHeight="1" x14ac:dyDescent="0.2">
      <c r="A63" s="99"/>
      <c r="B63" s="1"/>
      <c r="C63" s="10"/>
      <c r="D63" s="1"/>
      <c r="E63" s="1"/>
      <c r="F63" s="11"/>
      <c r="G63" s="11"/>
      <c r="H63" s="109"/>
    </row>
    <row r="64" spans="1:8" ht="14.1" customHeight="1" x14ac:dyDescent="0.2">
      <c r="A64" s="99"/>
      <c r="B64" s="1"/>
      <c r="C64" s="2" t="s">
        <v>150</v>
      </c>
      <c r="D64" s="1"/>
      <c r="E64" s="1"/>
      <c r="F64" s="11"/>
      <c r="G64" s="11"/>
      <c r="H64" s="109"/>
    </row>
    <row r="65" spans="1:8" ht="14.1" customHeight="1" x14ac:dyDescent="0.2">
      <c r="A65" s="99"/>
      <c r="B65" s="1"/>
      <c r="C65" s="2" t="s">
        <v>135</v>
      </c>
      <c r="D65" s="1"/>
      <c r="E65" s="1" t="s">
        <v>136</v>
      </c>
      <c r="F65" s="115">
        <v>0</v>
      </c>
      <c r="G65" s="9">
        <v>0</v>
      </c>
      <c r="H65" s="109"/>
    </row>
    <row r="66" spans="1:8" ht="14.1" customHeight="1" x14ac:dyDescent="0.2">
      <c r="A66" s="99"/>
      <c r="B66" s="1"/>
      <c r="C66" s="10"/>
      <c r="D66" s="1"/>
      <c r="E66" s="1"/>
      <c r="F66" s="11"/>
      <c r="G66" s="11"/>
      <c r="H66" s="109"/>
    </row>
    <row r="67" spans="1:8" ht="14.1" customHeight="1" x14ac:dyDescent="0.2">
      <c r="A67" s="99"/>
      <c r="B67" s="1"/>
      <c r="C67" s="2" t="s">
        <v>151</v>
      </c>
      <c r="D67" s="1"/>
      <c r="E67" s="1"/>
      <c r="F67" s="11"/>
      <c r="G67" s="11"/>
      <c r="H67" s="109"/>
    </row>
    <row r="68" spans="1:8" ht="14.1" customHeight="1" x14ac:dyDescent="0.2">
      <c r="A68" s="99"/>
      <c r="B68" s="1"/>
      <c r="C68" s="2" t="s">
        <v>135</v>
      </c>
      <c r="D68" s="1"/>
      <c r="E68" s="1" t="s">
        <v>136</v>
      </c>
      <c r="F68" s="115">
        <v>0</v>
      </c>
      <c r="G68" s="9">
        <v>0</v>
      </c>
      <c r="H68" s="109"/>
    </row>
    <row r="69" spans="1:8" ht="14.1" customHeight="1" x14ac:dyDescent="0.2">
      <c r="A69" s="99"/>
      <c r="B69" s="1"/>
      <c r="C69" s="10"/>
      <c r="D69" s="1"/>
      <c r="E69" s="1"/>
      <c r="F69" s="11"/>
      <c r="G69" s="11"/>
      <c r="H69" s="109"/>
    </row>
    <row r="70" spans="1:8" ht="14.1" customHeight="1" x14ac:dyDescent="0.2">
      <c r="A70" s="99"/>
      <c r="B70" s="1"/>
      <c r="C70" s="2" t="s">
        <v>152</v>
      </c>
      <c r="D70" s="1"/>
      <c r="E70" s="1"/>
      <c r="F70" s="11"/>
      <c r="G70" s="11"/>
      <c r="H70" s="109"/>
    </row>
    <row r="71" spans="1:8" ht="17.100000000000001" customHeight="1" x14ac:dyDescent="0.2">
      <c r="A71" s="100">
        <v>1</v>
      </c>
      <c r="B71" s="3"/>
      <c r="C71" s="3" t="s">
        <v>153</v>
      </c>
      <c r="D71" s="3"/>
      <c r="E71" s="7"/>
      <c r="F71" s="5">
        <v>24153.428791063001</v>
      </c>
      <c r="G71" s="6">
        <v>0.81147528000000002</v>
      </c>
      <c r="H71" s="109">
        <v>6.6015165706411798</v>
      </c>
    </row>
    <row r="72" spans="1:8" ht="14.1" customHeight="1" x14ac:dyDescent="0.2">
      <c r="A72" s="99"/>
      <c r="B72" s="1"/>
      <c r="C72" s="2" t="s">
        <v>135</v>
      </c>
      <c r="D72" s="1"/>
      <c r="E72" s="1" t="s">
        <v>136</v>
      </c>
      <c r="F72" s="8">
        <v>24153.428791063001</v>
      </c>
      <c r="G72" s="9">
        <v>0.81147528000000002</v>
      </c>
      <c r="H72" s="109"/>
    </row>
    <row r="73" spans="1:8" ht="14.1" customHeight="1" x14ac:dyDescent="0.2">
      <c r="A73" s="99"/>
      <c r="B73" s="1"/>
      <c r="C73" s="10"/>
      <c r="D73" s="1"/>
      <c r="E73" s="1"/>
      <c r="F73" s="11"/>
      <c r="G73" s="11"/>
      <c r="H73" s="109"/>
    </row>
    <row r="74" spans="1:8" ht="14.1" customHeight="1" x14ac:dyDescent="0.2">
      <c r="A74" s="99"/>
      <c r="B74" s="1"/>
      <c r="C74" s="2" t="s">
        <v>154</v>
      </c>
      <c r="D74" s="1"/>
      <c r="E74" s="1"/>
      <c r="F74" s="8">
        <v>24153.428791063001</v>
      </c>
      <c r="G74" s="9">
        <v>0.81147528000000002</v>
      </c>
      <c r="H74" s="109"/>
    </row>
    <row r="75" spans="1:8" ht="14.1" customHeight="1" x14ac:dyDescent="0.2">
      <c r="A75" s="99"/>
      <c r="B75" s="1"/>
      <c r="C75" s="11"/>
      <c r="D75" s="1"/>
      <c r="E75" s="1"/>
      <c r="F75" s="1"/>
      <c r="G75" s="1"/>
      <c r="H75" s="109"/>
    </row>
    <row r="76" spans="1:8" ht="14.1" customHeight="1" x14ac:dyDescent="0.2">
      <c r="A76" s="99"/>
      <c r="B76" s="1"/>
      <c r="C76" s="2" t="s">
        <v>155</v>
      </c>
      <c r="D76" s="1"/>
      <c r="E76" s="1"/>
      <c r="F76" s="1"/>
      <c r="G76" s="1"/>
      <c r="H76" s="109"/>
    </row>
    <row r="77" spans="1:8" ht="14.1" customHeight="1" x14ac:dyDescent="0.2">
      <c r="A77" s="99"/>
      <c r="B77" s="1"/>
      <c r="C77" s="2" t="s">
        <v>156</v>
      </c>
      <c r="D77" s="1"/>
      <c r="E77" s="1"/>
      <c r="F77" s="1"/>
      <c r="G77" s="1"/>
      <c r="H77" s="109"/>
    </row>
    <row r="78" spans="1:8" ht="14.1" customHeight="1" x14ac:dyDescent="0.2">
      <c r="A78" s="99"/>
      <c r="B78" s="1"/>
      <c r="C78" s="2" t="s">
        <v>135</v>
      </c>
      <c r="D78" s="1"/>
      <c r="E78" s="1" t="s">
        <v>136</v>
      </c>
      <c r="F78" s="115">
        <v>0</v>
      </c>
      <c r="G78" s="9">
        <v>0</v>
      </c>
      <c r="H78" s="109"/>
    </row>
    <row r="79" spans="1:8" ht="14.1" customHeight="1" x14ac:dyDescent="0.2">
      <c r="A79" s="99"/>
      <c r="B79" s="1"/>
      <c r="C79" s="10"/>
      <c r="D79" s="1"/>
      <c r="E79" s="1"/>
      <c r="F79" s="11"/>
      <c r="G79" s="11"/>
      <c r="H79" s="109"/>
    </row>
    <row r="80" spans="1:8" ht="14.1" customHeight="1" x14ac:dyDescent="0.2">
      <c r="A80" s="99"/>
      <c r="B80" s="1"/>
      <c r="C80" s="2" t="s">
        <v>157</v>
      </c>
      <c r="D80" s="1"/>
      <c r="E80" s="1"/>
      <c r="F80" s="1"/>
      <c r="G80" s="1"/>
      <c r="H80" s="109"/>
    </row>
    <row r="81" spans="1:8" ht="14.1" customHeight="1" x14ac:dyDescent="0.2">
      <c r="A81" s="99"/>
      <c r="B81" s="1"/>
      <c r="C81" s="2" t="s">
        <v>158</v>
      </c>
      <c r="D81" s="1"/>
      <c r="E81" s="1"/>
      <c r="F81" s="1"/>
      <c r="G81" s="1"/>
      <c r="H81" s="109"/>
    </row>
    <row r="82" spans="1:8" ht="14.1" customHeight="1" x14ac:dyDescent="0.2">
      <c r="A82" s="99"/>
      <c r="B82" s="1"/>
      <c r="C82" s="2" t="s">
        <v>135</v>
      </c>
      <c r="D82" s="1"/>
      <c r="E82" s="1" t="s">
        <v>136</v>
      </c>
      <c r="F82" s="115">
        <v>0</v>
      </c>
      <c r="G82" s="9">
        <v>0</v>
      </c>
      <c r="H82" s="109"/>
    </row>
    <row r="83" spans="1:8" ht="14.1" customHeight="1" x14ac:dyDescent="0.2">
      <c r="A83" s="99"/>
      <c r="B83" s="1"/>
      <c r="C83" s="10"/>
      <c r="D83" s="1"/>
      <c r="E83" s="1"/>
      <c r="F83" s="11"/>
      <c r="G83" s="11"/>
      <c r="H83" s="109"/>
    </row>
    <row r="84" spans="1:8" ht="24" customHeight="1" x14ac:dyDescent="0.2">
      <c r="A84" s="99"/>
      <c r="B84" s="1"/>
      <c r="C84" s="2" t="s">
        <v>159</v>
      </c>
      <c r="D84" s="1"/>
      <c r="E84" s="1"/>
      <c r="F84" s="11"/>
      <c r="G84" s="11"/>
      <c r="H84" s="109"/>
    </row>
    <row r="85" spans="1:8" ht="14.1" customHeight="1" x14ac:dyDescent="0.2">
      <c r="A85" s="99"/>
      <c r="B85" s="1"/>
      <c r="C85" s="2" t="s">
        <v>135</v>
      </c>
      <c r="D85" s="1"/>
      <c r="E85" s="1" t="s">
        <v>136</v>
      </c>
      <c r="F85" s="115">
        <v>0</v>
      </c>
      <c r="G85" s="9">
        <v>0</v>
      </c>
      <c r="H85" s="109"/>
    </row>
    <row r="86" spans="1:8" ht="14.1" customHeight="1" x14ac:dyDescent="0.2">
      <c r="A86" s="99"/>
      <c r="B86" s="1"/>
      <c r="C86" s="10"/>
      <c r="D86" s="1"/>
      <c r="E86" s="1"/>
      <c r="F86" s="11"/>
      <c r="G86" s="11"/>
      <c r="H86" s="109"/>
    </row>
    <row r="87" spans="1:8" ht="14.1" customHeight="1" x14ac:dyDescent="0.2">
      <c r="A87" s="99"/>
      <c r="B87" s="3"/>
      <c r="C87" s="3"/>
      <c r="D87" s="2"/>
      <c r="E87" s="1"/>
      <c r="F87" s="3"/>
      <c r="G87" s="7"/>
      <c r="H87" s="109"/>
    </row>
    <row r="88" spans="1:8" ht="18" customHeight="1" x14ac:dyDescent="0.2">
      <c r="A88" s="101"/>
      <c r="B88" s="3"/>
      <c r="C88" s="3" t="s">
        <v>160</v>
      </c>
      <c r="D88" s="3"/>
      <c r="E88" s="7"/>
      <c r="F88" s="5">
        <v>185.82345921000001</v>
      </c>
      <c r="G88" s="6">
        <v>6.24305E-3</v>
      </c>
      <c r="H88" s="109"/>
    </row>
    <row r="89" spans="1:8" ht="14.1" customHeight="1" x14ac:dyDescent="0.2">
      <c r="A89" s="102"/>
      <c r="B89" s="10"/>
      <c r="C89" s="2" t="s">
        <v>161</v>
      </c>
      <c r="D89" s="11"/>
      <c r="E89" s="11"/>
      <c r="F89" s="8">
        <v>29764.836323273001</v>
      </c>
      <c r="G89" s="12">
        <v>1.0000000099999999</v>
      </c>
      <c r="H89" s="109"/>
    </row>
    <row r="90" spans="1:8" ht="14.1" customHeight="1" x14ac:dyDescent="0.2">
      <c r="A90" s="13"/>
      <c r="B90" s="13"/>
      <c r="C90" s="13"/>
      <c r="D90" s="14"/>
      <c r="E90" s="14"/>
      <c r="F90" s="14"/>
      <c r="G90" s="14"/>
    </row>
    <row r="91" spans="1:8" ht="14.1" customHeight="1" x14ac:dyDescent="0.2">
      <c r="A91" s="15"/>
      <c r="B91" s="15"/>
      <c r="C91" s="15"/>
      <c r="D91" s="17"/>
      <c r="E91" s="17"/>
      <c r="F91" s="17"/>
      <c r="G91" s="17"/>
    </row>
    <row r="92" spans="1:8" ht="14.1" customHeight="1" x14ac:dyDescent="0.2">
      <c r="A92" s="15"/>
      <c r="B92" s="194" t="s">
        <v>163</v>
      </c>
      <c r="C92" s="195"/>
      <c r="D92" s="196"/>
      <c r="E92" s="18"/>
      <c r="F92" s="17"/>
      <c r="G92" s="17"/>
    </row>
    <row r="93" spans="1:8" ht="29.1" customHeight="1" x14ac:dyDescent="0.2">
      <c r="A93" s="15"/>
      <c r="B93" s="191" t="s">
        <v>164</v>
      </c>
      <c r="C93" s="192"/>
      <c r="D93" s="2" t="s">
        <v>165</v>
      </c>
      <c r="E93" s="18"/>
      <c r="F93" s="17"/>
      <c r="G93" s="17"/>
    </row>
    <row r="94" spans="1:8" ht="17.100000000000001" customHeight="1" x14ac:dyDescent="0.2">
      <c r="A94" s="15"/>
      <c r="B94" s="191" t="s">
        <v>166</v>
      </c>
      <c r="C94" s="192"/>
      <c r="D94" s="2" t="s">
        <v>165</v>
      </c>
      <c r="E94" s="18"/>
      <c r="F94" s="17"/>
      <c r="G94" s="17"/>
    </row>
    <row r="95" spans="1:8" ht="17.100000000000001" customHeight="1" x14ac:dyDescent="0.2">
      <c r="A95" s="15"/>
      <c r="B95" s="191" t="s">
        <v>167</v>
      </c>
      <c r="C95" s="192"/>
      <c r="D95" s="11" t="s">
        <v>136</v>
      </c>
      <c r="E95" s="18"/>
      <c r="F95" s="17"/>
      <c r="G95" s="17"/>
    </row>
    <row r="96" spans="1:8" ht="24" customHeight="1" x14ac:dyDescent="0.2">
      <c r="A96" s="19"/>
      <c r="B96" s="20" t="s">
        <v>136</v>
      </c>
      <c r="C96" s="20" t="s">
        <v>168</v>
      </c>
      <c r="D96" s="20" t="s">
        <v>169</v>
      </c>
      <c r="E96" s="19"/>
      <c r="F96" s="19"/>
      <c r="G96" s="19"/>
    </row>
    <row r="97" spans="1:7" ht="18" customHeight="1" x14ac:dyDescent="0.2">
      <c r="A97" s="19"/>
      <c r="B97" s="21" t="s">
        <v>170</v>
      </c>
      <c r="C97" s="20" t="s">
        <v>171</v>
      </c>
      <c r="D97" s="20" t="s">
        <v>172</v>
      </c>
      <c r="E97" s="19"/>
      <c r="F97" s="19"/>
      <c r="G97" s="19"/>
    </row>
    <row r="98" spans="1:7" ht="17.100000000000001" customHeight="1" x14ac:dyDescent="0.2">
      <c r="A98" s="19"/>
      <c r="B98" s="3" t="s">
        <v>173</v>
      </c>
      <c r="C98" s="22">
        <v>19.6374</v>
      </c>
      <c r="D98" s="22">
        <v>19.7118</v>
      </c>
      <c r="E98" s="19"/>
      <c r="F98" s="16"/>
      <c r="G98" s="23"/>
    </row>
    <row r="99" spans="1:7" ht="17.100000000000001" customHeight="1" x14ac:dyDescent="0.2">
      <c r="A99" s="19"/>
      <c r="B99" s="3" t="s">
        <v>994</v>
      </c>
      <c r="C99" s="22">
        <v>19.276900000000001</v>
      </c>
      <c r="D99" s="22">
        <v>19.349900000000002</v>
      </c>
      <c r="E99" s="19"/>
      <c r="F99" s="16"/>
      <c r="G99" s="23"/>
    </row>
    <row r="100" spans="1:7" ht="17.100000000000001" customHeight="1" x14ac:dyDescent="0.2">
      <c r="A100" s="19"/>
      <c r="B100" s="3" t="s">
        <v>174</v>
      </c>
      <c r="C100" s="22">
        <v>18.948499999999999</v>
      </c>
      <c r="D100" s="22">
        <v>19.011500000000002</v>
      </c>
      <c r="E100" s="19"/>
      <c r="F100" s="16"/>
      <c r="G100" s="23"/>
    </row>
    <row r="101" spans="1:7" ht="17.100000000000001" customHeight="1" x14ac:dyDescent="0.2">
      <c r="A101" s="19"/>
      <c r="B101" s="3" t="s">
        <v>995</v>
      </c>
      <c r="C101" s="22">
        <v>18.5914</v>
      </c>
      <c r="D101" s="22">
        <v>18.653300000000002</v>
      </c>
      <c r="E101" s="19"/>
      <c r="F101" s="16"/>
      <c r="G101" s="23"/>
    </row>
    <row r="102" spans="1:7" ht="14.1" customHeight="1" x14ac:dyDescent="0.2">
      <c r="A102" s="19"/>
      <c r="B102" s="19"/>
      <c r="C102" s="19"/>
      <c r="D102" s="19"/>
      <c r="E102" s="19"/>
      <c r="F102" s="19"/>
      <c r="G102" s="19"/>
    </row>
    <row r="103" spans="1:7" ht="17.100000000000001" customHeight="1" x14ac:dyDescent="0.2">
      <c r="A103" s="19"/>
      <c r="B103" s="191" t="s">
        <v>1044</v>
      </c>
      <c r="C103" s="192"/>
      <c r="D103" s="2" t="s">
        <v>165</v>
      </c>
      <c r="E103" s="19"/>
      <c r="F103" s="19"/>
      <c r="G103" s="19"/>
    </row>
    <row r="104" spans="1:7" ht="18" customHeight="1" x14ac:dyDescent="0.2">
      <c r="A104" s="19"/>
      <c r="B104" s="24"/>
      <c r="C104" s="24"/>
      <c r="D104" s="24"/>
      <c r="E104" s="19"/>
      <c r="F104" s="19"/>
      <c r="G104" s="19"/>
    </row>
    <row r="105" spans="1:7" ht="29.1" customHeight="1" x14ac:dyDescent="0.2">
      <c r="A105" s="19"/>
      <c r="B105" s="191" t="s">
        <v>175</v>
      </c>
      <c r="C105" s="192"/>
      <c r="D105" s="2" t="s">
        <v>165</v>
      </c>
      <c r="E105" s="25"/>
      <c r="F105" s="19"/>
      <c r="G105" s="19"/>
    </row>
    <row r="106" spans="1:7" ht="29.1" customHeight="1" x14ac:dyDescent="0.2">
      <c r="A106" s="19"/>
      <c r="B106" s="191" t="s">
        <v>176</v>
      </c>
      <c r="C106" s="192"/>
      <c r="D106" s="2" t="s">
        <v>165</v>
      </c>
      <c r="E106" s="25"/>
      <c r="F106" s="19"/>
      <c r="G106" s="19"/>
    </row>
    <row r="107" spans="1:7" ht="17.100000000000001" customHeight="1" x14ac:dyDescent="0.2">
      <c r="A107" s="19"/>
      <c r="B107" s="191" t="s">
        <v>177</v>
      </c>
      <c r="C107" s="192"/>
      <c r="D107" s="2" t="s">
        <v>165</v>
      </c>
      <c r="E107" s="25"/>
      <c r="F107" s="19"/>
      <c r="G107" s="19"/>
    </row>
    <row r="108" spans="1:7" ht="17.100000000000001" customHeight="1" x14ac:dyDescent="0.2">
      <c r="A108" s="19"/>
      <c r="B108" s="191" t="s">
        <v>178</v>
      </c>
      <c r="C108" s="192"/>
      <c r="D108" s="26">
        <v>0.19488822194304131</v>
      </c>
      <c r="E108" s="19"/>
      <c r="F108" s="16"/>
      <c r="G108" s="23"/>
    </row>
    <row r="109" spans="1:7" ht="14.1" customHeight="1" x14ac:dyDescent="0.2">
      <c r="A109" s="24"/>
      <c r="B109" s="24"/>
      <c r="C109" s="24"/>
      <c r="D109" s="24"/>
      <c r="E109" s="24"/>
      <c r="F109" s="24"/>
      <c r="G109" s="24"/>
    </row>
    <row r="164" spans="10:14" x14ac:dyDescent="0.2">
      <c r="J164" s="170"/>
      <c r="K164" s="170"/>
      <c r="L164" s="170"/>
      <c r="M164" s="170"/>
      <c r="N164" s="170"/>
    </row>
  </sheetData>
  <mergeCells count="13">
    <mergeCell ref="J2:N2"/>
    <mergeCell ref="B94:C94"/>
    <mergeCell ref="B95:C95"/>
    <mergeCell ref="B92:D92"/>
    <mergeCell ref="B93:C93"/>
    <mergeCell ref="A1:H1"/>
    <mergeCell ref="A2:H2"/>
    <mergeCell ref="A3:H3"/>
    <mergeCell ref="B107:C107"/>
    <mergeCell ref="B108:C108"/>
    <mergeCell ref="B103:C103"/>
    <mergeCell ref="B105:C105"/>
    <mergeCell ref="B106:C106"/>
  </mergeCells>
  <hyperlinks>
    <hyperlink ref="I1" location="Index!B9" display="Index" xr:uid="{7088E431-5274-4849-BF00-222E04918F2E}"/>
  </hyperlinks>
  <pageMargins left="5.000000074505806E-2" right="5.000000074505806E-2" top="0.30000001192092896" bottom="0.20000000298023224" header="0" footer="0"/>
  <pageSetup paperSize="9"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64"/>
  <sheetViews>
    <sheetView showGridLines="0" workbookViewId="0">
      <selection sqref="A1:H1"/>
    </sheetView>
  </sheetViews>
  <sheetFormatPr defaultRowHeight="12.75" x14ac:dyDescent="0.2"/>
  <cols>
    <col min="1" max="1" width="5.85546875" bestFit="1"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7" t="s">
        <v>0</v>
      </c>
      <c r="B1" s="187"/>
      <c r="C1" s="187"/>
      <c r="D1" s="187"/>
      <c r="E1" s="187"/>
      <c r="F1" s="187"/>
      <c r="G1" s="187"/>
      <c r="H1" s="187"/>
      <c r="I1" s="167" t="s">
        <v>1055</v>
      </c>
    </row>
    <row r="2" spans="1:14" ht="17.100000000000001" customHeight="1" x14ac:dyDescent="0.2">
      <c r="A2" s="188" t="s">
        <v>397</v>
      </c>
      <c r="B2" s="189"/>
      <c r="C2" s="189"/>
      <c r="D2" s="189"/>
      <c r="E2" s="189"/>
      <c r="F2" s="189"/>
      <c r="G2" s="189"/>
      <c r="H2" s="190"/>
      <c r="J2" s="186" t="s">
        <v>1056</v>
      </c>
      <c r="K2" s="186"/>
      <c r="L2" s="186"/>
      <c r="M2" s="186"/>
      <c r="N2" s="186"/>
    </row>
    <row r="3" spans="1:14" ht="21" customHeight="1" x14ac:dyDescent="0.2">
      <c r="A3" s="187" t="s">
        <v>1052</v>
      </c>
      <c r="B3" s="187"/>
      <c r="C3" s="187"/>
      <c r="D3" s="187"/>
      <c r="E3" s="187"/>
      <c r="F3" s="187"/>
      <c r="G3" s="187"/>
      <c r="H3" s="187"/>
    </row>
    <row r="4" spans="1:14" ht="30" x14ac:dyDescent="0.2">
      <c r="A4" s="166" t="s">
        <v>2</v>
      </c>
      <c r="B4" s="164" t="s">
        <v>3</v>
      </c>
      <c r="C4" s="164" t="s">
        <v>4</v>
      </c>
      <c r="D4" s="164" t="s">
        <v>5</v>
      </c>
      <c r="E4" s="164" t="s">
        <v>6</v>
      </c>
      <c r="F4" s="164" t="s">
        <v>7</v>
      </c>
      <c r="G4" s="164" t="s">
        <v>8</v>
      </c>
      <c r="H4" s="120" t="s">
        <v>881</v>
      </c>
      <c r="I4" s="165"/>
      <c r="J4" s="165"/>
      <c r="K4" s="165"/>
      <c r="L4" s="165"/>
      <c r="M4" s="165"/>
      <c r="N4" s="165"/>
    </row>
    <row r="5" spans="1:14" ht="14.1" customHeight="1" x14ac:dyDescent="0.2">
      <c r="A5" s="103"/>
      <c r="B5" s="1"/>
      <c r="C5" s="2" t="s">
        <v>9</v>
      </c>
      <c r="D5" s="1"/>
      <c r="E5" s="1"/>
      <c r="F5" s="1"/>
      <c r="G5" s="1"/>
      <c r="H5" s="109"/>
    </row>
    <row r="6" spans="1:14" ht="24" customHeight="1" x14ac:dyDescent="0.2">
      <c r="A6" s="103"/>
      <c r="B6" s="1"/>
      <c r="C6" s="2" t="s">
        <v>10</v>
      </c>
      <c r="D6" s="1"/>
      <c r="E6" s="1"/>
      <c r="F6" s="1"/>
      <c r="G6" s="1"/>
      <c r="H6" s="109"/>
    </row>
    <row r="7" spans="1:14" ht="17.100000000000001" customHeight="1" x14ac:dyDescent="0.2">
      <c r="A7" s="104">
        <v>1</v>
      </c>
      <c r="B7" s="3" t="s">
        <v>371</v>
      </c>
      <c r="C7" s="3" t="s">
        <v>372</v>
      </c>
      <c r="D7" s="3" t="s">
        <v>22</v>
      </c>
      <c r="E7" s="4">
        <v>1274778</v>
      </c>
      <c r="F7" s="5">
        <v>911.46627000000001</v>
      </c>
      <c r="G7" s="6">
        <v>4.3799789999999998E-2</v>
      </c>
      <c r="H7" s="109"/>
    </row>
    <row r="8" spans="1:14" ht="17.100000000000001" customHeight="1" x14ac:dyDescent="0.2">
      <c r="A8" s="104">
        <v>2</v>
      </c>
      <c r="B8" s="3" t="s">
        <v>29</v>
      </c>
      <c r="C8" s="3" t="s">
        <v>30</v>
      </c>
      <c r="D8" s="3" t="s">
        <v>31</v>
      </c>
      <c r="E8" s="4">
        <v>30880</v>
      </c>
      <c r="F8" s="5">
        <v>591.55272000000002</v>
      </c>
      <c r="G8" s="6">
        <v>2.84266E-2</v>
      </c>
      <c r="H8" s="109"/>
    </row>
    <row r="9" spans="1:14" ht="17.100000000000001" customHeight="1" x14ac:dyDescent="0.2">
      <c r="A9" s="104">
        <v>3</v>
      </c>
      <c r="B9" s="3" t="s">
        <v>37</v>
      </c>
      <c r="C9" s="3" t="s">
        <v>38</v>
      </c>
      <c r="D9" s="3" t="s">
        <v>31</v>
      </c>
      <c r="E9" s="4">
        <v>28200</v>
      </c>
      <c r="F9" s="5">
        <v>508.92540000000002</v>
      </c>
      <c r="G9" s="6">
        <v>2.445601E-2</v>
      </c>
      <c r="H9" s="109"/>
    </row>
    <row r="10" spans="1:14" ht="29.1" customHeight="1" x14ac:dyDescent="0.2">
      <c r="A10" s="104">
        <v>4</v>
      </c>
      <c r="B10" s="3" t="s">
        <v>204</v>
      </c>
      <c r="C10" s="3" t="s">
        <v>205</v>
      </c>
      <c r="D10" s="3" t="s">
        <v>115</v>
      </c>
      <c r="E10" s="4">
        <v>162926</v>
      </c>
      <c r="F10" s="5">
        <v>495.05065100000002</v>
      </c>
      <c r="G10" s="6">
        <v>2.3789270000000001E-2</v>
      </c>
      <c r="H10" s="109"/>
    </row>
    <row r="11" spans="1:14" ht="17.100000000000001" customHeight="1" x14ac:dyDescent="0.2">
      <c r="A11" s="104">
        <v>5</v>
      </c>
      <c r="B11" s="3" t="s">
        <v>113</v>
      </c>
      <c r="C11" s="3" t="s">
        <v>114</v>
      </c>
      <c r="D11" s="3" t="s">
        <v>115</v>
      </c>
      <c r="E11" s="4">
        <v>172146</v>
      </c>
      <c r="F11" s="5">
        <v>482.783457</v>
      </c>
      <c r="G11" s="6">
        <v>2.319978E-2</v>
      </c>
      <c r="H11" s="109"/>
    </row>
    <row r="12" spans="1:14" ht="29.1" customHeight="1" x14ac:dyDescent="0.2">
      <c r="A12" s="104">
        <v>6</v>
      </c>
      <c r="B12" s="3" t="s">
        <v>186</v>
      </c>
      <c r="C12" s="3" t="s">
        <v>187</v>
      </c>
      <c r="D12" s="3" t="s">
        <v>188</v>
      </c>
      <c r="E12" s="4">
        <v>11594</v>
      </c>
      <c r="F12" s="5">
        <v>478.61191400000001</v>
      </c>
      <c r="G12" s="6">
        <v>2.299932E-2</v>
      </c>
      <c r="H12" s="109"/>
    </row>
    <row r="13" spans="1:14" ht="17.100000000000001" customHeight="1" x14ac:dyDescent="0.2">
      <c r="A13" s="104">
        <v>7</v>
      </c>
      <c r="B13" s="3" t="s">
        <v>398</v>
      </c>
      <c r="C13" s="3" t="s">
        <v>399</v>
      </c>
      <c r="D13" s="3" t="s">
        <v>97</v>
      </c>
      <c r="E13" s="4">
        <v>30347</v>
      </c>
      <c r="F13" s="5">
        <v>419.72935699999999</v>
      </c>
      <c r="G13" s="6">
        <v>2.0169759999999998E-2</v>
      </c>
      <c r="H13" s="109"/>
      <c r="J13" s="169" t="s">
        <v>1064</v>
      </c>
    </row>
    <row r="14" spans="1:14" ht="17.100000000000001" customHeight="1" x14ac:dyDescent="0.2">
      <c r="A14" s="104">
        <v>8</v>
      </c>
      <c r="B14" s="3" t="s">
        <v>305</v>
      </c>
      <c r="C14" s="3" t="s">
        <v>306</v>
      </c>
      <c r="D14" s="3" t="s">
        <v>242</v>
      </c>
      <c r="E14" s="4">
        <v>27483</v>
      </c>
      <c r="F14" s="5">
        <v>417.24690600000002</v>
      </c>
      <c r="G14" s="6">
        <v>2.0050470000000001E-2</v>
      </c>
      <c r="H14" s="109"/>
    </row>
    <row r="15" spans="1:14" ht="17.100000000000001" customHeight="1" x14ac:dyDescent="0.2">
      <c r="A15" s="104">
        <v>9</v>
      </c>
      <c r="B15" s="3" t="s">
        <v>318</v>
      </c>
      <c r="C15" s="3" t="s">
        <v>319</v>
      </c>
      <c r="D15" s="3" t="s">
        <v>235</v>
      </c>
      <c r="E15" s="4">
        <v>32200</v>
      </c>
      <c r="F15" s="5">
        <v>398.92579999999998</v>
      </c>
      <c r="G15" s="6">
        <v>1.9170059999999999E-2</v>
      </c>
      <c r="H15" s="109"/>
    </row>
    <row r="16" spans="1:14" ht="17.100000000000001" customHeight="1" x14ac:dyDescent="0.2">
      <c r="A16" s="104">
        <v>10</v>
      </c>
      <c r="B16" s="3" t="s">
        <v>286</v>
      </c>
      <c r="C16" s="3" t="s">
        <v>287</v>
      </c>
      <c r="D16" s="3" t="s">
        <v>19</v>
      </c>
      <c r="E16" s="4">
        <v>176499</v>
      </c>
      <c r="F16" s="5">
        <v>379.91409750000003</v>
      </c>
      <c r="G16" s="6">
        <v>1.825647E-2</v>
      </c>
      <c r="H16" s="109"/>
    </row>
    <row r="17" spans="1:8" ht="17.100000000000001" customHeight="1" x14ac:dyDescent="0.2">
      <c r="A17" s="104">
        <v>11</v>
      </c>
      <c r="B17" s="3" t="s">
        <v>373</v>
      </c>
      <c r="C17" s="3" t="s">
        <v>374</v>
      </c>
      <c r="D17" s="3" t="s">
        <v>997</v>
      </c>
      <c r="E17" s="4">
        <v>35713</v>
      </c>
      <c r="F17" s="5">
        <v>365.75468949999998</v>
      </c>
      <c r="G17" s="6">
        <v>1.7576049999999999E-2</v>
      </c>
      <c r="H17" s="109"/>
    </row>
    <row r="18" spans="1:8" ht="17.100000000000001" customHeight="1" x14ac:dyDescent="0.2">
      <c r="A18" s="104">
        <v>12</v>
      </c>
      <c r="B18" s="3" t="s">
        <v>400</v>
      </c>
      <c r="C18" s="3" t="s">
        <v>401</v>
      </c>
      <c r="D18" s="3" t="s">
        <v>210</v>
      </c>
      <c r="E18" s="4">
        <v>124748</v>
      </c>
      <c r="F18" s="5">
        <v>348.42116399999998</v>
      </c>
      <c r="G18" s="6">
        <v>1.67431E-2</v>
      </c>
      <c r="H18" s="109"/>
    </row>
    <row r="19" spans="1:8" ht="17.100000000000001" customHeight="1" x14ac:dyDescent="0.2">
      <c r="A19" s="104">
        <v>13</v>
      </c>
      <c r="B19" s="3" t="s">
        <v>384</v>
      </c>
      <c r="C19" s="3" t="s">
        <v>385</v>
      </c>
      <c r="D19" s="3" t="s">
        <v>334</v>
      </c>
      <c r="E19" s="4">
        <v>22068</v>
      </c>
      <c r="F19" s="5">
        <v>309.53680200000002</v>
      </c>
      <c r="G19" s="6">
        <v>1.487455E-2</v>
      </c>
      <c r="H19" s="109"/>
    </row>
    <row r="20" spans="1:8" ht="17.100000000000001" customHeight="1" x14ac:dyDescent="0.2">
      <c r="A20" s="104">
        <v>14</v>
      </c>
      <c r="B20" s="3" t="s">
        <v>402</v>
      </c>
      <c r="C20" s="3" t="s">
        <v>403</v>
      </c>
      <c r="D20" s="3" t="s">
        <v>120</v>
      </c>
      <c r="E20" s="4">
        <v>52717</v>
      </c>
      <c r="F20" s="5">
        <v>303.228184</v>
      </c>
      <c r="G20" s="6">
        <v>1.457139E-2</v>
      </c>
      <c r="H20" s="109"/>
    </row>
    <row r="21" spans="1:8" ht="17.100000000000001" customHeight="1" x14ac:dyDescent="0.2">
      <c r="A21" s="104">
        <v>15</v>
      </c>
      <c r="B21" s="3" t="s">
        <v>404</v>
      </c>
      <c r="C21" s="3" t="s">
        <v>405</v>
      </c>
      <c r="D21" s="3" t="s">
        <v>31</v>
      </c>
      <c r="E21" s="4">
        <v>35484</v>
      </c>
      <c r="F21" s="5">
        <v>294.80107199999998</v>
      </c>
      <c r="G21" s="6">
        <v>1.4166430000000001E-2</v>
      </c>
      <c r="H21" s="109"/>
    </row>
    <row r="22" spans="1:8" ht="29.1" customHeight="1" x14ac:dyDescent="0.2">
      <c r="A22" s="104">
        <v>16</v>
      </c>
      <c r="B22" s="3" t="s">
        <v>406</v>
      </c>
      <c r="C22" s="3" t="s">
        <v>407</v>
      </c>
      <c r="D22" s="3" t="s">
        <v>52</v>
      </c>
      <c r="E22" s="4">
        <v>16998</v>
      </c>
      <c r="F22" s="5">
        <v>288.43056300000001</v>
      </c>
      <c r="G22" s="6">
        <v>1.3860300000000001E-2</v>
      </c>
      <c r="H22" s="109"/>
    </row>
    <row r="23" spans="1:8" ht="17.100000000000001" customHeight="1" x14ac:dyDescent="0.2">
      <c r="A23" s="104">
        <v>17</v>
      </c>
      <c r="B23" s="3" t="s">
        <v>332</v>
      </c>
      <c r="C23" s="3" t="s">
        <v>333</v>
      </c>
      <c r="D23" s="3" t="s">
        <v>334</v>
      </c>
      <c r="E23" s="4">
        <v>27031</v>
      </c>
      <c r="F23" s="5">
        <v>275.5945605</v>
      </c>
      <c r="G23" s="6">
        <v>1.324348E-2</v>
      </c>
      <c r="H23" s="109"/>
    </row>
    <row r="24" spans="1:8" ht="17.100000000000001" customHeight="1" x14ac:dyDescent="0.2">
      <c r="A24" s="104">
        <v>18</v>
      </c>
      <c r="B24" s="3" t="s">
        <v>231</v>
      </c>
      <c r="C24" s="3" t="s">
        <v>232</v>
      </c>
      <c r="D24" s="3" t="s">
        <v>80</v>
      </c>
      <c r="E24" s="4">
        <v>5394</v>
      </c>
      <c r="F24" s="5">
        <v>261.67912200000001</v>
      </c>
      <c r="G24" s="6">
        <v>1.2574780000000001E-2</v>
      </c>
      <c r="H24" s="109"/>
    </row>
    <row r="25" spans="1:8" ht="17.100000000000001" customHeight="1" x14ac:dyDescent="0.2">
      <c r="A25" s="104">
        <v>19</v>
      </c>
      <c r="B25" s="3" t="s">
        <v>408</v>
      </c>
      <c r="C25" s="3" t="s">
        <v>409</v>
      </c>
      <c r="D25" s="3" t="s">
        <v>115</v>
      </c>
      <c r="E25" s="4">
        <v>12654</v>
      </c>
      <c r="F25" s="5">
        <v>255.76897500000001</v>
      </c>
      <c r="G25" s="6">
        <v>1.2290779999999999E-2</v>
      </c>
      <c r="H25" s="109"/>
    </row>
    <row r="26" spans="1:8" ht="17.100000000000001" customHeight="1" x14ac:dyDescent="0.2">
      <c r="A26" s="104">
        <v>20</v>
      </c>
      <c r="B26" s="3" t="s">
        <v>410</v>
      </c>
      <c r="C26" s="3" t="s">
        <v>411</v>
      </c>
      <c r="D26" s="3" t="s">
        <v>235</v>
      </c>
      <c r="E26" s="4">
        <v>39110</v>
      </c>
      <c r="F26" s="5">
        <v>253.70657</v>
      </c>
      <c r="G26" s="6">
        <v>1.219167E-2</v>
      </c>
      <c r="H26" s="109"/>
    </row>
    <row r="27" spans="1:8" ht="17.100000000000001" customHeight="1" x14ac:dyDescent="0.2">
      <c r="A27" s="104">
        <v>21</v>
      </c>
      <c r="B27" s="3" t="s">
        <v>375</v>
      </c>
      <c r="C27" s="3" t="s">
        <v>376</v>
      </c>
      <c r="D27" s="3" t="s">
        <v>120</v>
      </c>
      <c r="E27" s="4">
        <v>32571</v>
      </c>
      <c r="F27" s="5">
        <v>236.02575150000001</v>
      </c>
      <c r="G27" s="6">
        <v>1.1342029999999999E-2</v>
      </c>
      <c r="H27" s="109"/>
    </row>
    <row r="28" spans="1:8" ht="29.1" customHeight="1" x14ac:dyDescent="0.2">
      <c r="A28" s="104">
        <v>22</v>
      </c>
      <c r="B28" s="3" t="s">
        <v>379</v>
      </c>
      <c r="C28" s="3" t="s">
        <v>380</v>
      </c>
      <c r="D28" s="3" t="s">
        <v>62</v>
      </c>
      <c r="E28" s="4">
        <v>11405</v>
      </c>
      <c r="F28" s="5">
        <v>228.2083475</v>
      </c>
      <c r="G28" s="6">
        <v>1.096637E-2</v>
      </c>
      <c r="H28" s="109"/>
    </row>
    <row r="29" spans="1:8" ht="29.1" customHeight="1" x14ac:dyDescent="0.2">
      <c r="A29" s="104">
        <v>23</v>
      </c>
      <c r="B29" s="3" t="s">
        <v>256</v>
      </c>
      <c r="C29" s="3" t="s">
        <v>257</v>
      </c>
      <c r="D29" s="3" t="s">
        <v>221</v>
      </c>
      <c r="E29" s="4">
        <v>71099</v>
      </c>
      <c r="F29" s="5">
        <v>223.4997065</v>
      </c>
      <c r="G29" s="6">
        <v>1.0740100000000001E-2</v>
      </c>
      <c r="H29" s="109"/>
    </row>
    <row r="30" spans="1:8" ht="29.1" customHeight="1" x14ac:dyDescent="0.2">
      <c r="A30" s="104">
        <v>24</v>
      </c>
      <c r="B30" s="3" t="s">
        <v>412</v>
      </c>
      <c r="C30" s="3" t="s">
        <v>413</v>
      </c>
      <c r="D30" s="3" t="s">
        <v>221</v>
      </c>
      <c r="E30" s="4">
        <v>56680</v>
      </c>
      <c r="F30" s="5">
        <v>203.50953999999999</v>
      </c>
      <c r="G30" s="6">
        <v>9.7794900000000001E-3</v>
      </c>
      <c r="H30" s="109"/>
    </row>
    <row r="31" spans="1:8" ht="17.100000000000001" customHeight="1" x14ac:dyDescent="0.2">
      <c r="A31" s="104">
        <v>25</v>
      </c>
      <c r="B31" s="3" t="s">
        <v>95</v>
      </c>
      <c r="C31" s="3" t="s">
        <v>96</v>
      </c>
      <c r="D31" s="3" t="s">
        <v>97</v>
      </c>
      <c r="E31" s="4">
        <v>40384</v>
      </c>
      <c r="F31" s="5">
        <v>196.93257600000001</v>
      </c>
      <c r="G31" s="6">
        <v>9.46344E-3</v>
      </c>
      <c r="H31" s="109"/>
    </row>
    <row r="32" spans="1:8" ht="29.1" customHeight="1" x14ac:dyDescent="0.2">
      <c r="A32" s="104">
        <v>26</v>
      </c>
      <c r="B32" s="3" t="s">
        <v>393</v>
      </c>
      <c r="C32" s="3" t="s">
        <v>394</v>
      </c>
      <c r="D32" s="3" t="s">
        <v>191</v>
      </c>
      <c r="E32" s="4">
        <v>37465</v>
      </c>
      <c r="F32" s="5">
        <v>188.20542750000001</v>
      </c>
      <c r="G32" s="6">
        <v>9.0440599999999996E-3</v>
      </c>
      <c r="H32" s="109"/>
    </row>
    <row r="33" spans="1:8" ht="17.100000000000001" customHeight="1" x14ac:dyDescent="0.2">
      <c r="A33" s="104">
        <v>27</v>
      </c>
      <c r="B33" s="3" t="s">
        <v>377</v>
      </c>
      <c r="C33" s="3" t="s">
        <v>378</v>
      </c>
      <c r="D33" s="3" t="s">
        <v>13</v>
      </c>
      <c r="E33" s="4">
        <v>235040</v>
      </c>
      <c r="F33" s="5">
        <v>175.22232</v>
      </c>
      <c r="G33" s="6">
        <v>8.4201699999999994E-3</v>
      </c>
      <c r="H33" s="109"/>
    </row>
    <row r="34" spans="1:8" ht="17.100000000000001" customHeight="1" x14ac:dyDescent="0.2">
      <c r="A34" s="104">
        <v>28</v>
      </c>
      <c r="B34" s="3" t="s">
        <v>414</v>
      </c>
      <c r="C34" s="3" t="s">
        <v>415</v>
      </c>
      <c r="D34" s="3" t="s">
        <v>57</v>
      </c>
      <c r="E34" s="4">
        <v>26074</v>
      </c>
      <c r="F34" s="5">
        <v>169.80692500000001</v>
      </c>
      <c r="G34" s="6">
        <v>8.1599399999999992E-3</v>
      </c>
      <c r="H34" s="109"/>
    </row>
    <row r="35" spans="1:8" ht="17.100000000000001" customHeight="1" x14ac:dyDescent="0.2">
      <c r="A35" s="104">
        <v>29</v>
      </c>
      <c r="B35" s="3" t="s">
        <v>416</v>
      </c>
      <c r="C35" s="3" t="s">
        <v>417</v>
      </c>
      <c r="D35" s="3" t="s">
        <v>115</v>
      </c>
      <c r="E35" s="4">
        <v>32552</v>
      </c>
      <c r="F35" s="5">
        <v>164.599188</v>
      </c>
      <c r="G35" s="6">
        <v>7.9096800000000005E-3</v>
      </c>
      <c r="H35" s="109"/>
    </row>
    <row r="36" spans="1:8" ht="29.1" customHeight="1" x14ac:dyDescent="0.2">
      <c r="A36" s="104">
        <v>30</v>
      </c>
      <c r="B36" s="3" t="s">
        <v>390</v>
      </c>
      <c r="C36" s="3" t="s">
        <v>391</v>
      </c>
      <c r="D36" s="3" t="s">
        <v>392</v>
      </c>
      <c r="E36" s="4">
        <v>43898</v>
      </c>
      <c r="F36" s="5">
        <v>157.418228</v>
      </c>
      <c r="G36" s="6">
        <v>7.5646100000000003E-3</v>
      </c>
      <c r="H36" s="109"/>
    </row>
    <row r="37" spans="1:8" ht="29.1" customHeight="1" x14ac:dyDescent="0.2">
      <c r="A37" s="104">
        <v>31</v>
      </c>
      <c r="B37" s="3" t="s">
        <v>381</v>
      </c>
      <c r="C37" s="3" t="s">
        <v>382</v>
      </c>
      <c r="D37" s="3" t="s">
        <v>383</v>
      </c>
      <c r="E37" s="4">
        <v>157132</v>
      </c>
      <c r="F37" s="5">
        <v>155.56067999999999</v>
      </c>
      <c r="G37" s="6">
        <v>7.4753500000000004E-3</v>
      </c>
      <c r="H37" s="109"/>
    </row>
    <row r="38" spans="1:8" ht="17.100000000000001" customHeight="1" x14ac:dyDescent="0.2">
      <c r="A38" s="104">
        <v>32</v>
      </c>
      <c r="B38" s="3" t="s">
        <v>388</v>
      </c>
      <c r="C38" s="3" t="s">
        <v>389</v>
      </c>
      <c r="D38" s="3" t="s">
        <v>115</v>
      </c>
      <c r="E38" s="4">
        <v>34209</v>
      </c>
      <c r="F38" s="5">
        <v>140.017437</v>
      </c>
      <c r="G38" s="6">
        <v>6.7284299999999997E-3</v>
      </c>
      <c r="H38" s="109"/>
    </row>
    <row r="39" spans="1:8" ht="17.100000000000001" customHeight="1" x14ac:dyDescent="0.2">
      <c r="A39" s="104">
        <v>33</v>
      </c>
      <c r="B39" s="3" t="s">
        <v>386</v>
      </c>
      <c r="C39" s="3" t="s">
        <v>387</v>
      </c>
      <c r="D39" s="3" t="s">
        <v>228</v>
      </c>
      <c r="E39" s="4">
        <v>21026</v>
      </c>
      <c r="F39" s="5">
        <v>124.66315400000001</v>
      </c>
      <c r="G39" s="6">
        <v>5.9905899999999996E-3</v>
      </c>
      <c r="H39" s="109"/>
    </row>
    <row r="40" spans="1:8" ht="17.100000000000001" customHeight="1" x14ac:dyDescent="0.2">
      <c r="A40" s="104">
        <v>34</v>
      </c>
      <c r="B40" s="3" t="s">
        <v>418</v>
      </c>
      <c r="C40" s="3" t="s">
        <v>419</v>
      </c>
      <c r="D40" s="3" t="s">
        <v>120</v>
      </c>
      <c r="E40" s="4">
        <v>12628</v>
      </c>
      <c r="F40" s="5">
        <v>121.853886</v>
      </c>
      <c r="G40" s="6">
        <v>5.8555899999999999E-3</v>
      </c>
      <c r="H40" s="109"/>
    </row>
    <row r="41" spans="1:8" ht="17.100000000000001" customHeight="1" x14ac:dyDescent="0.2">
      <c r="A41" s="104">
        <v>35</v>
      </c>
      <c r="B41" s="3" t="s">
        <v>420</v>
      </c>
      <c r="C41" s="3" t="s">
        <v>421</v>
      </c>
      <c r="D41" s="3" t="s">
        <v>22</v>
      </c>
      <c r="E41" s="4">
        <v>52998</v>
      </c>
      <c r="F41" s="5">
        <v>121.391919</v>
      </c>
      <c r="G41" s="6">
        <v>5.8333899999999999E-3</v>
      </c>
      <c r="H41" s="109"/>
    </row>
    <row r="42" spans="1:8" ht="29.1" customHeight="1" x14ac:dyDescent="0.2">
      <c r="A42" s="104">
        <v>36</v>
      </c>
      <c r="B42" s="3" t="s">
        <v>422</v>
      </c>
      <c r="C42" s="3" t="s">
        <v>423</v>
      </c>
      <c r="D42" s="3" t="s">
        <v>221</v>
      </c>
      <c r="E42" s="4">
        <v>2097</v>
      </c>
      <c r="F42" s="5">
        <v>98.076689999999999</v>
      </c>
      <c r="G42" s="6">
        <v>4.7130000000000002E-3</v>
      </c>
      <c r="H42" s="109"/>
    </row>
    <row r="43" spans="1:8" ht="17.100000000000001" customHeight="1" x14ac:dyDescent="0.2">
      <c r="A43" s="104">
        <v>37</v>
      </c>
      <c r="B43" s="3" t="s">
        <v>424</v>
      </c>
      <c r="C43" s="3" t="s">
        <v>425</v>
      </c>
      <c r="D43" s="3" t="s">
        <v>253</v>
      </c>
      <c r="E43" s="4">
        <v>57886</v>
      </c>
      <c r="F43" s="5">
        <v>82.979580999999996</v>
      </c>
      <c r="G43" s="6">
        <v>3.9875199999999996E-3</v>
      </c>
      <c r="H43" s="109"/>
    </row>
    <row r="44" spans="1:8" ht="29.1" customHeight="1" x14ac:dyDescent="0.2">
      <c r="A44" s="104">
        <v>38</v>
      </c>
      <c r="B44" s="3" t="s">
        <v>426</v>
      </c>
      <c r="C44" s="3" t="s">
        <v>427</v>
      </c>
      <c r="D44" s="3" t="s">
        <v>115</v>
      </c>
      <c r="E44" s="4">
        <v>6522</v>
      </c>
      <c r="F44" s="5">
        <v>75.518237999999997</v>
      </c>
      <c r="G44" s="6">
        <v>3.62897E-3</v>
      </c>
      <c r="H44" s="109"/>
    </row>
    <row r="45" spans="1:8" ht="17.100000000000001" customHeight="1" x14ac:dyDescent="0.2">
      <c r="A45" s="104">
        <v>39</v>
      </c>
      <c r="B45" s="3" t="s">
        <v>330</v>
      </c>
      <c r="C45" s="3" t="s">
        <v>331</v>
      </c>
      <c r="D45" s="3" t="s">
        <v>97</v>
      </c>
      <c r="E45" s="4">
        <v>110125</v>
      </c>
      <c r="F45" s="5">
        <v>70.700249999999997</v>
      </c>
      <c r="G45" s="6">
        <v>3.3974500000000002E-3</v>
      </c>
      <c r="H45" s="109"/>
    </row>
    <row r="46" spans="1:8" ht="29.1" customHeight="1" x14ac:dyDescent="0.2">
      <c r="A46" s="104">
        <v>40</v>
      </c>
      <c r="B46" s="3" t="s">
        <v>320</v>
      </c>
      <c r="C46" s="3" t="s">
        <v>321</v>
      </c>
      <c r="D46" s="3" t="s">
        <v>188</v>
      </c>
      <c r="E46" s="4">
        <v>16020</v>
      </c>
      <c r="F46" s="5">
        <v>62.093519999999998</v>
      </c>
      <c r="G46" s="6">
        <v>2.9838600000000001E-3</v>
      </c>
      <c r="H46" s="109"/>
    </row>
    <row r="47" spans="1:8" ht="17.100000000000001" customHeight="1" x14ac:dyDescent="0.2">
      <c r="A47" s="104">
        <v>41</v>
      </c>
      <c r="B47" s="3" t="s">
        <v>428</v>
      </c>
      <c r="C47" s="3" t="s">
        <v>429</v>
      </c>
      <c r="D47" s="3" t="s">
        <v>213</v>
      </c>
      <c r="E47" s="4">
        <v>7677</v>
      </c>
      <c r="F47" s="5">
        <v>55.9538145</v>
      </c>
      <c r="G47" s="6">
        <v>2.6888200000000002E-3</v>
      </c>
      <c r="H47" s="109"/>
    </row>
    <row r="48" spans="1:8" ht="17.100000000000001" customHeight="1" x14ac:dyDescent="0.2">
      <c r="A48" s="104">
        <v>42</v>
      </c>
      <c r="B48" s="3" t="s">
        <v>395</v>
      </c>
      <c r="C48" s="3" t="s">
        <v>396</v>
      </c>
      <c r="D48" s="3" t="s">
        <v>115</v>
      </c>
      <c r="E48" s="4">
        <v>28500</v>
      </c>
      <c r="F48" s="5">
        <v>55.78875</v>
      </c>
      <c r="G48" s="6">
        <v>2.6808800000000001E-3</v>
      </c>
      <c r="H48" s="109"/>
    </row>
    <row r="49" spans="1:8" ht="29.1" customHeight="1" x14ac:dyDescent="0.2">
      <c r="A49" s="104">
        <v>43</v>
      </c>
      <c r="B49" s="3" t="s">
        <v>87</v>
      </c>
      <c r="C49" s="3" t="s">
        <v>88</v>
      </c>
      <c r="D49" s="3" t="s">
        <v>25</v>
      </c>
      <c r="E49" s="4">
        <v>1848</v>
      </c>
      <c r="F49" s="5">
        <v>51.089807999999998</v>
      </c>
      <c r="G49" s="6">
        <v>2.4550800000000001E-3</v>
      </c>
      <c r="H49" s="109"/>
    </row>
    <row r="50" spans="1:8" ht="29.1" customHeight="1" x14ac:dyDescent="0.2">
      <c r="A50" s="104">
        <v>44</v>
      </c>
      <c r="B50" s="3" t="s">
        <v>430</v>
      </c>
      <c r="C50" s="3" t="s">
        <v>431</v>
      </c>
      <c r="D50" s="3" t="s">
        <v>188</v>
      </c>
      <c r="E50" s="4">
        <v>6324</v>
      </c>
      <c r="F50" s="5">
        <v>25.526826</v>
      </c>
      <c r="G50" s="6">
        <v>1.22667E-3</v>
      </c>
      <c r="H50" s="109"/>
    </row>
    <row r="51" spans="1:8" ht="14.1" customHeight="1" x14ac:dyDescent="0.2">
      <c r="A51" s="103"/>
      <c r="B51" s="1"/>
      <c r="C51" s="2" t="s">
        <v>135</v>
      </c>
      <c r="D51" s="1"/>
      <c r="E51" s="1" t="s">
        <v>136</v>
      </c>
      <c r="F51" s="8">
        <v>11225.770838</v>
      </c>
      <c r="G51" s="9">
        <v>0.53944555000000005</v>
      </c>
      <c r="H51" s="109"/>
    </row>
    <row r="52" spans="1:8" ht="14.1" customHeight="1" x14ac:dyDescent="0.2">
      <c r="A52" s="103"/>
      <c r="B52" s="1"/>
      <c r="C52" s="10"/>
      <c r="D52" s="1"/>
      <c r="E52" s="1"/>
      <c r="F52" s="11"/>
      <c r="G52" s="11"/>
      <c r="H52" s="109"/>
    </row>
    <row r="53" spans="1:8" ht="14.1" customHeight="1" x14ac:dyDescent="0.2">
      <c r="A53" s="103"/>
      <c r="B53" s="1"/>
      <c r="C53" s="2" t="s">
        <v>137</v>
      </c>
      <c r="D53" s="1"/>
      <c r="E53" s="1"/>
      <c r="F53" s="1"/>
      <c r="G53" s="1"/>
      <c r="H53" s="109"/>
    </row>
    <row r="54" spans="1:8" ht="14.1" customHeight="1" x14ac:dyDescent="0.2">
      <c r="A54" s="103"/>
      <c r="B54" s="1"/>
      <c r="C54" s="2" t="s">
        <v>135</v>
      </c>
      <c r="D54" s="1"/>
      <c r="E54" s="1" t="s">
        <v>136</v>
      </c>
      <c r="F54" s="115">
        <v>0</v>
      </c>
      <c r="G54" s="9">
        <v>0</v>
      </c>
      <c r="H54" s="109"/>
    </row>
    <row r="55" spans="1:8" ht="14.1" customHeight="1" x14ac:dyDescent="0.2">
      <c r="A55" s="103"/>
      <c r="B55" s="1"/>
      <c r="C55" s="10"/>
      <c r="D55" s="1"/>
      <c r="E55" s="1"/>
      <c r="F55" s="11"/>
      <c r="G55" s="11"/>
      <c r="H55" s="109"/>
    </row>
    <row r="56" spans="1:8" ht="14.1" customHeight="1" x14ac:dyDescent="0.2">
      <c r="A56" s="103"/>
      <c r="B56" s="1"/>
      <c r="C56" s="2" t="s">
        <v>138</v>
      </c>
      <c r="D56" s="1"/>
      <c r="E56" s="1"/>
      <c r="F56" s="1"/>
      <c r="G56" s="1"/>
      <c r="H56" s="109"/>
    </row>
    <row r="57" spans="1:8" ht="14.1" customHeight="1" x14ac:dyDescent="0.2">
      <c r="A57" s="103"/>
      <c r="B57" s="1"/>
      <c r="C57" s="2" t="s">
        <v>135</v>
      </c>
      <c r="D57" s="1"/>
      <c r="E57" s="1" t="s">
        <v>136</v>
      </c>
      <c r="F57" s="115">
        <v>0</v>
      </c>
      <c r="G57" s="9">
        <v>0</v>
      </c>
      <c r="H57" s="109"/>
    </row>
    <row r="58" spans="1:8" ht="14.1" customHeight="1" x14ac:dyDescent="0.2">
      <c r="A58" s="103"/>
      <c r="B58" s="1"/>
      <c r="C58" s="10"/>
      <c r="D58" s="1"/>
      <c r="E58" s="1"/>
      <c r="F58" s="11"/>
      <c r="G58" s="11"/>
      <c r="H58" s="109"/>
    </row>
    <row r="59" spans="1:8" ht="14.1" customHeight="1" x14ac:dyDescent="0.2">
      <c r="A59" s="103"/>
      <c r="B59" s="1"/>
      <c r="C59" s="2" t="s">
        <v>139</v>
      </c>
      <c r="D59" s="1"/>
      <c r="E59" s="1"/>
      <c r="F59" s="1"/>
      <c r="G59" s="1"/>
      <c r="H59" s="109"/>
    </row>
    <row r="60" spans="1:8" ht="14.1" customHeight="1" x14ac:dyDescent="0.2">
      <c r="A60" s="103"/>
      <c r="B60" s="1"/>
      <c r="C60" s="2" t="s">
        <v>135</v>
      </c>
      <c r="D60" s="1"/>
      <c r="E60" s="1" t="s">
        <v>136</v>
      </c>
      <c r="F60" s="115">
        <v>0</v>
      </c>
      <c r="G60" s="9">
        <v>0</v>
      </c>
      <c r="H60" s="109"/>
    </row>
    <row r="61" spans="1:8" ht="14.1" customHeight="1" x14ac:dyDescent="0.2">
      <c r="A61" s="103"/>
      <c r="B61" s="1"/>
      <c r="C61" s="10"/>
      <c r="D61" s="1"/>
      <c r="E61" s="1"/>
      <c r="F61" s="11"/>
      <c r="G61" s="11"/>
      <c r="H61" s="109"/>
    </row>
    <row r="62" spans="1:8" ht="14.1" customHeight="1" x14ac:dyDescent="0.2">
      <c r="A62" s="103"/>
      <c r="B62" s="1"/>
      <c r="C62" s="2" t="s">
        <v>140</v>
      </c>
      <c r="D62" s="1"/>
      <c r="E62" s="1"/>
      <c r="F62" s="11"/>
      <c r="G62" s="11"/>
      <c r="H62" s="109"/>
    </row>
    <row r="63" spans="1:8" ht="14.1" customHeight="1" x14ac:dyDescent="0.2">
      <c r="A63" s="103"/>
      <c r="B63" s="1"/>
      <c r="C63" s="2" t="s">
        <v>135</v>
      </c>
      <c r="D63" s="1"/>
      <c r="E63" s="1" t="s">
        <v>136</v>
      </c>
      <c r="F63" s="115">
        <v>0</v>
      </c>
      <c r="G63" s="9">
        <v>0</v>
      </c>
      <c r="H63" s="109"/>
    </row>
    <row r="64" spans="1:8" ht="14.1" customHeight="1" x14ac:dyDescent="0.2">
      <c r="A64" s="103"/>
      <c r="B64" s="1"/>
      <c r="C64" s="10"/>
      <c r="D64" s="1"/>
      <c r="E64" s="1"/>
      <c r="F64" s="11"/>
      <c r="G64" s="11"/>
      <c r="H64" s="109"/>
    </row>
    <row r="65" spans="1:8" ht="14.1" customHeight="1" x14ac:dyDescent="0.2">
      <c r="A65" s="103"/>
      <c r="B65" s="1"/>
      <c r="C65" s="2" t="s">
        <v>141</v>
      </c>
      <c r="D65" s="1"/>
      <c r="E65" s="1"/>
      <c r="F65" s="11"/>
      <c r="G65" s="11"/>
      <c r="H65" s="109"/>
    </row>
    <row r="66" spans="1:8" ht="14.1" customHeight="1" x14ac:dyDescent="0.2">
      <c r="A66" s="103"/>
      <c r="B66" s="1"/>
      <c r="C66" s="2" t="s">
        <v>135</v>
      </c>
      <c r="D66" s="1"/>
      <c r="E66" s="1" t="s">
        <v>136</v>
      </c>
      <c r="F66" s="115">
        <v>0</v>
      </c>
      <c r="G66" s="9">
        <v>0</v>
      </c>
      <c r="H66" s="109"/>
    </row>
    <row r="67" spans="1:8" ht="14.1" customHeight="1" x14ac:dyDescent="0.2">
      <c r="A67" s="103"/>
      <c r="B67" s="1"/>
      <c r="C67" s="10"/>
      <c r="D67" s="1"/>
      <c r="E67" s="1"/>
      <c r="F67" s="11"/>
      <c r="G67" s="11"/>
      <c r="H67" s="109"/>
    </row>
    <row r="68" spans="1:8" ht="18" customHeight="1" x14ac:dyDescent="0.2">
      <c r="A68" s="103"/>
      <c r="B68" s="1"/>
      <c r="C68" s="2" t="s">
        <v>142</v>
      </c>
      <c r="D68" s="1"/>
      <c r="E68" s="1"/>
      <c r="F68" s="8">
        <v>11225.770838</v>
      </c>
      <c r="G68" s="9">
        <v>0.53944555000000005</v>
      </c>
      <c r="H68" s="109"/>
    </row>
    <row r="69" spans="1:8" ht="14.1" customHeight="1" x14ac:dyDescent="0.2">
      <c r="A69" s="103"/>
      <c r="B69" s="1"/>
      <c r="C69" s="10"/>
      <c r="D69" s="1"/>
      <c r="E69" s="1"/>
      <c r="F69" s="11"/>
      <c r="G69" s="11"/>
      <c r="H69" s="109"/>
    </row>
    <row r="70" spans="1:8" ht="14.1" customHeight="1" x14ac:dyDescent="0.2">
      <c r="A70" s="103"/>
      <c r="B70" s="1"/>
      <c r="C70" s="2" t="s">
        <v>143</v>
      </c>
      <c r="D70" s="1"/>
      <c r="E70" s="1"/>
      <c r="F70" s="11"/>
      <c r="G70" s="11"/>
      <c r="H70" s="109"/>
    </row>
    <row r="71" spans="1:8" ht="24" customHeight="1" x14ac:dyDescent="0.2">
      <c r="A71" s="103"/>
      <c r="B71" s="1"/>
      <c r="C71" s="2" t="s">
        <v>10</v>
      </c>
      <c r="D71" s="1"/>
      <c r="E71" s="1"/>
      <c r="F71" s="11"/>
      <c r="G71" s="11"/>
      <c r="H71" s="109"/>
    </row>
    <row r="72" spans="1:8" ht="14.1" customHeight="1" x14ac:dyDescent="0.2">
      <c r="A72" s="103"/>
      <c r="B72" s="1"/>
      <c r="C72" s="2" t="s">
        <v>135</v>
      </c>
      <c r="D72" s="1"/>
      <c r="E72" s="1" t="s">
        <v>136</v>
      </c>
      <c r="F72" s="115">
        <v>0</v>
      </c>
      <c r="G72" s="9">
        <v>0</v>
      </c>
      <c r="H72" s="109"/>
    </row>
    <row r="73" spans="1:8" ht="14.1" customHeight="1" x14ac:dyDescent="0.2">
      <c r="A73" s="103"/>
      <c r="B73" s="1"/>
      <c r="C73" s="10"/>
      <c r="D73" s="1"/>
      <c r="E73" s="1"/>
      <c r="F73" s="11"/>
      <c r="G73" s="11"/>
      <c r="H73" s="109"/>
    </row>
    <row r="74" spans="1:8" ht="14.1" customHeight="1" x14ac:dyDescent="0.2">
      <c r="A74" s="103"/>
      <c r="B74" s="1"/>
      <c r="C74" s="2" t="s">
        <v>144</v>
      </c>
      <c r="D74" s="1"/>
      <c r="E74" s="1"/>
      <c r="F74" s="1"/>
      <c r="G74" s="1"/>
      <c r="H74" s="109"/>
    </row>
    <row r="75" spans="1:8" ht="14.1" customHeight="1" x14ac:dyDescent="0.2">
      <c r="A75" s="103"/>
      <c r="B75" s="1"/>
      <c r="C75" s="2" t="s">
        <v>135</v>
      </c>
      <c r="D75" s="1"/>
      <c r="E75" s="1" t="s">
        <v>136</v>
      </c>
      <c r="F75" s="115">
        <v>0</v>
      </c>
      <c r="G75" s="9">
        <v>0</v>
      </c>
      <c r="H75" s="109"/>
    </row>
    <row r="76" spans="1:8" ht="14.1" customHeight="1" x14ac:dyDescent="0.2">
      <c r="A76" s="103"/>
      <c r="B76" s="1"/>
      <c r="C76" s="10"/>
      <c r="D76" s="1"/>
      <c r="E76" s="1"/>
      <c r="F76" s="11"/>
      <c r="G76" s="11"/>
      <c r="H76" s="109"/>
    </row>
    <row r="77" spans="1:8" ht="14.1" customHeight="1" x14ac:dyDescent="0.2">
      <c r="A77" s="103"/>
      <c r="B77" s="1"/>
      <c r="C77" s="2" t="s">
        <v>145</v>
      </c>
      <c r="D77" s="1"/>
      <c r="E77" s="1"/>
      <c r="F77" s="1"/>
      <c r="G77" s="1"/>
      <c r="H77" s="109"/>
    </row>
    <row r="78" spans="1:8" ht="14.1" customHeight="1" x14ac:dyDescent="0.2">
      <c r="A78" s="103"/>
      <c r="B78" s="1"/>
      <c r="C78" s="2" t="s">
        <v>135</v>
      </c>
      <c r="D78" s="1"/>
      <c r="E78" s="1" t="s">
        <v>136</v>
      </c>
      <c r="F78" s="115">
        <v>0</v>
      </c>
      <c r="G78" s="9">
        <v>0</v>
      </c>
      <c r="H78" s="109"/>
    </row>
    <row r="79" spans="1:8" ht="14.1" customHeight="1" x14ac:dyDescent="0.2">
      <c r="A79" s="103"/>
      <c r="B79" s="1"/>
      <c r="C79" s="10"/>
      <c r="D79" s="1"/>
      <c r="E79" s="1"/>
      <c r="F79" s="11"/>
      <c r="G79" s="11"/>
      <c r="H79" s="109"/>
    </row>
    <row r="80" spans="1:8" ht="14.1" customHeight="1" x14ac:dyDescent="0.2">
      <c r="A80" s="103"/>
      <c r="B80" s="1"/>
      <c r="C80" s="2" t="s">
        <v>146</v>
      </c>
      <c r="D80" s="1"/>
      <c r="E80" s="1"/>
      <c r="F80" s="11"/>
      <c r="G80" s="11"/>
      <c r="H80" s="109"/>
    </row>
    <row r="81" spans="1:8" ht="14.1" customHeight="1" x14ac:dyDescent="0.2">
      <c r="A81" s="103"/>
      <c r="B81" s="1"/>
      <c r="C81" s="2" t="s">
        <v>135</v>
      </c>
      <c r="D81" s="1"/>
      <c r="E81" s="1" t="s">
        <v>136</v>
      </c>
      <c r="F81" s="115">
        <v>0</v>
      </c>
      <c r="G81" s="9">
        <v>0</v>
      </c>
      <c r="H81" s="109"/>
    </row>
    <row r="82" spans="1:8" ht="14.1" customHeight="1" x14ac:dyDescent="0.2">
      <c r="A82" s="103"/>
      <c r="B82" s="1"/>
      <c r="C82" s="10"/>
      <c r="D82" s="1"/>
      <c r="E82" s="1"/>
      <c r="F82" s="11"/>
      <c r="G82" s="11"/>
      <c r="H82" s="109"/>
    </row>
    <row r="83" spans="1:8" ht="14.1" customHeight="1" x14ac:dyDescent="0.2">
      <c r="A83" s="103"/>
      <c r="B83" s="1"/>
      <c r="C83" s="2" t="s">
        <v>147</v>
      </c>
      <c r="D83" s="1"/>
      <c r="E83" s="1"/>
      <c r="F83" s="8">
        <v>0</v>
      </c>
      <c r="G83" s="9">
        <v>0</v>
      </c>
      <c r="H83" s="109"/>
    </row>
    <row r="84" spans="1:8" ht="14.1" customHeight="1" x14ac:dyDescent="0.2">
      <c r="A84" s="103"/>
      <c r="B84" s="1"/>
      <c r="C84" s="10"/>
      <c r="D84" s="1"/>
      <c r="E84" s="1"/>
      <c r="F84" s="11"/>
      <c r="G84" s="11"/>
      <c r="H84" s="109"/>
    </row>
    <row r="85" spans="1:8" ht="14.1" customHeight="1" x14ac:dyDescent="0.2">
      <c r="A85" s="103"/>
      <c r="B85" s="1"/>
      <c r="C85" s="2" t="s">
        <v>148</v>
      </c>
      <c r="D85" s="1"/>
      <c r="E85" s="1"/>
      <c r="F85" s="11"/>
      <c r="G85" s="11"/>
      <c r="H85" s="109"/>
    </row>
    <row r="86" spans="1:8" ht="14.1" customHeight="1" x14ac:dyDescent="0.2">
      <c r="A86" s="103"/>
      <c r="B86" s="1"/>
      <c r="C86" s="2" t="s">
        <v>149</v>
      </c>
      <c r="D86" s="1"/>
      <c r="E86" s="1"/>
      <c r="F86" s="11"/>
      <c r="G86" s="11"/>
      <c r="H86" s="109"/>
    </row>
    <row r="87" spans="1:8" ht="14.1" customHeight="1" x14ac:dyDescent="0.2">
      <c r="A87" s="103"/>
      <c r="B87" s="1"/>
      <c r="C87" s="2" t="s">
        <v>135</v>
      </c>
      <c r="D87" s="1"/>
      <c r="E87" s="1" t="s">
        <v>136</v>
      </c>
      <c r="F87" s="115">
        <v>0</v>
      </c>
      <c r="G87" s="9">
        <v>0</v>
      </c>
      <c r="H87" s="109"/>
    </row>
    <row r="88" spans="1:8" ht="14.1" customHeight="1" x14ac:dyDescent="0.2">
      <c r="A88" s="103"/>
      <c r="B88" s="1"/>
      <c r="C88" s="10"/>
      <c r="D88" s="1"/>
      <c r="E88" s="1"/>
      <c r="F88" s="11"/>
      <c r="G88" s="11"/>
      <c r="H88" s="109"/>
    </row>
    <row r="89" spans="1:8" ht="14.1" customHeight="1" x14ac:dyDescent="0.2">
      <c r="A89" s="103"/>
      <c r="B89" s="1"/>
      <c r="C89" s="2" t="s">
        <v>150</v>
      </c>
      <c r="D89" s="1"/>
      <c r="E89" s="1"/>
      <c r="F89" s="11"/>
      <c r="G89" s="11"/>
      <c r="H89" s="109"/>
    </row>
    <row r="90" spans="1:8" ht="14.1" customHeight="1" x14ac:dyDescent="0.2">
      <c r="A90" s="103"/>
      <c r="B90" s="1"/>
      <c r="C90" s="2" t="s">
        <v>135</v>
      </c>
      <c r="D90" s="1"/>
      <c r="E90" s="1" t="s">
        <v>136</v>
      </c>
      <c r="F90" s="115">
        <v>0</v>
      </c>
      <c r="G90" s="9">
        <v>0</v>
      </c>
      <c r="H90" s="109"/>
    </row>
    <row r="91" spans="1:8" ht="14.1" customHeight="1" x14ac:dyDescent="0.2">
      <c r="A91" s="103"/>
      <c r="B91" s="1"/>
      <c r="C91" s="10"/>
      <c r="D91" s="1"/>
      <c r="E91" s="1"/>
      <c r="F91" s="11"/>
      <c r="G91" s="11"/>
      <c r="H91" s="109"/>
    </row>
    <row r="92" spans="1:8" ht="14.1" customHeight="1" x14ac:dyDescent="0.2">
      <c r="A92" s="103"/>
      <c r="B92" s="1"/>
      <c r="C92" s="2" t="s">
        <v>151</v>
      </c>
      <c r="D92" s="1"/>
      <c r="E92" s="1"/>
      <c r="F92" s="11"/>
      <c r="G92" s="11"/>
      <c r="H92" s="109"/>
    </row>
    <row r="93" spans="1:8" ht="14.1" customHeight="1" x14ac:dyDescent="0.2">
      <c r="A93" s="103"/>
      <c r="B93" s="1"/>
      <c r="C93" s="2" t="s">
        <v>135</v>
      </c>
      <c r="D93" s="1"/>
      <c r="E93" s="1" t="s">
        <v>136</v>
      </c>
      <c r="F93" s="115">
        <v>0</v>
      </c>
      <c r="G93" s="9">
        <v>0</v>
      </c>
      <c r="H93" s="109"/>
    </row>
    <row r="94" spans="1:8" ht="14.1" customHeight="1" x14ac:dyDescent="0.2">
      <c r="A94" s="103"/>
      <c r="B94" s="1"/>
      <c r="C94" s="10"/>
      <c r="D94" s="1"/>
      <c r="E94" s="1"/>
      <c r="F94" s="11"/>
      <c r="G94" s="11"/>
      <c r="H94" s="109"/>
    </row>
    <row r="95" spans="1:8" ht="14.1" customHeight="1" x14ac:dyDescent="0.2">
      <c r="A95" s="103"/>
      <c r="B95" s="1"/>
      <c r="C95" s="2" t="s">
        <v>152</v>
      </c>
      <c r="D95" s="1"/>
      <c r="E95" s="1"/>
      <c r="F95" s="11"/>
      <c r="G95" s="11"/>
      <c r="H95" s="109"/>
    </row>
    <row r="96" spans="1:8" ht="17.100000000000001" customHeight="1" x14ac:dyDescent="0.2">
      <c r="A96" s="104">
        <v>1</v>
      </c>
      <c r="B96" s="3"/>
      <c r="C96" s="3" t="s">
        <v>153</v>
      </c>
      <c r="D96" s="3"/>
      <c r="E96" s="7"/>
      <c r="F96" s="5">
        <v>9549.2935780370008</v>
      </c>
      <c r="G96" s="6">
        <v>0.45888375999999997</v>
      </c>
      <c r="H96" s="109">
        <v>6.6015165706411798</v>
      </c>
    </row>
    <row r="97" spans="1:8" ht="14.1" customHeight="1" x14ac:dyDescent="0.2">
      <c r="A97" s="103"/>
      <c r="B97" s="1"/>
      <c r="C97" s="2" t="s">
        <v>135</v>
      </c>
      <c r="D97" s="1"/>
      <c r="E97" s="1" t="s">
        <v>136</v>
      </c>
      <c r="F97" s="8">
        <v>9549.2935780370008</v>
      </c>
      <c r="G97" s="9">
        <v>0.45888375999999997</v>
      </c>
      <c r="H97" s="109"/>
    </row>
    <row r="98" spans="1:8" ht="14.1" customHeight="1" x14ac:dyDescent="0.2">
      <c r="A98" s="103"/>
      <c r="B98" s="1"/>
      <c r="C98" s="10"/>
      <c r="D98" s="1"/>
      <c r="E98" s="1"/>
      <c r="F98" s="11"/>
      <c r="G98" s="11"/>
      <c r="H98" s="109"/>
    </row>
    <row r="99" spans="1:8" ht="14.1" customHeight="1" x14ac:dyDescent="0.2">
      <c r="A99" s="103"/>
      <c r="B99" s="1"/>
      <c r="C99" s="2" t="s">
        <v>154</v>
      </c>
      <c r="D99" s="1"/>
      <c r="E99" s="1"/>
      <c r="F99" s="8">
        <v>9549.2935780370008</v>
      </c>
      <c r="G99" s="9">
        <v>0.45888375999999997</v>
      </c>
      <c r="H99" s="109"/>
    </row>
    <row r="100" spans="1:8" ht="14.1" customHeight="1" x14ac:dyDescent="0.2">
      <c r="A100" s="103"/>
      <c r="B100" s="1"/>
      <c r="C100" s="11"/>
      <c r="D100" s="1"/>
      <c r="E100" s="1"/>
      <c r="F100" s="1"/>
      <c r="G100" s="1"/>
      <c r="H100" s="109"/>
    </row>
    <row r="101" spans="1:8" ht="14.1" customHeight="1" x14ac:dyDescent="0.2">
      <c r="A101" s="103"/>
      <c r="B101" s="1"/>
      <c r="C101" s="2" t="s">
        <v>155</v>
      </c>
      <c r="D101" s="1"/>
      <c r="E101" s="1"/>
      <c r="F101" s="1"/>
      <c r="G101" s="1"/>
      <c r="H101" s="109"/>
    </row>
    <row r="102" spans="1:8" ht="14.1" customHeight="1" x14ac:dyDescent="0.2">
      <c r="A102" s="103"/>
      <c r="B102" s="1"/>
      <c r="C102" s="2" t="s">
        <v>156</v>
      </c>
      <c r="D102" s="1"/>
      <c r="E102" s="1"/>
      <c r="F102" s="1"/>
      <c r="G102" s="1"/>
      <c r="H102" s="109"/>
    </row>
    <row r="103" spans="1:8" ht="14.1" customHeight="1" x14ac:dyDescent="0.2">
      <c r="A103" s="103"/>
      <c r="B103" s="1"/>
      <c r="C103" s="2" t="s">
        <v>135</v>
      </c>
      <c r="D103" s="1"/>
      <c r="E103" s="1" t="s">
        <v>136</v>
      </c>
      <c r="F103" s="115">
        <v>0</v>
      </c>
      <c r="G103" s="9">
        <v>0</v>
      </c>
      <c r="H103" s="109"/>
    </row>
    <row r="104" spans="1:8" ht="14.1" customHeight="1" x14ac:dyDescent="0.2">
      <c r="A104" s="103"/>
      <c r="B104" s="1"/>
      <c r="C104" s="10"/>
      <c r="D104" s="1"/>
      <c r="E104" s="1"/>
      <c r="F104" s="11"/>
      <c r="G104" s="11"/>
      <c r="H104" s="109"/>
    </row>
    <row r="105" spans="1:8" ht="14.1" customHeight="1" x14ac:dyDescent="0.2">
      <c r="A105" s="103"/>
      <c r="B105" s="1"/>
      <c r="C105" s="2" t="s">
        <v>157</v>
      </c>
      <c r="D105" s="1"/>
      <c r="E105" s="1"/>
      <c r="F105" s="1"/>
      <c r="G105" s="1"/>
      <c r="H105" s="109"/>
    </row>
    <row r="106" spans="1:8" ht="14.1" customHeight="1" x14ac:dyDescent="0.2">
      <c r="A106" s="103"/>
      <c r="B106" s="1"/>
      <c r="C106" s="2" t="s">
        <v>158</v>
      </c>
      <c r="D106" s="1"/>
      <c r="E106" s="1"/>
      <c r="F106" s="1"/>
      <c r="G106" s="1"/>
      <c r="H106" s="109"/>
    </row>
    <row r="107" spans="1:8" ht="14.1" customHeight="1" x14ac:dyDescent="0.2">
      <c r="A107" s="103"/>
      <c r="B107" s="1"/>
      <c r="C107" s="2" t="s">
        <v>135</v>
      </c>
      <c r="D107" s="1"/>
      <c r="E107" s="1" t="s">
        <v>136</v>
      </c>
      <c r="F107" s="115">
        <v>0</v>
      </c>
      <c r="G107" s="9">
        <v>0</v>
      </c>
      <c r="H107" s="109"/>
    </row>
    <row r="108" spans="1:8" ht="14.1" customHeight="1" x14ac:dyDescent="0.2">
      <c r="A108" s="103"/>
      <c r="B108" s="1"/>
      <c r="C108" s="10"/>
      <c r="D108" s="1"/>
      <c r="E108" s="1"/>
      <c r="F108" s="11"/>
      <c r="G108" s="11"/>
      <c r="H108" s="109"/>
    </row>
    <row r="109" spans="1:8" ht="24" customHeight="1" x14ac:dyDescent="0.2">
      <c r="A109" s="103"/>
      <c r="B109" s="1"/>
      <c r="C109" s="2" t="s">
        <v>159</v>
      </c>
      <c r="D109" s="1"/>
      <c r="E109" s="1"/>
      <c r="F109" s="11"/>
      <c r="G109" s="11"/>
      <c r="H109" s="109"/>
    </row>
    <row r="110" spans="1:8" ht="14.1" customHeight="1" x14ac:dyDescent="0.2">
      <c r="A110" s="103"/>
      <c r="B110" s="1"/>
      <c r="C110" s="2" t="s">
        <v>135</v>
      </c>
      <c r="D110" s="1"/>
      <c r="E110" s="1" t="s">
        <v>136</v>
      </c>
      <c r="F110" s="115">
        <v>0</v>
      </c>
      <c r="G110" s="9">
        <v>0</v>
      </c>
      <c r="H110" s="109"/>
    </row>
    <row r="111" spans="1:8" ht="14.1" customHeight="1" x14ac:dyDescent="0.2">
      <c r="A111" s="103"/>
      <c r="B111" s="1"/>
      <c r="C111" s="10"/>
      <c r="D111" s="1"/>
      <c r="E111" s="1"/>
      <c r="F111" s="11"/>
      <c r="G111" s="11"/>
      <c r="H111" s="109"/>
    </row>
    <row r="112" spans="1:8" ht="14.1" customHeight="1" x14ac:dyDescent="0.2">
      <c r="A112" s="103"/>
      <c r="B112" s="3"/>
      <c r="C112" s="3"/>
      <c r="D112" s="2"/>
      <c r="E112" s="1"/>
      <c r="F112" s="3"/>
      <c r="G112" s="7"/>
      <c r="H112" s="109"/>
    </row>
    <row r="113" spans="1:8" ht="18" customHeight="1" x14ac:dyDescent="0.2">
      <c r="A113" s="105"/>
      <c r="B113" s="3"/>
      <c r="C113" s="3" t="s">
        <v>160</v>
      </c>
      <c r="D113" s="3"/>
      <c r="E113" s="7"/>
      <c r="F113" s="5">
        <v>34.766812440000002</v>
      </c>
      <c r="G113" s="6">
        <v>1.6706900000000001E-3</v>
      </c>
      <c r="H113" s="109"/>
    </row>
    <row r="114" spans="1:8" ht="14.1" customHeight="1" x14ac:dyDescent="0.2">
      <c r="A114" s="106"/>
      <c r="B114" s="10"/>
      <c r="C114" s="2" t="s">
        <v>161</v>
      </c>
      <c r="D114" s="11"/>
      <c r="E114" s="11"/>
      <c r="F114" s="8">
        <v>20809.831228477</v>
      </c>
      <c r="G114" s="12">
        <v>1</v>
      </c>
      <c r="H114" s="109"/>
    </row>
    <row r="115" spans="1:8" ht="14.1" customHeight="1" x14ac:dyDescent="0.2">
      <c r="A115" s="13"/>
      <c r="B115" s="13"/>
      <c r="C115" s="13"/>
      <c r="D115" s="14"/>
      <c r="E115" s="14"/>
      <c r="F115" s="14"/>
      <c r="G115" s="14"/>
    </row>
    <row r="116" spans="1:8" ht="14.1" customHeight="1" x14ac:dyDescent="0.2">
      <c r="A116" s="15"/>
      <c r="B116" s="15"/>
      <c r="C116" s="15"/>
      <c r="D116" s="17"/>
      <c r="E116" s="17"/>
      <c r="F116" s="17"/>
      <c r="G116" s="17"/>
    </row>
    <row r="117" spans="1:8" ht="14.1" customHeight="1" x14ac:dyDescent="0.2">
      <c r="A117" s="15"/>
      <c r="B117" s="194" t="s">
        <v>163</v>
      </c>
      <c r="C117" s="195"/>
      <c r="D117" s="196"/>
      <c r="E117" s="18"/>
      <c r="F117" s="17"/>
      <c r="G117" s="17"/>
    </row>
    <row r="118" spans="1:8" ht="29.1" customHeight="1" x14ac:dyDescent="0.2">
      <c r="A118" s="15"/>
      <c r="B118" s="191" t="s">
        <v>164</v>
      </c>
      <c r="C118" s="192"/>
      <c r="D118" s="2" t="s">
        <v>165</v>
      </c>
      <c r="E118" s="18"/>
      <c r="F118" s="17"/>
      <c r="G118" s="17"/>
    </row>
    <row r="119" spans="1:8" ht="17.100000000000001" customHeight="1" x14ac:dyDescent="0.2">
      <c r="A119" s="15"/>
      <c r="B119" s="191" t="s">
        <v>166</v>
      </c>
      <c r="C119" s="192"/>
      <c r="D119" s="2" t="s">
        <v>165</v>
      </c>
      <c r="E119" s="18"/>
      <c r="F119" s="17"/>
      <c r="G119" s="17"/>
    </row>
    <row r="120" spans="1:8" ht="17.100000000000001" customHeight="1" x14ac:dyDescent="0.2">
      <c r="A120" s="15"/>
      <c r="B120" s="191" t="s">
        <v>167</v>
      </c>
      <c r="C120" s="192"/>
      <c r="D120" s="11" t="s">
        <v>136</v>
      </c>
      <c r="E120" s="18"/>
      <c r="F120" s="17"/>
      <c r="G120" s="17"/>
    </row>
    <row r="121" spans="1:8" ht="24" customHeight="1" x14ac:dyDescent="0.2">
      <c r="A121" s="19"/>
      <c r="B121" s="20" t="s">
        <v>136</v>
      </c>
      <c r="C121" s="20" t="s">
        <v>168</v>
      </c>
      <c r="D121" s="20" t="s">
        <v>169</v>
      </c>
      <c r="E121" s="19"/>
      <c r="F121" s="19"/>
      <c r="G121" s="19"/>
    </row>
    <row r="122" spans="1:8" ht="18" customHeight="1" x14ac:dyDescent="0.2">
      <c r="A122" s="19"/>
      <c r="B122" s="21" t="s">
        <v>170</v>
      </c>
      <c r="C122" s="20" t="s">
        <v>171</v>
      </c>
      <c r="D122" s="20" t="s">
        <v>172</v>
      </c>
      <c r="E122" s="19"/>
      <c r="F122" s="19"/>
      <c r="G122" s="19"/>
    </row>
    <row r="123" spans="1:8" ht="17.100000000000001" customHeight="1" x14ac:dyDescent="0.2">
      <c r="A123" s="19"/>
      <c r="B123" s="3" t="s">
        <v>173</v>
      </c>
      <c r="C123" s="22">
        <v>19.9147</v>
      </c>
      <c r="D123" s="22">
        <v>19.854600000000001</v>
      </c>
      <c r="E123" s="19"/>
      <c r="F123" s="16"/>
      <c r="G123" s="23"/>
    </row>
    <row r="124" spans="1:8" ht="17.100000000000001" customHeight="1" x14ac:dyDescent="0.2">
      <c r="A124" s="19"/>
      <c r="B124" s="3" t="s">
        <v>994</v>
      </c>
      <c r="C124" s="22">
        <v>19.2041</v>
      </c>
      <c r="D124" s="22">
        <v>19.146100000000001</v>
      </c>
      <c r="E124" s="19"/>
      <c r="F124" s="16"/>
      <c r="G124" s="23"/>
    </row>
    <row r="125" spans="1:8" ht="17.100000000000001" customHeight="1" x14ac:dyDescent="0.2">
      <c r="A125" s="19"/>
      <c r="B125" s="3" t="s">
        <v>174</v>
      </c>
      <c r="C125" s="22">
        <v>19.209199999999999</v>
      </c>
      <c r="D125" s="22">
        <v>19.142399999999999</v>
      </c>
      <c r="E125" s="19"/>
      <c r="F125" s="16"/>
      <c r="G125" s="23"/>
    </row>
    <row r="126" spans="1:8" ht="17.100000000000001" customHeight="1" x14ac:dyDescent="0.2">
      <c r="A126" s="19"/>
      <c r="B126" s="3" t="s">
        <v>995</v>
      </c>
      <c r="C126" s="22">
        <v>18.506</v>
      </c>
      <c r="D126" s="22">
        <v>18.441600000000001</v>
      </c>
      <c r="E126" s="19"/>
      <c r="F126" s="16"/>
      <c r="G126" s="23"/>
    </row>
    <row r="127" spans="1:8" ht="14.1" customHeight="1" x14ac:dyDescent="0.2">
      <c r="A127" s="19"/>
      <c r="B127" s="19"/>
      <c r="C127" s="19"/>
      <c r="D127" s="19"/>
      <c r="E127" s="19"/>
      <c r="F127" s="19"/>
      <c r="G127" s="19"/>
    </row>
    <row r="128" spans="1:8" ht="17.100000000000001" customHeight="1" x14ac:dyDescent="0.2">
      <c r="A128" s="19"/>
      <c r="B128" s="191" t="s">
        <v>1044</v>
      </c>
      <c r="C128" s="192"/>
      <c r="D128" s="2" t="s">
        <v>165</v>
      </c>
      <c r="E128" s="19"/>
      <c r="F128" s="19"/>
      <c r="G128" s="19"/>
    </row>
    <row r="129" spans="1:7" ht="18" customHeight="1" x14ac:dyDescent="0.2">
      <c r="A129" s="19"/>
      <c r="B129" s="24"/>
      <c r="C129" s="24"/>
      <c r="D129" s="24"/>
      <c r="E129" s="19"/>
      <c r="F129" s="19"/>
      <c r="G129" s="19"/>
    </row>
    <row r="130" spans="1:7" ht="29.1" customHeight="1" x14ac:dyDescent="0.2">
      <c r="A130" s="19"/>
      <c r="B130" s="191" t="s">
        <v>175</v>
      </c>
      <c r="C130" s="192"/>
      <c r="D130" s="2" t="s">
        <v>165</v>
      </c>
      <c r="E130" s="25"/>
      <c r="F130" s="19"/>
      <c r="G130" s="19"/>
    </row>
    <row r="131" spans="1:7" ht="29.1" customHeight="1" x14ac:dyDescent="0.2">
      <c r="A131" s="19"/>
      <c r="B131" s="191" t="s">
        <v>176</v>
      </c>
      <c r="C131" s="192"/>
      <c r="D131" s="2" t="s">
        <v>165</v>
      </c>
      <c r="E131" s="25"/>
      <c r="F131" s="19"/>
      <c r="G131" s="19"/>
    </row>
    <row r="132" spans="1:7" ht="17.100000000000001" customHeight="1" x14ac:dyDescent="0.2">
      <c r="A132" s="19"/>
      <c r="B132" s="191" t="s">
        <v>177</v>
      </c>
      <c r="C132" s="192"/>
      <c r="D132" s="2" t="s">
        <v>165</v>
      </c>
      <c r="E132" s="25"/>
      <c r="F132" s="19"/>
      <c r="G132" s="19"/>
    </row>
    <row r="133" spans="1:7" ht="17.100000000000001" customHeight="1" x14ac:dyDescent="0.2">
      <c r="A133" s="19"/>
      <c r="B133" s="191" t="s">
        <v>178</v>
      </c>
      <c r="C133" s="192"/>
      <c r="D133" s="26">
        <v>0.20007166802558576</v>
      </c>
      <c r="E133" s="19"/>
      <c r="F133" s="16"/>
      <c r="G133" s="23"/>
    </row>
    <row r="134" spans="1:7" ht="14.1" customHeight="1" x14ac:dyDescent="0.2">
      <c r="A134" s="24"/>
      <c r="B134" s="24"/>
      <c r="C134" s="24"/>
      <c r="D134" s="24"/>
      <c r="E134" s="24"/>
      <c r="F134" s="24"/>
      <c r="G134" s="24"/>
    </row>
    <row r="164" spans="10:14" x14ac:dyDescent="0.2">
      <c r="J164" s="170"/>
      <c r="K164" s="170"/>
      <c r="L164" s="170"/>
      <c r="M164" s="170"/>
      <c r="N164" s="170"/>
    </row>
  </sheetData>
  <mergeCells count="13">
    <mergeCell ref="J2:N2"/>
    <mergeCell ref="A1:H1"/>
    <mergeCell ref="A2:H2"/>
    <mergeCell ref="A3:H3"/>
    <mergeCell ref="B133:C133"/>
    <mergeCell ref="B128:C128"/>
    <mergeCell ref="B130:C130"/>
    <mergeCell ref="B120:C120"/>
    <mergeCell ref="B117:D117"/>
    <mergeCell ref="B131:C131"/>
    <mergeCell ref="B132:C132"/>
    <mergeCell ref="B118:C118"/>
    <mergeCell ref="B119:C119"/>
  </mergeCells>
  <hyperlinks>
    <hyperlink ref="I1" location="Index!B10" display="Index" xr:uid="{9DC8F696-00D9-4067-8C93-C7AA417F69CE}"/>
  </hyperlinks>
  <pageMargins left="5.000000074505806E-2" right="5.000000074505806E-2" top="0.30000001192092896" bottom="0.20000000298023224" header="0" footer="0"/>
  <pageSetup paperSize="9"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63"/>
  <sheetViews>
    <sheetView showGridLines="0" workbookViewId="0">
      <selection sqref="A1:H1"/>
    </sheetView>
  </sheetViews>
  <sheetFormatPr defaultRowHeight="12.75" x14ac:dyDescent="0.2"/>
  <cols>
    <col min="1" max="1" width="5.85546875" bestFit="1"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7" t="s">
        <v>0</v>
      </c>
      <c r="B1" s="187"/>
      <c r="C1" s="187"/>
      <c r="D1" s="187"/>
      <c r="E1" s="187"/>
      <c r="F1" s="187"/>
      <c r="G1" s="187"/>
      <c r="H1" s="187"/>
      <c r="I1" s="167" t="s">
        <v>1055</v>
      </c>
    </row>
    <row r="2" spans="1:14" ht="17.100000000000001" customHeight="1" x14ac:dyDescent="0.2">
      <c r="A2" s="188" t="s">
        <v>432</v>
      </c>
      <c r="B2" s="189"/>
      <c r="C2" s="189"/>
      <c r="D2" s="189"/>
      <c r="E2" s="189"/>
      <c r="F2" s="189"/>
      <c r="G2" s="189"/>
      <c r="H2" s="190"/>
      <c r="J2" s="186" t="s">
        <v>1056</v>
      </c>
      <c r="K2" s="186"/>
      <c r="L2" s="186"/>
      <c r="M2" s="186"/>
      <c r="N2" s="186"/>
    </row>
    <row r="3" spans="1:14" ht="21" customHeight="1" x14ac:dyDescent="0.2">
      <c r="A3" s="187" t="s">
        <v>1052</v>
      </c>
      <c r="B3" s="187"/>
      <c r="C3" s="187"/>
      <c r="D3" s="187"/>
      <c r="E3" s="187"/>
      <c r="F3" s="187"/>
      <c r="G3" s="187"/>
      <c r="H3" s="187"/>
    </row>
    <row r="4" spans="1:14" ht="30" x14ac:dyDescent="0.2">
      <c r="A4" s="163" t="s">
        <v>2</v>
      </c>
      <c r="B4" s="164" t="s">
        <v>3</v>
      </c>
      <c r="C4" s="164" t="s">
        <v>4</v>
      </c>
      <c r="D4" s="164" t="s">
        <v>5</v>
      </c>
      <c r="E4" s="164" t="s">
        <v>6</v>
      </c>
      <c r="F4" s="164" t="s">
        <v>7</v>
      </c>
      <c r="G4" s="164" t="s">
        <v>8</v>
      </c>
      <c r="H4" s="120" t="s">
        <v>881</v>
      </c>
      <c r="I4" s="165"/>
      <c r="J4" s="165"/>
      <c r="K4" s="165"/>
      <c r="L4" s="165"/>
      <c r="M4" s="165"/>
      <c r="N4" s="165"/>
    </row>
    <row r="5" spans="1:14" ht="14.1" customHeight="1" x14ac:dyDescent="0.2">
      <c r="A5" s="99"/>
      <c r="B5" s="1"/>
      <c r="C5" s="2" t="s">
        <v>9</v>
      </c>
      <c r="D5" s="1"/>
      <c r="E5" s="1"/>
      <c r="F5" s="1"/>
      <c r="G5" s="1"/>
      <c r="H5" s="109"/>
    </row>
    <row r="6" spans="1:14" ht="24" customHeight="1" x14ac:dyDescent="0.2">
      <c r="A6" s="99"/>
      <c r="B6" s="1"/>
      <c r="C6" s="2" t="s">
        <v>10</v>
      </c>
      <c r="D6" s="1"/>
      <c r="E6" s="1"/>
      <c r="F6" s="1"/>
      <c r="G6" s="1"/>
      <c r="H6" s="109"/>
    </row>
    <row r="7" spans="1:14" ht="17.100000000000001" customHeight="1" x14ac:dyDescent="0.2">
      <c r="A7" s="100">
        <v>1</v>
      </c>
      <c r="B7" s="3" t="s">
        <v>408</v>
      </c>
      <c r="C7" s="3" t="s">
        <v>409</v>
      </c>
      <c r="D7" s="3" t="s">
        <v>115</v>
      </c>
      <c r="E7" s="4">
        <v>17407</v>
      </c>
      <c r="F7" s="5">
        <v>351.83898749999997</v>
      </c>
      <c r="G7" s="6">
        <v>4.4173490000000003E-2</v>
      </c>
      <c r="H7" s="109"/>
    </row>
    <row r="8" spans="1:14" ht="17.100000000000001" customHeight="1" x14ac:dyDescent="0.2">
      <c r="A8" s="100">
        <v>2</v>
      </c>
      <c r="B8" s="3" t="s">
        <v>371</v>
      </c>
      <c r="C8" s="3" t="s">
        <v>372</v>
      </c>
      <c r="D8" s="3" t="s">
        <v>22</v>
      </c>
      <c r="E8" s="4">
        <v>485562</v>
      </c>
      <c r="F8" s="5">
        <v>347.17683</v>
      </c>
      <c r="G8" s="6">
        <v>4.3588160000000001E-2</v>
      </c>
      <c r="H8" s="109"/>
    </row>
    <row r="9" spans="1:14" ht="17.100000000000001" customHeight="1" x14ac:dyDescent="0.2">
      <c r="A9" s="100">
        <v>3</v>
      </c>
      <c r="B9" s="3" t="s">
        <v>72</v>
      </c>
      <c r="C9" s="3" t="s">
        <v>73</v>
      </c>
      <c r="D9" s="3" t="s">
        <v>31</v>
      </c>
      <c r="E9" s="4">
        <v>16493</v>
      </c>
      <c r="F9" s="5">
        <v>268.0524825</v>
      </c>
      <c r="G9" s="6">
        <v>3.3654070000000001E-2</v>
      </c>
      <c r="H9" s="109"/>
    </row>
    <row r="10" spans="1:14" ht="17.100000000000001" customHeight="1" x14ac:dyDescent="0.2">
      <c r="A10" s="100">
        <v>4</v>
      </c>
      <c r="B10" s="3" t="s">
        <v>29</v>
      </c>
      <c r="C10" s="3" t="s">
        <v>30</v>
      </c>
      <c r="D10" s="3" t="s">
        <v>31</v>
      </c>
      <c r="E10" s="4">
        <v>12093</v>
      </c>
      <c r="F10" s="5">
        <v>231.65955450000001</v>
      </c>
      <c r="G10" s="6">
        <v>2.9084929999999998E-2</v>
      </c>
      <c r="H10" s="109"/>
    </row>
    <row r="11" spans="1:14" ht="17.100000000000001" customHeight="1" x14ac:dyDescent="0.2">
      <c r="A11" s="100">
        <v>5</v>
      </c>
      <c r="B11" s="3" t="s">
        <v>37</v>
      </c>
      <c r="C11" s="3" t="s">
        <v>38</v>
      </c>
      <c r="D11" s="3" t="s">
        <v>31</v>
      </c>
      <c r="E11" s="4">
        <v>10555</v>
      </c>
      <c r="F11" s="5">
        <v>190.486085</v>
      </c>
      <c r="G11" s="6">
        <v>2.391559E-2</v>
      </c>
      <c r="H11" s="109"/>
    </row>
    <row r="12" spans="1:14" ht="29.1" customHeight="1" x14ac:dyDescent="0.2">
      <c r="A12" s="100">
        <v>6</v>
      </c>
      <c r="B12" s="3" t="s">
        <v>204</v>
      </c>
      <c r="C12" s="3" t="s">
        <v>205</v>
      </c>
      <c r="D12" s="3" t="s">
        <v>115</v>
      </c>
      <c r="E12" s="4">
        <v>61313</v>
      </c>
      <c r="F12" s="5">
        <v>186.29955050000001</v>
      </c>
      <c r="G12" s="6">
        <v>2.338997E-2</v>
      </c>
      <c r="H12" s="109"/>
    </row>
    <row r="13" spans="1:14" ht="17.100000000000001" customHeight="1" x14ac:dyDescent="0.2">
      <c r="A13" s="100">
        <v>7</v>
      </c>
      <c r="B13" s="3" t="s">
        <v>113</v>
      </c>
      <c r="C13" s="3" t="s">
        <v>114</v>
      </c>
      <c r="D13" s="3" t="s">
        <v>115</v>
      </c>
      <c r="E13" s="4">
        <v>65263</v>
      </c>
      <c r="F13" s="5">
        <v>183.03008349999999</v>
      </c>
      <c r="G13" s="6">
        <v>2.297948E-2</v>
      </c>
      <c r="H13" s="109"/>
      <c r="J13" s="169" t="s">
        <v>1064</v>
      </c>
    </row>
    <row r="14" spans="1:14" ht="17.100000000000001" customHeight="1" x14ac:dyDescent="0.2">
      <c r="A14" s="100">
        <v>8</v>
      </c>
      <c r="B14" s="3" t="s">
        <v>184</v>
      </c>
      <c r="C14" s="3" t="s">
        <v>185</v>
      </c>
      <c r="D14" s="3" t="s">
        <v>996</v>
      </c>
      <c r="E14" s="4">
        <v>3812</v>
      </c>
      <c r="F14" s="5">
        <v>182.71297200000001</v>
      </c>
      <c r="G14" s="6">
        <v>2.2939669999999999E-2</v>
      </c>
      <c r="H14" s="109"/>
    </row>
    <row r="15" spans="1:14" ht="29.1" customHeight="1" x14ac:dyDescent="0.2">
      <c r="A15" s="100">
        <v>9</v>
      </c>
      <c r="B15" s="3" t="s">
        <v>186</v>
      </c>
      <c r="C15" s="3" t="s">
        <v>187</v>
      </c>
      <c r="D15" s="3" t="s">
        <v>188</v>
      </c>
      <c r="E15" s="4">
        <v>4390</v>
      </c>
      <c r="F15" s="5">
        <v>181.22359</v>
      </c>
      <c r="G15" s="6">
        <v>2.2752680000000001E-2</v>
      </c>
      <c r="H15" s="109"/>
    </row>
    <row r="16" spans="1:14" ht="17.100000000000001" customHeight="1" x14ac:dyDescent="0.2">
      <c r="A16" s="100">
        <v>10</v>
      </c>
      <c r="B16" s="3" t="s">
        <v>404</v>
      </c>
      <c r="C16" s="3" t="s">
        <v>405</v>
      </c>
      <c r="D16" s="3" t="s">
        <v>31</v>
      </c>
      <c r="E16" s="4">
        <v>19221</v>
      </c>
      <c r="F16" s="5">
        <v>159.68806799999999</v>
      </c>
      <c r="G16" s="6">
        <v>2.004889E-2</v>
      </c>
      <c r="H16" s="109"/>
    </row>
    <row r="17" spans="1:8" ht="17.100000000000001" customHeight="1" x14ac:dyDescent="0.2">
      <c r="A17" s="100">
        <v>11</v>
      </c>
      <c r="B17" s="3" t="s">
        <v>305</v>
      </c>
      <c r="C17" s="3" t="s">
        <v>306</v>
      </c>
      <c r="D17" s="3" t="s">
        <v>242</v>
      </c>
      <c r="E17" s="4">
        <v>10409</v>
      </c>
      <c r="F17" s="5">
        <v>158.029438</v>
      </c>
      <c r="G17" s="6">
        <v>1.9840650000000001E-2</v>
      </c>
      <c r="H17" s="109"/>
    </row>
    <row r="18" spans="1:8" ht="17.100000000000001" customHeight="1" x14ac:dyDescent="0.2">
      <c r="A18" s="100">
        <v>12</v>
      </c>
      <c r="B18" s="3" t="s">
        <v>398</v>
      </c>
      <c r="C18" s="3" t="s">
        <v>399</v>
      </c>
      <c r="D18" s="3" t="s">
        <v>97</v>
      </c>
      <c r="E18" s="4">
        <v>11320</v>
      </c>
      <c r="F18" s="5">
        <v>156.56692000000001</v>
      </c>
      <c r="G18" s="6">
        <v>1.9657029999999999E-2</v>
      </c>
      <c r="H18" s="109"/>
    </row>
    <row r="19" spans="1:8" ht="17.100000000000001" customHeight="1" x14ac:dyDescent="0.2">
      <c r="A19" s="100">
        <v>13</v>
      </c>
      <c r="B19" s="3" t="s">
        <v>318</v>
      </c>
      <c r="C19" s="3" t="s">
        <v>319</v>
      </c>
      <c r="D19" s="3" t="s">
        <v>235</v>
      </c>
      <c r="E19" s="4">
        <v>12162</v>
      </c>
      <c r="F19" s="5">
        <v>150.67501799999999</v>
      </c>
      <c r="G19" s="6">
        <v>1.8917300000000001E-2</v>
      </c>
      <c r="H19" s="109"/>
    </row>
    <row r="20" spans="1:8" ht="17.100000000000001" customHeight="1" x14ac:dyDescent="0.2">
      <c r="A20" s="100">
        <v>14</v>
      </c>
      <c r="B20" s="3" t="s">
        <v>286</v>
      </c>
      <c r="C20" s="3" t="s">
        <v>287</v>
      </c>
      <c r="D20" s="3" t="s">
        <v>19</v>
      </c>
      <c r="E20" s="4">
        <v>66963</v>
      </c>
      <c r="F20" s="5">
        <v>144.1378575</v>
      </c>
      <c r="G20" s="6">
        <v>1.8096549999999999E-2</v>
      </c>
      <c r="H20" s="109"/>
    </row>
    <row r="21" spans="1:8" ht="17.100000000000001" customHeight="1" x14ac:dyDescent="0.2">
      <c r="A21" s="100">
        <v>15</v>
      </c>
      <c r="B21" s="3" t="s">
        <v>416</v>
      </c>
      <c r="C21" s="3" t="s">
        <v>417</v>
      </c>
      <c r="D21" s="3" t="s">
        <v>115</v>
      </c>
      <c r="E21" s="4">
        <v>27636</v>
      </c>
      <c r="F21" s="5">
        <v>139.741434</v>
      </c>
      <c r="G21" s="6">
        <v>1.7544580000000001E-2</v>
      </c>
      <c r="H21" s="109"/>
    </row>
    <row r="22" spans="1:8" ht="17.100000000000001" customHeight="1" x14ac:dyDescent="0.2">
      <c r="A22" s="100">
        <v>16</v>
      </c>
      <c r="B22" s="3" t="s">
        <v>373</v>
      </c>
      <c r="C22" s="3" t="s">
        <v>374</v>
      </c>
      <c r="D22" s="3" t="s">
        <v>997</v>
      </c>
      <c r="E22" s="4">
        <v>13510</v>
      </c>
      <c r="F22" s="5">
        <v>138.36266499999999</v>
      </c>
      <c r="G22" s="6">
        <v>1.7371480000000002E-2</v>
      </c>
      <c r="H22" s="109"/>
    </row>
    <row r="23" spans="1:8" ht="17.100000000000001" customHeight="1" x14ac:dyDescent="0.2">
      <c r="A23" s="100">
        <v>17</v>
      </c>
      <c r="B23" s="3" t="s">
        <v>402</v>
      </c>
      <c r="C23" s="3" t="s">
        <v>403</v>
      </c>
      <c r="D23" s="3" t="s">
        <v>120</v>
      </c>
      <c r="E23" s="4">
        <v>23973</v>
      </c>
      <c r="F23" s="5">
        <v>137.892696</v>
      </c>
      <c r="G23" s="6">
        <v>1.731247E-2</v>
      </c>
      <c r="H23" s="109"/>
    </row>
    <row r="24" spans="1:8" ht="17.100000000000001" customHeight="1" x14ac:dyDescent="0.2">
      <c r="A24" s="100">
        <v>18</v>
      </c>
      <c r="B24" s="3" t="s">
        <v>400</v>
      </c>
      <c r="C24" s="3" t="s">
        <v>401</v>
      </c>
      <c r="D24" s="3" t="s">
        <v>210</v>
      </c>
      <c r="E24" s="4">
        <v>46520</v>
      </c>
      <c r="F24" s="5">
        <v>129.93036000000001</v>
      </c>
      <c r="G24" s="6">
        <v>1.6312799999999999E-2</v>
      </c>
      <c r="H24" s="109"/>
    </row>
    <row r="25" spans="1:8" ht="17.100000000000001" customHeight="1" x14ac:dyDescent="0.2">
      <c r="A25" s="100">
        <v>19</v>
      </c>
      <c r="B25" s="3" t="s">
        <v>384</v>
      </c>
      <c r="C25" s="3" t="s">
        <v>385</v>
      </c>
      <c r="D25" s="3" t="s">
        <v>334</v>
      </c>
      <c r="E25" s="4">
        <v>8355</v>
      </c>
      <c r="F25" s="5">
        <v>117.1914075</v>
      </c>
      <c r="G25" s="6">
        <v>1.471342E-2</v>
      </c>
      <c r="H25" s="109"/>
    </row>
    <row r="26" spans="1:8" ht="17.100000000000001" customHeight="1" x14ac:dyDescent="0.2">
      <c r="A26" s="100">
        <v>20</v>
      </c>
      <c r="B26" s="3" t="s">
        <v>410</v>
      </c>
      <c r="C26" s="3" t="s">
        <v>411</v>
      </c>
      <c r="D26" s="3" t="s">
        <v>235</v>
      </c>
      <c r="E26" s="4">
        <v>17350</v>
      </c>
      <c r="F26" s="5">
        <v>112.54944999999999</v>
      </c>
      <c r="G26" s="6">
        <v>1.413062E-2</v>
      </c>
      <c r="H26" s="109"/>
    </row>
    <row r="27" spans="1:8" ht="29.1" customHeight="1" x14ac:dyDescent="0.2">
      <c r="A27" s="100">
        <v>21</v>
      </c>
      <c r="B27" s="3" t="s">
        <v>87</v>
      </c>
      <c r="C27" s="3" t="s">
        <v>88</v>
      </c>
      <c r="D27" s="3" t="s">
        <v>25</v>
      </c>
      <c r="E27" s="4">
        <v>4064</v>
      </c>
      <c r="F27" s="5">
        <v>112.35334400000001</v>
      </c>
      <c r="G27" s="6">
        <v>1.4106E-2</v>
      </c>
      <c r="H27" s="109"/>
    </row>
    <row r="28" spans="1:8" ht="29.1" customHeight="1" x14ac:dyDescent="0.2">
      <c r="A28" s="100">
        <v>22</v>
      </c>
      <c r="B28" s="3" t="s">
        <v>406</v>
      </c>
      <c r="C28" s="3" t="s">
        <v>407</v>
      </c>
      <c r="D28" s="3" t="s">
        <v>52</v>
      </c>
      <c r="E28" s="4">
        <v>6442</v>
      </c>
      <c r="F28" s="5">
        <v>109.311077</v>
      </c>
      <c r="G28" s="6">
        <v>1.372404E-2</v>
      </c>
      <c r="H28" s="109"/>
    </row>
    <row r="29" spans="1:8" ht="17.100000000000001" customHeight="1" x14ac:dyDescent="0.2">
      <c r="A29" s="100">
        <v>23</v>
      </c>
      <c r="B29" s="3" t="s">
        <v>433</v>
      </c>
      <c r="C29" s="3" t="s">
        <v>434</v>
      </c>
      <c r="D29" s="3" t="s">
        <v>997</v>
      </c>
      <c r="E29" s="4">
        <v>11291</v>
      </c>
      <c r="F29" s="5">
        <v>106.620913</v>
      </c>
      <c r="G29" s="6">
        <v>1.338629E-2</v>
      </c>
      <c r="H29" s="109"/>
    </row>
    <row r="30" spans="1:8" ht="17.100000000000001" customHeight="1" x14ac:dyDescent="0.2">
      <c r="A30" s="100">
        <v>24</v>
      </c>
      <c r="B30" s="3" t="s">
        <v>332</v>
      </c>
      <c r="C30" s="3" t="s">
        <v>333</v>
      </c>
      <c r="D30" s="3" t="s">
        <v>334</v>
      </c>
      <c r="E30" s="4">
        <v>10225</v>
      </c>
      <c r="F30" s="5">
        <v>104.2489875</v>
      </c>
      <c r="G30" s="6">
        <v>1.3088489999999999E-2</v>
      </c>
      <c r="H30" s="109"/>
    </row>
    <row r="31" spans="1:8" ht="17.100000000000001" customHeight="1" x14ac:dyDescent="0.2">
      <c r="A31" s="100">
        <v>25</v>
      </c>
      <c r="B31" s="3" t="s">
        <v>231</v>
      </c>
      <c r="C31" s="3" t="s">
        <v>232</v>
      </c>
      <c r="D31" s="3" t="s">
        <v>80</v>
      </c>
      <c r="E31" s="4">
        <v>2040</v>
      </c>
      <c r="F31" s="5">
        <v>98.966520000000003</v>
      </c>
      <c r="G31" s="6">
        <v>1.242528E-2</v>
      </c>
      <c r="H31" s="109"/>
    </row>
    <row r="32" spans="1:8" ht="17.100000000000001" customHeight="1" x14ac:dyDescent="0.2">
      <c r="A32" s="100">
        <v>26</v>
      </c>
      <c r="B32" s="3" t="s">
        <v>435</v>
      </c>
      <c r="C32" s="3" t="s">
        <v>436</v>
      </c>
      <c r="D32" s="3" t="s">
        <v>47</v>
      </c>
      <c r="E32" s="4">
        <v>28232</v>
      </c>
      <c r="F32" s="5">
        <v>97.202776</v>
      </c>
      <c r="G32" s="6">
        <v>1.2203840000000001E-2</v>
      </c>
      <c r="H32" s="109"/>
    </row>
    <row r="33" spans="1:8" ht="17.100000000000001" customHeight="1" x14ac:dyDescent="0.2">
      <c r="A33" s="100">
        <v>27</v>
      </c>
      <c r="B33" s="3" t="s">
        <v>437</v>
      </c>
      <c r="C33" s="3" t="s">
        <v>438</v>
      </c>
      <c r="D33" s="3" t="s">
        <v>115</v>
      </c>
      <c r="E33" s="4">
        <v>6623</v>
      </c>
      <c r="F33" s="5">
        <v>95.126148999999998</v>
      </c>
      <c r="G33" s="6">
        <v>1.194312E-2</v>
      </c>
      <c r="H33" s="109"/>
    </row>
    <row r="34" spans="1:8" ht="17.100000000000001" customHeight="1" x14ac:dyDescent="0.2">
      <c r="A34" s="100">
        <v>28</v>
      </c>
      <c r="B34" s="3" t="s">
        <v>439</v>
      </c>
      <c r="C34" s="3" t="s">
        <v>440</v>
      </c>
      <c r="D34" s="3" t="s">
        <v>31</v>
      </c>
      <c r="E34" s="4">
        <v>9582</v>
      </c>
      <c r="F34" s="5">
        <v>93.798197999999999</v>
      </c>
      <c r="G34" s="6">
        <v>1.1776389999999999E-2</v>
      </c>
      <c r="H34" s="109"/>
    </row>
    <row r="35" spans="1:8" ht="29.1" customHeight="1" x14ac:dyDescent="0.2">
      <c r="A35" s="100">
        <v>29</v>
      </c>
      <c r="B35" s="3" t="s">
        <v>412</v>
      </c>
      <c r="C35" s="3" t="s">
        <v>413</v>
      </c>
      <c r="D35" s="3" t="s">
        <v>221</v>
      </c>
      <c r="E35" s="4">
        <v>25867</v>
      </c>
      <c r="F35" s="5">
        <v>92.875463499999995</v>
      </c>
      <c r="G35" s="6">
        <v>1.166054E-2</v>
      </c>
      <c r="H35" s="109"/>
    </row>
    <row r="36" spans="1:8" ht="17.100000000000001" customHeight="1" x14ac:dyDescent="0.2">
      <c r="A36" s="100">
        <v>30</v>
      </c>
      <c r="B36" s="3" t="s">
        <v>441</v>
      </c>
      <c r="C36" s="3" t="s">
        <v>442</v>
      </c>
      <c r="D36" s="3" t="s">
        <v>120</v>
      </c>
      <c r="E36" s="4">
        <v>121452</v>
      </c>
      <c r="F36" s="5">
        <v>92.303520000000006</v>
      </c>
      <c r="G36" s="6">
        <v>1.158874E-2</v>
      </c>
      <c r="H36" s="109"/>
    </row>
    <row r="37" spans="1:8" ht="29.1" customHeight="1" x14ac:dyDescent="0.2">
      <c r="A37" s="100">
        <v>31</v>
      </c>
      <c r="B37" s="3" t="s">
        <v>443</v>
      </c>
      <c r="C37" s="3" t="s">
        <v>444</v>
      </c>
      <c r="D37" s="3" t="s">
        <v>445</v>
      </c>
      <c r="E37" s="4">
        <v>16397</v>
      </c>
      <c r="F37" s="5">
        <v>89.683391499999999</v>
      </c>
      <c r="G37" s="6">
        <v>1.125978E-2</v>
      </c>
      <c r="H37" s="109"/>
    </row>
    <row r="38" spans="1:8" ht="17.100000000000001" customHeight="1" x14ac:dyDescent="0.2">
      <c r="A38" s="100">
        <v>32</v>
      </c>
      <c r="B38" s="3" t="s">
        <v>375</v>
      </c>
      <c r="C38" s="3" t="s">
        <v>376</v>
      </c>
      <c r="D38" s="3" t="s">
        <v>120</v>
      </c>
      <c r="E38" s="4">
        <v>12330</v>
      </c>
      <c r="F38" s="5">
        <v>89.349345</v>
      </c>
      <c r="G38" s="6">
        <v>1.121784E-2</v>
      </c>
      <c r="H38" s="109"/>
    </row>
    <row r="39" spans="1:8" ht="29.1" customHeight="1" x14ac:dyDescent="0.2">
      <c r="A39" s="100">
        <v>33</v>
      </c>
      <c r="B39" s="3" t="s">
        <v>379</v>
      </c>
      <c r="C39" s="3" t="s">
        <v>380</v>
      </c>
      <c r="D39" s="3" t="s">
        <v>62</v>
      </c>
      <c r="E39" s="4">
        <v>4415</v>
      </c>
      <c r="F39" s="5">
        <v>88.341942500000002</v>
      </c>
      <c r="G39" s="6">
        <v>1.109136E-2</v>
      </c>
      <c r="H39" s="109"/>
    </row>
    <row r="40" spans="1:8" ht="29.1" customHeight="1" x14ac:dyDescent="0.2">
      <c r="A40" s="100">
        <v>34</v>
      </c>
      <c r="B40" s="3" t="s">
        <v>256</v>
      </c>
      <c r="C40" s="3" t="s">
        <v>257</v>
      </c>
      <c r="D40" s="3" t="s">
        <v>221</v>
      </c>
      <c r="E40" s="4">
        <v>26473</v>
      </c>
      <c r="F40" s="5">
        <v>83.217875500000005</v>
      </c>
      <c r="G40" s="6">
        <v>1.0448030000000001E-2</v>
      </c>
      <c r="H40" s="109"/>
    </row>
    <row r="41" spans="1:8" ht="17.100000000000001" customHeight="1" x14ac:dyDescent="0.2">
      <c r="A41" s="100">
        <v>35</v>
      </c>
      <c r="B41" s="3" t="s">
        <v>32</v>
      </c>
      <c r="C41" s="3" t="s">
        <v>33</v>
      </c>
      <c r="D41" s="3" t="s">
        <v>22</v>
      </c>
      <c r="E41" s="4">
        <v>15608</v>
      </c>
      <c r="F41" s="5">
        <v>81.598624000000001</v>
      </c>
      <c r="G41" s="6">
        <v>1.0244730000000001E-2</v>
      </c>
      <c r="H41" s="109"/>
    </row>
    <row r="42" spans="1:8" ht="17.100000000000001" customHeight="1" x14ac:dyDescent="0.2">
      <c r="A42" s="100">
        <v>36</v>
      </c>
      <c r="B42" s="3" t="s">
        <v>446</v>
      </c>
      <c r="C42" s="3" t="s">
        <v>447</v>
      </c>
      <c r="D42" s="3" t="s">
        <v>13</v>
      </c>
      <c r="E42" s="4">
        <v>15004</v>
      </c>
      <c r="F42" s="5">
        <v>79.521199999999993</v>
      </c>
      <c r="G42" s="6">
        <v>9.9839100000000004E-3</v>
      </c>
      <c r="H42" s="109"/>
    </row>
    <row r="43" spans="1:8" ht="17.100000000000001" customHeight="1" x14ac:dyDescent="0.2">
      <c r="A43" s="100">
        <v>37</v>
      </c>
      <c r="B43" s="3" t="s">
        <v>39</v>
      </c>
      <c r="C43" s="3" t="s">
        <v>40</v>
      </c>
      <c r="D43" s="3" t="s">
        <v>31</v>
      </c>
      <c r="E43" s="4">
        <v>2121</v>
      </c>
      <c r="F43" s="5">
        <v>79.332823500000003</v>
      </c>
      <c r="G43" s="6">
        <v>9.9602600000000003E-3</v>
      </c>
      <c r="H43" s="109"/>
    </row>
    <row r="44" spans="1:8" ht="29.1" customHeight="1" x14ac:dyDescent="0.2">
      <c r="A44" s="100">
        <v>38</v>
      </c>
      <c r="B44" s="3" t="s">
        <v>448</v>
      </c>
      <c r="C44" s="3" t="s">
        <v>449</v>
      </c>
      <c r="D44" s="3" t="s">
        <v>221</v>
      </c>
      <c r="E44" s="4">
        <v>3920</v>
      </c>
      <c r="F44" s="5">
        <v>75.997039999999998</v>
      </c>
      <c r="G44" s="6">
        <v>9.5414499999999999E-3</v>
      </c>
      <c r="H44" s="109"/>
    </row>
    <row r="45" spans="1:8" ht="17.100000000000001" customHeight="1" x14ac:dyDescent="0.2">
      <c r="A45" s="100">
        <v>39</v>
      </c>
      <c r="B45" s="3" t="s">
        <v>450</v>
      </c>
      <c r="C45" s="3" t="s">
        <v>451</v>
      </c>
      <c r="D45" s="3" t="s">
        <v>80</v>
      </c>
      <c r="E45" s="4">
        <v>8175</v>
      </c>
      <c r="F45" s="5">
        <v>73.153987499999999</v>
      </c>
      <c r="G45" s="6">
        <v>9.1845099999999999E-3</v>
      </c>
      <c r="H45" s="109"/>
    </row>
    <row r="46" spans="1:8" ht="17.100000000000001" customHeight="1" x14ac:dyDescent="0.2">
      <c r="A46" s="100">
        <v>40</v>
      </c>
      <c r="B46" s="3" t="s">
        <v>245</v>
      </c>
      <c r="C46" s="3" t="s">
        <v>246</v>
      </c>
      <c r="D46" s="3" t="s">
        <v>120</v>
      </c>
      <c r="E46" s="4">
        <v>12364</v>
      </c>
      <c r="F46" s="5">
        <v>71.086817999999994</v>
      </c>
      <c r="G46" s="6">
        <v>8.9249700000000008E-3</v>
      </c>
      <c r="H46" s="109"/>
    </row>
    <row r="47" spans="1:8" ht="29.1" customHeight="1" x14ac:dyDescent="0.2">
      <c r="A47" s="100">
        <v>41</v>
      </c>
      <c r="B47" s="3" t="s">
        <v>393</v>
      </c>
      <c r="C47" s="3" t="s">
        <v>394</v>
      </c>
      <c r="D47" s="3" t="s">
        <v>191</v>
      </c>
      <c r="E47" s="4">
        <v>14150</v>
      </c>
      <c r="F47" s="5">
        <v>71.082525000000004</v>
      </c>
      <c r="G47" s="6">
        <v>8.9244300000000006E-3</v>
      </c>
      <c r="H47" s="109"/>
    </row>
    <row r="48" spans="1:8" ht="17.100000000000001" customHeight="1" x14ac:dyDescent="0.2">
      <c r="A48" s="100">
        <v>42</v>
      </c>
      <c r="B48" s="3" t="s">
        <v>418</v>
      </c>
      <c r="C48" s="3" t="s">
        <v>419</v>
      </c>
      <c r="D48" s="3" t="s">
        <v>120</v>
      </c>
      <c r="E48" s="4">
        <v>7194</v>
      </c>
      <c r="F48" s="5">
        <v>69.418503000000001</v>
      </c>
      <c r="G48" s="6">
        <v>8.7155199999999992E-3</v>
      </c>
      <c r="H48" s="109"/>
    </row>
    <row r="49" spans="1:8" ht="17.100000000000001" customHeight="1" x14ac:dyDescent="0.2">
      <c r="A49" s="100">
        <v>43</v>
      </c>
      <c r="B49" s="3" t="s">
        <v>377</v>
      </c>
      <c r="C49" s="3" t="s">
        <v>378</v>
      </c>
      <c r="D49" s="3" t="s">
        <v>13</v>
      </c>
      <c r="E49" s="4">
        <v>88984</v>
      </c>
      <c r="F49" s="5">
        <v>66.337571999999994</v>
      </c>
      <c r="G49" s="6">
        <v>8.3286999999999996E-3</v>
      </c>
      <c r="H49" s="109"/>
    </row>
    <row r="50" spans="1:8" ht="17.100000000000001" customHeight="1" x14ac:dyDescent="0.2">
      <c r="A50" s="100">
        <v>44</v>
      </c>
      <c r="B50" s="3" t="s">
        <v>414</v>
      </c>
      <c r="C50" s="3" t="s">
        <v>415</v>
      </c>
      <c r="D50" s="3" t="s">
        <v>57</v>
      </c>
      <c r="E50" s="4">
        <v>10066</v>
      </c>
      <c r="F50" s="5">
        <v>65.554824999999994</v>
      </c>
      <c r="G50" s="6">
        <v>8.2304300000000004E-3</v>
      </c>
      <c r="H50" s="109"/>
    </row>
    <row r="51" spans="1:8" ht="29.1" customHeight="1" x14ac:dyDescent="0.2">
      <c r="A51" s="100">
        <v>45</v>
      </c>
      <c r="B51" s="3" t="s">
        <v>390</v>
      </c>
      <c r="C51" s="3" t="s">
        <v>391</v>
      </c>
      <c r="D51" s="3" t="s">
        <v>392</v>
      </c>
      <c r="E51" s="4">
        <v>16626</v>
      </c>
      <c r="F51" s="5">
        <v>59.620835999999997</v>
      </c>
      <c r="G51" s="6">
        <v>7.4854099999999996E-3</v>
      </c>
      <c r="H51" s="109"/>
    </row>
    <row r="52" spans="1:8" ht="17.100000000000001" customHeight="1" x14ac:dyDescent="0.2">
      <c r="A52" s="100">
        <v>46</v>
      </c>
      <c r="B52" s="3" t="s">
        <v>424</v>
      </c>
      <c r="C52" s="3" t="s">
        <v>425</v>
      </c>
      <c r="D52" s="3" t="s">
        <v>253</v>
      </c>
      <c r="E52" s="4">
        <v>41530</v>
      </c>
      <c r="F52" s="5">
        <v>59.533254999999997</v>
      </c>
      <c r="G52" s="6">
        <v>7.4744199999999998E-3</v>
      </c>
      <c r="H52" s="109"/>
    </row>
    <row r="53" spans="1:8" ht="29.1" customHeight="1" x14ac:dyDescent="0.2">
      <c r="A53" s="100">
        <v>47</v>
      </c>
      <c r="B53" s="3" t="s">
        <v>381</v>
      </c>
      <c r="C53" s="3" t="s">
        <v>382</v>
      </c>
      <c r="D53" s="3" t="s">
        <v>383</v>
      </c>
      <c r="E53" s="4">
        <v>59314</v>
      </c>
      <c r="F53" s="5">
        <v>58.720860000000002</v>
      </c>
      <c r="G53" s="6">
        <v>7.3724200000000002E-3</v>
      </c>
      <c r="H53" s="109"/>
    </row>
    <row r="54" spans="1:8" ht="29.1" customHeight="1" x14ac:dyDescent="0.2">
      <c r="A54" s="100">
        <v>48</v>
      </c>
      <c r="B54" s="3" t="s">
        <v>452</v>
      </c>
      <c r="C54" s="3" t="s">
        <v>453</v>
      </c>
      <c r="D54" s="3" t="s">
        <v>392</v>
      </c>
      <c r="E54" s="4">
        <v>16028</v>
      </c>
      <c r="F54" s="5">
        <v>56.65898</v>
      </c>
      <c r="G54" s="6">
        <v>7.1135499999999997E-3</v>
      </c>
      <c r="H54" s="109"/>
    </row>
    <row r="55" spans="1:8" ht="17.100000000000001" customHeight="1" x14ac:dyDescent="0.2">
      <c r="A55" s="100">
        <v>49</v>
      </c>
      <c r="B55" s="3" t="s">
        <v>95</v>
      </c>
      <c r="C55" s="3" t="s">
        <v>96</v>
      </c>
      <c r="D55" s="3" t="s">
        <v>97</v>
      </c>
      <c r="E55" s="4">
        <v>10971</v>
      </c>
      <c r="F55" s="5">
        <v>53.5000815</v>
      </c>
      <c r="G55" s="6">
        <v>6.7169500000000002E-3</v>
      </c>
      <c r="H55" s="109"/>
    </row>
    <row r="56" spans="1:8" ht="17.100000000000001" customHeight="1" x14ac:dyDescent="0.2">
      <c r="A56" s="100">
        <v>50</v>
      </c>
      <c r="B56" s="3" t="s">
        <v>388</v>
      </c>
      <c r="C56" s="3" t="s">
        <v>389</v>
      </c>
      <c r="D56" s="3" t="s">
        <v>115</v>
      </c>
      <c r="E56" s="4">
        <v>12964</v>
      </c>
      <c r="F56" s="5">
        <v>53.061652000000002</v>
      </c>
      <c r="G56" s="6">
        <v>6.6619100000000001E-3</v>
      </c>
      <c r="H56" s="109"/>
    </row>
    <row r="57" spans="1:8" ht="17.100000000000001" customHeight="1" x14ac:dyDescent="0.2">
      <c r="A57" s="100">
        <v>51</v>
      </c>
      <c r="B57" s="3" t="s">
        <v>386</v>
      </c>
      <c r="C57" s="3" t="s">
        <v>387</v>
      </c>
      <c r="D57" s="3" t="s">
        <v>228</v>
      </c>
      <c r="E57" s="4">
        <v>7900</v>
      </c>
      <c r="F57" s="5">
        <v>46.839100000000002</v>
      </c>
      <c r="G57" s="6">
        <v>5.8806600000000002E-3</v>
      </c>
      <c r="H57" s="109"/>
    </row>
    <row r="58" spans="1:8" ht="17.100000000000001" customHeight="1" x14ac:dyDescent="0.2">
      <c r="A58" s="100">
        <v>52</v>
      </c>
      <c r="B58" s="3" t="s">
        <v>420</v>
      </c>
      <c r="C58" s="3" t="s">
        <v>421</v>
      </c>
      <c r="D58" s="3" t="s">
        <v>22</v>
      </c>
      <c r="E58" s="4">
        <v>20028</v>
      </c>
      <c r="F58" s="5">
        <v>45.874133999999998</v>
      </c>
      <c r="G58" s="6">
        <v>5.7595099999999998E-3</v>
      </c>
      <c r="H58" s="109"/>
    </row>
    <row r="59" spans="1:8" ht="29.1" customHeight="1" x14ac:dyDescent="0.2">
      <c r="A59" s="100">
        <v>53</v>
      </c>
      <c r="B59" s="3" t="s">
        <v>426</v>
      </c>
      <c r="C59" s="3" t="s">
        <v>427</v>
      </c>
      <c r="D59" s="3" t="s">
        <v>115</v>
      </c>
      <c r="E59" s="4">
        <v>3957</v>
      </c>
      <c r="F59" s="5">
        <v>45.818103000000001</v>
      </c>
      <c r="G59" s="6">
        <v>5.7524799999999999E-3</v>
      </c>
      <c r="H59" s="109"/>
    </row>
    <row r="60" spans="1:8" ht="17.100000000000001" customHeight="1" x14ac:dyDescent="0.2">
      <c r="A60" s="100">
        <v>54</v>
      </c>
      <c r="B60" s="3" t="s">
        <v>428</v>
      </c>
      <c r="C60" s="3" t="s">
        <v>429</v>
      </c>
      <c r="D60" s="3" t="s">
        <v>213</v>
      </c>
      <c r="E60" s="4">
        <v>5369</v>
      </c>
      <c r="F60" s="5">
        <v>39.131956500000001</v>
      </c>
      <c r="G60" s="6">
        <v>4.9130299999999997E-3</v>
      </c>
      <c r="H60" s="109"/>
    </row>
    <row r="61" spans="1:8" ht="29.1" customHeight="1" x14ac:dyDescent="0.2">
      <c r="A61" s="100">
        <v>55</v>
      </c>
      <c r="B61" s="3" t="s">
        <v>422</v>
      </c>
      <c r="C61" s="3" t="s">
        <v>423</v>
      </c>
      <c r="D61" s="3" t="s">
        <v>221</v>
      </c>
      <c r="E61" s="4">
        <v>792</v>
      </c>
      <c r="F61" s="5">
        <v>37.041840000000001</v>
      </c>
      <c r="G61" s="6">
        <v>4.6506200000000003E-3</v>
      </c>
      <c r="H61" s="109"/>
    </row>
    <row r="62" spans="1:8" ht="17.100000000000001" customHeight="1" x14ac:dyDescent="0.2">
      <c r="A62" s="100">
        <v>56</v>
      </c>
      <c r="B62" s="3" t="s">
        <v>454</v>
      </c>
      <c r="C62" s="3" t="s">
        <v>455</v>
      </c>
      <c r="D62" s="3" t="s">
        <v>31</v>
      </c>
      <c r="E62" s="4">
        <v>4345</v>
      </c>
      <c r="F62" s="5">
        <v>36.356787500000003</v>
      </c>
      <c r="G62" s="6">
        <v>4.5646100000000002E-3</v>
      </c>
      <c r="H62" s="109"/>
    </row>
    <row r="63" spans="1:8" ht="29.1" customHeight="1" x14ac:dyDescent="0.2">
      <c r="A63" s="100">
        <v>57</v>
      </c>
      <c r="B63" s="3" t="s">
        <v>456</v>
      </c>
      <c r="C63" s="3" t="s">
        <v>457</v>
      </c>
      <c r="D63" s="3" t="s">
        <v>221</v>
      </c>
      <c r="E63" s="4">
        <v>12902</v>
      </c>
      <c r="F63" s="5">
        <v>32.919452999999997</v>
      </c>
      <c r="G63" s="6">
        <v>4.1330500000000001E-3</v>
      </c>
      <c r="H63" s="109"/>
    </row>
    <row r="64" spans="1:8" ht="17.100000000000001" customHeight="1" x14ac:dyDescent="0.2">
      <c r="A64" s="100">
        <v>58</v>
      </c>
      <c r="B64" s="3" t="s">
        <v>330</v>
      </c>
      <c r="C64" s="3" t="s">
        <v>331</v>
      </c>
      <c r="D64" s="3" t="s">
        <v>97</v>
      </c>
      <c r="E64" s="4">
        <v>41500</v>
      </c>
      <c r="F64" s="5">
        <v>26.643000000000001</v>
      </c>
      <c r="G64" s="6">
        <v>3.3450400000000001E-3</v>
      </c>
      <c r="H64" s="109"/>
    </row>
    <row r="65" spans="1:8" ht="29.1" customHeight="1" x14ac:dyDescent="0.2">
      <c r="A65" s="100">
        <v>59</v>
      </c>
      <c r="B65" s="3" t="s">
        <v>320</v>
      </c>
      <c r="C65" s="3" t="s">
        <v>321</v>
      </c>
      <c r="D65" s="3" t="s">
        <v>188</v>
      </c>
      <c r="E65" s="4">
        <v>6070</v>
      </c>
      <c r="F65" s="5">
        <v>23.52732</v>
      </c>
      <c r="G65" s="6">
        <v>2.95386E-3</v>
      </c>
      <c r="H65" s="109"/>
    </row>
    <row r="66" spans="1:8" ht="17.100000000000001" customHeight="1" x14ac:dyDescent="0.2">
      <c r="A66" s="100">
        <v>60</v>
      </c>
      <c r="B66" s="3" t="s">
        <v>395</v>
      </c>
      <c r="C66" s="3" t="s">
        <v>396</v>
      </c>
      <c r="D66" s="3" t="s">
        <v>115</v>
      </c>
      <c r="E66" s="4">
        <v>10376</v>
      </c>
      <c r="F66" s="5">
        <v>20.311019999999999</v>
      </c>
      <c r="G66" s="6">
        <v>2.5500599999999998E-3</v>
      </c>
      <c r="H66" s="109"/>
    </row>
    <row r="67" spans="1:8" ht="29.1" customHeight="1" x14ac:dyDescent="0.2">
      <c r="A67" s="100">
        <v>61</v>
      </c>
      <c r="B67" s="3" t="s">
        <v>458</v>
      </c>
      <c r="C67" s="3" t="s">
        <v>459</v>
      </c>
      <c r="D67" s="3" t="s">
        <v>129</v>
      </c>
      <c r="E67" s="4">
        <v>3799</v>
      </c>
      <c r="F67" s="5">
        <v>16.556042000000001</v>
      </c>
      <c r="G67" s="6">
        <v>2.0786200000000002E-3</v>
      </c>
      <c r="H67" s="109"/>
    </row>
    <row r="68" spans="1:8" ht="29.1" customHeight="1" x14ac:dyDescent="0.2">
      <c r="A68" s="100">
        <v>62</v>
      </c>
      <c r="B68" s="3" t="s">
        <v>430</v>
      </c>
      <c r="C68" s="3" t="s">
        <v>431</v>
      </c>
      <c r="D68" s="3" t="s">
        <v>188</v>
      </c>
      <c r="E68" s="4">
        <v>1852</v>
      </c>
      <c r="F68" s="5">
        <v>7.4755979999999997</v>
      </c>
      <c r="G68" s="6">
        <v>9.3855999999999996E-4</v>
      </c>
      <c r="H68" s="109"/>
    </row>
    <row r="69" spans="1:8" ht="14.1" customHeight="1" x14ac:dyDescent="0.2">
      <c r="A69" s="99"/>
      <c r="B69" s="1"/>
      <c r="C69" s="2" t="s">
        <v>135</v>
      </c>
      <c r="D69" s="1"/>
      <c r="E69" s="1" t="s">
        <v>136</v>
      </c>
      <c r="F69" s="8">
        <v>6473.3188885</v>
      </c>
      <c r="G69" s="9">
        <v>0.81272723999999996</v>
      </c>
      <c r="H69" s="109"/>
    </row>
    <row r="70" spans="1:8" ht="14.1" customHeight="1" x14ac:dyDescent="0.2">
      <c r="A70" s="99"/>
      <c r="B70" s="1"/>
      <c r="C70" s="10"/>
      <c r="D70" s="1"/>
      <c r="E70" s="1"/>
      <c r="F70" s="11"/>
      <c r="G70" s="11"/>
      <c r="H70" s="109"/>
    </row>
    <row r="71" spans="1:8" ht="14.1" customHeight="1" x14ac:dyDescent="0.2">
      <c r="A71" s="99"/>
      <c r="B71" s="1"/>
      <c r="C71" s="2" t="s">
        <v>137</v>
      </c>
      <c r="D71" s="1"/>
      <c r="E71" s="1"/>
      <c r="F71" s="1"/>
      <c r="G71" s="1"/>
      <c r="H71" s="109"/>
    </row>
    <row r="72" spans="1:8" ht="14.1" customHeight="1" x14ac:dyDescent="0.2">
      <c r="A72" s="99"/>
      <c r="B72" s="1"/>
      <c r="C72" s="2" t="s">
        <v>135</v>
      </c>
      <c r="D72" s="1"/>
      <c r="E72" s="1" t="s">
        <v>136</v>
      </c>
      <c r="F72" s="115">
        <v>0</v>
      </c>
      <c r="G72" s="9">
        <v>0</v>
      </c>
      <c r="H72" s="109"/>
    </row>
    <row r="73" spans="1:8" ht="14.1" customHeight="1" x14ac:dyDescent="0.2">
      <c r="A73" s="99"/>
      <c r="B73" s="1"/>
      <c r="C73" s="10"/>
      <c r="D73" s="1"/>
      <c r="E73" s="1"/>
      <c r="F73" s="11"/>
      <c r="G73" s="11"/>
      <c r="H73" s="109"/>
    </row>
    <row r="74" spans="1:8" ht="14.1" customHeight="1" x14ac:dyDescent="0.2">
      <c r="A74" s="99"/>
      <c r="B74" s="1"/>
      <c r="C74" s="2" t="s">
        <v>138</v>
      </c>
      <c r="D74" s="1"/>
      <c r="E74" s="1"/>
      <c r="F74" s="1"/>
      <c r="G74" s="1"/>
      <c r="H74" s="109"/>
    </row>
    <row r="75" spans="1:8" ht="14.1" customHeight="1" x14ac:dyDescent="0.2">
      <c r="A75" s="99"/>
      <c r="B75" s="1"/>
      <c r="C75" s="2" t="s">
        <v>135</v>
      </c>
      <c r="D75" s="1"/>
      <c r="E75" s="1" t="s">
        <v>136</v>
      </c>
      <c r="F75" s="115">
        <v>0</v>
      </c>
      <c r="G75" s="9">
        <v>0</v>
      </c>
      <c r="H75" s="109"/>
    </row>
    <row r="76" spans="1:8" ht="14.1" customHeight="1" x14ac:dyDescent="0.2">
      <c r="A76" s="99"/>
      <c r="B76" s="1"/>
      <c r="C76" s="10"/>
      <c r="D76" s="1"/>
      <c r="E76" s="1"/>
      <c r="F76" s="11"/>
      <c r="G76" s="11"/>
      <c r="H76" s="109"/>
    </row>
    <row r="77" spans="1:8" ht="14.1" customHeight="1" x14ac:dyDescent="0.2">
      <c r="A77" s="99"/>
      <c r="B77" s="1"/>
      <c r="C77" s="2" t="s">
        <v>139</v>
      </c>
      <c r="D77" s="1"/>
      <c r="E77" s="1"/>
      <c r="F77" s="1"/>
      <c r="G77" s="1"/>
      <c r="H77" s="109"/>
    </row>
    <row r="78" spans="1:8" ht="14.1" customHeight="1" x14ac:dyDescent="0.2">
      <c r="A78" s="99"/>
      <c r="B78" s="1"/>
      <c r="C78" s="2" t="s">
        <v>135</v>
      </c>
      <c r="D78" s="1"/>
      <c r="E78" s="1" t="s">
        <v>136</v>
      </c>
      <c r="F78" s="115">
        <v>0</v>
      </c>
      <c r="G78" s="9">
        <v>0</v>
      </c>
      <c r="H78" s="109"/>
    </row>
    <row r="79" spans="1:8" ht="14.1" customHeight="1" x14ac:dyDescent="0.2">
      <c r="A79" s="99"/>
      <c r="B79" s="1"/>
      <c r="C79" s="10"/>
      <c r="D79" s="1"/>
      <c r="E79" s="1"/>
      <c r="F79" s="11"/>
      <c r="G79" s="11"/>
      <c r="H79" s="109"/>
    </row>
    <row r="80" spans="1:8" ht="14.1" customHeight="1" x14ac:dyDescent="0.2">
      <c r="A80" s="99"/>
      <c r="B80" s="1"/>
      <c r="C80" s="2" t="s">
        <v>140</v>
      </c>
      <c r="D80" s="1"/>
      <c r="E80" s="1"/>
      <c r="F80" s="11"/>
      <c r="G80" s="11"/>
      <c r="H80" s="109"/>
    </row>
    <row r="81" spans="1:8" ht="14.1" customHeight="1" x14ac:dyDescent="0.2">
      <c r="A81" s="99"/>
      <c r="B81" s="1"/>
      <c r="C81" s="2" t="s">
        <v>135</v>
      </c>
      <c r="D81" s="1"/>
      <c r="E81" s="1" t="s">
        <v>136</v>
      </c>
      <c r="F81" s="115">
        <v>0</v>
      </c>
      <c r="G81" s="9">
        <v>0</v>
      </c>
      <c r="H81" s="109"/>
    </row>
    <row r="82" spans="1:8" ht="14.1" customHeight="1" x14ac:dyDescent="0.2">
      <c r="A82" s="99"/>
      <c r="B82" s="1"/>
      <c r="C82" s="10"/>
      <c r="D82" s="1"/>
      <c r="E82" s="1"/>
      <c r="F82" s="11"/>
      <c r="G82" s="11"/>
      <c r="H82" s="109"/>
    </row>
    <row r="83" spans="1:8" ht="14.1" customHeight="1" x14ac:dyDescent="0.2">
      <c r="A83" s="99"/>
      <c r="B83" s="1"/>
      <c r="C83" s="2" t="s">
        <v>141</v>
      </c>
      <c r="D83" s="1"/>
      <c r="E83" s="1"/>
      <c r="F83" s="11"/>
      <c r="G83" s="11"/>
      <c r="H83" s="109"/>
    </row>
    <row r="84" spans="1:8" ht="14.1" customHeight="1" x14ac:dyDescent="0.2">
      <c r="A84" s="99"/>
      <c r="B84" s="1"/>
      <c r="C84" s="2" t="s">
        <v>135</v>
      </c>
      <c r="D84" s="1"/>
      <c r="E84" s="1" t="s">
        <v>136</v>
      </c>
      <c r="F84" s="115">
        <v>0</v>
      </c>
      <c r="G84" s="9">
        <v>0</v>
      </c>
      <c r="H84" s="109"/>
    </row>
    <row r="85" spans="1:8" ht="14.1" customHeight="1" x14ac:dyDescent="0.2">
      <c r="A85" s="99"/>
      <c r="B85" s="1"/>
      <c r="C85" s="10"/>
      <c r="D85" s="1"/>
      <c r="E85" s="1"/>
      <c r="F85" s="11"/>
      <c r="G85" s="11"/>
      <c r="H85" s="109"/>
    </row>
    <row r="86" spans="1:8" ht="18" customHeight="1" x14ac:dyDescent="0.2">
      <c r="A86" s="99"/>
      <c r="B86" s="1"/>
      <c r="C86" s="2" t="s">
        <v>142</v>
      </c>
      <c r="D86" s="1"/>
      <c r="E86" s="1"/>
      <c r="F86" s="8">
        <v>6473.3188885</v>
      </c>
      <c r="G86" s="9">
        <v>0.81272723999999996</v>
      </c>
      <c r="H86" s="109"/>
    </row>
    <row r="87" spans="1:8" ht="14.1" customHeight="1" x14ac:dyDescent="0.2">
      <c r="A87" s="99"/>
      <c r="B87" s="1"/>
      <c r="C87" s="10"/>
      <c r="D87" s="1"/>
      <c r="E87" s="1"/>
      <c r="F87" s="11"/>
      <c r="G87" s="11"/>
      <c r="H87" s="109"/>
    </row>
    <row r="88" spans="1:8" ht="14.1" customHeight="1" x14ac:dyDescent="0.2">
      <c r="A88" s="99"/>
      <c r="B88" s="1"/>
      <c r="C88" s="2" t="s">
        <v>143</v>
      </c>
      <c r="D88" s="1"/>
      <c r="E88" s="1"/>
      <c r="F88" s="11"/>
      <c r="G88" s="11"/>
      <c r="H88" s="109"/>
    </row>
    <row r="89" spans="1:8" ht="24" customHeight="1" x14ac:dyDescent="0.2">
      <c r="A89" s="99"/>
      <c r="B89" s="1"/>
      <c r="C89" s="2" t="s">
        <v>10</v>
      </c>
      <c r="D89" s="1"/>
      <c r="E89" s="1"/>
      <c r="F89" s="11"/>
      <c r="G89" s="11"/>
      <c r="H89" s="109"/>
    </row>
    <row r="90" spans="1:8" ht="14.1" customHeight="1" x14ac:dyDescent="0.2">
      <c r="A90" s="99"/>
      <c r="B90" s="1"/>
      <c r="C90" s="2" t="s">
        <v>135</v>
      </c>
      <c r="D90" s="1"/>
      <c r="E90" s="1" t="s">
        <v>136</v>
      </c>
      <c r="F90" s="115">
        <v>0</v>
      </c>
      <c r="G90" s="9">
        <v>0</v>
      </c>
      <c r="H90" s="109"/>
    </row>
    <row r="91" spans="1:8" ht="14.1" customHeight="1" x14ac:dyDescent="0.2">
      <c r="A91" s="99"/>
      <c r="B91" s="1"/>
      <c r="C91" s="10"/>
      <c r="D91" s="1"/>
      <c r="E91" s="1"/>
      <c r="F91" s="11"/>
      <c r="G91" s="11"/>
      <c r="H91" s="109"/>
    </row>
    <row r="92" spans="1:8" ht="14.1" customHeight="1" x14ac:dyDescent="0.2">
      <c r="A92" s="99"/>
      <c r="B92" s="1"/>
      <c r="C92" s="2" t="s">
        <v>144</v>
      </c>
      <c r="D92" s="1"/>
      <c r="E92" s="1"/>
      <c r="F92" s="1"/>
      <c r="G92" s="1"/>
      <c r="H92" s="109"/>
    </row>
    <row r="93" spans="1:8" ht="14.1" customHeight="1" x14ac:dyDescent="0.2">
      <c r="A93" s="99"/>
      <c r="B93" s="1"/>
      <c r="C93" s="2" t="s">
        <v>135</v>
      </c>
      <c r="D93" s="1"/>
      <c r="E93" s="1" t="s">
        <v>136</v>
      </c>
      <c r="F93" s="115">
        <v>0</v>
      </c>
      <c r="G93" s="9">
        <v>0</v>
      </c>
      <c r="H93" s="109"/>
    </row>
    <row r="94" spans="1:8" ht="14.1" customHeight="1" x14ac:dyDescent="0.2">
      <c r="A94" s="99"/>
      <c r="B94" s="1"/>
      <c r="C94" s="10"/>
      <c r="D94" s="1"/>
      <c r="E94" s="1"/>
      <c r="F94" s="11"/>
      <c r="G94" s="11"/>
      <c r="H94" s="109"/>
    </row>
    <row r="95" spans="1:8" ht="14.1" customHeight="1" x14ac:dyDescent="0.2">
      <c r="A95" s="99"/>
      <c r="B95" s="1"/>
      <c r="C95" s="2" t="s">
        <v>145</v>
      </c>
      <c r="D95" s="1"/>
      <c r="E95" s="1"/>
      <c r="F95" s="1"/>
      <c r="G95" s="1"/>
      <c r="H95" s="109"/>
    </row>
    <row r="96" spans="1:8" ht="14.1" customHeight="1" x14ac:dyDescent="0.2">
      <c r="A96" s="99"/>
      <c r="B96" s="1"/>
      <c r="C96" s="2" t="s">
        <v>135</v>
      </c>
      <c r="D96" s="1"/>
      <c r="E96" s="1" t="s">
        <v>136</v>
      </c>
      <c r="F96" s="115">
        <v>0</v>
      </c>
      <c r="G96" s="9">
        <v>0</v>
      </c>
      <c r="H96" s="109"/>
    </row>
    <row r="97" spans="1:8" ht="14.1" customHeight="1" x14ac:dyDescent="0.2">
      <c r="A97" s="99"/>
      <c r="B97" s="1"/>
      <c r="C97" s="10"/>
      <c r="D97" s="1"/>
      <c r="E97" s="1"/>
      <c r="F97" s="11"/>
      <c r="G97" s="11"/>
      <c r="H97" s="109"/>
    </row>
    <row r="98" spans="1:8" ht="14.1" customHeight="1" x14ac:dyDescent="0.2">
      <c r="A98" s="99"/>
      <c r="B98" s="1"/>
      <c r="C98" s="2" t="s">
        <v>146</v>
      </c>
      <c r="D98" s="1"/>
      <c r="E98" s="1"/>
      <c r="F98" s="11"/>
      <c r="G98" s="11"/>
      <c r="H98" s="109"/>
    </row>
    <row r="99" spans="1:8" ht="14.1" customHeight="1" x14ac:dyDescent="0.2">
      <c r="A99" s="99"/>
      <c r="B99" s="1"/>
      <c r="C99" s="2" t="s">
        <v>135</v>
      </c>
      <c r="D99" s="1"/>
      <c r="E99" s="1" t="s">
        <v>136</v>
      </c>
      <c r="F99" s="115">
        <v>0</v>
      </c>
      <c r="G99" s="9">
        <v>0</v>
      </c>
      <c r="H99" s="109"/>
    </row>
    <row r="100" spans="1:8" ht="14.1" customHeight="1" x14ac:dyDescent="0.2">
      <c r="A100" s="99"/>
      <c r="B100" s="1"/>
      <c r="C100" s="10"/>
      <c r="D100" s="1"/>
      <c r="E100" s="1"/>
      <c r="F100" s="11"/>
      <c r="G100" s="11"/>
      <c r="H100" s="109"/>
    </row>
    <row r="101" spans="1:8" ht="14.1" customHeight="1" x14ac:dyDescent="0.2">
      <c r="A101" s="99"/>
      <c r="B101" s="1"/>
      <c r="C101" s="2" t="s">
        <v>147</v>
      </c>
      <c r="D101" s="1"/>
      <c r="E101" s="1"/>
      <c r="F101" s="8">
        <v>0</v>
      </c>
      <c r="G101" s="9">
        <v>0</v>
      </c>
      <c r="H101" s="109"/>
    </row>
    <row r="102" spans="1:8" ht="14.1" customHeight="1" x14ac:dyDescent="0.2">
      <c r="A102" s="99"/>
      <c r="B102" s="1"/>
      <c r="C102" s="10"/>
      <c r="D102" s="1"/>
      <c r="E102" s="1"/>
      <c r="F102" s="11"/>
      <c r="G102" s="11"/>
      <c r="H102" s="109"/>
    </row>
    <row r="103" spans="1:8" ht="14.1" customHeight="1" x14ac:dyDescent="0.2">
      <c r="A103" s="99"/>
      <c r="B103" s="1"/>
      <c r="C103" s="2" t="s">
        <v>148</v>
      </c>
      <c r="D103" s="1"/>
      <c r="E103" s="1"/>
      <c r="F103" s="11"/>
      <c r="G103" s="11"/>
      <c r="H103" s="109"/>
    </row>
    <row r="104" spans="1:8" ht="14.1" customHeight="1" x14ac:dyDescent="0.2">
      <c r="A104" s="99"/>
      <c r="B104" s="1"/>
      <c r="C104" s="2" t="s">
        <v>149</v>
      </c>
      <c r="D104" s="1"/>
      <c r="E104" s="1"/>
      <c r="F104" s="11"/>
      <c r="G104" s="11"/>
      <c r="H104" s="109"/>
    </row>
    <row r="105" spans="1:8" ht="14.1" customHeight="1" x14ac:dyDescent="0.2">
      <c r="A105" s="99"/>
      <c r="B105" s="1"/>
      <c r="C105" s="2" t="s">
        <v>135</v>
      </c>
      <c r="D105" s="1"/>
      <c r="E105" s="1" t="s">
        <v>136</v>
      </c>
      <c r="F105" s="115">
        <v>0</v>
      </c>
      <c r="G105" s="9">
        <v>0</v>
      </c>
      <c r="H105" s="109"/>
    </row>
    <row r="106" spans="1:8" ht="14.1" customHeight="1" x14ac:dyDescent="0.2">
      <c r="A106" s="99"/>
      <c r="B106" s="1"/>
      <c r="C106" s="10"/>
      <c r="D106" s="1"/>
      <c r="E106" s="1"/>
      <c r="F106" s="11"/>
      <c r="G106" s="11"/>
      <c r="H106" s="109"/>
    </row>
    <row r="107" spans="1:8" ht="14.1" customHeight="1" x14ac:dyDescent="0.2">
      <c r="A107" s="99"/>
      <c r="B107" s="1"/>
      <c r="C107" s="2" t="s">
        <v>150</v>
      </c>
      <c r="D107" s="1"/>
      <c r="E107" s="1"/>
      <c r="F107" s="11"/>
      <c r="G107" s="11"/>
      <c r="H107" s="109"/>
    </row>
    <row r="108" spans="1:8" ht="14.1" customHeight="1" x14ac:dyDescent="0.2">
      <c r="A108" s="99"/>
      <c r="B108" s="1"/>
      <c r="C108" s="2" t="s">
        <v>135</v>
      </c>
      <c r="D108" s="1"/>
      <c r="E108" s="1" t="s">
        <v>136</v>
      </c>
      <c r="F108" s="115">
        <v>0</v>
      </c>
      <c r="G108" s="9">
        <v>0</v>
      </c>
      <c r="H108" s="109"/>
    </row>
    <row r="109" spans="1:8" ht="14.1" customHeight="1" x14ac:dyDescent="0.2">
      <c r="A109" s="99"/>
      <c r="B109" s="1"/>
      <c r="C109" s="10"/>
      <c r="D109" s="1"/>
      <c r="E109" s="1"/>
      <c r="F109" s="11"/>
      <c r="G109" s="11"/>
      <c r="H109" s="109"/>
    </row>
    <row r="110" spans="1:8" ht="14.1" customHeight="1" x14ac:dyDescent="0.2">
      <c r="A110" s="99"/>
      <c r="B110" s="1"/>
      <c r="C110" s="2" t="s">
        <v>151</v>
      </c>
      <c r="D110" s="1"/>
      <c r="E110" s="1"/>
      <c r="F110" s="11"/>
      <c r="G110" s="11"/>
      <c r="H110" s="109"/>
    </row>
    <row r="111" spans="1:8" ht="14.1" customHeight="1" x14ac:dyDescent="0.2">
      <c r="A111" s="99"/>
      <c r="B111" s="1"/>
      <c r="C111" s="2" t="s">
        <v>135</v>
      </c>
      <c r="D111" s="1"/>
      <c r="E111" s="1" t="s">
        <v>136</v>
      </c>
      <c r="F111" s="115">
        <v>0</v>
      </c>
      <c r="G111" s="9">
        <v>0</v>
      </c>
      <c r="H111" s="109"/>
    </row>
    <row r="112" spans="1:8" ht="14.1" customHeight="1" x14ac:dyDescent="0.2">
      <c r="A112" s="99"/>
      <c r="B112" s="1"/>
      <c r="C112" s="10"/>
      <c r="D112" s="1"/>
      <c r="E112" s="1"/>
      <c r="F112" s="11"/>
      <c r="G112" s="11"/>
      <c r="H112" s="109"/>
    </row>
    <row r="113" spans="1:8" ht="14.1" customHeight="1" x14ac:dyDescent="0.2">
      <c r="A113" s="99"/>
      <c r="B113" s="1"/>
      <c r="C113" s="2" t="s">
        <v>152</v>
      </c>
      <c r="D113" s="1"/>
      <c r="E113" s="1"/>
      <c r="F113" s="11"/>
      <c r="G113" s="11"/>
      <c r="H113" s="109"/>
    </row>
    <row r="114" spans="1:8" ht="17.100000000000001" customHeight="1" x14ac:dyDescent="0.2">
      <c r="A114" s="100">
        <v>1</v>
      </c>
      <c r="B114" s="3"/>
      <c r="C114" s="3" t="s">
        <v>153</v>
      </c>
      <c r="D114" s="3"/>
      <c r="E114" s="7"/>
      <c r="F114" s="5">
        <v>1489.5000929989999</v>
      </c>
      <c r="G114" s="6">
        <v>0.18700720000000001</v>
      </c>
      <c r="H114" s="109">
        <v>6.6015165706411798</v>
      </c>
    </row>
    <row r="115" spans="1:8" ht="14.1" customHeight="1" x14ac:dyDescent="0.2">
      <c r="A115" s="99"/>
      <c r="B115" s="1"/>
      <c r="C115" s="2" t="s">
        <v>135</v>
      </c>
      <c r="D115" s="1"/>
      <c r="E115" s="1" t="s">
        <v>136</v>
      </c>
      <c r="F115" s="8">
        <v>1489.5000929989999</v>
      </c>
      <c r="G115" s="9">
        <v>0.18700720000000001</v>
      </c>
      <c r="H115" s="109"/>
    </row>
    <row r="116" spans="1:8" ht="14.1" customHeight="1" x14ac:dyDescent="0.2">
      <c r="A116" s="99"/>
      <c r="B116" s="1"/>
      <c r="C116" s="10"/>
      <c r="D116" s="1"/>
      <c r="E116" s="1"/>
      <c r="F116" s="11"/>
      <c r="G116" s="11"/>
      <c r="H116" s="109"/>
    </row>
    <row r="117" spans="1:8" ht="14.1" customHeight="1" x14ac:dyDescent="0.2">
      <c r="A117" s="99"/>
      <c r="B117" s="1"/>
      <c r="C117" s="2" t="s">
        <v>154</v>
      </c>
      <c r="D117" s="1"/>
      <c r="E117" s="1"/>
      <c r="F117" s="8">
        <v>1489.5000929989999</v>
      </c>
      <c r="G117" s="9">
        <v>0.18700720000000001</v>
      </c>
      <c r="H117" s="109"/>
    </row>
    <row r="118" spans="1:8" ht="14.1" customHeight="1" x14ac:dyDescent="0.2">
      <c r="A118" s="99"/>
      <c r="B118" s="1"/>
      <c r="C118" s="11"/>
      <c r="D118" s="1"/>
      <c r="E118" s="1"/>
      <c r="F118" s="1"/>
      <c r="G118" s="1"/>
      <c r="H118" s="109"/>
    </row>
    <row r="119" spans="1:8" ht="14.1" customHeight="1" x14ac:dyDescent="0.2">
      <c r="A119" s="99"/>
      <c r="B119" s="1"/>
      <c r="C119" s="2" t="s">
        <v>155</v>
      </c>
      <c r="D119" s="1"/>
      <c r="E119" s="1"/>
      <c r="F119" s="1"/>
      <c r="G119" s="1"/>
      <c r="H119" s="109"/>
    </row>
    <row r="120" spans="1:8" ht="14.1" customHeight="1" x14ac:dyDescent="0.2">
      <c r="A120" s="99"/>
      <c r="B120" s="1"/>
      <c r="C120" s="2" t="s">
        <v>156</v>
      </c>
      <c r="D120" s="1"/>
      <c r="E120" s="1"/>
      <c r="F120" s="1"/>
      <c r="G120" s="1"/>
      <c r="H120" s="109"/>
    </row>
    <row r="121" spans="1:8" ht="14.1" customHeight="1" x14ac:dyDescent="0.2">
      <c r="A121" s="99"/>
      <c r="B121" s="1"/>
      <c r="C121" s="2" t="s">
        <v>135</v>
      </c>
      <c r="D121" s="1"/>
      <c r="E121" s="1" t="s">
        <v>136</v>
      </c>
      <c r="F121" s="115">
        <v>0</v>
      </c>
      <c r="G121" s="9">
        <v>0</v>
      </c>
      <c r="H121" s="109"/>
    </row>
    <row r="122" spans="1:8" ht="14.1" customHeight="1" x14ac:dyDescent="0.2">
      <c r="A122" s="99"/>
      <c r="B122" s="1"/>
      <c r="C122" s="10"/>
      <c r="D122" s="1"/>
      <c r="E122" s="1"/>
      <c r="F122" s="11"/>
      <c r="G122" s="11"/>
      <c r="H122" s="109"/>
    </row>
    <row r="123" spans="1:8" ht="14.1" customHeight="1" x14ac:dyDescent="0.2">
      <c r="A123" s="99"/>
      <c r="B123" s="1"/>
      <c r="C123" s="2" t="s">
        <v>157</v>
      </c>
      <c r="D123" s="1"/>
      <c r="E123" s="1"/>
      <c r="F123" s="1"/>
      <c r="G123" s="1"/>
      <c r="H123" s="109"/>
    </row>
    <row r="124" spans="1:8" ht="14.1" customHeight="1" x14ac:dyDescent="0.2">
      <c r="A124" s="99"/>
      <c r="B124" s="1"/>
      <c r="C124" s="2" t="s">
        <v>158</v>
      </c>
      <c r="D124" s="1"/>
      <c r="E124" s="1"/>
      <c r="F124" s="1"/>
      <c r="G124" s="1"/>
      <c r="H124" s="109"/>
    </row>
    <row r="125" spans="1:8" ht="14.1" customHeight="1" x14ac:dyDescent="0.2">
      <c r="A125" s="99"/>
      <c r="B125" s="1"/>
      <c r="C125" s="2" t="s">
        <v>135</v>
      </c>
      <c r="D125" s="1"/>
      <c r="E125" s="1" t="s">
        <v>136</v>
      </c>
      <c r="F125" s="115">
        <v>0</v>
      </c>
      <c r="G125" s="9">
        <v>0</v>
      </c>
      <c r="H125" s="109"/>
    </row>
    <row r="126" spans="1:8" ht="14.1" customHeight="1" x14ac:dyDescent="0.2">
      <c r="A126" s="99"/>
      <c r="B126" s="1"/>
      <c r="C126" s="10"/>
      <c r="D126" s="1"/>
      <c r="E126" s="1"/>
      <c r="F126" s="11"/>
      <c r="G126" s="11"/>
      <c r="H126" s="109"/>
    </row>
    <row r="127" spans="1:8" ht="24" customHeight="1" x14ac:dyDescent="0.2">
      <c r="A127" s="99"/>
      <c r="B127" s="1"/>
      <c r="C127" s="2" t="s">
        <v>159</v>
      </c>
      <c r="D127" s="1"/>
      <c r="E127" s="1"/>
      <c r="F127" s="11"/>
      <c r="G127" s="11"/>
      <c r="H127" s="109"/>
    </row>
    <row r="128" spans="1:8" ht="14.1" customHeight="1" x14ac:dyDescent="0.2">
      <c r="A128" s="99"/>
      <c r="B128" s="1"/>
      <c r="C128" s="2" t="s">
        <v>135</v>
      </c>
      <c r="D128" s="1"/>
      <c r="E128" s="1" t="s">
        <v>136</v>
      </c>
      <c r="F128" s="115">
        <v>0</v>
      </c>
      <c r="G128" s="9">
        <v>0</v>
      </c>
      <c r="H128" s="109"/>
    </row>
    <row r="129" spans="1:8" ht="14.1" customHeight="1" x14ac:dyDescent="0.2">
      <c r="A129" s="99"/>
      <c r="B129" s="1"/>
      <c r="C129" s="10"/>
      <c r="D129" s="1"/>
      <c r="E129" s="1"/>
      <c r="F129" s="11"/>
      <c r="G129" s="11"/>
      <c r="H129" s="109"/>
    </row>
    <row r="130" spans="1:8" ht="14.1" customHeight="1" x14ac:dyDescent="0.2">
      <c r="A130" s="99"/>
      <c r="B130" s="3"/>
      <c r="C130" s="3"/>
      <c r="D130" s="2"/>
      <c r="E130" s="1"/>
      <c r="F130" s="3"/>
      <c r="G130" s="7"/>
      <c r="H130" s="109"/>
    </row>
    <row r="131" spans="1:8" ht="18" customHeight="1" x14ac:dyDescent="0.2">
      <c r="A131" s="101"/>
      <c r="B131" s="3"/>
      <c r="C131" s="3" t="s">
        <v>160</v>
      </c>
      <c r="D131" s="3"/>
      <c r="E131" s="7"/>
      <c r="F131" s="5">
        <v>2.1155350999999998</v>
      </c>
      <c r="G131" s="6">
        <v>2.6561E-4</v>
      </c>
      <c r="H131" s="109"/>
    </row>
    <row r="132" spans="1:8" ht="14.1" customHeight="1" x14ac:dyDescent="0.2">
      <c r="A132" s="102"/>
      <c r="B132" s="10"/>
      <c r="C132" s="2" t="s">
        <v>161</v>
      </c>
      <c r="D132" s="11"/>
      <c r="E132" s="11"/>
      <c r="F132" s="8">
        <v>7964.9345165989998</v>
      </c>
      <c r="G132" s="12">
        <v>1.0000000499999999</v>
      </c>
      <c r="H132" s="109"/>
    </row>
    <row r="133" spans="1:8" ht="14.1" customHeight="1" x14ac:dyDescent="0.2">
      <c r="A133" s="13"/>
      <c r="B133" s="13"/>
      <c r="C133" s="13"/>
      <c r="D133" s="14"/>
      <c r="E133" s="14"/>
      <c r="F133" s="14"/>
      <c r="G133" s="14"/>
    </row>
    <row r="134" spans="1:8" ht="14.1" customHeight="1" x14ac:dyDescent="0.2">
      <c r="A134" s="15"/>
      <c r="B134" s="15"/>
      <c r="C134" s="15"/>
      <c r="D134" s="17"/>
      <c r="E134" s="17"/>
      <c r="F134" s="17"/>
      <c r="G134" s="17"/>
    </row>
    <row r="135" spans="1:8" ht="14.1" customHeight="1" x14ac:dyDescent="0.2">
      <c r="A135" s="15"/>
      <c r="B135" s="194" t="s">
        <v>163</v>
      </c>
      <c r="C135" s="195"/>
      <c r="D135" s="196"/>
      <c r="E135" s="18"/>
      <c r="F135" s="17"/>
      <c r="G135" s="17"/>
    </row>
    <row r="136" spans="1:8" ht="29.1" customHeight="1" x14ac:dyDescent="0.2">
      <c r="A136" s="15"/>
      <c r="B136" s="191" t="s">
        <v>164</v>
      </c>
      <c r="C136" s="192"/>
      <c r="D136" s="2" t="s">
        <v>165</v>
      </c>
      <c r="E136" s="18"/>
      <c r="F136" s="17"/>
      <c r="G136" s="17"/>
    </row>
    <row r="137" spans="1:8" ht="17.100000000000001" customHeight="1" x14ac:dyDescent="0.2">
      <c r="A137" s="15"/>
      <c r="B137" s="191" t="s">
        <v>166</v>
      </c>
      <c r="C137" s="192"/>
      <c r="D137" s="2" t="s">
        <v>165</v>
      </c>
      <c r="E137" s="18"/>
      <c r="F137" s="17"/>
      <c r="G137" s="17"/>
    </row>
    <row r="138" spans="1:8" ht="17.100000000000001" customHeight="1" x14ac:dyDescent="0.2">
      <c r="A138" s="15"/>
      <c r="B138" s="191" t="s">
        <v>167</v>
      </c>
      <c r="C138" s="192"/>
      <c r="D138" s="11" t="s">
        <v>136</v>
      </c>
      <c r="E138" s="18"/>
      <c r="F138" s="17"/>
      <c r="G138" s="17"/>
    </row>
    <row r="139" spans="1:8" ht="24" customHeight="1" x14ac:dyDescent="0.2">
      <c r="A139" s="19"/>
      <c r="B139" s="20" t="s">
        <v>136</v>
      </c>
      <c r="C139" s="20" t="s">
        <v>168</v>
      </c>
      <c r="D139" s="20" t="s">
        <v>169</v>
      </c>
      <c r="E139" s="19"/>
      <c r="F139" s="19"/>
      <c r="G139" s="19"/>
    </row>
    <row r="140" spans="1:8" ht="18" customHeight="1" x14ac:dyDescent="0.2">
      <c r="A140" s="19"/>
      <c r="B140" s="21" t="s">
        <v>170</v>
      </c>
      <c r="C140" s="20" t="s">
        <v>171</v>
      </c>
      <c r="D140" s="20" t="s">
        <v>172</v>
      </c>
      <c r="E140" s="19"/>
      <c r="F140" s="19"/>
      <c r="G140" s="19"/>
    </row>
    <row r="141" spans="1:8" ht="17.100000000000001" customHeight="1" x14ac:dyDescent="0.2">
      <c r="A141" s="19"/>
      <c r="B141" s="3" t="s">
        <v>173</v>
      </c>
      <c r="C141" s="22">
        <v>20.1967</v>
      </c>
      <c r="D141" s="22">
        <v>20.192900000000002</v>
      </c>
      <c r="E141" s="19"/>
      <c r="F141" s="16"/>
      <c r="G141" s="23"/>
    </row>
    <row r="142" spans="1:8" ht="17.100000000000001" customHeight="1" x14ac:dyDescent="0.2">
      <c r="A142" s="19"/>
      <c r="B142" s="3" t="s">
        <v>994</v>
      </c>
      <c r="C142" s="22">
        <v>19.4786</v>
      </c>
      <c r="D142" s="22">
        <v>19.474900000000002</v>
      </c>
      <c r="E142" s="19"/>
      <c r="F142" s="16"/>
      <c r="G142" s="23"/>
    </row>
    <row r="143" spans="1:8" ht="17.100000000000001" customHeight="1" x14ac:dyDescent="0.2">
      <c r="A143" s="19"/>
      <c r="B143" s="3" t="s">
        <v>174</v>
      </c>
      <c r="C143" s="22">
        <v>19.6709</v>
      </c>
      <c r="D143" s="22">
        <v>19.6587</v>
      </c>
      <c r="E143" s="19"/>
      <c r="F143" s="16"/>
      <c r="G143" s="23"/>
    </row>
    <row r="144" spans="1:8" ht="17.100000000000001" customHeight="1" x14ac:dyDescent="0.2">
      <c r="A144" s="19"/>
      <c r="B144" s="3" t="s">
        <v>995</v>
      </c>
      <c r="C144" s="22">
        <v>18.959499999999998</v>
      </c>
      <c r="D144" s="22">
        <v>18.947800000000001</v>
      </c>
      <c r="E144" s="19"/>
      <c r="F144" s="16"/>
      <c r="G144" s="23"/>
    </row>
    <row r="145" spans="1:7" ht="14.1" customHeight="1" x14ac:dyDescent="0.2">
      <c r="A145" s="19"/>
      <c r="B145" s="19"/>
      <c r="C145" s="19"/>
      <c r="D145" s="19"/>
      <c r="E145" s="19"/>
      <c r="F145" s="19"/>
      <c r="G145" s="19"/>
    </row>
    <row r="146" spans="1:7" ht="17.100000000000001" customHeight="1" x14ac:dyDescent="0.2">
      <c r="A146" s="19"/>
      <c r="B146" s="191" t="s">
        <v>1044</v>
      </c>
      <c r="C146" s="192"/>
      <c r="D146" s="2" t="s">
        <v>165</v>
      </c>
      <c r="E146" s="19"/>
      <c r="F146" s="19"/>
      <c r="G146" s="19"/>
    </row>
    <row r="147" spans="1:7" ht="18" customHeight="1" x14ac:dyDescent="0.2">
      <c r="A147" s="19"/>
      <c r="B147" s="24"/>
      <c r="C147" s="24"/>
      <c r="D147" s="24"/>
      <c r="E147" s="19"/>
      <c r="F147" s="19"/>
      <c r="G147" s="19"/>
    </row>
    <row r="148" spans="1:7" ht="29.1" customHeight="1" x14ac:dyDescent="0.2">
      <c r="A148" s="19"/>
      <c r="B148" s="191" t="s">
        <v>175</v>
      </c>
      <c r="C148" s="192"/>
      <c r="D148" s="2" t="s">
        <v>165</v>
      </c>
      <c r="E148" s="25"/>
      <c r="F148" s="19"/>
      <c r="G148" s="19"/>
    </row>
    <row r="149" spans="1:7" ht="29.1" customHeight="1" x14ac:dyDescent="0.2">
      <c r="A149" s="19"/>
      <c r="B149" s="191" t="s">
        <v>176</v>
      </c>
      <c r="C149" s="192"/>
      <c r="D149" s="2" t="s">
        <v>165</v>
      </c>
      <c r="E149" s="25"/>
      <c r="F149" s="19"/>
      <c r="G149" s="19"/>
    </row>
    <row r="150" spans="1:7" ht="17.100000000000001" customHeight="1" x14ac:dyDescent="0.2">
      <c r="A150" s="19"/>
      <c r="B150" s="191" t="s">
        <v>177</v>
      </c>
      <c r="C150" s="192"/>
      <c r="D150" s="2" t="s">
        <v>165</v>
      </c>
      <c r="E150" s="25"/>
      <c r="F150" s="19"/>
      <c r="G150" s="19"/>
    </row>
    <row r="151" spans="1:7" ht="17.100000000000001" customHeight="1" x14ac:dyDescent="0.2">
      <c r="A151" s="19"/>
      <c r="B151" s="191" t="s">
        <v>178</v>
      </c>
      <c r="C151" s="192"/>
      <c r="D151" s="26">
        <v>0.2029349759032521</v>
      </c>
      <c r="E151" s="19"/>
      <c r="F151" s="16"/>
      <c r="G151" s="23"/>
    </row>
    <row r="152" spans="1:7" ht="14.1" customHeight="1" x14ac:dyDescent="0.2">
      <c r="A152" s="24"/>
      <c r="B152" s="24"/>
      <c r="C152" s="24"/>
      <c r="D152" s="24"/>
      <c r="E152" s="24"/>
      <c r="F152" s="24"/>
      <c r="G152" s="24"/>
    </row>
    <row r="163" spans="10:14" x14ac:dyDescent="0.2">
      <c r="J163" s="170"/>
      <c r="K163" s="170"/>
      <c r="L163" s="170"/>
      <c r="M163" s="170"/>
      <c r="N163" s="170"/>
    </row>
  </sheetData>
  <mergeCells count="13">
    <mergeCell ref="J2:N2"/>
    <mergeCell ref="A1:H1"/>
    <mergeCell ref="A2:H2"/>
    <mergeCell ref="A3:H3"/>
    <mergeCell ref="B151:C151"/>
    <mergeCell ref="B146:C146"/>
    <mergeCell ref="B148:C148"/>
    <mergeCell ref="B138:C138"/>
    <mergeCell ref="B135:D135"/>
    <mergeCell ref="B149:C149"/>
    <mergeCell ref="B150:C150"/>
    <mergeCell ref="B136:C136"/>
    <mergeCell ref="B137:C137"/>
  </mergeCells>
  <hyperlinks>
    <hyperlink ref="I1" location="Index!B11" display="Index" xr:uid="{23342EB3-62A2-46F9-A54A-7601C3A3014D}"/>
  </hyperlinks>
  <pageMargins left="5.000000074505806E-2" right="5.000000074505806E-2" top="0.30000001192092896" bottom="0.20000000298023224" header="0" footer="0"/>
  <pageSetup paperSize="9"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N162"/>
  <sheetViews>
    <sheetView showGridLines="0" workbookViewId="0">
      <selection sqref="A1:H1"/>
    </sheetView>
  </sheetViews>
  <sheetFormatPr defaultRowHeight="12.75" x14ac:dyDescent="0.2"/>
  <cols>
    <col min="1" max="1" width="7.14062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7" t="s">
        <v>0</v>
      </c>
      <c r="B1" s="187"/>
      <c r="C1" s="187"/>
      <c r="D1" s="187"/>
      <c r="E1" s="187"/>
      <c r="F1" s="187"/>
      <c r="G1" s="187"/>
      <c r="H1" s="187"/>
      <c r="I1" s="167" t="s">
        <v>1055</v>
      </c>
    </row>
    <row r="2" spans="1:14" ht="17.100000000000001" customHeight="1" x14ac:dyDescent="0.2">
      <c r="A2" s="188" t="s">
        <v>460</v>
      </c>
      <c r="B2" s="189"/>
      <c r="C2" s="189"/>
      <c r="D2" s="189"/>
      <c r="E2" s="189"/>
      <c r="F2" s="189"/>
      <c r="G2" s="189"/>
      <c r="H2" s="190"/>
      <c r="J2" s="186" t="s">
        <v>1056</v>
      </c>
      <c r="K2" s="186"/>
      <c r="L2" s="186"/>
      <c r="M2" s="186"/>
      <c r="N2" s="186"/>
    </row>
    <row r="3" spans="1:14" ht="21" customHeight="1" x14ac:dyDescent="0.2">
      <c r="A3" s="187" t="s">
        <v>1052</v>
      </c>
      <c r="B3" s="187"/>
      <c r="C3" s="187"/>
      <c r="D3" s="187"/>
      <c r="E3" s="187"/>
      <c r="F3" s="187"/>
      <c r="G3" s="187"/>
      <c r="H3" s="187"/>
    </row>
    <row r="4" spans="1:14" ht="30" x14ac:dyDescent="0.2">
      <c r="A4" s="163" t="s">
        <v>2</v>
      </c>
      <c r="B4" s="164" t="s">
        <v>3</v>
      </c>
      <c r="C4" s="164" t="s">
        <v>4</v>
      </c>
      <c r="D4" s="164" t="s">
        <v>5</v>
      </c>
      <c r="E4" s="164" t="s">
        <v>6</v>
      </c>
      <c r="F4" s="164" t="s">
        <v>7</v>
      </c>
      <c r="G4" s="164" t="s">
        <v>8</v>
      </c>
      <c r="H4" s="120" t="s">
        <v>881</v>
      </c>
      <c r="I4" s="165"/>
      <c r="J4" s="165"/>
      <c r="K4" s="165"/>
      <c r="L4" s="165"/>
      <c r="M4" s="165"/>
      <c r="N4" s="165"/>
    </row>
    <row r="5" spans="1:14" ht="14.1" customHeight="1" x14ac:dyDescent="0.2">
      <c r="A5" s="99"/>
      <c r="B5" s="1"/>
      <c r="C5" s="2" t="s">
        <v>9</v>
      </c>
      <c r="D5" s="1"/>
      <c r="E5" s="1"/>
      <c r="F5" s="1"/>
      <c r="G5" s="1"/>
      <c r="H5" s="109"/>
    </row>
    <row r="6" spans="1:14" ht="24" customHeight="1" x14ac:dyDescent="0.2">
      <c r="A6" s="99"/>
      <c r="B6" s="1"/>
      <c r="C6" s="2" t="s">
        <v>10</v>
      </c>
      <c r="D6" s="1"/>
      <c r="E6" s="1"/>
      <c r="F6" s="1"/>
      <c r="G6" s="1"/>
      <c r="H6" s="109"/>
    </row>
    <row r="7" spans="1:14" ht="17.100000000000001" customHeight="1" x14ac:dyDescent="0.2">
      <c r="A7" s="100">
        <v>1</v>
      </c>
      <c r="B7" s="3" t="s">
        <v>408</v>
      </c>
      <c r="C7" s="3" t="s">
        <v>409</v>
      </c>
      <c r="D7" s="3" t="s">
        <v>115</v>
      </c>
      <c r="E7" s="4">
        <v>9128</v>
      </c>
      <c r="F7" s="5">
        <v>184.49969999999999</v>
      </c>
      <c r="G7" s="6">
        <v>4.4690760000000003E-2</v>
      </c>
      <c r="H7" s="109"/>
    </row>
    <row r="8" spans="1:14" ht="17.100000000000001" customHeight="1" x14ac:dyDescent="0.2">
      <c r="A8" s="100">
        <v>2</v>
      </c>
      <c r="B8" s="3" t="s">
        <v>371</v>
      </c>
      <c r="C8" s="3" t="s">
        <v>372</v>
      </c>
      <c r="D8" s="3" t="s">
        <v>22</v>
      </c>
      <c r="E8" s="4">
        <v>251159</v>
      </c>
      <c r="F8" s="5">
        <v>179.57868500000001</v>
      </c>
      <c r="G8" s="6">
        <v>4.3498759999999997E-2</v>
      </c>
      <c r="H8" s="109"/>
    </row>
    <row r="9" spans="1:14" ht="17.100000000000001" customHeight="1" x14ac:dyDescent="0.2">
      <c r="A9" s="100">
        <v>3</v>
      </c>
      <c r="B9" s="3" t="s">
        <v>29</v>
      </c>
      <c r="C9" s="3" t="s">
        <v>30</v>
      </c>
      <c r="D9" s="3" t="s">
        <v>31</v>
      </c>
      <c r="E9" s="4">
        <v>7409</v>
      </c>
      <c r="F9" s="5">
        <v>141.9305085</v>
      </c>
      <c r="G9" s="6">
        <v>3.4379359999999998E-2</v>
      </c>
      <c r="H9" s="109"/>
    </row>
    <row r="10" spans="1:14" ht="17.100000000000001" customHeight="1" x14ac:dyDescent="0.2">
      <c r="A10" s="100">
        <v>4</v>
      </c>
      <c r="B10" s="3" t="s">
        <v>72</v>
      </c>
      <c r="C10" s="3" t="s">
        <v>73</v>
      </c>
      <c r="D10" s="3" t="s">
        <v>31</v>
      </c>
      <c r="E10" s="4">
        <v>8542</v>
      </c>
      <c r="F10" s="5">
        <v>138.828855</v>
      </c>
      <c r="G10" s="6">
        <v>3.3628060000000001E-2</v>
      </c>
      <c r="H10" s="109"/>
    </row>
    <row r="11" spans="1:14" ht="17.100000000000001" customHeight="1" x14ac:dyDescent="0.2">
      <c r="A11" s="100">
        <v>5</v>
      </c>
      <c r="B11" s="3" t="s">
        <v>37</v>
      </c>
      <c r="C11" s="3" t="s">
        <v>38</v>
      </c>
      <c r="D11" s="3" t="s">
        <v>31</v>
      </c>
      <c r="E11" s="4">
        <v>5450</v>
      </c>
      <c r="F11" s="5">
        <v>98.35615</v>
      </c>
      <c r="G11" s="6">
        <v>2.382449E-2</v>
      </c>
      <c r="H11" s="109"/>
    </row>
    <row r="12" spans="1:14" ht="29.1" customHeight="1" x14ac:dyDescent="0.2">
      <c r="A12" s="100">
        <v>6</v>
      </c>
      <c r="B12" s="3" t="s">
        <v>204</v>
      </c>
      <c r="C12" s="3" t="s">
        <v>205</v>
      </c>
      <c r="D12" s="3" t="s">
        <v>115</v>
      </c>
      <c r="E12" s="4">
        <v>31926</v>
      </c>
      <c r="F12" s="5">
        <v>97.007150999999993</v>
      </c>
      <c r="G12" s="6">
        <v>2.349772E-2</v>
      </c>
      <c r="H12" s="109"/>
    </row>
    <row r="13" spans="1:14" ht="17.100000000000001" customHeight="1" x14ac:dyDescent="0.2">
      <c r="A13" s="100">
        <v>7</v>
      </c>
      <c r="B13" s="3" t="s">
        <v>184</v>
      </c>
      <c r="C13" s="3" t="s">
        <v>185</v>
      </c>
      <c r="D13" s="3" t="s">
        <v>996</v>
      </c>
      <c r="E13" s="4">
        <v>2021</v>
      </c>
      <c r="F13" s="5">
        <v>96.868550999999997</v>
      </c>
      <c r="G13" s="6">
        <v>2.346415E-2</v>
      </c>
      <c r="H13" s="109"/>
    </row>
    <row r="14" spans="1:14" ht="17.100000000000001" customHeight="1" x14ac:dyDescent="0.2">
      <c r="A14" s="100">
        <v>8</v>
      </c>
      <c r="B14" s="3" t="s">
        <v>305</v>
      </c>
      <c r="C14" s="3" t="s">
        <v>306</v>
      </c>
      <c r="D14" s="3" t="s">
        <v>242</v>
      </c>
      <c r="E14" s="4">
        <v>6370</v>
      </c>
      <c r="F14" s="5">
        <v>96.709339999999997</v>
      </c>
      <c r="G14" s="6">
        <v>2.342559E-2</v>
      </c>
      <c r="H14" s="109"/>
      <c r="J14" s="169" t="s">
        <v>1064</v>
      </c>
    </row>
    <row r="15" spans="1:14" ht="17.100000000000001" customHeight="1" x14ac:dyDescent="0.2">
      <c r="A15" s="100">
        <v>9</v>
      </c>
      <c r="B15" s="3" t="s">
        <v>113</v>
      </c>
      <c r="C15" s="3" t="s">
        <v>114</v>
      </c>
      <c r="D15" s="3" t="s">
        <v>115</v>
      </c>
      <c r="E15" s="4">
        <v>33781</v>
      </c>
      <c r="F15" s="5">
        <v>94.738814500000004</v>
      </c>
      <c r="G15" s="6">
        <v>2.294827E-2</v>
      </c>
      <c r="H15" s="109"/>
    </row>
    <row r="16" spans="1:14" ht="29.1" customHeight="1" x14ac:dyDescent="0.2">
      <c r="A16" s="100">
        <v>10</v>
      </c>
      <c r="B16" s="3" t="s">
        <v>186</v>
      </c>
      <c r="C16" s="3" t="s">
        <v>187</v>
      </c>
      <c r="D16" s="3" t="s">
        <v>188</v>
      </c>
      <c r="E16" s="4">
        <v>2276</v>
      </c>
      <c r="F16" s="5">
        <v>93.955556000000001</v>
      </c>
      <c r="G16" s="6">
        <v>2.2758549999999999E-2</v>
      </c>
      <c r="H16" s="109"/>
    </row>
    <row r="17" spans="1:8" ht="17.100000000000001" customHeight="1" x14ac:dyDescent="0.2">
      <c r="A17" s="100">
        <v>11</v>
      </c>
      <c r="B17" s="3" t="s">
        <v>461</v>
      </c>
      <c r="C17" s="3" t="s">
        <v>462</v>
      </c>
      <c r="D17" s="3" t="s">
        <v>996</v>
      </c>
      <c r="E17" s="4">
        <v>11292</v>
      </c>
      <c r="F17" s="5">
        <v>93.684078</v>
      </c>
      <c r="G17" s="6">
        <v>2.2692790000000001E-2</v>
      </c>
      <c r="H17" s="109"/>
    </row>
    <row r="18" spans="1:8" ht="17.100000000000001" customHeight="1" x14ac:dyDescent="0.2">
      <c r="A18" s="100">
        <v>12</v>
      </c>
      <c r="B18" s="3" t="s">
        <v>398</v>
      </c>
      <c r="C18" s="3" t="s">
        <v>399</v>
      </c>
      <c r="D18" s="3" t="s">
        <v>97</v>
      </c>
      <c r="E18" s="4">
        <v>6219</v>
      </c>
      <c r="F18" s="5">
        <v>86.014989</v>
      </c>
      <c r="G18" s="6">
        <v>2.083513E-2</v>
      </c>
      <c r="H18" s="109"/>
    </row>
    <row r="19" spans="1:8" ht="17.100000000000001" customHeight="1" x14ac:dyDescent="0.2">
      <c r="A19" s="100">
        <v>13</v>
      </c>
      <c r="B19" s="3" t="s">
        <v>318</v>
      </c>
      <c r="C19" s="3" t="s">
        <v>319</v>
      </c>
      <c r="D19" s="3" t="s">
        <v>235</v>
      </c>
      <c r="E19" s="4">
        <v>6299</v>
      </c>
      <c r="F19" s="5">
        <v>78.038310999999993</v>
      </c>
      <c r="G19" s="6">
        <v>1.890296E-2</v>
      </c>
      <c r="H19" s="109"/>
    </row>
    <row r="20" spans="1:8" ht="17.100000000000001" customHeight="1" x14ac:dyDescent="0.2">
      <c r="A20" s="100">
        <v>14</v>
      </c>
      <c r="B20" s="3" t="s">
        <v>286</v>
      </c>
      <c r="C20" s="3" t="s">
        <v>287</v>
      </c>
      <c r="D20" s="3" t="s">
        <v>19</v>
      </c>
      <c r="E20" s="4">
        <v>34622</v>
      </c>
      <c r="F20" s="5">
        <v>74.523854999999998</v>
      </c>
      <c r="G20" s="6">
        <v>1.8051669999999999E-2</v>
      </c>
      <c r="H20" s="109"/>
    </row>
    <row r="21" spans="1:8" ht="17.100000000000001" customHeight="1" x14ac:dyDescent="0.2">
      <c r="A21" s="100">
        <v>15</v>
      </c>
      <c r="B21" s="3" t="s">
        <v>416</v>
      </c>
      <c r="C21" s="3" t="s">
        <v>417</v>
      </c>
      <c r="D21" s="3" t="s">
        <v>115</v>
      </c>
      <c r="E21" s="4">
        <v>14697</v>
      </c>
      <c r="F21" s="5">
        <v>74.315380500000003</v>
      </c>
      <c r="G21" s="6">
        <v>1.800117E-2</v>
      </c>
      <c r="H21" s="109"/>
    </row>
    <row r="22" spans="1:8" ht="17.100000000000001" customHeight="1" x14ac:dyDescent="0.2">
      <c r="A22" s="100">
        <v>16</v>
      </c>
      <c r="B22" s="3" t="s">
        <v>373</v>
      </c>
      <c r="C22" s="3" t="s">
        <v>374</v>
      </c>
      <c r="D22" s="3" t="s">
        <v>997</v>
      </c>
      <c r="E22" s="4">
        <v>6988</v>
      </c>
      <c r="F22" s="5">
        <v>71.567601999999994</v>
      </c>
      <c r="G22" s="6">
        <v>1.7335590000000001E-2</v>
      </c>
      <c r="H22" s="109"/>
    </row>
    <row r="23" spans="1:8" ht="17.100000000000001" customHeight="1" x14ac:dyDescent="0.2">
      <c r="A23" s="100">
        <v>17</v>
      </c>
      <c r="B23" s="3" t="s">
        <v>402</v>
      </c>
      <c r="C23" s="3" t="s">
        <v>403</v>
      </c>
      <c r="D23" s="3" t="s">
        <v>120</v>
      </c>
      <c r="E23" s="4">
        <v>12401</v>
      </c>
      <c r="F23" s="5">
        <v>71.330551999999997</v>
      </c>
      <c r="G23" s="6">
        <v>1.7278169999999999E-2</v>
      </c>
      <c r="H23" s="109"/>
    </row>
    <row r="24" spans="1:8" ht="17.100000000000001" customHeight="1" x14ac:dyDescent="0.2">
      <c r="A24" s="100">
        <v>18</v>
      </c>
      <c r="B24" s="3" t="s">
        <v>400</v>
      </c>
      <c r="C24" s="3" t="s">
        <v>401</v>
      </c>
      <c r="D24" s="3" t="s">
        <v>210</v>
      </c>
      <c r="E24" s="4">
        <v>24683</v>
      </c>
      <c r="F24" s="5">
        <v>68.939618999999993</v>
      </c>
      <c r="G24" s="6">
        <v>1.6699019999999998E-2</v>
      </c>
      <c r="H24" s="109"/>
    </row>
    <row r="25" spans="1:8" ht="29.1" customHeight="1" x14ac:dyDescent="0.2">
      <c r="A25" s="100">
        <v>19</v>
      </c>
      <c r="B25" s="3" t="s">
        <v>412</v>
      </c>
      <c r="C25" s="3" t="s">
        <v>413</v>
      </c>
      <c r="D25" s="3" t="s">
        <v>221</v>
      </c>
      <c r="E25" s="4">
        <v>18487</v>
      </c>
      <c r="F25" s="5">
        <v>66.377573499999997</v>
      </c>
      <c r="G25" s="6">
        <v>1.607842E-2</v>
      </c>
      <c r="H25" s="109"/>
    </row>
    <row r="26" spans="1:8" ht="17.100000000000001" customHeight="1" x14ac:dyDescent="0.2">
      <c r="A26" s="100">
        <v>20</v>
      </c>
      <c r="B26" s="3" t="s">
        <v>384</v>
      </c>
      <c r="C26" s="3" t="s">
        <v>385</v>
      </c>
      <c r="D26" s="3" t="s">
        <v>334</v>
      </c>
      <c r="E26" s="4">
        <v>4311</v>
      </c>
      <c r="F26" s="5">
        <v>60.468241499999998</v>
      </c>
      <c r="G26" s="6">
        <v>1.464702E-2</v>
      </c>
      <c r="H26" s="109"/>
    </row>
    <row r="27" spans="1:8" ht="17.100000000000001" customHeight="1" x14ac:dyDescent="0.2">
      <c r="A27" s="100">
        <v>21</v>
      </c>
      <c r="B27" s="3" t="s">
        <v>410</v>
      </c>
      <c r="C27" s="3" t="s">
        <v>411</v>
      </c>
      <c r="D27" s="3" t="s">
        <v>235</v>
      </c>
      <c r="E27" s="4">
        <v>8986</v>
      </c>
      <c r="F27" s="5">
        <v>58.292181999999997</v>
      </c>
      <c r="G27" s="6">
        <v>1.4119919999999999E-2</v>
      </c>
      <c r="H27" s="109"/>
    </row>
    <row r="28" spans="1:8" ht="29.1" customHeight="1" x14ac:dyDescent="0.2">
      <c r="A28" s="100">
        <v>22</v>
      </c>
      <c r="B28" s="3" t="s">
        <v>87</v>
      </c>
      <c r="C28" s="3" t="s">
        <v>88</v>
      </c>
      <c r="D28" s="3" t="s">
        <v>25</v>
      </c>
      <c r="E28" s="4">
        <v>2108</v>
      </c>
      <c r="F28" s="5">
        <v>58.277768000000002</v>
      </c>
      <c r="G28" s="6">
        <v>1.4116429999999999E-2</v>
      </c>
      <c r="H28" s="109"/>
    </row>
    <row r="29" spans="1:8" ht="29.1" customHeight="1" x14ac:dyDescent="0.2">
      <c r="A29" s="100">
        <v>23</v>
      </c>
      <c r="B29" s="3" t="s">
        <v>406</v>
      </c>
      <c r="C29" s="3" t="s">
        <v>407</v>
      </c>
      <c r="D29" s="3" t="s">
        <v>52</v>
      </c>
      <c r="E29" s="4">
        <v>3341</v>
      </c>
      <c r="F29" s="5">
        <v>56.691758499999999</v>
      </c>
      <c r="G29" s="6">
        <v>1.373226E-2</v>
      </c>
      <c r="H29" s="109"/>
    </row>
    <row r="30" spans="1:8" ht="17.100000000000001" customHeight="1" x14ac:dyDescent="0.2">
      <c r="A30" s="100">
        <v>24</v>
      </c>
      <c r="B30" s="3" t="s">
        <v>433</v>
      </c>
      <c r="C30" s="3" t="s">
        <v>434</v>
      </c>
      <c r="D30" s="3" t="s">
        <v>997</v>
      </c>
      <c r="E30" s="4">
        <v>5849</v>
      </c>
      <c r="F30" s="5">
        <v>55.232106999999999</v>
      </c>
      <c r="G30" s="6">
        <v>1.337869E-2</v>
      </c>
      <c r="H30" s="109"/>
    </row>
    <row r="31" spans="1:8" ht="17.100000000000001" customHeight="1" x14ac:dyDescent="0.2">
      <c r="A31" s="100">
        <v>25</v>
      </c>
      <c r="B31" s="3" t="s">
        <v>332</v>
      </c>
      <c r="C31" s="3" t="s">
        <v>333</v>
      </c>
      <c r="D31" s="3" t="s">
        <v>334</v>
      </c>
      <c r="E31" s="4">
        <v>5299</v>
      </c>
      <c r="F31" s="5">
        <v>54.025954499999997</v>
      </c>
      <c r="G31" s="6">
        <v>1.3086530000000001E-2</v>
      </c>
      <c r="H31" s="109"/>
    </row>
    <row r="32" spans="1:8" ht="17.100000000000001" customHeight="1" x14ac:dyDescent="0.2">
      <c r="A32" s="100">
        <v>26</v>
      </c>
      <c r="B32" s="3" t="s">
        <v>231</v>
      </c>
      <c r="C32" s="3" t="s">
        <v>232</v>
      </c>
      <c r="D32" s="3" t="s">
        <v>80</v>
      </c>
      <c r="E32" s="4">
        <v>1054</v>
      </c>
      <c r="F32" s="5">
        <v>51.132702000000002</v>
      </c>
      <c r="G32" s="6">
        <v>1.2385709999999999E-2</v>
      </c>
      <c r="H32" s="109"/>
    </row>
    <row r="33" spans="1:8" ht="17.100000000000001" customHeight="1" x14ac:dyDescent="0.2">
      <c r="A33" s="100">
        <v>27</v>
      </c>
      <c r="B33" s="3" t="s">
        <v>435</v>
      </c>
      <c r="C33" s="3" t="s">
        <v>436</v>
      </c>
      <c r="D33" s="3" t="s">
        <v>47</v>
      </c>
      <c r="E33" s="4">
        <v>14626</v>
      </c>
      <c r="F33" s="5">
        <v>50.357317999999999</v>
      </c>
      <c r="G33" s="6">
        <v>1.2197889999999999E-2</v>
      </c>
      <c r="H33" s="109"/>
    </row>
    <row r="34" spans="1:8" ht="17.100000000000001" customHeight="1" x14ac:dyDescent="0.2">
      <c r="A34" s="100">
        <v>28</v>
      </c>
      <c r="B34" s="3" t="s">
        <v>439</v>
      </c>
      <c r="C34" s="3" t="s">
        <v>440</v>
      </c>
      <c r="D34" s="3" t="s">
        <v>31</v>
      </c>
      <c r="E34" s="4">
        <v>5096</v>
      </c>
      <c r="F34" s="5">
        <v>49.884743999999998</v>
      </c>
      <c r="G34" s="6">
        <v>1.2083419999999999E-2</v>
      </c>
      <c r="H34" s="109"/>
    </row>
    <row r="35" spans="1:8" ht="17.100000000000001" customHeight="1" x14ac:dyDescent="0.2">
      <c r="A35" s="100">
        <v>29</v>
      </c>
      <c r="B35" s="3" t="s">
        <v>437</v>
      </c>
      <c r="C35" s="3" t="s">
        <v>438</v>
      </c>
      <c r="D35" s="3" t="s">
        <v>115</v>
      </c>
      <c r="E35" s="4">
        <v>3437</v>
      </c>
      <c r="F35" s="5">
        <v>49.365631</v>
      </c>
      <c r="G35" s="6">
        <v>1.195768E-2</v>
      </c>
      <c r="H35" s="109"/>
    </row>
    <row r="36" spans="1:8" ht="17.100000000000001" customHeight="1" x14ac:dyDescent="0.2">
      <c r="A36" s="100">
        <v>30</v>
      </c>
      <c r="B36" s="3" t="s">
        <v>441</v>
      </c>
      <c r="C36" s="3" t="s">
        <v>442</v>
      </c>
      <c r="D36" s="3" t="s">
        <v>120</v>
      </c>
      <c r="E36" s="4">
        <v>62967</v>
      </c>
      <c r="F36" s="5">
        <v>47.85492</v>
      </c>
      <c r="G36" s="6">
        <v>1.159174E-2</v>
      </c>
      <c r="H36" s="109"/>
    </row>
    <row r="37" spans="1:8" ht="17.100000000000001" customHeight="1" x14ac:dyDescent="0.2">
      <c r="A37" s="100">
        <v>31</v>
      </c>
      <c r="B37" s="3" t="s">
        <v>404</v>
      </c>
      <c r="C37" s="3" t="s">
        <v>405</v>
      </c>
      <c r="D37" s="3" t="s">
        <v>31</v>
      </c>
      <c r="E37" s="4">
        <v>5737</v>
      </c>
      <c r="F37" s="5">
        <v>47.662996</v>
      </c>
      <c r="G37" s="6">
        <v>1.154525E-2</v>
      </c>
      <c r="H37" s="109"/>
    </row>
    <row r="38" spans="1:8" ht="29.1" customHeight="1" x14ac:dyDescent="0.2">
      <c r="A38" s="100">
        <v>32</v>
      </c>
      <c r="B38" s="3" t="s">
        <v>443</v>
      </c>
      <c r="C38" s="3" t="s">
        <v>444</v>
      </c>
      <c r="D38" s="3" t="s">
        <v>445</v>
      </c>
      <c r="E38" s="4">
        <v>8568</v>
      </c>
      <c r="F38" s="5">
        <v>46.862676</v>
      </c>
      <c r="G38" s="6">
        <v>1.1351389999999999E-2</v>
      </c>
      <c r="H38" s="109"/>
    </row>
    <row r="39" spans="1:8" ht="17.100000000000001" customHeight="1" x14ac:dyDescent="0.2">
      <c r="A39" s="100">
        <v>33</v>
      </c>
      <c r="B39" s="3" t="s">
        <v>375</v>
      </c>
      <c r="C39" s="3" t="s">
        <v>376</v>
      </c>
      <c r="D39" s="3" t="s">
        <v>120</v>
      </c>
      <c r="E39" s="4">
        <v>6397</v>
      </c>
      <c r="F39" s="5">
        <v>46.355860499999999</v>
      </c>
      <c r="G39" s="6">
        <v>1.122863E-2</v>
      </c>
      <c r="H39" s="109"/>
    </row>
    <row r="40" spans="1:8" ht="29.1" customHeight="1" x14ac:dyDescent="0.2">
      <c r="A40" s="100">
        <v>34</v>
      </c>
      <c r="B40" s="3" t="s">
        <v>379</v>
      </c>
      <c r="C40" s="3" t="s">
        <v>380</v>
      </c>
      <c r="D40" s="3" t="s">
        <v>62</v>
      </c>
      <c r="E40" s="4">
        <v>2243</v>
      </c>
      <c r="F40" s="5">
        <v>44.881308500000003</v>
      </c>
      <c r="G40" s="6">
        <v>1.087145E-2</v>
      </c>
      <c r="H40" s="109"/>
    </row>
    <row r="41" spans="1:8" ht="29.1" customHeight="1" x14ac:dyDescent="0.2">
      <c r="A41" s="100">
        <v>35</v>
      </c>
      <c r="B41" s="3" t="s">
        <v>256</v>
      </c>
      <c r="C41" s="3" t="s">
        <v>257</v>
      </c>
      <c r="D41" s="3" t="s">
        <v>221</v>
      </c>
      <c r="E41" s="4">
        <v>14038</v>
      </c>
      <c r="F41" s="5">
        <v>44.128453</v>
      </c>
      <c r="G41" s="6">
        <v>1.068909E-2</v>
      </c>
      <c r="H41" s="109"/>
    </row>
    <row r="42" spans="1:8" ht="17.100000000000001" customHeight="1" x14ac:dyDescent="0.2">
      <c r="A42" s="100">
        <v>36</v>
      </c>
      <c r="B42" s="3" t="s">
        <v>446</v>
      </c>
      <c r="C42" s="3" t="s">
        <v>447</v>
      </c>
      <c r="D42" s="3" t="s">
        <v>13</v>
      </c>
      <c r="E42" s="4">
        <v>8109</v>
      </c>
      <c r="F42" s="5">
        <v>42.977699999999999</v>
      </c>
      <c r="G42" s="6">
        <v>1.0410350000000001E-2</v>
      </c>
      <c r="H42" s="109"/>
    </row>
    <row r="43" spans="1:8" ht="17.100000000000001" customHeight="1" x14ac:dyDescent="0.2">
      <c r="A43" s="100">
        <v>37</v>
      </c>
      <c r="B43" s="3" t="s">
        <v>32</v>
      </c>
      <c r="C43" s="3" t="s">
        <v>33</v>
      </c>
      <c r="D43" s="3" t="s">
        <v>22</v>
      </c>
      <c r="E43" s="4">
        <v>8081</v>
      </c>
      <c r="F43" s="5">
        <v>42.247467999999998</v>
      </c>
      <c r="G43" s="6">
        <v>1.023347E-2</v>
      </c>
      <c r="H43" s="109"/>
    </row>
    <row r="44" spans="1:8" ht="29.1" customHeight="1" x14ac:dyDescent="0.2">
      <c r="A44" s="100">
        <v>38</v>
      </c>
      <c r="B44" s="3" t="s">
        <v>448</v>
      </c>
      <c r="C44" s="3" t="s">
        <v>449</v>
      </c>
      <c r="D44" s="3" t="s">
        <v>221</v>
      </c>
      <c r="E44" s="4">
        <v>2084</v>
      </c>
      <c r="F44" s="5">
        <v>40.402507999999997</v>
      </c>
      <c r="G44" s="6">
        <v>9.7865699999999996E-3</v>
      </c>
      <c r="H44" s="109"/>
    </row>
    <row r="45" spans="1:8" ht="17.100000000000001" customHeight="1" x14ac:dyDescent="0.2">
      <c r="A45" s="100">
        <v>39</v>
      </c>
      <c r="B45" s="3" t="s">
        <v>450</v>
      </c>
      <c r="C45" s="3" t="s">
        <v>451</v>
      </c>
      <c r="D45" s="3" t="s">
        <v>80</v>
      </c>
      <c r="E45" s="4">
        <v>4235</v>
      </c>
      <c r="F45" s="5">
        <v>37.896897500000001</v>
      </c>
      <c r="G45" s="6">
        <v>9.1796399999999993E-3</v>
      </c>
      <c r="H45" s="109"/>
    </row>
    <row r="46" spans="1:8" ht="17.100000000000001" customHeight="1" x14ac:dyDescent="0.2">
      <c r="A46" s="100">
        <v>40</v>
      </c>
      <c r="B46" s="3" t="s">
        <v>39</v>
      </c>
      <c r="C46" s="3" t="s">
        <v>40</v>
      </c>
      <c r="D46" s="3" t="s">
        <v>31</v>
      </c>
      <c r="E46" s="4">
        <v>1006</v>
      </c>
      <c r="F46" s="5">
        <v>37.627921000000001</v>
      </c>
      <c r="G46" s="6">
        <v>9.1144899999999994E-3</v>
      </c>
      <c r="H46" s="109"/>
    </row>
    <row r="47" spans="1:8" ht="29.1" customHeight="1" x14ac:dyDescent="0.2">
      <c r="A47" s="100">
        <v>41</v>
      </c>
      <c r="B47" s="3" t="s">
        <v>393</v>
      </c>
      <c r="C47" s="3" t="s">
        <v>394</v>
      </c>
      <c r="D47" s="3" t="s">
        <v>191</v>
      </c>
      <c r="E47" s="4">
        <v>7362</v>
      </c>
      <c r="F47" s="5">
        <v>36.983007000000001</v>
      </c>
      <c r="G47" s="6">
        <v>8.9582700000000008E-3</v>
      </c>
      <c r="H47" s="109"/>
    </row>
    <row r="48" spans="1:8" ht="17.100000000000001" customHeight="1" x14ac:dyDescent="0.2">
      <c r="A48" s="100">
        <v>42</v>
      </c>
      <c r="B48" s="3" t="s">
        <v>245</v>
      </c>
      <c r="C48" s="3" t="s">
        <v>246</v>
      </c>
      <c r="D48" s="3" t="s">
        <v>120</v>
      </c>
      <c r="E48" s="4">
        <v>6402</v>
      </c>
      <c r="F48" s="5">
        <v>36.808298999999998</v>
      </c>
      <c r="G48" s="6">
        <v>8.9159500000000006E-3</v>
      </c>
      <c r="H48" s="109"/>
    </row>
    <row r="49" spans="1:8" ht="29.1" customHeight="1" x14ac:dyDescent="0.2">
      <c r="A49" s="100">
        <v>43</v>
      </c>
      <c r="B49" s="3" t="s">
        <v>463</v>
      </c>
      <c r="C49" s="3" t="s">
        <v>464</v>
      </c>
      <c r="D49" s="3" t="s">
        <v>188</v>
      </c>
      <c r="E49" s="4">
        <v>5691</v>
      </c>
      <c r="F49" s="5">
        <v>36.715486499999997</v>
      </c>
      <c r="G49" s="6">
        <v>8.8934700000000005E-3</v>
      </c>
      <c r="H49" s="109"/>
    </row>
    <row r="50" spans="1:8" ht="17.100000000000001" customHeight="1" x14ac:dyDescent="0.2">
      <c r="A50" s="100">
        <v>44</v>
      </c>
      <c r="B50" s="3" t="s">
        <v>418</v>
      </c>
      <c r="C50" s="3" t="s">
        <v>419</v>
      </c>
      <c r="D50" s="3" t="s">
        <v>120</v>
      </c>
      <c r="E50" s="4">
        <v>3781</v>
      </c>
      <c r="F50" s="5">
        <v>36.484759500000003</v>
      </c>
      <c r="G50" s="6">
        <v>8.8375799999999994E-3</v>
      </c>
      <c r="H50" s="109"/>
    </row>
    <row r="51" spans="1:8" ht="17.100000000000001" customHeight="1" x14ac:dyDescent="0.2">
      <c r="A51" s="100">
        <v>45</v>
      </c>
      <c r="B51" s="3" t="s">
        <v>414</v>
      </c>
      <c r="C51" s="3" t="s">
        <v>415</v>
      </c>
      <c r="D51" s="3" t="s">
        <v>57</v>
      </c>
      <c r="E51" s="4">
        <v>5422</v>
      </c>
      <c r="F51" s="5">
        <v>35.310775</v>
      </c>
      <c r="G51" s="6">
        <v>8.5532100000000003E-3</v>
      </c>
      <c r="H51" s="109"/>
    </row>
    <row r="52" spans="1:8" ht="17.100000000000001" customHeight="1" x14ac:dyDescent="0.2">
      <c r="A52" s="100">
        <v>46</v>
      </c>
      <c r="B52" s="3" t="s">
        <v>424</v>
      </c>
      <c r="C52" s="3" t="s">
        <v>425</v>
      </c>
      <c r="D52" s="3" t="s">
        <v>253</v>
      </c>
      <c r="E52" s="4">
        <v>22028</v>
      </c>
      <c r="F52" s="5">
        <v>31.577138000000001</v>
      </c>
      <c r="G52" s="6">
        <v>7.6488299999999997E-3</v>
      </c>
      <c r="H52" s="109"/>
    </row>
    <row r="53" spans="1:8" ht="17.100000000000001" customHeight="1" x14ac:dyDescent="0.2">
      <c r="A53" s="100">
        <v>47</v>
      </c>
      <c r="B53" s="3" t="s">
        <v>386</v>
      </c>
      <c r="C53" s="3" t="s">
        <v>387</v>
      </c>
      <c r="D53" s="3" t="s">
        <v>228</v>
      </c>
      <c r="E53" s="4">
        <v>5210</v>
      </c>
      <c r="F53" s="5">
        <v>30.890090000000001</v>
      </c>
      <c r="G53" s="6">
        <v>7.4824100000000001E-3</v>
      </c>
      <c r="H53" s="109"/>
    </row>
    <row r="54" spans="1:8" ht="29.1" customHeight="1" x14ac:dyDescent="0.2">
      <c r="A54" s="100">
        <v>48</v>
      </c>
      <c r="B54" s="3" t="s">
        <v>390</v>
      </c>
      <c r="C54" s="3" t="s">
        <v>391</v>
      </c>
      <c r="D54" s="3" t="s">
        <v>392</v>
      </c>
      <c r="E54" s="4">
        <v>8569</v>
      </c>
      <c r="F54" s="5">
        <v>30.728434</v>
      </c>
      <c r="G54" s="6">
        <v>7.4432500000000002E-3</v>
      </c>
      <c r="H54" s="109"/>
    </row>
    <row r="55" spans="1:8" ht="29.1" customHeight="1" x14ac:dyDescent="0.2">
      <c r="A55" s="100">
        <v>49</v>
      </c>
      <c r="B55" s="3" t="s">
        <v>381</v>
      </c>
      <c r="C55" s="3" t="s">
        <v>382</v>
      </c>
      <c r="D55" s="3" t="s">
        <v>383</v>
      </c>
      <c r="E55" s="4">
        <v>30866</v>
      </c>
      <c r="F55" s="5">
        <v>30.55734</v>
      </c>
      <c r="G55" s="6">
        <v>7.4018E-3</v>
      </c>
      <c r="H55" s="109"/>
    </row>
    <row r="56" spans="1:8" ht="29.1" customHeight="1" x14ac:dyDescent="0.2">
      <c r="A56" s="100">
        <v>50</v>
      </c>
      <c r="B56" s="3" t="s">
        <v>452</v>
      </c>
      <c r="C56" s="3" t="s">
        <v>453</v>
      </c>
      <c r="D56" s="3" t="s">
        <v>392</v>
      </c>
      <c r="E56" s="4">
        <v>8297</v>
      </c>
      <c r="F56" s="5">
        <v>29.329895</v>
      </c>
      <c r="G56" s="6">
        <v>7.1044799999999998E-3</v>
      </c>
      <c r="H56" s="109"/>
    </row>
    <row r="57" spans="1:8" ht="17.100000000000001" customHeight="1" x14ac:dyDescent="0.2">
      <c r="A57" s="100">
        <v>51</v>
      </c>
      <c r="B57" s="3" t="s">
        <v>95</v>
      </c>
      <c r="C57" s="3" t="s">
        <v>96</v>
      </c>
      <c r="D57" s="3" t="s">
        <v>97</v>
      </c>
      <c r="E57" s="4">
        <v>5816</v>
      </c>
      <c r="F57" s="5">
        <v>28.361723999999999</v>
      </c>
      <c r="G57" s="6">
        <v>6.8699700000000004E-3</v>
      </c>
      <c r="H57" s="109"/>
    </row>
    <row r="58" spans="1:8" ht="17.100000000000001" customHeight="1" x14ac:dyDescent="0.2">
      <c r="A58" s="100">
        <v>52</v>
      </c>
      <c r="B58" s="3" t="s">
        <v>388</v>
      </c>
      <c r="C58" s="3" t="s">
        <v>389</v>
      </c>
      <c r="D58" s="3" t="s">
        <v>115</v>
      </c>
      <c r="E58" s="4">
        <v>6701</v>
      </c>
      <c r="F58" s="5">
        <v>27.427192999999999</v>
      </c>
      <c r="G58" s="6">
        <v>6.6436000000000004E-3</v>
      </c>
      <c r="H58" s="109"/>
    </row>
    <row r="59" spans="1:8" ht="29.1" customHeight="1" x14ac:dyDescent="0.2">
      <c r="A59" s="100">
        <v>53</v>
      </c>
      <c r="B59" s="3" t="s">
        <v>426</v>
      </c>
      <c r="C59" s="3" t="s">
        <v>427</v>
      </c>
      <c r="D59" s="3" t="s">
        <v>115</v>
      </c>
      <c r="E59" s="4">
        <v>2300</v>
      </c>
      <c r="F59" s="5">
        <v>26.631699999999999</v>
      </c>
      <c r="G59" s="6">
        <v>6.4509099999999998E-3</v>
      </c>
      <c r="H59" s="109"/>
    </row>
    <row r="60" spans="1:8" ht="17.100000000000001" customHeight="1" x14ac:dyDescent="0.2">
      <c r="A60" s="100">
        <v>54</v>
      </c>
      <c r="B60" s="3" t="s">
        <v>420</v>
      </c>
      <c r="C60" s="3" t="s">
        <v>421</v>
      </c>
      <c r="D60" s="3" t="s">
        <v>22</v>
      </c>
      <c r="E60" s="4">
        <v>10375</v>
      </c>
      <c r="F60" s="5">
        <v>23.763937500000001</v>
      </c>
      <c r="G60" s="6">
        <v>5.75626E-3</v>
      </c>
      <c r="H60" s="109"/>
    </row>
    <row r="61" spans="1:8" ht="17.100000000000001" customHeight="1" x14ac:dyDescent="0.2">
      <c r="A61" s="100">
        <v>55</v>
      </c>
      <c r="B61" s="3" t="s">
        <v>428</v>
      </c>
      <c r="C61" s="3" t="s">
        <v>429</v>
      </c>
      <c r="D61" s="3" t="s">
        <v>213</v>
      </c>
      <c r="E61" s="4">
        <v>2788</v>
      </c>
      <c r="F61" s="5">
        <v>20.320338</v>
      </c>
      <c r="G61" s="6">
        <v>4.9221300000000003E-3</v>
      </c>
      <c r="H61" s="109"/>
    </row>
    <row r="62" spans="1:8" ht="29.1" customHeight="1" x14ac:dyDescent="0.2">
      <c r="A62" s="100">
        <v>56</v>
      </c>
      <c r="B62" s="3" t="s">
        <v>422</v>
      </c>
      <c r="C62" s="3" t="s">
        <v>423</v>
      </c>
      <c r="D62" s="3" t="s">
        <v>221</v>
      </c>
      <c r="E62" s="4">
        <v>411</v>
      </c>
      <c r="F62" s="5">
        <v>19.222470000000001</v>
      </c>
      <c r="G62" s="6">
        <v>4.6562000000000001E-3</v>
      </c>
      <c r="H62" s="109"/>
    </row>
    <row r="63" spans="1:8" ht="17.100000000000001" customHeight="1" x14ac:dyDescent="0.2">
      <c r="A63" s="100">
        <v>57</v>
      </c>
      <c r="B63" s="3" t="s">
        <v>454</v>
      </c>
      <c r="C63" s="3" t="s">
        <v>455</v>
      </c>
      <c r="D63" s="3" t="s">
        <v>31</v>
      </c>
      <c r="E63" s="4">
        <v>2256</v>
      </c>
      <c r="F63" s="5">
        <v>18.877079999999999</v>
      </c>
      <c r="G63" s="6">
        <v>4.57253E-3</v>
      </c>
      <c r="H63" s="109"/>
    </row>
    <row r="64" spans="1:8" ht="29.1" customHeight="1" x14ac:dyDescent="0.2">
      <c r="A64" s="100">
        <v>58</v>
      </c>
      <c r="B64" s="3" t="s">
        <v>456</v>
      </c>
      <c r="C64" s="3" t="s">
        <v>457</v>
      </c>
      <c r="D64" s="3" t="s">
        <v>221</v>
      </c>
      <c r="E64" s="4">
        <v>6683</v>
      </c>
      <c r="F64" s="5">
        <v>17.051674500000001</v>
      </c>
      <c r="G64" s="6">
        <v>4.1303700000000004E-3</v>
      </c>
      <c r="H64" s="109"/>
    </row>
    <row r="65" spans="1:8" ht="17.100000000000001" customHeight="1" x14ac:dyDescent="0.2">
      <c r="A65" s="100">
        <v>59</v>
      </c>
      <c r="B65" s="3" t="s">
        <v>377</v>
      </c>
      <c r="C65" s="3" t="s">
        <v>378</v>
      </c>
      <c r="D65" s="3" t="s">
        <v>13</v>
      </c>
      <c r="E65" s="4">
        <v>21843</v>
      </c>
      <c r="F65" s="5">
        <v>16.283956499999999</v>
      </c>
      <c r="G65" s="6">
        <v>3.9444099999999998E-3</v>
      </c>
      <c r="H65" s="109"/>
    </row>
    <row r="66" spans="1:8" ht="17.100000000000001" customHeight="1" x14ac:dyDescent="0.2">
      <c r="A66" s="100">
        <v>60</v>
      </c>
      <c r="B66" s="3" t="s">
        <v>330</v>
      </c>
      <c r="C66" s="3" t="s">
        <v>331</v>
      </c>
      <c r="D66" s="3" t="s">
        <v>97</v>
      </c>
      <c r="E66" s="4">
        <v>21125</v>
      </c>
      <c r="F66" s="5">
        <v>13.562250000000001</v>
      </c>
      <c r="G66" s="6">
        <v>3.2851400000000002E-3</v>
      </c>
      <c r="H66" s="109"/>
    </row>
    <row r="67" spans="1:8" ht="29.1" customHeight="1" x14ac:dyDescent="0.2">
      <c r="A67" s="100">
        <v>61</v>
      </c>
      <c r="B67" s="3" t="s">
        <v>320</v>
      </c>
      <c r="C67" s="3" t="s">
        <v>321</v>
      </c>
      <c r="D67" s="3" t="s">
        <v>188</v>
      </c>
      <c r="E67" s="4">
        <v>3145</v>
      </c>
      <c r="F67" s="5">
        <v>12.190020000000001</v>
      </c>
      <c r="G67" s="6">
        <v>2.9527500000000001E-3</v>
      </c>
      <c r="H67" s="109"/>
    </row>
    <row r="68" spans="1:8" ht="17.100000000000001" customHeight="1" x14ac:dyDescent="0.2">
      <c r="A68" s="100">
        <v>62</v>
      </c>
      <c r="B68" s="3" t="s">
        <v>395</v>
      </c>
      <c r="C68" s="3" t="s">
        <v>396</v>
      </c>
      <c r="D68" s="3" t="s">
        <v>115</v>
      </c>
      <c r="E68" s="4">
        <v>5685</v>
      </c>
      <c r="F68" s="5">
        <v>11.128387500000001</v>
      </c>
      <c r="G68" s="6">
        <v>2.6955899999999999E-3</v>
      </c>
      <c r="H68" s="109"/>
    </row>
    <row r="69" spans="1:8" ht="29.1" customHeight="1" x14ac:dyDescent="0.2">
      <c r="A69" s="100">
        <v>63</v>
      </c>
      <c r="B69" s="3" t="s">
        <v>458</v>
      </c>
      <c r="C69" s="3" t="s">
        <v>459</v>
      </c>
      <c r="D69" s="3" t="s">
        <v>129</v>
      </c>
      <c r="E69" s="4">
        <v>1899</v>
      </c>
      <c r="F69" s="5">
        <v>8.2758420000000008</v>
      </c>
      <c r="G69" s="6">
        <v>2.0046299999999999E-3</v>
      </c>
      <c r="H69" s="109"/>
    </row>
    <row r="70" spans="1:8" ht="29.1" customHeight="1" x14ac:dyDescent="0.2">
      <c r="A70" s="100">
        <v>64</v>
      </c>
      <c r="B70" s="3" t="s">
        <v>430</v>
      </c>
      <c r="C70" s="3" t="s">
        <v>431</v>
      </c>
      <c r="D70" s="3" t="s">
        <v>188</v>
      </c>
      <c r="E70" s="4">
        <v>982</v>
      </c>
      <c r="F70" s="5">
        <v>3.9638429999999998</v>
      </c>
      <c r="G70" s="6">
        <v>9.6015E-4</v>
      </c>
      <c r="H70" s="109"/>
    </row>
    <row r="71" spans="1:8" ht="14.1" customHeight="1" x14ac:dyDescent="0.2">
      <c r="A71" s="99"/>
      <c r="B71" s="1"/>
      <c r="C71" s="2" t="s">
        <v>135</v>
      </c>
      <c r="D71" s="1"/>
      <c r="E71" s="1" t="s">
        <v>136</v>
      </c>
      <c r="F71" s="8">
        <v>3512.3380259999999</v>
      </c>
      <c r="G71" s="9">
        <v>0.85078213999999996</v>
      </c>
      <c r="H71" s="109"/>
    </row>
    <row r="72" spans="1:8" ht="14.1" customHeight="1" x14ac:dyDescent="0.2">
      <c r="A72" s="99"/>
      <c r="B72" s="1"/>
      <c r="C72" s="10"/>
      <c r="D72" s="1"/>
      <c r="E72" s="1"/>
      <c r="F72" s="11"/>
      <c r="G72" s="11"/>
      <c r="H72" s="109"/>
    </row>
    <row r="73" spans="1:8" ht="14.1" customHeight="1" x14ac:dyDescent="0.2">
      <c r="A73" s="99"/>
      <c r="B73" s="1"/>
      <c r="C73" s="2" t="s">
        <v>137</v>
      </c>
      <c r="D73" s="1"/>
      <c r="E73" s="1"/>
      <c r="F73" s="1"/>
      <c r="G73" s="1"/>
      <c r="H73" s="109"/>
    </row>
    <row r="74" spans="1:8" ht="14.1" customHeight="1" x14ac:dyDescent="0.2">
      <c r="A74" s="99"/>
      <c r="B74" s="1"/>
      <c r="C74" s="2" t="s">
        <v>135</v>
      </c>
      <c r="D74" s="1"/>
      <c r="E74" s="1" t="s">
        <v>136</v>
      </c>
      <c r="F74" s="115">
        <v>0</v>
      </c>
      <c r="G74" s="9">
        <v>0</v>
      </c>
      <c r="H74" s="109"/>
    </row>
    <row r="75" spans="1:8" ht="14.1" customHeight="1" x14ac:dyDescent="0.2">
      <c r="A75" s="99"/>
      <c r="B75" s="1"/>
      <c r="C75" s="10"/>
      <c r="D75" s="1"/>
      <c r="E75" s="1"/>
      <c r="F75" s="11"/>
      <c r="G75" s="11"/>
      <c r="H75" s="109"/>
    </row>
    <row r="76" spans="1:8" ht="14.1" customHeight="1" x14ac:dyDescent="0.2">
      <c r="A76" s="99"/>
      <c r="B76" s="1"/>
      <c r="C76" s="2" t="s">
        <v>138</v>
      </c>
      <c r="D76" s="1"/>
      <c r="E76" s="1"/>
      <c r="F76" s="1"/>
      <c r="G76" s="1"/>
      <c r="H76" s="109"/>
    </row>
    <row r="77" spans="1:8" ht="14.1" customHeight="1" x14ac:dyDescent="0.2">
      <c r="A77" s="99"/>
      <c r="B77" s="1"/>
      <c r="C77" s="2" t="s">
        <v>135</v>
      </c>
      <c r="D77" s="1"/>
      <c r="E77" s="1" t="s">
        <v>136</v>
      </c>
      <c r="F77" s="115">
        <v>0</v>
      </c>
      <c r="G77" s="9">
        <v>0</v>
      </c>
      <c r="H77" s="109"/>
    </row>
    <row r="78" spans="1:8" ht="14.1" customHeight="1" x14ac:dyDescent="0.2">
      <c r="A78" s="99"/>
      <c r="B78" s="1"/>
      <c r="C78" s="10"/>
      <c r="D78" s="1"/>
      <c r="E78" s="1"/>
      <c r="F78" s="11"/>
      <c r="G78" s="11"/>
      <c r="H78" s="109"/>
    </row>
    <row r="79" spans="1:8" ht="14.1" customHeight="1" x14ac:dyDescent="0.2">
      <c r="A79" s="99"/>
      <c r="B79" s="1"/>
      <c r="C79" s="2" t="s">
        <v>139</v>
      </c>
      <c r="D79" s="1"/>
      <c r="E79" s="1"/>
      <c r="F79" s="1"/>
      <c r="G79" s="1"/>
      <c r="H79" s="109"/>
    </row>
    <row r="80" spans="1:8" ht="14.1" customHeight="1" x14ac:dyDescent="0.2">
      <c r="A80" s="99"/>
      <c r="B80" s="1"/>
      <c r="C80" s="2" t="s">
        <v>135</v>
      </c>
      <c r="D80" s="1"/>
      <c r="E80" s="1" t="s">
        <v>136</v>
      </c>
      <c r="F80" s="115">
        <v>0</v>
      </c>
      <c r="G80" s="9">
        <v>0</v>
      </c>
      <c r="H80" s="109"/>
    </row>
    <row r="81" spans="1:8" ht="14.1" customHeight="1" x14ac:dyDescent="0.2">
      <c r="A81" s="99"/>
      <c r="B81" s="1"/>
      <c r="C81" s="10"/>
      <c r="D81" s="1"/>
      <c r="E81" s="1"/>
      <c r="F81" s="11"/>
      <c r="G81" s="11"/>
      <c r="H81" s="109"/>
    </row>
    <row r="82" spans="1:8" ht="14.1" customHeight="1" x14ac:dyDescent="0.2">
      <c r="A82" s="99"/>
      <c r="B82" s="1"/>
      <c r="C82" s="2" t="s">
        <v>140</v>
      </c>
      <c r="D82" s="1"/>
      <c r="E82" s="1"/>
      <c r="F82" s="11"/>
      <c r="G82" s="11"/>
      <c r="H82" s="109"/>
    </row>
    <row r="83" spans="1:8" ht="14.1" customHeight="1" x14ac:dyDescent="0.2">
      <c r="A83" s="99"/>
      <c r="B83" s="1"/>
      <c r="C83" s="2" t="s">
        <v>135</v>
      </c>
      <c r="D83" s="1"/>
      <c r="E83" s="1" t="s">
        <v>136</v>
      </c>
      <c r="F83" s="115">
        <v>0</v>
      </c>
      <c r="G83" s="9">
        <v>0</v>
      </c>
      <c r="H83" s="109"/>
    </row>
    <row r="84" spans="1:8" ht="14.1" customHeight="1" x14ac:dyDescent="0.2">
      <c r="A84" s="99"/>
      <c r="B84" s="1"/>
      <c r="C84" s="10"/>
      <c r="D84" s="1"/>
      <c r="E84" s="1"/>
      <c r="F84" s="11"/>
      <c r="G84" s="11"/>
      <c r="H84" s="109"/>
    </row>
    <row r="85" spans="1:8" ht="14.1" customHeight="1" x14ac:dyDescent="0.2">
      <c r="A85" s="99"/>
      <c r="B85" s="1"/>
      <c r="C85" s="2" t="s">
        <v>141</v>
      </c>
      <c r="D85" s="1"/>
      <c r="E85" s="1"/>
      <c r="F85" s="11"/>
      <c r="G85" s="11"/>
      <c r="H85" s="109"/>
    </row>
    <row r="86" spans="1:8" ht="14.1" customHeight="1" x14ac:dyDescent="0.2">
      <c r="A86" s="99"/>
      <c r="B86" s="1"/>
      <c r="C86" s="2" t="s">
        <v>135</v>
      </c>
      <c r="D86" s="1"/>
      <c r="E86" s="1" t="s">
        <v>136</v>
      </c>
      <c r="F86" s="115">
        <v>0</v>
      </c>
      <c r="G86" s="9">
        <v>0</v>
      </c>
      <c r="H86" s="109"/>
    </row>
    <row r="87" spans="1:8" ht="14.1" customHeight="1" x14ac:dyDescent="0.2">
      <c r="A87" s="99"/>
      <c r="B87" s="1"/>
      <c r="C87" s="10"/>
      <c r="D87" s="1"/>
      <c r="E87" s="1"/>
      <c r="F87" s="11"/>
      <c r="G87" s="11"/>
      <c r="H87" s="109"/>
    </row>
    <row r="88" spans="1:8" ht="18" customHeight="1" x14ac:dyDescent="0.2">
      <c r="A88" s="99"/>
      <c r="B88" s="1"/>
      <c r="C88" s="2" t="s">
        <v>142</v>
      </c>
      <c r="D88" s="1"/>
      <c r="E88" s="1"/>
      <c r="F88" s="8">
        <v>3512.3380259999999</v>
      </c>
      <c r="G88" s="9">
        <v>0.85078213999999996</v>
      </c>
      <c r="H88" s="109"/>
    </row>
    <row r="89" spans="1:8" ht="14.1" customHeight="1" x14ac:dyDescent="0.2">
      <c r="A89" s="99"/>
      <c r="B89" s="1"/>
      <c r="C89" s="10"/>
      <c r="D89" s="1"/>
      <c r="E89" s="1"/>
      <c r="F89" s="11"/>
      <c r="G89" s="11"/>
      <c r="H89" s="109"/>
    </row>
    <row r="90" spans="1:8" ht="14.1" customHeight="1" x14ac:dyDescent="0.2">
      <c r="A90" s="99"/>
      <c r="B90" s="1"/>
      <c r="C90" s="2" t="s">
        <v>143</v>
      </c>
      <c r="D90" s="1"/>
      <c r="E90" s="1"/>
      <c r="F90" s="11"/>
      <c r="G90" s="11"/>
      <c r="H90" s="109"/>
    </row>
    <row r="91" spans="1:8" ht="24" customHeight="1" x14ac:dyDescent="0.2">
      <c r="A91" s="99"/>
      <c r="B91" s="1"/>
      <c r="C91" s="2" t="s">
        <v>10</v>
      </c>
      <c r="D91" s="1"/>
      <c r="E91" s="1"/>
      <c r="F91" s="11"/>
      <c r="G91" s="11"/>
      <c r="H91" s="109"/>
    </row>
    <row r="92" spans="1:8" ht="14.1" customHeight="1" x14ac:dyDescent="0.2">
      <c r="A92" s="99"/>
      <c r="B92" s="1"/>
      <c r="C92" s="2" t="s">
        <v>135</v>
      </c>
      <c r="D92" s="1"/>
      <c r="E92" s="1" t="s">
        <v>136</v>
      </c>
      <c r="F92" s="115">
        <v>0</v>
      </c>
      <c r="G92" s="9">
        <v>0</v>
      </c>
      <c r="H92" s="109"/>
    </row>
    <row r="93" spans="1:8" ht="14.1" customHeight="1" x14ac:dyDescent="0.2">
      <c r="A93" s="99"/>
      <c r="B93" s="1"/>
      <c r="C93" s="10"/>
      <c r="D93" s="1"/>
      <c r="E93" s="1"/>
      <c r="F93" s="11"/>
      <c r="G93" s="11"/>
      <c r="H93" s="109"/>
    </row>
    <row r="94" spans="1:8" ht="14.1" customHeight="1" x14ac:dyDescent="0.2">
      <c r="A94" s="99"/>
      <c r="B94" s="1"/>
      <c r="C94" s="2" t="s">
        <v>144</v>
      </c>
      <c r="D94" s="1"/>
      <c r="E94" s="1"/>
      <c r="F94" s="1"/>
      <c r="G94" s="1"/>
      <c r="H94" s="109"/>
    </row>
    <row r="95" spans="1:8" ht="14.1" customHeight="1" x14ac:dyDescent="0.2">
      <c r="A95" s="99"/>
      <c r="B95" s="1"/>
      <c r="C95" s="2" t="s">
        <v>135</v>
      </c>
      <c r="D95" s="1"/>
      <c r="E95" s="1" t="s">
        <v>136</v>
      </c>
      <c r="F95" s="115">
        <v>0</v>
      </c>
      <c r="G95" s="9">
        <v>0</v>
      </c>
      <c r="H95" s="109"/>
    </row>
    <row r="96" spans="1:8" ht="14.1" customHeight="1" x14ac:dyDescent="0.2">
      <c r="A96" s="99"/>
      <c r="B96" s="1"/>
      <c r="C96" s="10"/>
      <c r="D96" s="1"/>
      <c r="E96" s="1"/>
      <c r="F96" s="11"/>
      <c r="G96" s="11"/>
      <c r="H96" s="109"/>
    </row>
    <row r="97" spans="1:8" ht="14.1" customHeight="1" x14ac:dyDescent="0.2">
      <c r="A97" s="99"/>
      <c r="B97" s="1"/>
      <c r="C97" s="2" t="s">
        <v>145</v>
      </c>
      <c r="D97" s="1"/>
      <c r="E97" s="1"/>
      <c r="F97" s="1"/>
      <c r="G97" s="1"/>
      <c r="H97" s="109"/>
    </row>
    <row r="98" spans="1:8" ht="14.1" customHeight="1" x14ac:dyDescent="0.2">
      <c r="A98" s="99"/>
      <c r="B98" s="1"/>
      <c r="C98" s="2" t="s">
        <v>135</v>
      </c>
      <c r="D98" s="1"/>
      <c r="E98" s="1" t="s">
        <v>136</v>
      </c>
      <c r="F98" s="115">
        <v>0</v>
      </c>
      <c r="G98" s="9">
        <v>0</v>
      </c>
      <c r="H98" s="109"/>
    </row>
    <row r="99" spans="1:8" ht="14.1" customHeight="1" x14ac:dyDescent="0.2">
      <c r="A99" s="99"/>
      <c r="B99" s="1"/>
      <c r="C99" s="10"/>
      <c r="D99" s="1"/>
      <c r="E99" s="1"/>
      <c r="F99" s="11"/>
      <c r="G99" s="11"/>
      <c r="H99" s="109"/>
    </row>
    <row r="100" spans="1:8" ht="14.1" customHeight="1" x14ac:dyDescent="0.2">
      <c r="A100" s="99"/>
      <c r="B100" s="1"/>
      <c r="C100" s="2" t="s">
        <v>146</v>
      </c>
      <c r="D100" s="1"/>
      <c r="E100" s="1"/>
      <c r="F100" s="11"/>
      <c r="G100" s="11"/>
      <c r="H100" s="109"/>
    </row>
    <row r="101" spans="1:8" ht="14.1" customHeight="1" x14ac:dyDescent="0.2">
      <c r="A101" s="99"/>
      <c r="B101" s="1"/>
      <c r="C101" s="2" t="s">
        <v>135</v>
      </c>
      <c r="D101" s="1"/>
      <c r="E101" s="1" t="s">
        <v>136</v>
      </c>
      <c r="F101" s="115">
        <v>0</v>
      </c>
      <c r="G101" s="9">
        <v>0</v>
      </c>
      <c r="H101" s="109"/>
    </row>
    <row r="102" spans="1:8" ht="14.1" customHeight="1" x14ac:dyDescent="0.2">
      <c r="A102" s="99"/>
      <c r="B102" s="1"/>
      <c r="C102" s="10"/>
      <c r="D102" s="1"/>
      <c r="E102" s="1"/>
      <c r="F102" s="11"/>
      <c r="G102" s="11"/>
      <c r="H102" s="109"/>
    </row>
    <row r="103" spans="1:8" ht="14.1" customHeight="1" x14ac:dyDescent="0.2">
      <c r="A103" s="99"/>
      <c r="B103" s="1"/>
      <c r="C103" s="2" t="s">
        <v>147</v>
      </c>
      <c r="D103" s="1"/>
      <c r="E103" s="1"/>
      <c r="F103" s="8">
        <v>0</v>
      </c>
      <c r="G103" s="9">
        <v>0</v>
      </c>
      <c r="H103" s="109"/>
    </row>
    <row r="104" spans="1:8" ht="14.1" customHeight="1" x14ac:dyDescent="0.2">
      <c r="A104" s="99"/>
      <c r="B104" s="1"/>
      <c r="C104" s="10"/>
      <c r="D104" s="1"/>
      <c r="E104" s="1"/>
      <c r="F104" s="11"/>
      <c r="G104" s="11"/>
      <c r="H104" s="109"/>
    </row>
    <row r="105" spans="1:8" ht="14.1" customHeight="1" x14ac:dyDescent="0.2">
      <c r="A105" s="99"/>
      <c r="B105" s="1"/>
      <c r="C105" s="2" t="s">
        <v>148</v>
      </c>
      <c r="D105" s="1"/>
      <c r="E105" s="1"/>
      <c r="F105" s="11"/>
      <c r="G105" s="11"/>
      <c r="H105" s="109"/>
    </row>
    <row r="106" spans="1:8" ht="14.1" customHeight="1" x14ac:dyDescent="0.2">
      <c r="A106" s="99"/>
      <c r="B106" s="1"/>
      <c r="C106" s="2" t="s">
        <v>149</v>
      </c>
      <c r="D106" s="1"/>
      <c r="E106" s="1"/>
      <c r="F106" s="11"/>
      <c r="G106" s="11"/>
      <c r="H106" s="109"/>
    </row>
    <row r="107" spans="1:8" ht="14.1" customHeight="1" x14ac:dyDescent="0.2">
      <c r="A107" s="99"/>
      <c r="B107" s="1"/>
      <c r="C107" s="2" t="s">
        <v>135</v>
      </c>
      <c r="D107" s="1"/>
      <c r="E107" s="1" t="s">
        <v>136</v>
      </c>
      <c r="F107" s="115">
        <v>0</v>
      </c>
      <c r="G107" s="9">
        <v>0</v>
      </c>
      <c r="H107" s="109"/>
    </row>
    <row r="108" spans="1:8" ht="14.1" customHeight="1" x14ac:dyDescent="0.2">
      <c r="A108" s="99"/>
      <c r="B108" s="1"/>
      <c r="C108" s="10"/>
      <c r="D108" s="1"/>
      <c r="E108" s="1"/>
      <c r="F108" s="11"/>
      <c r="G108" s="11"/>
      <c r="H108" s="109"/>
    </row>
    <row r="109" spans="1:8" ht="14.1" customHeight="1" x14ac:dyDescent="0.2">
      <c r="A109" s="99"/>
      <c r="B109" s="1"/>
      <c r="C109" s="2" t="s">
        <v>150</v>
      </c>
      <c r="D109" s="1"/>
      <c r="E109" s="1"/>
      <c r="F109" s="11"/>
      <c r="G109" s="11"/>
      <c r="H109" s="109"/>
    </row>
    <row r="110" spans="1:8" ht="14.1" customHeight="1" x14ac:dyDescent="0.2">
      <c r="A110" s="99"/>
      <c r="B110" s="1"/>
      <c r="C110" s="2" t="s">
        <v>135</v>
      </c>
      <c r="D110" s="1"/>
      <c r="E110" s="1" t="s">
        <v>136</v>
      </c>
      <c r="F110" s="115">
        <v>0</v>
      </c>
      <c r="G110" s="9">
        <v>0</v>
      </c>
      <c r="H110" s="109"/>
    </row>
    <row r="111" spans="1:8" ht="14.1" customHeight="1" x14ac:dyDescent="0.2">
      <c r="A111" s="99"/>
      <c r="B111" s="1"/>
      <c r="C111" s="10"/>
      <c r="D111" s="1"/>
      <c r="E111" s="1"/>
      <c r="F111" s="11"/>
      <c r="G111" s="11"/>
      <c r="H111" s="109"/>
    </row>
    <row r="112" spans="1:8" ht="14.1" customHeight="1" x14ac:dyDescent="0.2">
      <c r="A112" s="99"/>
      <c r="B112" s="1"/>
      <c r="C112" s="2" t="s">
        <v>151</v>
      </c>
      <c r="D112" s="1"/>
      <c r="E112" s="1"/>
      <c r="F112" s="11"/>
      <c r="G112" s="11"/>
      <c r="H112" s="109"/>
    </row>
    <row r="113" spans="1:8" ht="14.1" customHeight="1" x14ac:dyDescent="0.2">
      <c r="A113" s="99"/>
      <c r="B113" s="1"/>
      <c r="C113" s="2" t="s">
        <v>135</v>
      </c>
      <c r="D113" s="1"/>
      <c r="E113" s="1" t="s">
        <v>136</v>
      </c>
      <c r="F113" s="115">
        <v>0</v>
      </c>
      <c r="G113" s="9">
        <v>0</v>
      </c>
      <c r="H113" s="109"/>
    </row>
    <row r="114" spans="1:8" ht="14.1" customHeight="1" x14ac:dyDescent="0.2">
      <c r="A114" s="99"/>
      <c r="B114" s="1"/>
      <c r="C114" s="10"/>
      <c r="D114" s="1"/>
      <c r="E114" s="1"/>
      <c r="F114" s="11"/>
      <c r="G114" s="11"/>
      <c r="H114" s="109"/>
    </row>
    <row r="115" spans="1:8" ht="14.1" customHeight="1" x14ac:dyDescent="0.2">
      <c r="A115" s="99"/>
      <c r="B115" s="1"/>
      <c r="C115" s="2" t="s">
        <v>152</v>
      </c>
      <c r="D115" s="1"/>
      <c r="E115" s="1"/>
      <c r="F115" s="11"/>
      <c r="G115" s="11"/>
      <c r="H115" s="109"/>
    </row>
    <row r="116" spans="1:8" ht="17.100000000000001" customHeight="1" x14ac:dyDescent="0.2">
      <c r="A116" s="100">
        <v>1</v>
      </c>
      <c r="B116" s="3"/>
      <c r="C116" s="3" t="s">
        <v>153</v>
      </c>
      <c r="D116" s="3"/>
      <c r="E116" s="7"/>
      <c r="F116" s="5">
        <v>617.13888399799998</v>
      </c>
      <c r="G116" s="6">
        <v>0.14948753000000001</v>
      </c>
      <c r="H116" s="109">
        <v>6.6015165706411798</v>
      </c>
    </row>
    <row r="117" spans="1:8" ht="14.1" customHeight="1" x14ac:dyDescent="0.2">
      <c r="A117" s="99"/>
      <c r="B117" s="1"/>
      <c r="C117" s="2" t="s">
        <v>135</v>
      </c>
      <c r="D117" s="1"/>
      <c r="E117" s="1" t="s">
        <v>136</v>
      </c>
      <c r="F117" s="8">
        <v>617.13888399799998</v>
      </c>
      <c r="G117" s="9">
        <v>0.14948753000000001</v>
      </c>
      <c r="H117" s="109"/>
    </row>
    <row r="118" spans="1:8" ht="14.1" customHeight="1" x14ac:dyDescent="0.2">
      <c r="A118" s="99"/>
      <c r="B118" s="1"/>
      <c r="C118" s="10"/>
      <c r="D118" s="1"/>
      <c r="E118" s="1"/>
      <c r="F118" s="11"/>
      <c r="G118" s="11"/>
      <c r="H118" s="109"/>
    </row>
    <row r="119" spans="1:8" ht="14.1" customHeight="1" x14ac:dyDescent="0.2">
      <c r="A119" s="99"/>
      <c r="B119" s="1"/>
      <c r="C119" s="2" t="s">
        <v>154</v>
      </c>
      <c r="D119" s="1"/>
      <c r="E119" s="1"/>
      <c r="F119" s="8">
        <v>617.13888399799998</v>
      </c>
      <c r="G119" s="9">
        <v>0.14948753000000001</v>
      </c>
      <c r="H119" s="109"/>
    </row>
    <row r="120" spans="1:8" ht="14.1" customHeight="1" x14ac:dyDescent="0.2">
      <c r="A120" s="99"/>
      <c r="B120" s="1"/>
      <c r="C120" s="11"/>
      <c r="D120" s="1"/>
      <c r="E120" s="1"/>
      <c r="F120" s="1"/>
      <c r="G120" s="1"/>
      <c r="H120" s="109"/>
    </row>
    <row r="121" spans="1:8" ht="14.1" customHeight="1" x14ac:dyDescent="0.2">
      <c r="A121" s="99"/>
      <c r="B121" s="1"/>
      <c r="C121" s="2" t="s">
        <v>155</v>
      </c>
      <c r="D121" s="1"/>
      <c r="E121" s="1"/>
      <c r="F121" s="1"/>
      <c r="G121" s="1"/>
      <c r="H121" s="109"/>
    </row>
    <row r="122" spans="1:8" ht="14.1" customHeight="1" x14ac:dyDescent="0.2">
      <c r="A122" s="99"/>
      <c r="B122" s="1"/>
      <c r="C122" s="2" t="s">
        <v>156</v>
      </c>
      <c r="D122" s="1"/>
      <c r="E122" s="1"/>
      <c r="F122" s="1"/>
      <c r="G122" s="1"/>
      <c r="H122" s="109"/>
    </row>
    <row r="123" spans="1:8" ht="14.1" customHeight="1" x14ac:dyDescent="0.2">
      <c r="A123" s="99"/>
      <c r="B123" s="1"/>
      <c r="C123" s="2" t="s">
        <v>135</v>
      </c>
      <c r="D123" s="1"/>
      <c r="E123" s="1" t="s">
        <v>136</v>
      </c>
      <c r="F123" s="115">
        <v>0</v>
      </c>
      <c r="G123" s="9">
        <v>0</v>
      </c>
      <c r="H123" s="109"/>
    </row>
    <row r="124" spans="1:8" ht="14.1" customHeight="1" x14ac:dyDescent="0.2">
      <c r="A124" s="99"/>
      <c r="B124" s="1"/>
      <c r="C124" s="10"/>
      <c r="D124" s="1"/>
      <c r="E124" s="1"/>
      <c r="F124" s="11"/>
      <c r="G124" s="11"/>
      <c r="H124" s="109"/>
    </row>
    <row r="125" spans="1:8" ht="14.1" customHeight="1" x14ac:dyDescent="0.2">
      <c r="A125" s="99"/>
      <c r="B125" s="1"/>
      <c r="C125" s="2" t="s">
        <v>157</v>
      </c>
      <c r="D125" s="1"/>
      <c r="E125" s="1"/>
      <c r="F125" s="1"/>
      <c r="G125" s="1"/>
      <c r="H125" s="109"/>
    </row>
    <row r="126" spans="1:8" ht="14.1" customHeight="1" x14ac:dyDescent="0.2">
      <c r="A126" s="99"/>
      <c r="B126" s="1"/>
      <c r="C126" s="2" t="s">
        <v>158</v>
      </c>
      <c r="D126" s="1"/>
      <c r="E126" s="1"/>
      <c r="F126" s="1"/>
      <c r="G126" s="1"/>
      <c r="H126" s="109"/>
    </row>
    <row r="127" spans="1:8" ht="14.1" customHeight="1" x14ac:dyDescent="0.2">
      <c r="A127" s="99"/>
      <c r="B127" s="1"/>
      <c r="C127" s="2" t="s">
        <v>135</v>
      </c>
      <c r="D127" s="1"/>
      <c r="E127" s="1" t="s">
        <v>136</v>
      </c>
      <c r="F127" s="115">
        <v>0</v>
      </c>
      <c r="G127" s="9">
        <v>0</v>
      </c>
      <c r="H127" s="109"/>
    </row>
    <row r="128" spans="1:8" ht="14.1" customHeight="1" x14ac:dyDescent="0.2">
      <c r="A128" s="99"/>
      <c r="B128" s="1"/>
      <c r="C128" s="10"/>
      <c r="D128" s="1"/>
      <c r="E128" s="1"/>
      <c r="F128" s="11"/>
      <c r="G128" s="11"/>
      <c r="H128" s="109"/>
    </row>
    <row r="129" spans="1:8" ht="24" customHeight="1" x14ac:dyDescent="0.2">
      <c r="A129" s="99"/>
      <c r="B129" s="1"/>
      <c r="C129" s="2" t="s">
        <v>159</v>
      </c>
      <c r="D129" s="1"/>
      <c r="E129" s="1"/>
      <c r="F129" s="11"/>
      <c r="G129" s="11"/>
      <c r="H129" s="109"/>
    </row>
    <row r="130" spans="1:8" ht="14.1" customHeight="1" x14ac:dyDescent="0.2">
      <c r="A130" s="99"/>
      <c r="B130" s="1"/>
      <c r="C130" s="2" t="s">
        <v>135</v>
      </c>
      <c r="D130" s="1"/>
      <c r="E130" s="1" t="s">
        <v>136</v>
      </c>
      <c r="F130" s="115">
        <v>0</v>
      </c>
      <c r="G130" s="9">
        <v>0</v>
      </c>
      <c r="H130" s="109"/>
    </row>
    <row r="131" spans="1:8" ht="14.1" customHeight="1" x14ac:dyDescent="0.2">
      <c r="A131" s="99"/>
      <c r="B131" s="1"/>
      <c r="C131" s="10"/>
      <c r="D131" s="1"/>
      <c r="E131" s="1"/>
      <c r="F131" s="11"/>
      <c r="G131" s="11"/>
      <c r="H131" s="109"/>
    </row>
    <row r="132" spans="1:8" ht="14.1" customHeight="1" x14ac:dyDescent="0.2">
      <c r="A132" s="99"/>
      <c r="B132" s="3"/>
      <c r="C132" s="3"/>
      <c r="D132" s="2"/>
      <c r="E132" s="1"/>
      <c r="F132" s="3"/>
      <c r="G132" s="7"/>
      <c r="H132" s="109"/>
    </row>
    <row r="133" spans="1:8" ht="18" customHeight="1" x14ac:dyDescent="0.2">
      <c r="A133" s="101"/>
      <c r="B133" s="3"/>
      <c r="C133" s="3" t="s">
        <v>160</v>
      </c>
      <c r="D133" s="3"/>
      <c r="E133" s="7"/>
      <c r="F133" s="5">
        <v>-1.11325345</v>
      </c>
      <c r="G133" s="6">
        <v>-2.6966000000000002E-4</v>
      </c>
      <c r="H133" s="109"/>
    </row>
    <row r="134" spans="1:8" ht="14.1" customHeight="1" x14ac:dyDescent="0.2">
      <c r="A134" s="102"/>
      <c r="B134" s="10"/>
      <c r="C134" s="2" t="s">
        <v>161</v>
      </c>
      <c r="D134" s="11"/>
      <c r="E134" s="11"/>
      <c r="F134" s="8">
        <v>4128.3636565480001</v>
      </c>
      <c r="G134" s="12">
        <v>1.0000000099999999</v>
      </c>
      <c r="H134" s="109"/>
    </row>
    <row r="135" spans="1:8" ht="14.1" customHeight="1" x14ac:dyDescent="0.2">
      <c r="A135" s="13"/>
      <c r="B135" s="13"/>
      <c r="C135" s="13"/>
      <c r="D135" s="14"/>
      <c r="E135" s="14"/>
      <c r="F135" s="14"/>
      <c r="G135" s="14"/>
    </row>
    <row r="136" spans="1:8" ht="14.1" customHeight="1" x14ac:dyDescent="0.2">
      <c r="A136" s="15"/>
      <c r="B136" s="15"/>
      <c r="C136" s="15"/>
      <c r="D136" s="17"/>
      <c r="E136" s="17"/>
      <c r="F136" s="17"/>
      <c r="G136" s="17"/>
    </row>
    <row r="137" spans="1:8" ht="14.1" customHeight="1" x14ac:dyDescent="0.2">
      <c r="A137" s="15"/>
      <c r="B137" s="194" t="s">
        <v>163</v>
      </c>
      <c r="C137" s="195"/>
      <c r="D137" s="196"/>
      <c r="E137" s="18"/>
      <c r="F137" s="17"/>
      <c r="G137" s="17"/>
    </row>
    <row r="138" spans="1:8" ht="29.1" customHeight="1" x14ac:dyDescent="0.2">
      <c r="A138" s="15"/>
      <c r="B138" s="191" t="s">
        <v>164</v>
      </c>
      <c r="C138" s="192"/>
      <c r="D138" s="2" t="s">
        <v>165</v>
      </c>
      <c r="E138" s="18"/>
      <c r="F138" s="17"/>
      <c r="G138" s="17"/>
    </row>
    <row r="139" spans="1:8" ht="17.100000000000001" customHeight="1" x14ac:dyDescent="0.2">
      <c r="A139" s="15"/>
      <c r="B139" s="191" t="s">
        <v>166</v>
      </c>
      <c r="C139" s="192"/>
      <c r="D139" s="2" t="s">
        <v>165</v>
      </c>
      <c r="E139" s="18"/>
      <c r="F139" s="17"/>
      <c r="G139" s="17"/>
    </row>
    <row r="140" spans="1:8" ht="17.100000000000001" customHeight="1" x14ac:dyDescent="0.2">
      <c r="A140" s="15"/>
      <c r="B140" s="191" t="s">
        <v>167</v>
      </c>
      <c r="C140" s="192"/>
      <c r="D140" s="11" t="s">
        <v>136</v>
      </c>
      <c r="E140" s="18"/>
      <c r="F140" s="17"/>
      <c r="G140" s="17"/>
    </row>
    <row r="141" spans="1:8" ht="24" customHeight="1" x14ac:dyDescent="0.2">
      <c r="A141" s="19"/>
      <c r="B141" s="20" t="s">
        <v>136</v>
      </c>
      <c r="C141" s="20" t="s">
        <v>168</v>
      </c>
      <c r="D141" s="20" t="s">
        <v>169</v>
      </c>
      <c r="E141" s="19"/>
      <c r="F141" s="19"/>
      <c r="G141" s="19"/>
    </row>
    <row r="142" spans="1:8" ht="18" customHeight="1" x14ac:dyDescent="0.2">
      <c r="A142" s="19"/>
      <c r="B142" s="21" t="s">
        <v>170</v>
      </c>
      <c r="C142" s="20" t="s">
        <v>171</v>
      </c>
      <c r="D142" s="20" t="s">
        <v>172</v>
      </c>
      <c r="E142" s="19"/>
      <c r="F142" s="19"/>
      <c r="G142" s="19"/>
    </row>
    <row r="143" spans="1:8" ht="17.100000000000001" customHeight="1" x14ac:dyDescent="0.2">
      <c r="A143" s="19"/>
      <c r="B143" s="3" t="s">
        <v>173</v>
      </c>
      <c r="C143" s="22">
        <v>22.687100000000001</v>
      </c>
      <c r="D143" s="22">
        <v>22.735800000000001</v>
      </c>
      <c r="E143" s="19"/>
      <c r="F143" s="16"/>
      <c r="G143" s="23"/>
    </row>
    <row r="144" spans="1:8" ht="17.100000000000001" customHeight="1" x14ac:dyDescent="0.2">
      <c r="A144" s="19"/>
      <c r="B144" s="3" t="s">
        <v>994</v>
      </c>
      <c r="C144" s="22">
        <v>21.2684</v>
      </c>
      <c r="D144" s="22">
        <v>21.314</v>
      </c>
      <c r="E144" s="19"/>
      <c r="F144" s="16"/>
      <c r="G144" s="23"/>
    </row>
    <row r="145" spans="1:7" ht="17.100000000000001" customHeight="1" x14ac:dyDescent="0.2">
      <c r="A145" s="19"/>
      <c r="B145" s="3" t="s">
        <v>174</v>
      </c>
      <c r="C145" s="22">
        <v>22.142600000000002</v>
      </c>
      <c r="D145" s="22">
        <v>22.180700000000002</v>
      </c>
      <c r="E145" s="19"/>
      <c r="F145" s="16"/>
      <c r="G145" s="23"/>
    </row>
    <row r="146" spans="1:7" ht="17.100000000000001" customHeight="1" x14ac:dyDescent="0.2">
      <c r="A146" s="19"/>
      <c r="B146" s="3" t="s">
        <v>995</v>
      </c>
      <c r="C146" s="22">
        <v>20.737200000000001</v>
      </c>
      <c r="D146" s="22">
        <v>20.7728</v>
      </c>
      <c r="E146" s="19"/>
      <c r="F146" s="16"/>
      <c r="G146" s="23"/>
    </row>
    <row r="147" spans="1:7" ht="14.1" customHeight="1" x14ac:dyDescent="0.2">
      <c r="A147" s="19"/>
      <c r="B147" s="19"/>
      <c r="C147" s="19"/>
      <c r="D147" s="19"/>
      <c r="E147" s="19"/>
      <c r="F147" s="19"/>
      <c r="G147" s="19"/>
    </row>
    <row r="148" spans="1:7" ht="17.100000000000001" customHeight="1" x14ac:dyDescent="0.2">
      <c r="A148" s="19"/>
      <c r="B148" s="191" t="s">
        <v>1044</v>
      </c>
      <c r="C148" s="192"/>
      <c r="D148" s="2" t="s">
        <v>165</v>
      </c>
      <c r="E148" s="19"/>
      <c r="F148" s="19"/>
      <c r="G148" s="19"/>
    </row>
    <row r="149" spans="1:7" ht="18" customHeight="1" x14ac:dyDescent="0.2">
      <c r="A149" s="19"/>
      <c r="B149" s="24"/>
      <c r="C149" s="24"/>
      <c r="D149" s="24"/>
      <c r="E149" s="19"/>
      <c r="F149" s="19"/>
      <c r="G149" s="19"/>
    </row>
    <row r="150" spans="1:7" ht="29.1" customHeight="1" x14ac:dyDescent="0.2">
      <c r="A150" s="19"/>
      <c r="B150" s="191" t="s">
        <v>175</v>
      </c>
      <c r="C150" s="192"/>
      <c r="D150" s="2" t="s">
        <v>165</v>
      </c>
      <c r="E150" s="25"/>
      <c r="F150" s="19"/>
      <c r="G150" s="19"/>
    </row>
    <row r="151" spans="1:7" ht="29.1" customHeight="1" x14ac:dyDescent="0.2">
      <c r="A151" s="19"/>
      <c r="B151" s="191" t="s">
        <v>176</v>
      </c>
      <c r="C151" s="192"/>
      <c r="D151" s="2" t="s">
        <v>165</v>
      </c>
      <c r="E151" s="25"/>
      <c r="F151" s="19"/>
      <c r="G151" s="19"/>
    </row>
    <row r="152" spans="1:7" ht="17.100000000000001" customHeight="1" x14ac:dyDescent="0.2">
      <c r="A152" s="19"/>
      <c r="B152" s="191" t="s">
        <v>177</v>
      </c>
      <c r="C152" s="192"/>
      <c r="D152" s="2" t="s">
        <v>165</v>
      </c>
      <c r="E152" s="25"/>
      <c r="F152" s="19"/>
      <c r="G152" s="19"/>
    </row>
    <row r="153" spans="1:7" ht="17.100000000000001" customHeight="1" x14ac:dyDescent="0.2">
      <c r="A153" s="19"/>
      <c r="B153" s="191" t="s">
        <v>178</v>
      </c>
      <c r="C153" s="192"/>
      <c r="D153" s="26">
        <v>0.21053411447590428</v>
      </c>
      <c r="E153" s="19"/>
      <c r="F153" s="16"/>
      <c r="G153" s="23"/>
    </row>
    <row r="154" spans="1:7" ht="14.1" customHeight="1" x14ac:dyDescent="0.2">
      <c r="A154" s="24"/>
      <c r="B154" s="24"/>
      <c r="C154" s="24"/>
      <c r="D154" s="24"/>
      <c r="E154" s="24"/>
      <c r="F154" s="24"/>
      <c r="G154" s="24"/>
    </row>
    <row r="162" spans="10:14" x14ac:dyDescent="0.2">
      <c r="J162" s="170"/>
      <c r="K162" s="170"/>
      <c r="L162" s="170"/>
      <c r="M162" s="170"/>
      <c r="N162" s="170"/>
    </row>
  </sheetData>
  <mergeCells count="13">
    <mergeCell ref="J2:N2"/>
    <mergeCell ref="B140:C140"/>
    <mergeCell ref="B137:D137"/>
    <mergeCell ref="B138:C138"/>
    <mergeCell ref="B139:C139"/>
    <mergeCell ref="A1:H1"/>
    <mergeCell ref="A2:H2"/>
    <mergeCell ref="A3:H3"/>
    <mergeCell ref="B153:C153"/>
    <mergeCell ref="B150:C150"/>
    <mergeCell ref="B151:C151"/>
    <mergeCell ref="B152:C152"/>
    <mergeCell ref="B148:C148"/>
  </mergeCells>
  <hyperlinks>
    <hyperlink ref="I1" location="Index!B12" display="Index" xr:uid="{B15B791F-01CD-4D3D-86AE-ABF88036C3C2}"/>
  </hyperlinks>
  <pageMargins left="5.000000074505806E-2" right="5.000000074505806E-2" top="0.30000001192092896" bottom="0.20000000298023224" header="0" footer="0"/>
  <pageSetup paperSize="9" orientation="landscape"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N156"/>
  <sheetViews>
    <sheetView showGridLines="0" workbookViewId="0">
      <selection sqref="A1:H1"/>
    </sheetView>
  </sheetViews>
  <sheetFormatPr defaultRowHeight="12.75" x14ac:dyDescent="0.2"/>
  <cols>
    <col min="1" max="1" width="5.85546875" bestFit="1"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7" t="s">
        <v>0</v>
      </c>
      <c r="B1" s="187"/>
      <c r="C1" s="187"/>
      <c r="D1" s="187"/>
      <c r="E1" s="187"/>
      <c r="F1" s="187"/>
      <c r="G1" s="187"/>
      <c r="H1" s="187"/>
      <c r="I1" s="167" t="s">
        <v>1055</v>
      </c>
    </row>
    <row r="2" spans="1:14" ht="17.100000000000001" customHeight="1" x14ac:dyDescent="0.2">
      <c r="A2" s="188" t="s">
        <v>465</v>
      </c>
      <c r="B2" s="189"/>
      <c r="C2" s="189"/>
      <c r="D2" s="189"/>
      <c r="E2" s="189"/>
      <c r="F2" s="189"/>
      <c r="G2" s="189"/>
      <c r="H2" s="190"/>
      <c r="J2" s="186" t="s">
        <v>1056</v>
      </c>
      <c r="K2" s="186"/>
      <c r="L2" s="186"/>
      <c r="M2" s="186"/>
      <c r="N2" s="186"/>
    </row>
    <row r="3" spans="1:14" ht="21" customHeight="1" x14ac:dyDescent="0.2">
      <c r="A3" s="187" t="s">
        <v>1052</v>
      </c>
      <c r="B3" s="187"/>
      <c r="C3" s="187"/>
      <c r="D3" s="187"/>
      <c r="E3" s="187"/>
      <c r="F3" s="187"/>
      <c r="G3" s="187"/>
      <c r="H3" s="187"/>
    </row>
    <row r="4" spans="1:14" ht="30" x14ac:dyDescent="0.2">
      <c r="A4" s="163" t="s">
        <v>2</v>
      </c>
      <c r="B4" s="164" t="s">
        <v>3</v>
      </c>
      <c r="C4" s="164" t="s">
        <v>4</v>
      </c>
      <c r="D4" s="164" t="s">
        <v>5</v>
      </c>
      <c r="E4" s="164" t="s">
        <v>6</v>
      </c>
      <c r="F4" s="164" t="s">
        <v>7</v>
      </c>
      <c r="G4" s="164" t="s">
        <v>8</v>
      </c>
      <c r="H4" s="120" t="s">
        <v>881</v>
      </c>
      <c r="I4" s="165"/>
      <c r="J4" s="165"/>
      <c r="K4" s="165"/>
      <c r="L4" s="165"/>
      <c r="M4" s="165"/>
      <c r="N4" s="165"/>
    </row>
    <row r="5" spans="1:14" ht="14.1" customHeight="1" x14ac:dyDescent="0.2">
      <c r="A5" s="99"/>
      <c r="B5" s="1"/>
      <c r="C5" s="2" t="s">
        <v>9</v>
      </c>
      <c r="D5" s="1"/>
      <c r="E5" s="1"/>
      <c r="F5" s="1"/>
      <c r="G5" s="1"/>
      <c r="H5" s="109"/>
    </row>
    <row r="6" spans="1:14" ht="24" customHeight="1" x14ac:dyDescent="0.2">
      <c r="A6" s="99"/>
      <c r="B6" s="1"/>
      <c r="C6" s="2" t="s">
        <v>10</v>
      </c>
      <c r="D6" s="1"/>
      <c r="E6" s="1"/>
      <c r="F6" s="1"/>
      <c r="G6" s="1"/>
      <c r="H6" s="109"/>
    </row>
    <row r="7" spans="1:14" ht="17.100000000000001" customHeight="1" x14ac:dyDescent="0.2">
      <c r="A7" s="100">
        <v>1</v>
      </c>
      <c r="B7" s="3" t="s">
        <v>29</v>
      </c>
      <c r="C7" s="3" t="s">
        <v>30</v>
      </c>
      <c r="D7" s="3" t="s">
        <v>31</v>
      </c>
      <c r="E7" s="4">
        <v>33960</v>
      </c>
      <c r="F7" s="5">
        <v>650.55474000000004</v>
      </c>
      <c r="G7" s="6">
        <v>4.6046150000000001E-2</v>
      </c>
      <c r="H7" s="109"/>
    </row>
    <row r="8" spans="1:14" ht="17.100000000000001" customHeight="1" x14ac:dyDescent="0.2">
      <c r="A8" s="100">
        <v>2</v>
      </c>
      <c r="B8" s="3" t="s">
        <v>371</v>
      </c>
      <c r="C8" s="3" t="s">
        <v>372</v>
      </c>
      <c r="D8" s="3" t="s">
        <v>22</v>
      </c>
      <c r="E8" s="4">
        <v>889202</v>
      </c>
      <c r="F8" s="5">
        <v>635.77943000000005</v>
      </c>
      <c r="G8" s="6">
        <v>4.5000360000000003E-2</v>
      </c>
      <c r="H8" s="109"/>
    </row>
    <row r="9" spans="1:14" ht="17.100000000000001" customHeight="1" x14ac:dyDescent="0.2">
      <c r="A9" s="100">
        <v>3</v>
      </c>
      <c r="B9" s="3" t="s">
        <v>408</v>
      </c>
      <c r="C9" s="3" t="s">
        <v>409</v>
      </c>
      <c r="D9" s="3" t="s">
        <v>115</v>
      </c>
      <c r="E9" s="4">
        <v>20160</v>
      </c>
      <c r="F9" s="5">
        <v>407.48399999999998</v>
      </c>
      <c r="G9" s="6">
        <v>2.884165E-2</v>
      </c>
      <c r="H9" s="109"/>
    </row>
    <row r="10" spans="1:14" ht="17.100000000000001" customHeight="1" x14ac:dyDescent="0.2">
      <c r="A10" s="100">
        <v>4</v>
      </c>
      <c r="B10" s="3" t="s">
        <v>72</v>
      </c>
      <c r="C10" s="3" t="s">
        <v>73</v>
      </c>
      <c r="D10" s="3" t="s">
        <v>31</v>
      </c>
      <c r="E10" s="4">
        <v>23527</v>
      </c>
      <c r="F10" s="5">
        <v>382.3725675</v>
      </c>
      <c r="G10" s="6">
        <v>2.7064270000000001E-2</v>
      </c>
      <c r="H10" s="109"/>
    </row>
    <row r="11" spans="1:14" ht="29.1" customHeight="1" x14ac:dyDescent="0.2">
      <c r="A11" s="100">
        <v>5</v>
      </c>
      <c r="B11" s="3" t="s">
        <v>204</v>
      </c>
      <c r="C11" s="3" t="s">
        <v>205</v>
      </c>
      <c r="D11" s="3" t="s">
        <v>115</v>
      </c>
      <c r="E11" s="4">
        <v>120960</v>
      </c>
      <c r="F11" s="5">
        <v>367.53696000000002</v>
      </c>
      <c r="G11" s="6">
        <v>2.6014200000000001E-2</v>
      </c>
      <c r="H11" s="109"/>
    </row>
    <row r="12" spans="1:14" ht="17.100000000000001" customHeight="1" x14ac:dyDescent="0.2">
      <c r="A12" s="100">
        <v>6</v>
      </c>
      <c r="B12" s="3" t="s">
        <v>400</v>
      </c>
      <c r="C12" s="3" t="s">
        <v>401</v>
      </c>
      <c r="D12" s="3" t="s">
        <v>210</v>
      </c>
      <c r="E12" s="4">
        <v>127326</v>
      </c>
      <c r="F12" s="5">
        <v>355.62151799999998</v>
      </c>
      <c r="G12" s="6">
        <v>2.5170830000000002E-2</v>
      </c>
      <c r="H12" s="109"/>
    </row>
    <row r="13" spans="1:14" ht="17.100000000000001" customHeight="1" x14ac:dyDescent="0.2">
      <c r="A13" s="100">
        <v>7</v>
      </c>
      <c r="B13" s="3" t="s">
        <v>37</v>
      </c>
      <c r="C13" s="3" t="s">
        <v>38</v>
      </c>
      <c r="D13" s="3" t="s">
        <v>31</v>
      </c>
      <c r="E13" s="4">
        <v>19181</v>
      </c>
      <c r="F13" s="5">
        <v>346.15950700000002</v>
      </c>
      <c r="G13" s="6">
        <v>2.450111E-2</v>
      </c>
      <c r="H13" s="109"/>
      <c r="J13" s="169" t="s">
        <v>1064</v>
      </c>
    </row>
    <row r="14" spans="1:14" ht="17.100000000000001" customHeight="1" x14ac:dyDescent="0.2">
      <c r="A14" s="100">
        <v>8</v>
      </c>
      <c r="B14" s="3" t="s">
        <v>113</v>
      </c>
      <c r="C14" s="3" t="s">
        <v>114</v>
      </c>
      <c r="D14" s="3" t="s">
        <v>115</v>
      </c>
      <c r="E14" s="4">
        <v>119971</v>
      </c>
      <c r="F14" s="5">
        <v>336.45866949999998</v>
      </c>
      <c r="G14" s="6">
        <v>2.3814490000000001E-2</v>
      </c>
      <c r="H14" s="109"/>
    </row>
    <row r="15" spans="1:14" ht="17.100000000000001" customHeight="1" x14ac:dyDescent="0.2">
      <c r="A15" s="100">
        <v>9</v>
      </c>
      <c r="B15" s="3" t="s">
        <v>461</v>
      </c>
      <c r="C15" s="3" t="s">
        <v>462</v>
      </c>
      <c r="D15" s="3" t="s">
        <v>996</v>
      </c>
      <c r="E15" s="4">
        <v>40028</v>
      </c>
      <c r="F15" s="5">
        <v>332.09230200000002</v>
      </c>
      <c r="G15" s="6">
        <v>2.3505439999999999E-2</v>
      </c>
      <c r="H15" s="109"/>
    </row>
    <row r="16" spans="1:14" ht="29.1" customHeight="1" x14ac:dyDescent="0.2">
      <c r="A16" s="100">
        <v>10</v>
      </c>
      <c r="B16" s="3" t="s">
        <v>186</v>
      </c>
      <c r="C16" s="3" t="s">
        <v>187</v>
      </c>
      <c r="D16" s="3" t="s">
        <v>188</v>
      </c>
      <c r="E16" s="4">
        <v>7906</v>
      </c>
      <c r="F16" s="5">
        <v>326.36758600000002</v>
      </c>
      <c r="G16" s="6">
        <v>2.3100240000000001E-2</v>
      </c>
      <c r="H16" s="109"/>
    </row>
    <row r="17" spans="1:8" ht="17.100000000000001" customHeight="1" x14ac:dyDescent="0.2">
      <c r="A17" s="100">
        <v>11</v>
      </c>
      <c r="B17" s="3" t="s">
        <v>78</v>
      </c>
      <c r="C17" s="3" t="s">
        <v>79</v>
      </c>
      <c r="D17" s="3" t="s">
        <v>80</v>
      </c>
      <c r="E17" s="4">
        <v>10363</v>
      </c>
      <c r="F17" s="5">
        <v>309.00911550000001</v>
      </c>
      <c r="G17" s="6">
        <v>2.187161E-2</v>
      </c>
      <c r="H17" s="109"/>
    </row>
    <row r="18" spans="1:8" ht="17.100000000000001" customHeight="1" x14ac:dyDescent="0.2">
      <c r="A18" s="100">
        <v>12</v>
      </c>
      <c r="B18" s="3" t="s">
        <v>398</v>
      </c>
      <c r="C18" s="3" t="s">
        <v>399</v>
      </c>
      <c r="D18" s="3" t="s">
        <v>97</v>
      </c>
      <c r="E18" s="4">
        <v>21498</v>
      </c>
      <c r="F18" s="5">
        <v>297.33883800000001</v>
      </c>
      <c r="G18" s="6">
        <v>2.1045589999999999E-2</v>
      </c>
      <c r="H18" s="109"/>
    </row>
    <row r="19" spans="1:8" ht="17.100000000000001" customHeight="1" x14ac:dyDescent="0.2">
      <c r="A19" s="100">
        <v>13</v>
      </c>
      <c r="B19" s="3" t="s">
        <v>305</v>
      </c>
      <c r="C19" s="3" t="s">
        <v>306</v>
      </c>
      <c r="D19" s="3" t="s">
        <v>242</v>
      </c>
      <c r="E19" s="4">
        <v>19208</v>
      </c>
      <c r="F19" s="5">
        <v>291.61585600000001</v>
      </c>
      <c r="G19" s="6">
        <v>2.0640519999999999E-2</v>
      </c>
      <c r="H19" s="109"/>
    </row>
    <row r="20" spans="1:8" ht="17.100000000000001" customHeight="1" x14ac:dyDescent="0.2">
      <c r="A20" s="100">
        <v>14</v>
      </c>
      <c r="B20" s="3" t="s">
        <v>318</v>
      </c>
      <c r="C20" s="3" t="s">
        <v>319</v>
      </c>
      <c r="D20" s="3" t="s">
        <v>235</v>
      </c>
      <c r="E20" s="4">
        <v>21555</v>
      </c>
      <c r="F20" s="5">
        <v>267.044895</v>
      </c>
      <c r="G20" s="6">
        <v>1.8901390000000001E-2</v>
      </c>
      <c r="H20" s="109"/>
    </row>
    <row r="21" spans="1:8" ht="17.100000000000001" customHeight="1" x14ac:dyDescent="0.2">
      <c r="A21" s="100">
        <v>15</v>
      </c>
      <c r="B21" s="3" t="s">
        <v>286</v>
      </c>
      <c r="C21" s="3" t="s">
        <v>287</v>
      </c>
      <c r="D21" s="3" t="s">
        <v>19</v>
      </c>
      <c r="E21" s="4">
        <v>119529</v>
      </c>
      <c r="F21" s="5">
        <v>257.28617250000002</v>
      </c>
      <c r="G21" s="6">
        <v>1.8210670000000002E-2</v>
      </c>
      <c r="H21" s="109"/>
    </row>
    <row r="22" spans="1:8" ht="17.100000000000001" customHeight="1" x14ac:dyDescent="0.2">
      <c r="A22" s="100">
        <v>16</v>
      </c>
      <c r="B22" s="3" t="s">
        <v>402</v>
      </c>
      <c r="C22" s="3" t="s">
        <v>403</v>
      </c>
      <c r="D22" s="3" t="s">
        <v>120</v>
      </c>
      <c r="E22" s="4">
        <v>43956</v>
      </c>
      <c r="F22" s="5">
        <v>252.834912</v>
      </c>
      <c r="G22" s="6">
        <v>1.7895609999999999E-2</v>
      </c>
      <c r="H22" s="109"/>
    </row>
    <row r="23" spans="1:8" ht="29.1" customHeight="1" x14ac:dyDescent="0.2">
      <c r="A23" s="100">
        <v>17</v>
      </c>
      <c r="B23" s="3" t="s">
        <v>379</v>
      </c>
      <c r="C23" s="3" t="s">
        <v>380</v>
      </c>
      <c r="D23" s="3" t="s">
        <v>62</v>
      </c>
      <c r="E23" s="4">
        <v>12377</v>
      </c>
      <c r="F23" s="5">
        <v>247.65758149999999</v>
      </c>
      <c r="G23" s="6">
        <v>1.7529159999999998E-2</v>
      </c>
      <c r="H23" s="109"/>
    </row>
    <row r="24" spans="1:8" ht="17.100000000000001" customHeight="1" x14ac:dyDescent="0.2">
      <c r="A24" s="100">
        <v>18</v>
      </c>
      <c r="B24" s="3" t="s">
        <v>373</v>
      </c>
      <c r="C24" s="3" t="s">
        <v>374</v>
      </c>
      <c r="D24" s="3" t="s">
        <v>997</v>
      </c>
      <c r="E24" s="4">
        <v>23695</v>
      </c>
      <c r="F24" s="5">
        <v>242.67234250000001</v>
      </c>
      <c r="G24" s="6">
        <v>1.717631E-2</v>
      </c>
      <c r="H24" s="109"/>
    </row>
    <row r="25" spans="1:8" ht="17.100000000000001" customHeight="1" x14ac:dyDescent="0.2">
      <c r="A25" s="100">
        <v>19</v>
      </c>
      <c r="B25" s="3" t="s">
        <v>384</v>
      </c>
      <c r="C25" s="3" t="s">
        <v>385</v>
      </c>
      <c r="D25" s="3" t="s">
        <v>334</v>
      </c>
      <c r="E25" s="4">
        <v>14772</v>
      </c>
      <c r="F25" s="5">
        <v>207.19945799999999</v>
      </c>
      <c r="G25" s="6">
        <v>1.4665539999999999E-2</v>
      </c>
      <c r="H25" s="109"/>
    </row>
    <row r="26" spans="1:8" ht="17.100000000000001" customHeight="1" x14ac:dyDescent="0.2">
      <c r="A26" s="100">
        <v>20</v>
      </c>
      <c r="B26" s="3" t="s">
        <v>410</v>
      </c>
      <c r="C26" s="3" t="s">
        <v>411</v>
      </c>
      <c r="D26" s="3" t="s">
        <v>235</v>
      </c>
      <c r="E26" s="4">
        <v>30500</v>
      </c>
      <c r="F26" s="5">
        <v>197.8535</v>
      </c>
      <c r="G26" s="6">
        <v>1.4004040000000001E-2</v>
      </c>
      <c r="H26" s="109"/>
    </row>
    <row r="27" spans="1:8" ht="29.1" customHeight="1" x14ac:dyDescent="0.2">
      <c r="A27" s="100">
        <v>21</v>
      </c>
      <c r="B27" s="3" t="s">
        <v>406</v>
      </c>
      <c r="C27" s="3" t="s">
        <v>407</v>
      </c>
      <c r="D27" s="3" t="s">
        <v>52</v>
      </c>
      <c r="E27" s="4">
        <v>11589</v>
      </c>
      <c r="F27" s="5">
        <v>196.64794649999999</v>
      </c>
      <c r="G27" s="6">
        <v>1.3918710000000001E-2</v>
      </c>
      <c r="H27" s="109"/>
    </row>
    <row r="28" spans="1:8" ht="17.100000000000001" customHeight="1" x14ac:dyDescent="0.2">
      <c r="A28" s="100">
        <v>22</v>
      </c>
      <c r="B28" s="3" t="s">
        <v>433</v>
      </c>
      <c r="C28" s="3" t="s">
        <v>434</v>
      </c>
      <c r="D28" s="3" t="s">
        <v>997</v>
      </c>
      <c r="E28" s="4">
        <v>19892</v>
      </c>
      <c r="F28" s="5">
        <v>187.84015600000001</v>
      </c>
      <c r="G28" s="6">
        <v>1.329529E-2</v>
      </c>
      <c r="H28" s="109"/>
    </row>
    <row r="29" spans="1:8" ht="17.100000000000001" customHeight="1" x14ac:dyDescent="0.2">
      <c r="A29" s="100">
        <v>23</v>
      </c>
      <c r="B29" s="3" t="s">
        <v>439</v>
      </c>
      <c r="C29" s="3" t="s">
        <v>440</v>
      </c>
      <c r="D29" s="3" t="s">
        <v>31</v>
      </c>
      <c r="E29" s="4">
        <v>19126</v>
      </c>
      <c r="F29" s="5">
        <v>187.224414</v>
      </c>
      <c r="G29" s="6">
        <v>1.325171E-2</v>
      </c>
      <c r="H29" s="109"/>
    </row>
    <row r="30" spans="1:8" ht="17.100000000000001" customHeight="1" x14ac:dyDescent="0.2">
      <c r="A30" s="100">
        <v>24</v>
      </c>
      <c r="B30" s="3" t="s">
        <v>332</v>
      </c>
      <c r="C30" s="3" t="s">
        <v>333</v>
      </c>
      <c r="D30" s="3" t="s">
        <v>334</v>
      </c>
      <c r="E30" s="4">
        <v>18321</v>
      </c>
      <c r="F30" s="5">
        <v>186.79175549999999</v>
      </c>
      <c r="G30" s="6">
        <v>1.322109E-2</v>
      </c>
      <c r="H30" s="109"/>
    </row>
    <row r="31" spans="1:8" ht="17.100000000000001" customHeight="1" x14ac:dyDescent="0.2">
      <c r="A31" s="100">
        <v>25</v>
      </c>
      <c r="B31" s="3" t="s">
        <v>435</v>
      </c>
      <c r="C31" s="3" t="s">
        <v>436</v>
      </c>
      <c r="D31" s="3" t="s">
        <v>47</v>
      </c>
      <c r="E31" s="4">
        <v>50508</v>
      </c>
      <c r="F31" s="5">
        <v>173.899044</v>
      </c>
      <c r="G31" s="6">
        <v>1.230855E-2</v>
      </c>
      <c r="H31" s="109"/>
    </row>
    <row r="32" spans="1:8" ht="17.100000000000001" customHeight="1" x14ac:dyDescent="0.2">
      <c r="A32" s="100">
        <v>26</v>
      </c>
      <c r="B32" s="3" t="s">
        <v>404</v>
      </c>
      <c r="C32" s="3" t="s">
        <v>405</v>
      </c>
      <c r="D32" s="3" t="s">
        <v>31</v>
      </c>
      <c r="E32" s="4">
        <v>20871</v>
      </c>
      <c r="F32" s="5">
        <v>173.39626799999999</v>
      </c>
      <c r="G32" s="6">
        <v>1.2272959999999999E-2</v>
      </c>
      <c r="H32" s="109"/>
    </row>
    <row r="33" spans="1:8" ht="17.100000000000001" customHeight="1" x14ac:dyDescent="0.2">
      <c r="A33" s="100">
        <v>27</v>
      </c>
      <c r="B33" s="3" t="s">
        <v>418</v>
      </c>
      <c r="C33" s="3" t="s">
        <v>419</v>
      </c>
      <c r="D33" s="3" t="s">
        <v>120</v>
      </c>
      <c r="E33" s="4">
        <v>17966</v>
      </c>
      <c r="F33" s="5">
        <v>173.36291700000001</v>
      </c>
      <c r="G33" s="6">
        <v>1.22706E-2</v>
      </c>
      <c r="H33" s="109"/>
    </row>
    <row r="34" spans="1:8" ht="29.1" customHeight="1" x14ac:dyDescent="0.2">
      <c r="A34" s="100">
        <v>28</v>
      </c>
      <c r="B34" s="3" t="s">
        <v>412</v>
      </c>
      <c r="C34" s="3" t="s">
        <v>413</v>
      </c>
      <c r="D34" s="3" t="s">
        <v>221</v>
      </c>
      <c r="E34" s="4">
        <v>46637</v>
      </c>
      <c r="F34" s="5">
        <v>167.45014850000001</v>
      </c>
      <c r="G34" s="6">
        <v>1.1852089999999999E-2</v>
      </c>
      <c r="H34" s="109"/>
    </row>
    <row r="35" spans="1:8" ht="29.1" customHeight="1" x14ac:dyDescent="0.2">
      <c r="A35" s="100">
        <v>29</v>
      </c>
      <c r="B35" s="3" t="s">
        <v>256</v>
      </c>
      <c r="C35" s="3" t="s">
        <v>257</v>
      </c>
      <c r="D35" s="3" t="s">
        <v>221</v>
      </c>
      <c r="E35" s="4">
        <v>53018</v>
      </c>
      <c r="F35" s="5">
        <v>166.662083</v>
      </c>
      <c r="G35" s="6">
        <v>1.1796310000000001E-2</v>
      </c>
      <c r="H35" s="109"/>
    </row>
    <row r="36" spans="1:8" ht="29.1" customHeight="1" x14ac:dyDescent="0.2">
      <c r="A36" s="100">
        <v>30</v>
      </c>
      <c r="B36" s="3" t="s">
        <v>443</v>
      </c>
      <c r="C36" s="3" t="s">
        <v>444</v>
      </c>
      <c r="D36" s="3" t="s">
        <v>445</v>
      </c>
      <c r="E36" s="4">
        <v>30368</v>
      </c>
      <c r="F36" s="5">
        <v>166.09777600000001</v>
      </c>
      <c r="G36" s="6">
        <v>1.175637E-2</v>
      </c>
      <c r="H36" s="109"/>
    </row>
    <row r="37" spans="1:8" ht="17.100000000000001" customHeight="1" x14ac:dyDescent="0.2">
      <c r="A37" s="100">
        <v>31</v>
      </c>
      <c r="B37" s="3" t="s">
        <v>441</v>
      </c>
      <c r="C37" s="3" t="s">
        <v>442</v>
      </c>
      <c r="D37" s="3" t="s">
        <v>120</v>
      </c>
      <c r="E37" s="4">
        <v>214883</v>
      </c>
      <c r="F37" s="5">
        <v>163.31108</v>
      </c>
      <c r="G37" s="6">
        <v>1.1559130000000001E-2</v>
      </c>
      <c r="H37" s="109"/>
    </row>
    <row r="38" spans="1:8" ht="17.100000000000001" customHeight="1" x14ac:dyDescent="0.2">
      <c r="A38" s="100">
        <v>32</v>
      </c>
      <c r="B38" s="3" t="s">
        <v>375</v>
      </c>
      <c r="C38" s="3" t="s">
        <v>376</v>
      </c>
      <c r="D38" s="3" t="s">
        <v>120</v>
      </c>
      <c r="E38" s="4">
        <v>22023</v>
      </c>
      <c r="F38" s="5">
        <v>159.58966950000001</v>
      </c>
      <c r="G38" s="6">
        <v>1.129573E-2</v>
      </c>
      <c r="H38" s="109"/>
    </row>
    <row r="39" spans="1:8" ht="29.1" customHeight="1" x14ac:dyDescent="0.2">
      <c r="A39" s="100">
        <v>33</v>
      </c>
      <c r="B39" s="3" t="s">
        <v>466</v>
      </c>
      <c r="C39" s="3" t="s">
        <v>467</v>
      </c>
      <c r="D39" s="3" t="s">
        <v>468</v>
      </c>
      <c r="E39" s="4">
        <v>36994</v>
      </c>
      <c r="F39" s="5">
        <v>156.70658399999999</v>
      </c>
      <c r="G39" s="6">
        <v>1.109167E-2</v>
      </c>
      <c r="H39" s="109"/>
    </row>
    <row r="40" spans="1:8" ht="29.1" customHeight="1" x14ac:dyDescent="0.2">
      <c r="A40" s="100">
        <v>34</v>
      </c>
      <c r="B40" s="3" t="s">
        <v>448</v>
      </c>
      <c r="C40" s="3" t="s">
        <v>449</v>
      </c>
      <c r="D40" s="3" t="s">
        <v>221</v>
      </c>
      <c r="E40" s="4">
        <v>7795</v>
      </c>
      <c r="F40" s="5">
        <v>151.12166500000001</v>
      </c>
      <c r="G40" s="6">
        <v>1.069637E-2</v>
      </c>
      <c r="H40" s="109"/>
    </row>
    <row r="41" spans="1:8" ht="17.100000000000001" customHeight="1" x14ac:dyDescent="0.2">
      <c r="A41" s="100">
        <v>35</v>
      </c>
      <c r="B41" s="3" t="s">
        <v>32</v>
      </c>
      <c r="C41" s="3" t="s">
        <v>33</v>
      </c>
      <c r="D41" s="3" t="s">
        <v>22</v>
      </c>
      <c r="E41" s="4">
        <v>28181</v>
      </c>
      <c r="F41" s="5">
        <v>147.33026799999999</v>
      </c>
      <c r="G41" s="6">
        <v>1.042801E-2</v>
      </c>
      <c r="H41" s="109"/>
    </row>
    <row r="42" spans="1:8" ht="17.100000000000001" customHeight="1" x14ac:dyDescent="0.2">
      <c r="A42" s="100">
        <v>36</v>
      </c>
      <c r="B42" s="3" t="s">
        <v>39</v>
      </c>
      <c r="C42" s="3" t="s">
        <v>40</v>
      </c>
      <c r="D42" s="3" t="s">
        <v>31</v>
      </c>
      <c r="E42" s="4">
        <v>3907</v>
      </c>
      <c r="F42" s="5">
        <v>146.13547449999999</v>
      </c>
      <c r="G42" s="6">
        <v>1.0343440000000001E-2</v>
      </c>
      <c r="H42" s="109"/>
    </row>
    <row r="43" spans="1:8" ht="17.100000000000001" customHeight="1" x14ac:dyDescent="0.2">
      <c r="A43" s="100">
        <v>37</v>
      </c>
      <c r="B43" s="3" t="s">
        <v>450</v>
      </c>
      <c r="C43" s="3" t="s">
        <v>451</v>
      </c>
      <c r="D43" s="3" t="s">
        <v>80</v>
      </c>
      <c r="E43" s="4">
        <v>15982</v>
      </c>
      <c r="F43" s="5">
        <v>143.014927</v>
      </c>
      <c r="G43" s="6">
        <v>1.0122569999999999E-2</v>
      </c>
      <c r="H43" s="109"/>
    </row>
    <row r="44" spans="1:8" ht="29.1" customHeight="1" x14ac:dyDescent="0.2">
      <c r="A44" s="100">
        <v>38</v>
      </c>
      <c r="B44" s="3" t="s">
        <v>469</v>
      </c>
      <c r="C44" s="3" t="s">
        <v>470</v>
      </c>
      <c r="D44" s="3" t="s">
        <v>221</v>
      </c>
      <c r="E44" s="4">
        <v>2436</v>
      </c>
      <c r="F44" s="5">
        <v>142.34278800000001</v>
      </c>
      <c r="G44" s="6">
        <v>1.0075000000000001E-2</v>
      </c>
      <c r="H44" s="109"/>
    </row>
    <row r="45" spans="1:8" ht="29.1" customHeight="1" x14ac:dyDescent="0.2">
      <c r="A45" s="100">
        <v>39</v>
      </c>
      <c r="B45" s="3" t="s">
        <v>393</v>
      </c>
      <c r="C45" s="3" t="s">
        <v>394</v>
      </c>
      <c r="D45" s="3" t="s">
        <v>191</v>
      </c>
      <c r="E45" s="4">
        <v>25833</v>
      </c>
      <c r="F45" s="5">
        <v>129.7720755</v>
      </c>
      <c r="G45" s="6">
        <v>9.1852500000000007E-3</v>
      </c>
      <c r="H45" s="109"/>
    </row>
    <row r="46" spans="1:8" ht="17.100000000000001" customHeight="1" x14ac:dyDescent="0.2">
      <c r="A46" s="100">
        <v>40</v>
      </c>
      <c r="B46" s="3" t="s">
        <v>245</v>
      </c>
      <c r="C46" s="3" t="s">
        <v>246</v>
      </c>
      <c r="D46" s="3" t="s">
        <v>120</v>
      </c>
      <c r="E46" s="4">
        <v>22326</v>
      </c>
      <c r="F46" s="5">
        <v>128.363337</v>
      </c>
      <c r="G46" s="6">
        <v>9.0855399999999996E-3</v>
      </c>
      <c r="H46" s="109"/>
    </row>
    <row r="47" spans="1:8" ht="29.1" customHeight="1" x14ac:dyDescent="0.2">
      <c r="A47" s="100">
        <v>41</v>
      </c>
      <c r="B47" s="3" t="s">
        <v>463</v>
      </c>
      <c r="C47" s="3" t="s">
        <v>464</v>
      </c>
      <c r="D47" s="3" t="s">
        <v>188</v>
      </c>
      <c r="E47" s="4">
        <v>19852</v>
      </c>
      <c r="F47" s="5">
        <v>128.07517799999999</v>
      </c>
      <c r="G47" s="6">
        <v>9.0651399999999993E-3</v>
      </c>
      <c r="H47" s="109"/>
    </row>
    <row r="48" spans="1:8" ht="17.100000000000001" customHeight="1" x14ac:dyDescent="0.2">
      <c r="A48" s="100">
        <v>42</v>
      </c>
      <c r="B48" s="3" t="s">
        <v>471</v>
      </c>
      <c r="C48" s="3" t="s">
        <v>472</v>
      </c>
      <c r="D48" s="3" t="s">
        <v>235</v>
      </c>
      <c r="E48" s="4">
        <v>63181</v>
      </c>
      <c r="F48" s="5">
        <v>118.717099</v>
      </c>
      <c r="G48" s="6">
        <v>8.4027800000000003E-3</v>
      </c>
      <c r="H48" s="109"/>
    </row>
    <row r="49" spans="1:8" ht="17.100000000000001" customHeight="1" x14ac:dyDescent="0.2">
      <c r="A49" s="100">
        <v>43</v>
      </c>
      <c r="B49" s="3" t="s">
        <v>414</v>
      </c>
      <c r="C49" s="3" t="s">
        <v>415</v>
      </c>
      <c r="D49" s="3" t="s">
        <v>57</v>
      </c>
      <c r="E49" s="4">
        <v>17619</v>
      </c>
      <c r="F49" s="5">
        <v>114.74373749999999</v>
      </c>
      <c r="G49" s="6">
        <v>8.12154E-3</v>
      </c>
      <c r="H49" s="109"/>
    </row>
    <row r="50" spans="1:8" ht="29.1" customHeight="1" x14ac:dyDescent="0.2">
      <c r="A50" s="100">
        <v>44</v>
      </c>
      <c r="B50" s="3" t="s">
        <v>426</v>
      </c>
      <c r="C50" s="3" t="s">
        <v>427</v>
      </c>
      <c r="D50" s="3" t="s">
        <v>115</v>
      </c>
      <c r="E50" s="4">
        <v>9500</v>
      </c>
      <c r="F50" s="5">
        <v>110.0005</v>
      </c>
      <c r="G50" s="6">
        <v>7.7858199999999997E-3</v>
      </c>
      <c r="H50" s="109"/>
    </row>
    <row r="51" spans="1:8" ht="29.1" customHeight="1" x14ac:dyDescent="0.2">
      <c r="A51" s="100">
        <v>45</v>
      </c>
      <c r="B51" s="3" t="s">
        <v>473</v>
      </c>
      <c r="C51" s="3" t="s">
        <v>474</v>
      </c>
      <c r="D51" s="3" t="s">
        <v>129</v>
      </c>
      <c r="E51" s="4">
        <v>103230</v>
      </c>
      <c r="F51" s="5">
        <v>108.339885</v>
      </c>
      <c r="G51" s="6">
        <v>7.6682800000000004E-3</v>
      </c>
      <c r="H51" s="109"/>
    </row>
    <row r="52" spans="1:8" ht="29.1" customHeight="1" x14ac:dyDescent="0.2">
      <c r="A52" s="100">
        <v>46</v>
      </c>
      <c r="B52" s="3" t="s">
        <v>381</v>
      </c>
      <c r="C52" s="3" t="s">
        <v>382</v>
      </c>
      <c r="D52" s="3" t="s">
        <v>383</v>
      </c>
      <c r="E52" s="4">
        <v>107873</v>
      </c>
      <c r="F52" s="5">
        <v>106.79427</v>
      </c>
      <c r="G52" s="6">
        <v>7.5588799999999996E-3</v>
      </c>
      <c r="H52" s="109"/>
    </row>
    <row r="53" spans="1:8" ht="17.100000000000001" customHeight="1" x14ac:dyDescent="0.2">
      <c r="A53" s="100">
        <v>47</v>
      </c>
      <c r="B53" s="3" t="s">
        <v>475</v>
      </c>
      <c r="C53" s="3" t="s">
        <v>476</v>
      </c>
      <c r="D53" s="3" t="s">
        <v>115</v>
      </c>
      <c r="E53" s="4">
        <v>8109</v>
      </c>
      <c r="F53" s="5">
        <v>105.7616325</v>
      </c>
      <c r="G53" s="6">
        <v>7.48579E-3</v>
      </c>
      <c r="H53" s="109"/>
    </row>
    <row r="54" spans="1:8" ht="29.1" customHeight="1" x14ac:dyDescent="0.2">
      <c r="A54" s="100">
        <v>48</v>
      </c>
      <c r="B54" s="3" t="s">
        <v>390</v>
      </c>
      <c r="C54" s="3" t="s">
        <v>391</v>
      </c>
      <c r="D54" s="3" t="s">
        <v>392</v>
      </c>
      <c r="E54" s="4">
        <v>29241</v>
      </c>
      <c r="F54" s="5">
        <v>104.858226</v>
      </c>
      <c r="G54" s="6">
        <v>7.4218499999999998E-3</v>
      </c>
      <c r="H54" s="109"/>
    </row>
    <row r="55" spans="1:8" ht="17.100000000000001" customHeight="1" x14ac:dyDescent="0.2">
      <c r="A55" s="100">
        <v>49</v>
      </c>
      <c r="B55" s="3" t="s">
        <v>420</v>
      </c>
      <c r="C55" s="3" t="s">
        <v>421</v>
      </c>
      <c r="D55" s="3" t="s">
        <v>22</v>
      </c>
      <c r="E55" s="4">
        <v>45665</v>
      </c>
      <c r="F55" s="5">
        <v>104.5956825</v>
      </c>
      <c r="G55" s="6">
        <v>7.40327E-3</v>
      </c>
      <c r="H55" s="109"/>
    </row>
    <row r="56" spans="1:8" ht="17.100000000000001" customHeight="1" x14ac:dyDescent="0.2">
      <c r="A56" s="100">
        <v>50</v>
      </c>
      <c r="B56" s="3" t="s">
        <v>416</v>
      </c>
      <c r="C56" s="3" t="s">
        <v>417</v>
      </c>
      <c r="D56" s="3" t="s">
        <v>115</v>
      </c>
      <c r="E56" s="4">
        <v>20567</v>
      </c>
      <c r="F56" s="5">
        <v>103.9970355</v>
      </c>
      <c r="G56" s="6">
        <v>7.3608900000000001E-3</v>
      </c>
      <c r="H56" s="109"/>
    </row>
    <row r="57" spans="1:8" ht="29.1" customHeight="1" x14ac:dyDescent="0.2">
      <c r="A57" s="100">
        <v>51</v>
      </c>
      <c r="B57" s="3" t="s">
        <v>452</v>
      </c>
      <c r="C57" s="3" t="s">
        <v>453</v>
      </c>
      <c r="D57" s="3" t="s">
        <v>392</v>
      </c>
      <c r="E57" s="4">
        <v>28411</v>
      </c>
      <c r="F57" s="5">
        <v>100.432885</v>
      </c>
      <c r="G57" s="6">
        <v>7.1086200000000004E-3</v>
      </c>
      <c r="H57" s="109"/>
    </row>
    <row r="58" spans="1:8" ht="17.100000000000001" customHeight="1" x14ac:dyDescent="0.2">
      <c r="A58" s="100">
        <v>52</v>
      </c>
      <c r="B58" s="3" t="s">
        <v>388</v>
      </c>
      <c r="C58" s="3" t="s">
        <v>389</v>
      </c>
      <c r="D58" s="3" t="s">
        <v>115</v>
      </c>
      <c r="E58" s="4">
        <v>23119</v>
      </c>
      <c r="F58" s="5">
        <v>94.626067000000006</v>
      </c>
      <c r="G58" s="6">
        <v>6.6976199999999996E-3</v>
      </c>
      <c r="H58" s="109"/>
    </row>
    <row r="59" spans="1:8" ht="17.100000000000001" customHeight="1" x14ac:dyDescent="0.2">
      <c r="A59" s="100">
        <v>53</v>
      </c>
      <c r="B59" s="3" t="s">
        <v>386</v>
      </c>
      <c r="C59" s="3" t="s">
        <v>387</v>
      </c>
      <c r="D59" s="3" t="s">
        <v>228</v>
      </c>
      <c r="E59" s="4">
        <v>15093</v>
      </c>
      <c r="F59" s="5">
        <v>89.486396999999997</v>
      </c>
      <c r="G59" s="6">
        <v>6.3338300000000004E-3</v>
      </c>
      <c r="H59" s="109"/>
    </row>
    <row r="60" spans="1:8" ht="17.100000000000001" customHeight="1" x14ac:dyDescent="0.2">
      <c r="A60" s="100">
        <v>54</v>
      </c>
      <c r="B60" s="3" t="s">
        <v>437</v>
      </c>
      <c r="C60" s="3" t="s">
        <v>438</v>
      </c>
      <c r="D60" s="3" t="s">
        <v>115</v>
      </c>
      <c r="E60" s="4">
        <v>5957</v>
      </c>
      <c r="F60" s="5">
        <v>85.560390999999996</v>
      </c>
      <c r="G60" s="6">
        <v>6.05595E-3</v>
      </c>
      <c r="H60" s="109"/>
    </row>
    <row r="61" spans="1:8" ht="29.1" customHeight="1" x14ac:dyDescent="0.2">
      <c r="A61" s="100">
        <v>55</v>
      </c>
      <c r="B61" s="3" t="s">
        <v>477</v>
      </c>
      <c r="C61" s="3" t="s">
        <v>478</v>
      </c>
      <c r="D61" s="3" t="s">
        <v>221</v>
      </c>
      <c r="E61" s="4">
        <v>2024</v>
      </c>
      <c r="F61" s="5">
        <v>76.794607999999997</v>
      </c>
      <c r="G61" s="6">
        <v>5.4355100000000002E-3</v>
      </c>
      <c r="H61" s="109"/>
    </row>
    <row r="62" spans="1:8" ht="17.100000000000001" customHeight="1" x14ac:dyDescent="0.2">
      <c r="A62" s="100">
        <v>56</v>
      </c>
      <c r="B62" s="3" t="s">
        <v>377</v>
      </c>
      <c r="C62" s="3" t="s">
        <v>378</v>
      </c>
      <c r="D62" s="3" t="s">
        <v>13</v>
      </c>
      <c r="E62" s="4">
        <v>97039</v>
      </c>
      <c r="F62" s="5">
        <v>72.342574499999998</v>
      </c>
      <c r="G62" s="6">
        <v>5.1203999999999998E-3</v>
      </c>
      <c r="H62" s="109"/>
    </row>
    <row r="63" spans="1:8" ht="17.100000000000001" customHeight="1" x14ac:dyDescent="0.2">
      <c r="A63" s="100">
        <v>57</v>
      </c>
      <c r="B63" s="3" t="s">
        <v>428</v>
      </c>
      <c r="C63" s="3" t="s">
        <v>429</v>
      </c>
      <c r="D63" s="3" t="s">
        <v>213</v>
      </c>
      <c r="E63" s="4">
        <v>9697</v>
      </c>
      <c r="F63" s="5">
        <v>70.676584500000004</v>
      </c>
      <c r="G63" s="6">
        <v>5.0024800000000001E-3</v>
      </c>
      <c r="H63" s="109"/>
    </row>
    <row r="64" spans="1:8" ht="29.1" customHeight="1" x14ac:dyDescent="0.2">
      <c r="A64" s="100">
        <v>58</v>
      </c>
      <c r="B64" s="3" t="s">
        <v>422</v>
      </c>
      <c r="C64" s="3" t="s">
        <v>423</v>
      </c>
      <c r="D64" s="3" t="s">
        <v>221</v>
      </c>
      <c r="E64" s="4">
        <v>1438</v>
      </c>
      <c r="F64" s="5">
        <v>67.255260000000007</v>
      </c>
      <c r="G64" s="6">
        <v>4.7603200000000002E-3</v>
      </c>
      <c r="H64" s="109"/>
    </row>
    <row r="65" spans="1:8" ht="17.100000000000001" customHeight="1" x14ac:dyDescent="0.2">
      <c r="A65" s="100">
        <v>59</v>
      </c>
      <c r="B65" s="3" t="s">
        <v>454</v>
      </c>
      <c r="C65" s="3" t="s">
        <v>455</v>
      </c>
      <c r="D65" s="3" t="s">
        <v>31</v>
      </c>
      <c r="E65" s="4">
        <v>7769</v>
      </c>
      <c r="F65" s="5">
        <v>65.007107500000004</v>
      </c>
      <c r="G65" s="6">
        <v>4.6011899999999998E-3</v>
      </c>
      <c r="H65" s="109"/>
    </row>
    <row r="66" spans="1:8" ht="29.1" customHeight="1" x14ac:dyDescent="0.2">
      <c r="A66" s="100">
        <v>60</v>
      </c>
      <c r="B66" s="3" t="s">
        <v>456</v>
      </c>
      <c r="C66" s="3" t="s">
        <v>457</v>
      </c>
      <c r="D66" s="3" t="s">
        <v>221</v>
      </c>
      <c r="E66" s="4">
        <v>23079</v>
      </c>
      <c r="F66" s="5">
        <v>58.8860685</v>
      </c>
      <c r="G66" s="6">
        <v>4.1679500000000001E-3</v>
      </c>
      <c r="H66" s="109"/>
    </row>
    <row r="67" spans="1:8" ht="17.100000000000001" customHeight="1" x14ac:dyDescent="0.2">
      <c r="A67" s="100">
        <v>61</v>
      </c>
      <c r="B67" s="3" t="s">
        <v>330</v>
      </c>
      <c r="C67" s="3" t="s">
        <v>331</v>
      </c>
      <c r="D67" s="3" t="s">
        <v>97</v>
      </c>
      <c r="E67" s="4">
        <v>72875</v>
      </c>
      <c r="F67" s="5">
        <v>46.78575</v>
      </c>
      <c r="G67" s="6">
        <v>3.3114899999999998E-3</v>
      </c>
      <c r="H67" s="109"/>
    </row>
    <row r="68" spans="1:8" ht="17.100000000000001" customHeight="1" x14ac:dyDescent="0.2">
      <c r="A68" s="100">
        <v>62</v>
      </c>
      <c r="B68" s="3" t="s">
        <v>395</v>
      </c>
      <c r="C68" s="3" t="s">
        <v>396</v>
      </c>
      <c r="D68" s="3" t="s">
        <v>115</v>
      </c>
      <c r="E68" s="4">
        <v>22129</v>
      </c>
      <c r="F68" s="5">
        <v>43.317517500000001</v>
      </c>
      <c r="G68" s="6">
        <v>3.0660100000000001E-3</v>
      </c>
      <c r="H68" s="109"/>
    </row>
    <row r="69" spans="1:8" ht="29.1" customHeight="1" x14ac:dyDescent="0.2">
      <c r="A69" s="100">
        <v>63</v>
      </c>
      <c r="B69" s="3" t="s">
        <v>320</v>
      </c>
      <c r="C69" s="3" t="s">
        <v>321</v>
      </c>
      <c r="D69" s="3" t="s">
        <v>188</v>
      </c>
      <c r="E69" s="4">
        <v>10835</v>
      </c>
      <c r="F69" s="5">
        <v>41.996459999999999</v>
      </c>
      <c r="G69" s="6">
        <v>2.9724999999999999E-3</v>
      </c>
      <c r="H69" s="109"/>
    </row>
    <row r="70" spans="1:8" ht="29.1" customHeight="1" x14ac:dyDescent="0.2">
      <c r="A70" s="100">
        <v>64</v>
      </c>
      <c r="B70" s="3" t="s">
        <v>458</v>
      </c>
      <c r="C70" s="3" t="s">
        <v>459</v>
      </c>
      <c r="D70" s="3" t="s">
        <v>129</v>
      </c>
      <c r="E70" s="4">
        <v>6615</v>
      </c>
      <c r="F70" s="5">
        <v>28.82817</v>
      </c>
      <c r="G70" s="6">
        <v>2.0404500000000001E-3</v>
      </c>
      <c r="H70" s="109"/>
    </row>
    <row r="71" spans="1:8" ht="14.1" customHeight="1" x14ac:dyDescent="0.2">
      <c r="A71" s="99"/>
      <c r="B71" s="1"/>
      <c r="C71" s="2" t="s">
        <v>135</v>
      </c>
      <c r="D71" s="1"/>
      <c r="E71" s="1" t="s">
        <v>136</v>
      </c>
      <c r="F71" s="8">
        <v>12005.879414499999</v>
      </c>
      <c r="G71" s="9">
        <v>0.84977413000000002</v>
      </c>
      <c r="H71" s="109"/>
    </row>
    <row r="72" spans="1:8" ht="14.1" customHeight="1" x14ac:dyDescent="0.2">
      <c r="A72" s="99"/>
      <c r="B72" s="1"/>
      <c r="C72" s="10"/>
      <c r="D72" s="1"/>
      <c r="E72" s="1"/>
      <c r="F72" s="11"/>
      <c r="G72" s="11"/>
      <c r="H72" s="109"/>
    </row>
    <row r="73" spans="1:8" ht="14.1" customHeight="1" x14ac:dyDescent="0.2">
      <c r="A73" s="99"/>
      <c r="B73" s="1"/>
      <c r="C73" s="2" t="s">
        <v>137</v>
      </c>
      <c r="D73" s="1"/>
      <c r="E73" s="1"/>
      <c r="F73" s="1"/>
      <c r="G73" s="1"/>
      <c r="H73" s="109"/>
    </row>
    <row r="74" spans="1:8" ht="14.1" customHeight="1" x14ac:dyDescent="0.2">
      <c r="A74" s="99"/>
      <c r="B74" s="1"/>
      <c r="C74" s="2" t="s">
        <v>135</v>
      </c>
      <c r="D74" s="1"/>
      <c r="E74" s="1" t="s">
        <v>136</v>
      </c>
      <c r="F74" s="115">
        <v>0</v>
      </c>
      <c r="G74" s="9">
        <v>0</v>
      </c>
      <c r="H74" s="109"/>
    </row>
    <row r="75" spans="1:8" ht="14.1" customHeight="1" x14ac:dyDescent="0.2">
      <c r="A75" s="99"/>
      <c r="B75" s="1"/>
      <c r="C75" s="10"/>
      <c r="D75" s="1"/>
      <c r="E75" s="1"/>
      <c r="F75" s="11"/>
      <c r="G75" s="11"/>
      <c r="H75" s="109"/>
    </row>
    <row r="76" spans="1:8" ht="14.1" customHeight="1" x14ac:dyDescent="0.2">
      <c r="A76" s="99"/>
      <c r="B76" s="1"/>
      <c r="C76" s="2" t="s">
        <v>138</v>
      </c>
      <c r="D76" s="1"/>
      <c r="E76" s="1"/>
      <c r="F76" s="1"/>
      <c r="G76" s="1"/>
      <c r="H76" s="109"/>
    </row>
    <row r="77" spans="1:8" ht="14.1" customHeight="1" x14ac:dyDescent="0.2">
      <c r="A77" s="99"/>
      <c r="B77" s="1"/>
      <c r="C77" s="2" t="s">
        <v>135</v>
      </c>
      <c r="D77" s="1"/>
      <c r="E77" s="1" t="s">
        <v>136</v>
      </c>
      <c r="F77" s="115">
        <v>0</v>
      </c>
      <c r="G77" s="9">
        <v>0</v>
      </c>
      <c r="H77" s="109"/>
    </row>
    <row r="78" spans="1:8" ht="14.1" customHeight="1" x14ac:dyDescent="0.2">
      <c r="A78" s="99"/>
      <c r="B78" s="1"/>
      <c r="C78" s="10"/>
      <c r="D78" s="1"/>
      <c r="E78" s="1"/>
      <c r="F78" s="11"/>
      <c r="G78" s="11"/>
      <c r="H78" s="109"/>
    </row>
    <row r="79" spans="1:8" ht="14.1" customHeight="1" x14ac:dyDescent="0.2">
      <c r="A79" s="99"/>
      <c r="B79" s="1"/>
      <c r="C79" s="2" t="s">
        <v>139</v>
      </c>
      <c r="D79" s="1"/>
      <c r="E79" s="1"/>
      <c r="F79" s="1"/>
      <c r="G79" s="1"/>
      <c r="H79" s="109"/>
    </row>
    <row r="80" spans="1:8" ht="14.1" customHeight="1" x14ac:dyDescent="0.2">
      <c r="A80" s="99"/>
      <c r="B80" s="1"/>
      <c r="C80" s="2" t="s">
        <v>135</v>
      </c>
      <c r="D80" s="1"/>
      <c r="E80" s="1" t="s">
        <v>136</v>
      </c>
      <c r="F80" s="115">
        <v>0</v>
      </c>
      <c r="G80" s="9">
        <v>0</v>
      </c>
      <c r="H80" s="109"/>
    </row>
    <row r="81" spans="1:8" ht="14.1" customHeight="1" x14ac:dyDescent="0.2">
      <c r="A81" s="99"/>
      <c r="B81" s="1"/>
      <c r="C81" s="10"/>
      <c r="D81" s="1"/>
      <c r="E81" s="1"/>
      <c r="F81" s="11"/>
      <c r="G81" s="11"/>
      <c r="H81" s="109"/>
    </row>
    <row r="82" spans="1:8" ht="14.1" customHeight="1" x14ac:dyDescent="0.2">
      <c r="A82" s="99"/>
      <c r="B82" s="1"/>
      <c r="C82" s="2" t="s">
        <v>140</v>
      </c>
      <c r="D82" s="1"/>
      <c r="E82" s="1"/>
      <c r="F82" s="11"/>
      <c r="G82" s="11"/>
      <c r="H82" s="109"/>
    </row>
    <row r="83" spans="1:8" ht="14.1" customHeight="1" x14ac:dyDescent="0.2">
      <c r="A83" s="99"/>
      <c r="B83" s="1"/>
      <c r="C83" s="2" t="s">
        <v>135</v>
      </c>
      <c r="D83" s="1"/>
      <c r="E83" s="1" t="s">
        <v>136</v>
      </c>
      <c r="F83" s="115">
        <v>0</v>
      </c>
      <c r="G83" s="9">
        <v>0</v>
      </c>
      <c r="H83" s="109"/>
    </row>
    <row r="84" spans="1:8" ht="14.1" customHeight="1" x14ac:dyDescent="0.2">
      <c r="A84" s="99"/>
      <c r="B84" s="1"/>
      <c r="C84" s="10"/>
      <c r="D84" s="1"/>
      <c r="E84" s="1"/>
      <c r="F84" s="11"/>
      <c r="G84" s="11"/>
      <c r="H84" s="109"/>
    </row>
    <row r="85" spans="1:8" ht="14.1" customHeight="1" x14ac:dyDescent="0.2">
      <c r="A85" s="99"/>
      <c r="B85" s="1"/>
      <c r="C85" s="2" t="s">
        <v>141</v>
      </c>
      <c r="D85" s="1"/>
      <c r="E85" s="1"/>
      <c r="F85" s="11"/>
      <c r="G85" s="11"/>
      <c r="H85" s="109"/>
    </row>
    <row r="86" spans="1:8" ht="14.1" customHeight="1" x14ac:dyDescent="0.2">
      <c r="A86" s="99"/>
      <c r="B86" s="1"/>
      <c r="C86" s="2" t="s">
        <v>135</v>
      </c>
      <c r="D86" s="1"/>
      <c r="E86" s="1" t="s">
        <v>136</v>
      </c>
      <c r="F86" s="115">
        <v>0</v>
      </c>
      <c r="G86" s="9">
        <v>0</v>
      </c>
      <c r="H86" s="109"/>
    </row>
    <row r="87" spans="1:8" ht="14.1" customHeight="1" x14ac:dyDescent="0.2">
      <c r="A87" s="99"/>
      <c r="B87" s="1"/>
      <c r="C87" s="10"/>
      <c r="D87" s="1"/>
      <c r="E87" s="1"/>
      <c r="F87" s="11"/>
      <c r="G87" s="11"/>
      <c r="H87" s="109"/>
    </row>
    <row r="88" spans="1:8" ht="18" customHeight="1" x14ac:dyDescent="0.2">
      <c r="A88" s="99"/>
      <c r="B88" s="1"/>
      <c r="C88" s="2" t="s">
        <v>142</v>
      </c>
      <c r="D88" s="1"/>
      <c r="E88" s="1"/>
      <c r="F88" s="8">
        <v>12005.879414499999</v>
      </c>
      <c r="G88" s="9">
        <v>0.84977413000000002</v>
      </c>
      <c r="H88" s="109"/>
    </row>
    <row r="89" spans="1:8" ht="14.1" customHeight="1" x14ac:dyDescent="0.2">
      <c r="A89" s="99"/>
      <c r="B89" s="1"/>
      <c r="C89" s="10"/>
      <c r="D89" s="1"/>
      <c r="E89" s="1"/>
      <c r="F89" s="11"/>
      <c r="G89" s="11"/>
      <c r="H89" s="109"/>
    </row>
    <row r="90" spans="1:8" ht="14.1" customHeight="1" x14ac:dyDescent="0.2">
      <c r="A90" s="99"/>
      <c r="B90" s="1"/>
      <c r="C90" s="2" t="s">
        <v>143</v>
      </c>
      <c r="D90" s="1"/>
      <c r="E90" s="1"/>
      <c r="F90" s="11"/>
      <c r="G90" s="11"/>
      <c r="H90" s="109"/>
    </row>
    <row r="91" spans="1:8" ht="24" customHeight="1" x14ac:dyDescent="0.2">
      <c r="A91" s="99"/>
      <c r="B91" s="1"/>
      <c r="C91" s="2" t="s">
        <v>10</v>
      </c>
      <c r="D91" s="1"/>
      <c r="E91" s="1"/>
      <c r="F91" s="11"/>
      <c r="G91" s="11"/>
      <c r="H91" s="109"/>
    </row>
    <row r="92" spans="1:8" ht="14.1" customHeight="1" x14ac:dyDescent="0.2">
      <c r="A92" s="99"/>
      <c r="B92" s="1"/>
      <c r="C92" s="2" t="s">
        <v>135</v>
      </c>
      <c r="D92" s="1"/>
      <c r="E92" s="1" t="s">
        <v>136</v>
      </c>
      <c r="F92" s="115">
        <v>0</v>
      </c>
      <c r="G92" s="9">
        <v>0</v>
      </c>
      <c r="H92" s="109"/>
    </row>
    <row r="93" spans="1:8" ht="14.1" customHeight="1" x14ac:dyDescent="0.2">
      <c r="A93" s="99"/>
      <c r="B93" s="1"/>
      <c r="C93" s="10"/>
      <c r="D93" s="1"/>
      <c r="E93" s="1"/>
      <c r="F93" s="11"/>
      <c r="G93" s="11"/>
      <c r="H93" s="109"/>
    </row>
    <row r="94" spans="1:8" ht="14.1" customHeight="1" x14ac:dyDescent="0.2">
      <c r="A94" s="99"/>
      <c r="B94" s="1"/>
      <c r="C94" s="2" t="s">
        <v>144</v>
      </c>
      <c r="D94" s="1"/>
      <c r="E94" s="1"/>
      <c r="F94" s="1"/>
      <c r="G94" s="1"/>
      <c r="H94" s="109"/>
    </row>
    <row r="95" spans="1:8" ht="14.1" customHeight="1" x14ac:dyDescent="0.2">
      <c r="A95" s="99"/>
      <c r="B95" s="1"/>
      <c r="C95" s="2" t="s">
        <v>135</v>
      </c>
      <c r="D95" s="1"/>
      <c r="E95" s="1" t="s">
        <v>136</v>
      </c>
      <c r="F95" s="115">
        <v>0</v>
      </c>
      <c r="G95" s="9">
        <v>0</v>
      </c>
      <c r="H95" s="109"/>
    </row>
    <row r="96" spans="1:8" ht="14.1" customHeight="1" x14ac:dyDescent="0.2">
      <c r="A96" s="99"/>
      <c r="B96" s="1"/>
      <c r="C96" s="10"/>
      <c r="D96" s="1"/>
      <c r="E96" s="1"/>
      <c r="F96" s="11"/>
      <c r="G96" s="11"/>
      <c r="H96" s="109"/>
    </row>
    <row r="97" spans="1:8" ht="14.1" customHeight="1" x14ac:dyDescent="0.2">
      <c r="A97" s="99"/>
      <c r="B97" s="1"/>
      <c r="C97" s="2" t="s">
        <v>145</v>
      </c>
      <c r="D97" s="1"/>
      <c r="E97" s="1"/>
      <c r="F97" s="1"/>
      <c r="G97" s="1"/>
      <c r="H97" s="109"/>
    </row>
    <row r="98" spans="1:8" ht="14.1" customHeight="1" x14ac:dyDescent="0.2">
      <c r="A98" s="99"/>
      <c r="B98" s="1"/>
      <c r="C98" s="2" t="s">
        <v>135</v>
      </c>
      <c r="D98" s="1"/>
      <c r="E98" s="1" t="s">
        <v>136</v>
      </c>
      <c r="F98" s="115">
        <v>0</v>
      </c>
      <c r="G98" s="9">
        <v>0</v>
      </c>
      <c r="H98" s="109"/>
    </row>
    <row r="99" spans="1:8" ht="14.1" customHeight="1" x14ac:dyDescent="0.2">
      <c r="A99" s="99"/>
      <c r="B99" s="1"/>
      <c r="C99" s="10"/>
      <c r="D99" s="1"/>
      <c r="E99" s="1"/>
      <c r="F99" s="11"/>
      <c r="G99" s="11"/>
      <c r="H99" s="109"/>
    </row>
    <row r="100" spans="1:8" ht="14.1" customHeight="1" x14ac:dyDescent="0.2">
      <c r="A100" s="99"/>
      <c r="B100" s="1"/>
      <c r="C100" s="2" t="s">
        <v>146</v>
      </c>
      <c r="D100" s="1"/>
      <c r="E100" s="1"/>
      <c r="F100" s="11"/>
      <c r="G100" s="11"/>
      <c r="H100" s="109"/>
    </row>
    <row r="101" spans="1:8" ht="14.1" customHeight="1" x14ac:dyDescent="0.2">
      <c r="A101" s="99"/>
      <c r="B101" s="1"/>
      <c r="C101" s="2" t="s">
        <v>135</v>
      </c>
      <c r="D101" s="1"/>
      <c r="E101" s="1" t="s">
        <v>136</v>
      </c>
      <c r="F101" s="115">
        <v>0</v>
      </c>
      <c r="G101" s="9">
        <v>0</v>
      </c>
      <c r="H101" s="109"/>
    </row>
    <row r="102" spans="1:8" ht="14.1" customHeight="1" x14ac:dyDescent="0.2">
      <c r="A102" s="99"/>
      <c r="B102" s="1"/>
      <c r="C102" s="10"/>
      <c r="D102" s="1"/>
      <c r="E102" s="1"/>
      <c r="F102" s="11"/>
      <c r="G102" s="11"/>
      <c r="H102" s="109"/>
    </row>
    <row r="103" spans="1:8" ht="14.1" customHeight="1" x14ac:dyDescent="0.2">
      <c r="A103" s="99"/>
      <c r="B103" s="1"/>
      <c r="C103" s="2" t="s">
        <v>147</v>
      </c>
      <c r="D103" s="1"/>
      <c r="E103" s="1"/>
      <c r="F103" s="8">
        <v>0</v>
      </c>
      <c r="G103" s="9">
        <v>0</v>
      </c>
      <c r="H103" s="109"/>
    </row>
    <row r="104" spans="1:8" ht="14.1" customHeight="1" x14ac:dyDescent="0.2">
      <c r="A104" s="99"/>
      <c r="B104" s="1"/>
      <c r="C104" s="10"/>
      <c r="D104" s="1"/>
      <c r="E104" s="1"/>
      <c r="F104" s="11"/>
      <c r="G104" s="11"/>
      <c r="H104" s="109"/>
    </row>
    <row r="105" spans="1:8" ht="14.1" customHeight="1" x14ac:dyDescent="0.2">
      <c r="A105" s="99"/>
      <c r="B105" s="1"/>
      <c r="C105" s="2" t="s">
        <v>148</v>
      </c>
      <c r="D105" s="1"/>
      <c r="E105" s="1"/>
      <c r="F105" s="11"/>
      <c r="G105" s="11"/>
      <c r="H105" s="109"/>
    </row>
    <row r="106" spans="1:8" ht="14.1" customHeight="1" x14ac:dyDescent="0.2">
      <c r="A106" s="99"/>
      <c r="B106" s="1"/>
      <c r="C106" s="2" t="s">
        <v>149</v>
      </c>
      <c r="D106" s="1"/>
      <c r="E106" s="1"/>
      <c r="F106" s="11"/>
      <c r="G106" s="11"/>
      <c r="H106" s="109"/>
    </row>
    <row r="107" spans="1:8" ht="14.1" customHeight="1" x14ac:dyDescent="0.2">
      <c r="A107" s="99"/>
      <c r="B107" s="1"/>
      <c r="C107" s="2" t="s">
        <v>135</v>
      </c>
      <c r="D107" s="1"/>
      <c r="E107" s="1" t="s">
        <v>136</v>
      </c>
      <c r="F107" s="115">
        <v>0</v>
      </c>
      <c r="G107" s="9">
        <v>0</v>
      </c>
      <c r="H107" s="109"/>
    </row>
    <row r="108" spans="1:8" ht="14.1" customHeight="1" x14ac:dyDescent="0.2">
      <c r="A108" s="99"/>
      <c r="B108" s="1"/>
      <c r="C108" s="10"/>
      <c r="D108" s="1"/>
      <c r="E108" s="1"/>
      <c r="F108" s="11"/>
      <c r="G108" s="11"/>
      <c r="H108" s="109"/>
    </row>
    <row r="109" spans="1:8" ht="14.1" customHeight="1" x14ac:dyDescent="0.2">
      <c r="A109" s="99"/>
      <c r="B109" s="1"/>
      <c r="C109" s="2" t="s">
        <v>150</v>
      </c>
      <c r="D109" s="1"/>
      <c r="E109" s="1"/>
      <c r="F109" s="11"/>
      <c r="G109" s="11"/>
      <c r="H109" s="109"/>
    </row>
    <row r="110" spans="1:8" ht="14.1" customHeight="1" x14ac:dyDescent="0.2">
      <c r="A110" s="99"/>
      <c r="B110" s="1"/>
      <c r="C110" s="2" t="s">
        <v>135</v>
      </c>
      <c r="D110" s="1"/>
      <c r="E110" s="1" t="s">
        <v>136</v>
      </c>
      <c r="F110" s="115">
        <v>0</v>
      </c>
      <c r="G110" s="9">
        <v>0</v>
      </c>
      <c r="H110" s="109"/>
    </row>
    <row r="111" spans="1:8" ht="14.1" customHeight="1" x14ac:dyDescent="0.2">
      <c r="A111" s="99"/>
      <c r="B111" s="1"/>
      <c r="C111" s="10"/>
      <c r="D111" s="1"/>
      <c r="E111" s="1"/>
      <c r="F111" s="11"/>
      <c r="G111" s="11"/>
      <c r="H111" s="109"/>
    </row>
    <row r="112" spans="1:8" ht="14.1" customHeight="1" x14ac:dyDescent="0.2">
      <c r="A112" s="99"/>
      <c r="B112" s="1"/>
      <c r="C112" s="2" t="s">
        <v>151</v>
      </c>
      <c r="D112" s="1"/>
      <c r="E112" s="1"/>
      <c r="F112" s="11"/>
      <c r="G112" s="11"/>
      <c r="H112" s="109"/>
    </row>
    <row r="113" spans="1:8" ht="14.1" customHeight="1" x14ac:dyDescent="0.2">
      <c r="A113" s="99"/>
      <c r="B113" s="1"/>
      <c r="C113" s="2" t="s">
        <v>135</v>
      </c>
      <c r="D113" s="1"/>
      <c r="E113" s="1" t="s">
        <v>136</v>
      </c>
      <c r="F113" s="115">
        <v>0</v>
      </c>
      <c r="G113" s="9">
        <v>0</v>
      </c>
      <c r="H113" s="109"/>
    </row>
    <row r="114" spans="1:8" ht="14.1" customHeight="1" x14ac:dyDescent="0.2">
      <c r="A114" s="99"/>
      <c r="B114" s="1"/>
      <c r="C114" s="10"/>
      <c r="D114" s="1"/>
      <c r="E114" s="1"/>
      <c r="F114" s="11"/>
      <c r="G114" s="11"/>
      <c r="H114" s="109"/>
    </row>
    <row r="115" spans="1:8" ht="14.1" customHeight="1" x14ac:dyDescent="0.2">
      <c r="A115" s="99"/>
      <c r="B115" s="1"/>
      <c r="C115" s="2" t="s">
        <v>152</v>
      </c>
      <c r="D115" s="1"/>
      <c r="E115" s="1"/>
      <c r="F115" s="11"/>
      <c r="G115" s="11"/>
      <c r="H115" s="109"/>
    </row>
    <row r="116" spans="1:8" ht="17.100000000000001" customHeight="1" x14ac:dyDescent="0.2">
      <c r="A116" s="100">
        <v>1</v>
      </c>
      <c r="B116" s="3"/>
      <c r="C116" s="3" t="s">
        <v>153</v>
      </c>
      <c r="D116" s="3"/>
      <c r="E116" s="7"/>
      <c r="F116" s="5">
        <v>2120.4948660079999</v>
      </c>
      <c r="G116" s="6">
        <v>0.15008827</v>
      </c>
      <c r="H116" s="109">
        <v>6.6015165706411798</v>
      </c>
    </row>
    <row r="117" spans="1:8" ht="14.1" customHeight="1" x14ac:dyDescent="0.2">
      <c r="A117" s="99"/>
      <c r="B117" s="1"/>
      <c r="C117" s="2" t="s">
        <v>135</v>
      </c>
      <c r="D117" s="1"/>
      <c r="E117" s="1" t="s">
        <v>136</v>
      </c>
      <c r="F117" s="8">
        <v>2120.4948660079999</v>
      </c>
      <c r="G117" s="9">
        <v>0.15008827</v>
      </c>
      <c r="H117" s="109"/>
    </row>
    <row r="118" spans="1:8" ht="14.1" customHeight="1" x14ac:dyDescent="0.2">
      <c r="A118" s="99"/>
      <c r="B118" s="1"/>
      <c r="C118" s="10"/>
      <c r="D118" s="1"/>
      <c r="E118" s="1"/>
      <c r="F118" s="11"/>
      <c r="G118" s="11"/>
      <c r="H118" s="109"/>
    </row>
    <row r="119" spans="1:8" ht="14.1" customHeight="1" x14ac:dyDescent="0.2">
      <c r="A119" s="99"/>
      <c r="B119" s="1"/>
      <c r="C119" s="2" t="s">
        <v>154</v>
      </c>
      <c r="D119" s="1"/>
      <c r="E119" s="1"/>
      <c r="F119" s="8">
        <v>2120.4948660079999</v>
      </c>
      <c r="G119" s="9">
        <v>0.15008827</v>
      </c>
      <c r="H119" s="109"/>
    </row>
    <row r="120" spans="1:8" ht="14.1" customHeight="1" x14ac:dyDescent="0.2">
      <c r="A120" s="99"/>
      <c r="B120" s="1"/>
      <c r="C120" s="11"/>
      <c r="D120" s="1"/>
      <c r="E120" s="1"/>
      <c r="F120" s="1"/>
      <c r="G120" s="1"/>
      <c r="H120" s="109"/>
    </row>
    <row r="121" spans="1:8" ht="14.1" customHeight="1" x14ac:dyDescent="0.2">
      <c r="A121" s="99"/>
      <c r="B121" s="1"/>
      <c r="C121" s="2" t="s">
        <v>155</v>
      </c>
      <c r="D121" s="1"/>
      <c r="E121" s="1"/>
      <c r="F121" s="1"/>
      <c r="G121" s="1"/>
      <c r="H121" s="109"/>
    </row>
    <row r="122" spans="1:8" ht="14.1" customHeight="1" x14ac:dyDescent="0.2">
      <c r="A122" s="99"/>
      <c r="B122" s="1"/>
      <c r="C122" s="2" t="s">
        <v>156</v>
      </c>
      <c r="D122" s="1"/>
      <c r="E122" s="1"/>
      <c r="F122" s="1"/>
      <c r="G122" s="1"/>
      <c r="H122" s="109"/>
    </row>
    <row r="123" spans="1:8" ht="14.1" customHeight="1" x14ac:dyDescent="0.2">
      <c r="A123" s="99"/>
      <c r="B123" s="1"/>
      <c r="C123" s="2" t="s">
        <v>135</v>
      </c>
      <c r="D123" s="1"/>
      <c r="E123" s="1" t="s">
        <v>136</v>
      </c>
      <c r="F123" s="115">
        <v>0</v>
      </c>
      <c r="G123" s="9">
        <v>0</v>
      </c>
      <c r="H123" s="109"/>
    </row>
    <row r="124" spans="1:8" ht="14.1" customHeight="1" x14ac:dyDescent="0.2">
      <c r="A124" s="99"/>
      <c r="B124" s="1"/>
      <c r="C124" s="10"/>
      <c r="D124" s="1"/>
      <c r="E124" s="1"/>
      <c r="F124" s="11"/>
      <c r="G124" s="11"/>
      <c r="H124" s="109"/>
    </row>
    <row r="125" spans="1:8" ht="14.1" customHeight="1" x14ac:dyDescent="0.2">
      <c r="A125" s="99"/>
      <c r="B125" s="1"/>
      <c r="C125" s="2" t="s">
        <v>157</v>
      </c>
      <c r="D125" s="1"/>
      <c r="E125" s="1"/>
      <c r="F125" s="1"/>
      <c r="G125" s="1"/>
      <c r="H125" s="109"/>
    </row>
    <row r="126" spans="1:8" ht="14.1" customHeight="1" x14ac:dyDescent="0.2">
      <c r="A126" s="99"/>
      <c r="B126" s="1"/>
      <c r="C126" s="2" t="s">
        <v>158</v>
      </c>
      <c r="D126" s="1"/>
      <c r="E126" s="1"/>
      <c r="F126" s="1"/>
      <c r="G126" s="1"/>
      <c r="H126" s="109"/>
    </row>
    <row r="127" spans="1:8" ht="14.1" customHeight="1" x14ac:dyDescent="0.2">
      <c r="A127" s="99"/>
      <c r="B127" s="1"/>
      <c r="C127" s="2" t="s">
        <v>135</v>
      </c>
      <c r="D127" s="1"/>
      <c r="E127" s="1" t="s">
        <v>136</v>
      </c>
      <c r="F127" s="115">
        <v>0</v>
      </c>
      <c r="G127" s="9">
        <v>0</v>
      </c>
      <c r="H127" s="109"/>
    </row>
    <row r="128" spans="1:8" ht="14.1" customHeight="1" x14ac:dyDescent="0.2">
      <c r="A128" s="99"/>
      <c r="B128" s="1"/>
      <c r="C128" s="10"/>
      <c r="D128" s="1"/>
      <c r="E128" s="1"/>
      <c r="F128" s="11"/>
      <c r="G128" s="11"/>
      <c r="H128" s="109"/>
    </row>
    <row r="129" spans="1:8" ht="24" customHeight="1" x14ac:dyDescent="0.2">
      <c r="A129" s="99"/>
      <c r="B129" s="1"/>
      <c r="C129" s="2" t="s">
        <v>159</v>
      </c>
      <c r="D129" s="1"/>
      <c r="E129" s="1"/>
      <c r="F129" s="11"/>
      <c r="G129" s="11"/>
      <c r="H129" s="109"/>
    </row>
    <row r="130" spans="1:8" ht="14.1" customHeight="1" x14ac:dyDescent="0.2">
      <c r="A130" s="99"/>
      <c r="B130" s="1"/>
      <c r="C130" s="2" t="s">
        <v>135</v>
      </c>
      <c r="D130" s="1"/>
      <c r="E130" s="1" t="s">
        <v>136</v>
      </c>
      <c r="F130" s="115">
        <v>0</v>
      </c>
      <c r="G130" s="9">
        <v>0</v>
      </c>
      <c r="H130" s="109"/>
    </row>
    <row r="131" spans="1:8" ht="14.1" customHeight="1" x14ac:dyDescent="0.2">
      <c r="A131" s="99"/>
      <c r="B131" s="1"/>
      <c r="C131" s="10"/>
      <c r="D131" s="1"/>
      <c r="E131" s="1"/>
      <c r="F131" s="11"/>
      <c r="G131" s="11"/>
      <c r="H131" s="109"/>
    </row>
    <row r="132" spans="1:8" ht="14.1" customHeight="1" x14ac:dyDescent="0.2">
      <c r="A132" s="99"/>
      <c r="B132" s="3"/>
      <c r="C132" s="3"/>
      <c r="D132" s="2"/>
      <c r="E132" s="1"/>
      <c r="F132" s="3"/>
      <c r="G132" s="7"/>
      <c r="H132" s="109"/>
    </row>
    <row r="133" spans="1:8" ht="18" customHeight="1" x14ac:dyDescent="0.2">
      <c r="A133" s="101"/>
      <c r="B133" s="3"/>
      <c r="C133" s="3" t="s">
        <v>160</v>
      </c>
      <c r="D133" s="3"/>
      <c r="E133" s="7"/>
      <c r="F133" s="5">
        <v>1.94450521</v>
      </c>
      <c r="G133" s="6">
        <v>1.3763E-4</v>
      </c>
      <c r="H133" s="109"/>
    </row>
    <row r="134" spans="1:8" ht="14.1" customHeight="1" x14ac:dyDescent="0.2">
      <c r="A134" s="102"/>
      <c r="B134" s="10"/>
      <c r="C134" s="2" t="s">
        <v>161</v>
      </c>
      <c r="D134" s="11"/>
      <c r="E134" s="11"/>
      <c r="F134" s="8">
        <v>14128.318785718</v>
      </c>
      <c r="G134" s="12">
        <v>1.00000003</v>
      </c>
      <c r="H134" s="109"/>
    </row>
    <row r="135" spans="1:8" ht="14.1" customHeight="1" x14ac:dyDescent="0.2">
      <c r="A135" s="13"/>
      <c r="B135" s="13"/>
      <c r="C135" s="13"/>
      <c r="D135" s="14"/>
      <c r="E135" s="14"/>
      <c r="F135" s="14"/>
      <c r="G135" s="14"/>
    </row>
    <row r="136" spans="1:8" ht="14.1" customHeight="1" x14ac:dyDescent="0.2">
      <c r="A136" s="15"/>
      <c r="B136" s="15"/>
      <c r="C136" s="15"/>
      <c r="D136" s="17"/>
      <c r="E136" s="17"/>
      <c r="F136" s="17"/>
      <c r="G136" s="17"/>
    </row>
    <row r="137" spans="1:8" ht="14.1" customHeight="1" x14ac:dyDescent="0.2">
      <c r="A137" s="15"/>
      <c r="B137" s="194" t="s">
        <v>163</v>
      </c>
      <c r="C137" s="195"/>
      <c r="D137" s="196"/>
      <c r="E137" s="18"/>
      <c r="F137" s="17"/>
      <c r="G137" s="17"/>
    </row>
    <row r="138" spans="1:8" ht="29.1" customHeight="1" x14ac:dyDescent="0.2">
      <c r="A138" s="15"/>
      <c r="B138" s="191" t="s">
        <v>164</v>
      </c>
      <c r="C138" s="192"/>
      <c r="D138" s="2" t="s">
        <v>165</v>
      </c>
      <c r="E138" s="18"/>
      <c r="F138" s="17"/>
      <c r="G138" s="17"/>
    </row>
    <row r="139" spans="1:8" ht="17.100000000000001" customHeight="1" x14ac:dyDescent="0.2">
      <c r="A139" s="15"/>
      <c r="B139" s="191" t="s">
        <v>166</v>
      </c>
      <c r="C139" s="192"/>
      <c r="D139" s="2" t="s">
        <v>165</v>
      </c>
      <c r="E139" s="18"/>
      <c r="F139" s="17"/>
      <c r="G139" s="17"/>
    </row>
    <row r="140" spans="1:8" ht="17.100000000000001" customHeight="1" x14ac:dyDescent="0.2">
      <c r="A140" s="15"/>
      <c r="B140" s="191" t="s">
        <v>167</v>
      </c>
      <c r="C140" s="192"/>
      <c r="D140" s="11" t="s">
        <v>136</v>
      </c>
      <c r="E140" s="18"/>
      <c r="F140" s="17"/>
      <c r="G140" s="17"/>
    </row>
    <row r="141" spans="1:8" ht="24" customHeight="1" x14ac:dyDescent="0.2">
      <c r="A141" s="19"/>
      <c r="B141" s="20" t="s">
        <v>136</v>
      </c>
      <c r="C141" s="20" t="s">
        <v>168</v>
      </c>
      <c r="D141" s="20" t="s">
        <v>169</v>
      </c>
      <c r="E141" s="19"/>
      <c r="F141" s="19"/>
      <c r="G141" s="19"/>
    </row>
    <row r="142" spans="1:8" ht="18" customHeight="1" x14ac:dyDescent="0.2">
      <c r="A142" s="19"/>
      <c r="B142" s="21" t="s">
        <v>170</v>
      </c>
      <c r="C142" s="20" t="s">
        <v>171</v>
      </c>
      <c r="D142" s="20" t="s">
        <v>172</v>
      </c>
      <c r="E142" s="19"/>
      <c r="F142" s="19"/>
      <c r="G142" s="19"/>
    </row>
    <row r="143" spans="1:8" ht="17.100000000000001" customHeight="1" x14ac:dyDescent="0.2">
      <c r="A143" s="19"/>
      <c r="B143" s="3" t="s">
        <v>173</v>
      </c>
      <c r="C143" s="22">
        <v>22.347300000000001</v>
      </c>
      <c r="D143" s="22">
        <v>22.323699999999999</v>
      </c>
      <c r="E143" s="19"/>
      <c r="F143" s="16"/>
      <c r="G143" s="23"/>
    </row>
    <row r="144" spans="1:8" ht="17.100000000000001" customHeight="1" x14ac:dyDescent="0.2">
      <c r="A144" s="19"/>
      <c r="B144" s="3" t="s">
        <v>994</v>
      </c>
      <c r="C144" s="22">
        <v>20.975200000000001</v>
      </c>
      <c r="D144" s="22">
        <v>20.952999999999999</v>
      </c>
      <c r="E144" s="19"/>
      <c r="F144" s="16"/>
      <c r="G144" s="23"/>
    </row>
    <row r="145" spans="1:14" ht="17.100000000000001" customHeight="1" x14ac:dyDescent="0.2">
      <c r="A145" s="19"/>
      <c r="B145" s="3" t="s">
        <v>174</v>
      </c>
      <c r="C145" s="22">
        <v>21.908000000000001</v>
      </c>
      <c r="D145" s="22">
        <v>21.877800000000001</v>
      </c>
      <c r="E145" s="19"/>
      <c r="F145" s="16"/>
      <c r="G145" s="23"/>
    </row>
    <row r="146" spans="1:14" ht="17.100000000000001" customHeight="1" x14ac:dyDescent="0.2">
      <c r="A146" s="19"/>
      <c r="B146" s="3" t="s">
        <v>995</v>
      </c>
      <c r="C146" s="22">
        <v>20.5456</v>
      </c>
      <c r="D146" s="22">
        <v>20.517299999999999</v>
      </c>
      <c r="E146" s="19"/>
      <c r="F146" s="16"/>
      <c r="G146" s="23"/>
    </row>
    <row r="147" spans="1:14" ht="14.1" customHeight="1" x14ac:dyDescent="0.2">
      <c r="A147" s="19"/>
      <c r="B147" s="19"/>
      <c r="C147" s="19"/>
      <c r="D147" s="19"/>
      <c r="E147" s="19"/>
      <c r="F147" s="19"/>
      <c r="G147" s="19"/>
    </row>
    <row r="148" spans="1:14" ht="17.100000000000001" customHeight="1" x14ac:dyDescent="0.2">
      <c r="A148" s="19"/>
      <c r="B148" s="191" t="s">
        <v>1044</v>
      </c>
      <c r="C148" s="192"/>
      <c r="D148" s="2" t="s">
        <v>165</v>
      </c>
      <c r="E148" s="19"/>
      <c r="F148" s="19"/>
      <c r="G148" s="19"/>
    </row>
    <row r="149" spans="1:14" ht="18" customHeight="1" x14ac:dyDescent="0.2">
      <c r="A149" s="19"/>
      <c r="B149" s="24"/>
      <c r="C149" s="24"/>
      <c r="D149" s="24"/>
      <c r="E149" s="19"/>
      <c r="F149" s="19"/>
      <c r="G149" s="19"/>
    </row>
    <row r="150" spans="1:14" ht="29.1" customHeight="1" x14ac:dyDescent="0.2">
      <c r="A150" s="19"/>
      <c r="B150" s="191" t="s">
        <v>175</v>
      </c>
      <c r="C150" s="192"/>
      <c r="D150" s="2" t="s">
        <v>165</v>
      </c>
      <c r="E150" s="25"/>
      <c r="F150" s="19"/>
      <c r="G150" s="19"/>
    </row>
    <row r="151" spans="1:14" ht="29.1" customHeight="1" x14ac:dyDescent="0.2">
      <c r="A151" s="19"/>
      <c r="B151" s="191" t="s">
        <v>176</v>
      </c>
      <c r="C151" s="192"/>
      <c r="D151" s="2" t="s">
        <v>165</v>
      </c>
      <c r="E151" s="25"/>
      <c r="F151" s="19"/>
      <c r="G151" s="19"/>
    </row>
    <row r="152" spans="1:14" ht="17.100000000000001" customHeight="1" x14ac:dyDescent="0.2">
      <c r="A152" s="19"/>
      <c r="B152" s="191" t="s">
        <v>177</v>
      </c>
      <c r="C152" s="192"/>
      <c r="D152" s="2" t="s">
        <v>165</v>
      </c>
      <c r="E152" s="25"/>
      <c r="F152" s="19"/>
      <c r="G152" s="19"/>
    </row>
    <row r="153" spans="1:14" ht="17.100000000000001" customHeight="1" x14ac:dyDescent="0.2">
      <c r="A153" s="19"/>
      <c r="B153" s="191" t="s">
        <v>178</v>
      </c>
      <c r="C153" s="192"/>
      <c r="D153" s="26">
        <v>0.25803418709816134</v>
      </c>
      <c r="E153" s="19"/>
      <c r="F153" s="16"/>
      <c r="G153" s="23"/>
    </row>
    <row r="154" spans="1:14" ht="14.1" customHeight="1" x14ac:dyDescent="0.2">
      <c r="A154" s="24"/>
      <c r="B154" s="24"/>
      <c r="C154" s="24"/>
      <c r="D154" s="24"/>
      <c r="E154" s="24"/>
      <c r="F154" s="24"/>
      <c r="G154" s="24"/>
    </row>
    <row r="156" spans="1:14" x14ac:dyDescent="0.2">
      <c r="J156" s="170"/>
      <c r="K156" s="170"/>
      <c r="L156" s="170"/>
      <c r="M156" s="170"/>
      <c r="N156" s="170"/>
    </row>
  </sheetData>
  <mergeCells count="13">
    <mergeCell ref="J2:N2"/>
    <mergeCell ref="B140:C140"/>
    <mergeCell ref="B137:D137"/>
    <mergeCell ref="B138:C138"/>
    <mergeCell ref="B139:C139"/>
    <mergeCell ref="A1:H1"/>
    <mergeCell ref="A2:H2"/>
    <mergeCell ref="A3:H3"/>
    <mergeCell ref="B153:C153"/>
    <mergeCell ref="B150:C150"/>
    <mergeCell ref="B151:C151"/>
    <mergeCell ref="B152:C152"/>
    <mergeCell ref="B148:C148"/>
  </mergeCells>
  <hyperlinks>
    <hyperlink ref="I1" location="Index!B13" display="Index" xr:uid="{1298D991-5B23-4E92-9F4C-5BB9D036345C}"/>
  </hyperlinks>
  <pageMargins left="5.000000074505806E-2" right="5.000000074505806E-2" top="0.30000001192092896" bottom="0.20000000298023224" header="0" footer="0"/>
  <pageSetup paperSize="9" orientation="landscape"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N158"/>
  <sheetViews>
    <sheetView showGridLines="0" workbookViewId="0">
      <selection sqref="A1:H1"/>
    </sheetView>
  </sheetViews>
  <sheetFormatPr defaultRowHeight="12.75" x14ac:dyDescent="0.2"/>
  <cols>
    <col min="1" max="1" width="7.14062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7" t="s">
        <v>0</v>
      </c>
      <c r="B1" s="187"/>
      <c r="C1" s="187"/>
      <c r="D1" s="187"/>
      <c r="E1" s="187"/>
      <c r="F1" s="187"/>
      <c r="G1" s="187"/>
      <c r="H1" s="187"/>
      <c r="I1" s="167" t="s">
        <v>1055</v>
      </c>
    </row>
    <row r="2" spans="1:14" ht="17.100000000000001" customHeight="1" x14ac:dyDescent="0.2">
      <c r="A2" s="188" t="s">
        <v>479</v>
      </c>
      <c r="B2" s="189"/>
      <c r="C2" s="189"/>
      <c r="D2" s="189"/>
      <c r="E2" s="189"/>
      <c r="F2" s="189"/>
      <c r="G2" s="189"/>
      <c r="H2" s="190"/>
      <c r="J2" s="186" t="s">
        <v>1056</v>
      </c>
      <c r="K2" s="186"/>
      <c r="L2" s="186"/>
      <c r="M2" s="186"/>
      <c r="N2" s="186"/>
    </row>
    <row r="3" spans="1:14" ht="21" customHeight="1" x14ac:dyDescent="0.2">
      <c r="A3" s="187" t="s">
        <v>1052</v>
      </c>
      <c r="B3" s="187"/>
      <c r="C3" s="187"/>
      <c r="D3" s="187"/>
      <c r="E3" s="187"/>
      <c r="F3" s="187"/>
      <c r="G3" s="187"/>
      <c r="H3" s="187"/>
    </row>
    <row r="4" spans="1:14" ht="30" x14ac:dyDescent="0.2">
      <c r="A4" s="163" t="s">
        <v>2</v>
      </c>
      <c r="B4" s="164" t="s">
        <v>3</v>
      </c>
      <c r="C4" s="164" t="s">
        <v>4</v>
      </c>
      <c r="D4" s="164" t="s">
        <v>5</v>
      </c>
      <c r="E4" s="164" t="s">
        <v>6</v>
      </c>
      <c r="F4" s="164" t="s">
        <v>7</v>
      </c>
      <c r="G4" s="164" t="s">
        <v>8</v>
      </c>
      <c r="H4" s="120" t="s">
        <v>881</v>
      </c>
      <c r="I4" s="165"/>
      <c r="J4" s="165"/>
      <c r="K4" s="165"/>
      <c r="L4" s="165"/>
      <c r="M4" s="165"/>
      <c r="N4" s="165"/>
    </row>
    <row r="5" spans="1:14" ht="14.1" customHeight="1" x14ac:dyDescent="0.2">
      <c r="A5" s="99"/>
      <c r="B5" s="1"/>
      <c r="C5" s="2" t="s">
        <v>9</v>
      </c>
      <c r="D5" s="1"/>
      <c r="E5" s="1"/>
      <c r="F5" s="1"/>
      <c r="G5" s="1"/>
      <c r="H5" s="109"/>
    </row>
    <row r="6" spans="1:14" ht="24" customHeight="1" x14ac:dyDescent="0.2">
      <c r="A6" s="99"/>
      <c r="B6" s="1"/>
      <c r="C6" s="2" t="s">
        <v>10</v>
      </c>
      <c r="D6" s="1"/>
      <c r="E6" s="1"/>
      <c r="F6" s="1"/>
      <c r="G6" s="1"/>
      <c r="H6" s="109"/>
    </row>
    <row r="7" spans="1:14" ht="17.100000000000001" customHeight="1" x14ac:dyDescent="0.2">
      <c r="A7" s="100">
        <v>1</v>
      </c>
      <c r="B7" s="3" t="s">
        <v>371</v>
      </c>
      <c r="C7" s="3" t="s">
        <v>372</v>
      </c>
      <c r="D7" s="3" t="s">
        <v>22</v>
      </c>
      <c r="E7" s="4">
        <v>210817</v>
      </c>
      <c r="F7" s="5">
        <v>150.73415499999999</v>
      </c>
      <c r="G7" s="6">
        <v>5.257821E-2</v>
      </c>
      <c r="H7" s="109"/>
    </row>
    <row r="8" spans="1:14" ht="17.100000000000001" customHeight="1" x14ac:dyDescent="0.2">
      <c r="A8" s="100">
        <v>2</v>
      </c>
      <c r="B8" s="3" t="s">
        <v>408</v>
      </c>
      <c r="C8" s="3" t="s">
        <v>409</v>
      </c>
      <c r="D8" s="3" t="s">
        <v>115</v>
      </c>
      <c r="E8" s="4">
        <v>6084</v>
      </c>
      <c r="F8" s="5">
        <v>122.97284999999999</v>
      </c>
      <c r="G8" s="6">
        <v>4.2894670000000003E-2</v>
      </c>
      <c r="H8" s="109"/>
    </row>
    <row r="9" spans="1:14" ht="17.100000000000001" customHeight="1" x14ac:dyDescent="0.2">
      <c r="A9" s="100">
        <v>3</v>
      </c>
      <c r="B9" s="3" t="s">
        <v>29</v>
      </c>
      <c r="C9" s="3" t="s">
        <v>30</v>
      </c>
      <c r="D9" s="3" t="s">
        <v>31</v>
      </c>
      <c r="E9" s="4">
        <v>5488</v>
      </c>
      <c r="F9" s="5">
        <v>105.130872</v>
      </c>
      <c r="G9" s="6">
        <v>3.6671139999999998E-2</v>
      </c>
      <c r="H9" s="109"/>
    </row>
    <row r="10" spans="1:14" ht="17.100000000000001" customHeight="1" x14ac:dyDescent="0.2">
      <c r="A10" s="100">
        <v>4</v>
      </c>
      <c r="B10" s="3" t="s">
        <v>72</v>
      </c>
      <c r="C10" s="3" t="s">
        <v>73</v>
      </c>
      <c r="D10" s="3" t="s">
        <v>31</v>
      </c>
      <c r="E10" s="4">
        <v>6058</v>
      </c>
      <c r="F10" s="5">
        <v>98.457644999999999</v>
      </c>
      <c r="G10" s="6">
        <v>3.434342E-2</v>
      </c>
      <c r="H10" s="109"/>
    </row>
    <row r="11" spans="1:14" ht="29.1" customHeight="1" x14ac:dyDescent="0.2">
      <c r="A11" s="100">
        <v>5</v>
      </c>
      <c r="B11" s="3" t="s">
        <v>204</v>
      </c>
      <c r="C11" s="3" t="s">
        <v>205</v>
      </c>
      <c r="D11" s="3" t="s">
        <v>115</v>
      </c>
      <c r="E11" s="4">
        <v>27823</v>
      </c>
      <c r="F11" s="5">
        <v>84.540185500000007</v>
      </c>
      <c r="G11" s="6">
        <v>2.9488810000000001E-2</v>
      </c>
      <c r="H11" s="109"/>
    </row>
    <row r="12" spans="1:14" ht="17.100000000000001" customHeight="1" x14ac:dyDescent="0.2">
      <c r="A12" s="100">
        <v>6</v>
      </c>
      <c r="B12" s="3" t="s">
        <v>184</v>
      </c>
      <c r="C12" s="3" t="s">
        <v>185</v>
      </c>
      <c r="D12" s="3" t="s">
        <v>996</v>
      </c>
      <c r="E12" s="4">
        <v>1751</v>
      </c>
      <c r="F12" s="5">
        <v>83.927181000000004</v>
      </c>
      <c r="G12" s="6">
        <v>2.9274990000000001E-2</v>
      </c>
      <c r="H12" s="109"/>
    </row>
    <row r="13" spans="1:14" ht="17.100000000000001" customHeight="1" x14ac:dyDescent="0.2">
      <c r="A13" s="100">
        <v>7</v>
      </c>
      <c r="B13" s="3" t="s">
        <v>305</v>
      </c>
      <c r="C13" s="3" t="s">
        <v>306</v>
      </c>
      <c r="D13" s="3" t="s">
        <v>242</v>
      </c>
      <c r="E13" s="4">
        <v>5053</v>
      </c>
      <c r="F13" s="5">
        <v>76.714646000000002</v>
      </c>
      <c r="G13" s="6">
        <v>2.6759160000000001E-2</v>
      </c>
      <c r="H13" s="109"/>
      <c r="J13" s="169" t="s">
        <v>1065</v>
      </c>
    </row>
    <row r="14" spans="1:14" ht="29.1" customHeight="1" x14ac:dyDescent="0.2">
      <c r="A14" s="100">
        <v>8</v>
      </c>
      <c r="B14" s="3" t="s">
        <v>186</v>
      </c>
      <c r="C14" s="3" t="s">
        <v>187</v>
      </c>
      <c r="D14" s="3" t="s">
        <v>188</v>
      </c>
      <c r="E14" s="4">
        <v>1842</v>
      </c>
      <c r="F14" s="5">
        <v>76.039602000000002</v>
      </c>
      <c r="G14" s="6">
        <v>2.6523689999999999E-2</v>
      </c>
      <c r="H14" s="109"/>
    </row>
    <row r="15" spans="1:14" ht="17.100000000000001" customHeight="1" x14ac:dyDescent="0.2">
      <c r="A15" s="100">
        <v>9</v>
      </c>
      <c r="B15" s="3" t="s">
        <v>404</v>
      </c>
      <c r="C15" s="3" t="s">
        <v>405</v>
      </c>
      <c r="D15" s="3" t="s">
        <v>31</v>
      </c>
      <c r="E15" s="4">
        <v>9092</v>
      </c>
      <c r="F15" s="5">
        <v>75.536336000000006</v>
      </c>
      <c r="G15" s="6">
        <v>2.6348139999999999E-2</v>
      </c>
      <c r="H15" s="109"/>
    </row>
    <row r="16" spans="1:14" ht="17.100000000000001" customHeight="1" x14ac:dyDescent="0.2">
      <c r="A16" s="100">
        <v>10</v>
      </c>
      <c r="B16" s="3" t="s">
        <v>113</v>
      </c>
      <c r="C16" s="3" t="s">
        <v>114</v>
      </c>
      <c r="D16" s="3" t="s">
        <v>115</v>
      </c>
      <c r="E16" s="4">
        <v>26505</v>
      </c>
      <c r="F16" s="5">
        <v>74.333272500000007</v>
      </c>
      <c r="G16" s="6">
        <v>2.59285E-2</v>
      </c>
      <c r="H16" s="109"/>
    </row>
    <row r="17" spans="1:8" ht="17.100000000000001" customHeight="1" x14ac:dyDescent="0.2">
      <c r="A17" s="100">
        <v>11</v>
      </c>
      <c r="B17" s="3" t="s">
        <v>416</v>
      </c>
      <c r="C17" s="3" t="s">
        <v>417</v>
      </c>
      <c r="D17" s="3" t="s">
        <v>115</v>
      </c>
      <c r="E17" s="4">
        <v>14146</v>
      </c>
      <c r="F17" s="5">
        <v>71.529248999999993</v>
      </c>
      <c r="G17" s="6">
        <v>2.4950420000000001E-2</v>
      </c>
      <c r="H17" s="109"/>
    </row>
    <row r="18" spans="1:8" ht="17.100000000000001" customHeight="1" x14ac:dyDescent="0.2">
      <c r="A18" s="100">
        <v>12</v>
      </c>
      <c r="B18" s="3" t="s">
        <v>318</v>
      </c>
      <c r="C18" s="3" t="s">
        <v>319</v>
      </c>
      <c r="D18" s="3" t="s">
        <v>235</v>
      </c>
      <c r="E18" s="4">
        <v>5630</v>
      </c>
      <c r="F18" s="5">
        <v>69.750069999999994</v>
      </c>
      <c r="G18" s="6">
        <v>2.432981E-2</v>
      </c>
      <c r="H18" s="109"/>
    </row>
    <row r="19" spans="1:8" ht="17.100000000000001" customHeight="1" x14ac:dyDescent="0.2">
      <c r="A19" s="100">
        <v>13</v>
      </c>
      <c r="B19" s="3" t="s">
        <v>400</v>
      </c>
      <c r="C19" s="3" t="s">
        <v>401</v>
      </c>
      <c r="D19" s="3" t="s">
        <v>210</v>
      </c>
      <c r="E19" s="4">
        <v>24416</v>
      </c>
      <c r="F19" s="5">
        <v>68.193888000000001</v>
      </c>
      <c r="G19" s="6">
        <v>2.3786990000000001E-2</v>
      </c>
      <c r="H19" s="109"/>
    </row>
    <row r="20" spans="1:8" ht="17.100000000000001" customHeight="1" x14ac:dyDescent="0.2">
      <c r="A20" s="100">
        <v>14</v>
      </c>
      <c r="B20" s="3" t="s">
        <v>402</v>
      </c>
      <c r="C20" s="3" t="s">
        <v>403</v>
      </c>
      <c r="D20" s="3" t="s">
        <v>120</v>
      </c>
      <c r="E20" s="4">
        <v>11094</v>
      </c>
      <c r="F20" s="5">
        <v>63.812688000000001</v>
      </c>
      <c r="G20" s="6">
        <v>2.2258770000000001E-2</v>
      </c>
      <c r="H20" s="109"/>
    </row>
    <row r="21" spans="1:8" ht="17.100000000000001" customHeight="1" x14ac:dyDescent="0.2">
      <c r="A21" s="100">
        <v>15</v>
      </c>
      <c r="B21" s="3" t="s">
        <v>384</v>
      </c>
      <c r="C21" s="3" t="s">
        <v>385</v>
      </c>
      <c r="D21" s="3" t="s">
        <v>334</v>
      </c>
      <c r="E21" s="4">
        <v>4536</v>
      </c>
      <c r="F21" s="5">
        <v>63.624203999999999</v>
      </c>
      <c r="G21" s="6">
        <v>2.2193020000000001E-2</v>
      </c>
      <c r="H21" s="109"/>
    </row>
    <row r="22" spans="1:8" ht="17.100000000000001" customHeight="1" x14ac:dyDescent="0.2">
      <c r="A22" s="100">
        <v>16</v>
      </c>
      <c r="B22" s="3" t="s">
        <v>461</v>
      </c>
      <c r="C22" s="3" t="s">
        <v>462</v>
      </c>
      <c r="D22" s="3" t="s">
        <v>996</v>
      </c>
      <c r="E22" s="4">
        <v>7127</v>
      </c>
      <c r="F22" s="5">
        <v>59.129155500000003</v>
      </c>
      <c r="G22" s="6">
        <v>2.0625089999999999E-2</v>
      </c>
      <c r="H22" s="109"/>
    </row>
    <row r="23" spans="1:8" ht="17.100000000000001" customHeight="1" x14ac:dyDescent="0.2">
      <c r="A23" s="100">
        <v>17</v>
      </c>
      <c r="B23" s="3" t="s">
        <v>433</v>
      </c>
      <c r="C23" s="3" t="s">
        <v>434</v>
      </c>
      <c r="D23" s="3" t="s">
        <v>997</v>
      </c>
      <c r="E23" s="4">
        <v>6040</v>
      </c>
      <c r="F23" s="5">
        <v>57.035719999999998</v>
      </c>
      <c r="G23" s="6">
        <v>1.9894869999999999E-2</v>
      </c>
      <c r="H23" s="109"/>
    </row>
    <row r="24" spans="1:8" ht="17.100000000000001" customHeight="1" x14ac:dyDescent="0.2">
      <c r="A24" s="100">
        <v>18</v>
      </c>
      <c r="B24" s="3" t="s">
        <v>231</v>
      </c>
      <c r="C24" s="3" t="s">
        <v>232</v>
      </c>
      <c r="D24" s="3" t="s">
        <v>80</v>
      </c>
      <c r="E24" s="4">
        <v>1151</v>
      </c>
      <c r="F24" s="5">
        <v>55.838462999999997</v>
      </c>
      <c r="G24" s="6">
        <v>1.9477250000000002E-2</v>
      </c>
      <c r="H24" s="109"/>
    </row>
    <row r="25" spans="1:8" ht="17.100000000000001" customHeight="1" x14ac:dyDescent="0.2">
      <c r="A25" s="100">
        <v>19</v>
      </c>
      <c r="B25" s="3" t="s">
        <v>410</v>
      </c>
      <c r="C25" s="3" t="s">
        <v>411</v>
      </c>
      <c r="D25" s="3" t="s">
        <v>235</v>
      </c>
      <c r="E25" s="4">
        <v>8151</v>
      </c>
      <c r="F25" s="5">
        <v>52.875537000000001</v>
      </c>
      <c r="G25" s="6">
        <v>1.844374E-2</v>
      </c>
      <c r="H25" s="109"/>
    </row>
    <row r="26" spans="1:8" ht="17.100000000000001" customHeight="1" x14ac:dyDescent="0.2">
      <c r="A26" s="100">
        <v>20</v>
      </c>
      <c r="B26" s="3" t="s">
        <v>377</v>
      </c>
      <c r="C26" s="3" t="s">
        <v>378</v>
      </c>
      <c r="D26" s="3" t="s">
        <v>13</v>
      </c>
      <c r="E26" s="4">
        <v>70325</v>
      </c>
      <c r="F26" s="5">
        <v>52.427287499999998</v>
      </c>
      <c r="G26" s="6">
        <v>1.8287379999999999E-2</v>
      </c>
      <c r="H26" s="109"/>
    </row>
    <row r="27" spans="1:8" ht="29.1" customHeight="1" x14ac:dyDescent="0.2">
      <c r="A27" s="100">
        <v>21</v>
      </c>
      <c r="B27" s="3" t="s">
        <v>448</v>
      </c>
      <c r="C27" s="3" t="s">
        <v>449</v>
      </c>
      <c r="D27" s="3" t="s">
        <v>221</v>
      </c>
      <c r="E27" s="4">
        <v>2681</v>
      </c>
      <c r="F27" s="5">
        <v>51.976546999999997</v>
      </c>
      <c r="G27" s="6">
        <v>1.8130159999999999E-2</v>
      </c>
      <c r="H27" s="109"/>
    </row>
    <row r="28" spans="1:8" ht="29.1" customHeight="1" x14ac:dyDescent="0.2">
      <c r="A28" s="100">
        <v>22</v>
      </c>
      <c r="B28" s="3" t="s">
        <v>256</v>
      </c>
      <c r="C28" s="3" t="s">
        <v>257</v>
      </c>
      <c r="D28" s="3" t="s">
        <v>221</v>
      </c>
      <c r="E28" s="4">
        <v>16491</v>
      </c>
      <c r="F28" s="5">
        <v>51.839458499999999</v>
      </c>
      <c r="G28" s="6">
        <v>1.8082339999999999E-2</v>
      </c>
      <c r="H28" s="109"/>
    </row>
    <row r="29" spans="1:8" ht="29.1" customHeight="1" x14ac:dyDescent="0.2">
      <c r="A29" s="100">
        <v>23</v>
      </c>
      <c r="B29" s="3" t="s">
        <v>87</v>
      </c>
      <c r="C29" s="3" t="s">
        <v>88</v>
      </c>
      <c r="D29" s="3" t="s">
        <v>25</v>
      </c>
      <c r="E29" s="4">
        <v>1823</v>
      </c>
      <c r="F29" s="5">
        <v>50.398657999999998</v>
      </c>
      <c r="G29" s="6">
        <v>1.7579770000000002E-2</v>
      </c>
      <c r="H29" s="109"/>
    </row>
    <row r="30" spans="1:8" ht="29.1" customHeight="1" x14ac:dyDescent="0.2">
      <c r="A30" s="100">
        <v>24</v>
      </c>
      <c r="B30" s="3" t="s">
        <v>412</v>
      </c>
      <c r="C30" s="3" t="s">
        <v>413</v>
      </c>
      <c r="D30" s="3" t="s">
        <v>221</v>
      </c>
      <c r="E30" s="4">
        <v>13550</v>
      </c>
      <c r="F30" s="5">
        <v>48.651274999999998</v>
      </c>
      <c r="G30" s="6">
        <v>1.6970249999999999E-2</v>
      </c>
      <c r="H30" s="109"/>
    </row>
    <row r="31" spans="1:8" ht="17.100000000000001" customHeight="1" x14ac:dyDescent="0.2">
      <c r="A31" s="100">
        <v>25</v>
      </c>
      <c r="B31" s="3" t="s">
        <v>95</v>
      </c>
      <c r="C31" s="3" t="s">
        <v>96</v>
      </c>
      <c r="D31" s="3" t="s">
        <v>97</v>
      </c>
      <c r="E31" s="4">
        <v>9950</v>
      </c>
      <c r="F31" s="5">
        <v>48.521174999999999</v>
      </c>
      <c r="G31" s="6">
        <v>1.6924870000000002E-2</v>
      </c>
      <c r="H31" s="109"/>
    </row>
    <row r="32" spans="1:8" ht="17.100000000000001" customHeight="1" x14ac:dyDescent="0.2">
      <c r="A32" s="100">
        <v>26</v>
      </c>
      <c r="B32" s="3" t="s">
        <v>398</v>
      </c>
      <c r="C32" s="3" t="s">
        <v>399</v>
      </c>
      <c r="D32" s="3" t="s">
        <v>97</v>
      </c>
      <c r="E32" s="4">
        <v>3479</v>
      </c>
      <c r="F32" s="5">
        <v>48.118048999999999</v>
      </c>
      <c r="G32" s="6">
        <v>1.6784259999999999E-2</v>
      </c>
      <c r="H32" s="109"/>
    </row>
    <row r="33" spans="1:8" ht="17.100000000000001" customHeight="1" x14ac:dyDescent="0.2">
      <c r="A33" s="100">
        <v>27</v>
      </c>
      <c r="B33" s="3" t="s">
        <v>286</v>
      </c>
      <c r="C33" s="3" t="s">
        <v>287</v>
      </c>
      <c r="D33" s="3" t="s">
        <v>19</v>
      </c>
      <c r="E33" s="4">
        <v>21314</v>
      </c>
      <c r="F33" s="5">
        <v>45.878385000000002</v>
      </c>
      <c r="G33" s="6">
        <v>1.6003030000000001E-2</v>
      </c>
      <c r="H33" s="109"/>
    </row>
    <row r="34" spans="1:8" ht="17.100000000000001" customHeight="1" x14ac:dyDescent="0.2">
      <c r="A34" s="100">
        <v>28</v>
      </c>
      <c r="B34" s="3" t="s">
        <v>441</v>
      </c>
      <c r="C34" s="3" t="s">
        <v>442</v>
      </c>
      <c r="D34" s="3" t="s">
        <v>120</v>
      </c>
      <c r="E34" s="4">
        <v>59081</v>
      </c>
      <c r="F34" s="5">
        <v>44.901560000000003</v>
      </c>
      <c r="G34" s="6">
        <v>1.5662300000000001E-2</v>
      </c>
      <c r="H34" s="109"/>
    </row>
    <row r="35" spans="1:8" ht="17.100000000000001" customHeight="1" x14ac:dyDescent="0.2">
      <c r="A35" s="100">
        <v>29</v>
      </c>
      <c r="B35" s="3" t="s">
        <v>418</v>
      </c>
      <c r="C35" s="3" t="s">
        <v>419</v>
      </c>
      <c r="D35" s="3" t="s">
        <v>120</v>
      </c>
      <c r="E35" s="4">
        <v>4638</v>
      </c>
      <c r="F35" s="5">
        <v>44.754381000000002</v>
      </c>
      <c r="G35" s="6">
        <v>1.561096E-2</v>
      </c>
      <c r="H35" s="109"/>
    </row>
    <row r="36" spans="1:8" ht="29.1" customHeight="1" x14ac:dyDescent="0.2">
      <c r="A36" s="100">
        <v>30</v>
      </c>
      <c r="B36" s="3" t="s">
        <v>406</v>
      </c>
      <c r="C36" s="3" t="s">
        <v>407</v>
      </c>
      <c r="D36" s="3" t="s">
        <v>52</v>
      </c>
      <c r="E36" s="4">
        <v>2627</v>
      </c>
      <c r="F36" s="5">
        <v>44.576249500000003</v>
      </c>
      <c r="G36" s="6">
        <v>1.554883E-2</v>
      </c>
      <c r="H36" s="109"/>
    </row>
    <row r="37" spans="1:8" ht="29.1" customHeight="1" x14ac:dyDescent="0.2">
      <c r="A37" s="100">
        <v>31</v>
      </c>
      <c r="B37" s="3" t="s">
        <v>381</v>
      </c>
      <c r="C37" s="3" t="s">
        <v>382</v>
      </c>
      <c r="D37" s="3" t="s">
        <v>383</v>
      </c>
      <c r="E37" s="4">
        <v>44667</v>
      </c>
      <c r="F37" s="5">
        <v>44.220329999999997</v>
      </c>
      <c r="G37" s="6">
        <v>1.542468E-2</v>
      </c>
      <c r="H37" s="109"/>
    </row>
    <row r="38" spans="1:8" ht="29.1" customHeight="1" x14ac:dyDescent="0.2">
      <c r="A38" s="100">
        <v>32</v>
      </c>
      <c r="B38" s="3" t="s">
        <v>379</v>
      </c>
      <c r="C38" s="3" t="s">
        <v>380</v>
      </c>
      <c r="D38" s="3" t="s">
        <v>62</v>
      </c>
      <c r="E38" s="4">
        <v>2187</v>
      </c>
      <c r="F38" s="5">
        <v>43.760776499999999</v>
      </c>
      <c r="G38" s="6">
        <v>1.5264379999999999E-2</v>
      </c>
      <c r="H38" s="109"/>
    </row>
    <row r="39" spans="1:8" ht="17.100000000000001" customHeight="1" x14ac:dyDescent="0.2">
      <c r="A39" s="100">
        <v>33</v>
      </c>
      <c r="B39" s="3" t="s">
        <v>37</v>
      </c>
      <c r="C39" s="3" t="s">
        <v>38</v>
      </c>
      <c r="D39" s="3" t="s">
        <v>31</v>
      </c>
      <c r="E39" s="4">
        <v>2356</v>
      </c>
      <c r="F39" s="5">
        <v>42.518732</v>
      </c>
      <c r="G39" s="6">
        <v>1.483114E-2</v>
      </c>
      <c r="H39" s="109"/>
    </row>
    <row r="40" spans="1:8" ht="17.100000000000001" customHeight="1" x14ac:dyDescent="0.2">
      <c r="A40" s="100">
        <v>34</v>
      </c>
      <c r="B40" s="3" t="s">
        <v>424</v>
      </c>
      <c r="C40" s="3" t="s">
        <v>425</v>
      </c>
      <c r="D40" s="3" t="s">
        <v>253</v>
      </c>
      <c r="E40" s="4">
        <v>28888</v>
      </c>
      <c r="F40" s="5">
        <v>41.410947999999998</v>
      </c>
      <c r="G40" s="6">
        <v>1.4444729999999999E-2</v>
      </c>
      <c r="H40" s="109"/>
    </row>
    <row r="41" spans="1:8" ht="29.1" customHeight="1" x14ac:dyDescent="0.2">
      <c r="A41" s="100">
        <v>35</v>
      </c>
      <c r="B41" s="3" t="s">
        <v>393</v>
      </c>
      <c r="C41" s="3" t="s">
        <v>394</v>
      </c>
      <c r="D41" s="3" t="s">
        <v>191</v>
      </c>
      <c r="E41" s="4">
        <v>8191</v>
      </c>
      <c r="F41" s="5">
        <v>41.147488500000001</v>
      </c>
      <c r="G41" s="6">
        <v>1.435283E-2</v>
      </c>
      <c r="H41" s="109"/>
    </row>
    <row r="42" spans="1:8" ht="17.100000000000001" customHeight="1" x14ac:dyDescent="0.2">
      <c r="A42" s="100">
        <v>36</v>
      </c>
      <c r="B42" s="3" t="s">
        <v>386</v>
      </c>
      <c r="C42" s="3" t="s">
        <v>387</v>
      </c>
      <c r="D42" s="3" t="s">
        <v>228</v>
      </c>
      <c r="E42" s="4">
        <v>6658</v>
      </c>
      <c r="F42" s="5">
        <v>39.475282</v>
      </c>
      <c r="G42" s="6">
        <v>1.376954E-2</v>
      </c>
      <c r="H42" s="109"/>
    </row>
    <row r="43" spans="1:8" ht="17.100000000000001" customHeight="1" x14ac:dyDescent="0.2">
      <c r="A43" s="100">
        <v>37</v>
      </c>
      <c r="B43" s="3" t="s">
        <v>332</v>
      </c>
      <c r="C43" s="3" t="s">
        <v>333</v>
      </c>
      <c r="D43" s="3" t="s">
        <v>334</v>
      </c>
      <c r="E43" s="4">
        <v>3672</v>
      </c>
      <c r="F43" s="5">
        <v>37.437876000000003</v>
      </c>
      <c r="G43" s="6">
        <v>1.305886E-2</v>
      </c>
      <c r="H43" s="109"/>
    </row>
    <row r="44" spans="1:8" ht="17.100000000000001" customHeight="1" x14ac:dyDescent="0.2">
      <c r="A44" s="100">
        <v>38</v>
      </c>
      <c r="B44" s="3" t="s">
        <v>373</v>
      </c>
      <c r="C44" s="3" t="s">
        <v>374</v>
      </c>
      <c r="D44" s="3" t="s">
        <v>997</v>
      </c>
      <c r="E44" s="4">
        <v>3553</v>
      </c>
      <c r="F44" s="5">
        <v>36.388049500000001</v>
      </c>
      <c r="G44" s="6">
        <v>1.269267E-2</v>
      </c>
      <c r="H44" s="109"/>
    </row>
    <row r="45" spans="1:8" ht="29.1" customHeight="1" x14ac:dyDescent="0.2">
      <c r="A45" s="100">
        <v>39</v>
      </c>
      <c r="B45" s="3" t="s">
        <v>463</v>
      </c>
      <c r="C45" s="3" t="s">
        <v>464</v>
      </c>
      <c r="D45" s="3" t="s">
        <v>188</v>
      </c>
      <c r="E45" s="4">
        <v>5060</v>
      </c>
      <c r="F45" s="5">
        <v>32.644590000000001</v>
      </c>
      <c r="G45" s="6">
        <v>1.13869E-2</v>
      </c>
      <c r="H45" s="109"/>
    </row>
    <row r="46" spans="1:8" ht="17.100000000000001" customHeight="1" x14ac:dyDescent="0.2">
      <c r="A46" s="100">
        <v>40</v>
      </c>
      <c r="B46" s="3" t="s">
        <v>375</v>
      </c>
      <c r="C46" s="3" t="s">
        <v>376</v>
      </c>
      <c r="D46" s="3" t="s">
        <v>120</v>
      </c>
      <c r="E46" s="4">
        <v>4394</v>
      </c>
      <c r="F46" s="5">
        <v>31.841121000000001</v>
      </c>
      <c r="G46" s="6">
        <v>1.1106629999999999E-2</v>
      </c>
      <c r="H46" s="109"/>
    </row>
    <row r="47" spans="1:8" ht="17.100000000000001" customHeight="1" x14ac:dyDescent="0.2">
      <c r="A47" s="100">
        <v>41</v>
      </c>
      <c r="B47" s="3" t="s">
        <v>388</v>
      </c>
      <c r="C47" s="3" t="s">
        <v>389</v>
      </c>
      <c r="D47" s="3" t="s">
        <v>115</v>
      </c>
      <c r="E47" s="4">
        <v>7524</v>
      </c>
      <c r="F47" s="5">
        <v>30.795732000000001</v>
      </c>
      <c r="G47" s="6">
        <v>1.074199E-2</v>
      </c>
      <c r="H47" s="109"/>
    </row>
    <row r="48" spans="1:8" ht="17.100000000000001" customHeight="1" x14ac:dyDescent="0.2">
      <c r="A48" s="100">
        <v>42</v>
      </c>
      <c r="B48" s="3" t="s">
        <v>471</v>
      </c>
      <c r="C48" s="3" t="s">
        <v>472</v>
      </c>
      <c r="D48" s="3" t="s">
        <v>235</v>
      </c>
      <c r="E48" s="4">
        <v>16207</v>
      </c>
      <c r="F48" s="5">
        <v>30.452953000000001</v>
      </c>
      <c r="G48" s="6">
        <v>1.062242E-2</v>
      </c>
      <c r="H48" s="109"/>
    </row>
    <row r="49" spans="1:8" ht="17.100000000000001" customHeight="1" x14ac:dyDescent="0.2">
      <c r="A49" s="100">
        <v>43</v>
      </c>
      <c r="B49" s="3" t="s">
        <v>439</v>
      </c>
      <c r="C49" s="3" t="s">
        <v>440</v>
      </c>
      <c r="D49" s="3" t="s">
        <v>31</v>
      </c>
      <c r="E49" s="4">
        <v>3042</v>
      </c>
      <c r="F49" s="5">
        <v>29.778137999999998</v>
      </c>
      <c r="G49" s="6">
        <v>1.038704E-2</v>
      </c>
      <c r="H49" s="109"/>
    </row>
    <row r="50" spans="1:8" ht="17.100000000000001" customHeight="1" x14ac:dyDescent="0.2">
      <c r="A50" s="100">
        <v>44</v>
      </c>
      <c r="B50" s="3" t="s">
        <v>428</v>
      </c>
      <c r="C50" s="3" t="s">
        <v>429</v>
      </c>
      <c r="D50" s="3" t="s">
        <v>213</v>
      </c>
      <c r="E50" s="4">
        <v>3908</v>
      </c>
      <c r="F50" s="5">
        <v>28.483457999999999</v>
      </c>
      <c r="G50" s="6">
        <v>9.9354300000000003E-3</v>
      </c>
      <c r="H50" s="109"/>
    </row>
    <row r="51" spans="1:8" ht="29.1" customHeight="1" x14ac:dyDescent="0.2">
      <c r="A51" s="100">
        <v>45</v>
      </c>
      <c r="B51" s="3" t="s">
        <v>422</v>
      </c>
      <c r="C51" s="3" t="s">
        <v>423</v>
      </c>
      <c r="D51" s="3" t="s">
        <v>221</v>
      </c>
      <c r="E51" s="4">
        <v>596</v>
      </c>
      <c r="F51" s="5">
        <v>27.874919999999999</v>
      </c>
      <c r="G51" s="6">
        <v>9.7231699999999997E-3</v>
      </c>
      <c r="H51" s="109"/>
    </row>
    <row r="52" spans="1:8" ht="17.100000000000001" customHeight="1" x14ac:dyDescent="0.2">
      <c r="A52" s="100">
        <v>46</v>
      </c>
      <c r="B52" s="3" t="s">
        <v>480</v>
      </c>
      <c r="C52" s="3" t="s">
        <v>481</v>
      </c>
      <c r="D52" s="3" t="s">
        <v>31</v>
      </c>
      <c r="E52" s="4">
        <v>4198</v>
      </c>
      <c r="F52" s="5">
        <v>26.896585999999999</v>
      </c>
      <c r="G52" s="6">
        <v>9.3819100000000002E-3</v>
      </c>
      <c r="H52" s="109"/>
    </row>
    <row r="53" spans="1:8" ht="17.100000000000001" customHeight="1" x14ac:dyDescent="0.2">
      <c r="A53" s="100">
        <v>47</v>
      </c>
      <c r="B53" s="3" t="s">
        <v>414</v>
      </c>
      <c r="C53" s="3" t="s">
        <v>415</v>
      </c>
      <c r="D53" s="3" t="s">
        <v>57</v>
      </c>
      <c r="E53" s="4">
        <v>4036</v>
      </c>
      <c r="F53" s="5">
        <v>26.28445</v>
      </c>
      <c r="G53" s="6">
        <v>9.1683900000000002E-3</v>
      </c>
      <c r="H53" s="109"/>
    </row>
    <row r="54" spans="1:8" ht="17.100000000000001" customHeight="1" x14ac:dyDescent="0.2">
      <c r="A54" s="100">
        <v>48</v>
      </c>
      <c r="B54" s="3" t="s">
        <v>435</v>
      </c>
      <c r="C54" s="3" t="s">
        <v>436</v>
      </c>
      <c r="D54" s="3" t="s">
        <v>47</v>
      </c>
      <c r="E54" s="4">
        <v>7483</v>
      </c>
      <c r="F54" s="5">
        <v>25.763968999999999</v>
      </c>
      <c r="G54" s="6">
        <v>8.9868399999999994E-3</v>
      </c>
      <c r="H54" s="109"/>
    </row>
    <row r="55" spans="1:8" ht="17.100000000000001" customHeight="1" x14ac:dyDescent="0.2">
      <c r="A55" s="100">
        <v>49</v>
      </c>
      <c r="B55" s="3" t="s">
        <v>454</v>
      </c>
      <c r="C55" s="3" t="s">
        <v>455</v>
      </c>
      <c r="D55" s="3" t="s">
        <v>31</v>
      </c>
      <c r="E55" s="4">
        <v>2107</v>
      </c>
      <c r="F55" s="5">
        <v>17.630322499999998</v>
      </c>
      <c r="G55" s="6">
        <v>6.1497100000000001E-3</v>
      </c>
      <c r="H55" s="109"/>
    </row>
    <row r="56" spans="1:8" ht="17.100000000000001" customHeight="1" x14ac:dyDescent="0.2">
      <c r="A56" s="100">
        <v>50</v>
      </c>
      <c r="B56" s="3" t="s">
        <v>330</v>
      </c>
      <c r="C56" s="3" t="s">
        <v>331</v>
      </c>
      <c r="D56" s="3" t="s">
        <v>97</v>
      </c>
      <c r="E56" s="4">
        <v>22875</v>
      </c>
      <c r="F56" s="5">
        <v>14.685750000000001</v>
      </c>
      <c r="G56" s="6">
        <v>5.1225999999999997E-3</v>
      </c>
      <c r="H56" s="109"/>
    </row>
    <row r="57" spans="1:8" ht="29.1" customHeight="1" x14ac:dyDescent="0.2">
      <c r="A57" s="100">
        <v>51</v>
      </c>
      <c r="B57" s="3" t="s">
        <v>430</v>
      </c>
      <c r="C57" s="3" t="s">
        <v>431</v>
      </c>
      <c r="D57" s="3" t="s">
        <v>188</v>
      </c>
      <c r="E57" s="4">
        <v>2348</v>
      </c>
      <c r="F57" s="5">
        <v>9.4777020000000007</v>
      </c>
      <c r="G57" s="6">
        <v>3.3059600000000001E-3</v>
      </c>
      <c r="H57" s="109"/>
    </row>
    <row r="58" spans="1:8" ht="17.100000000000001" customHeight="1" x14ac:dyDescent="0.2">
      <c r="A58" s="100">
        <v>52</v>
      </c>
      <c r="B58" s="3" t="s">
        <v>420</v>
      </c>
      <c r="C58" s="3" t="s">
        <v>421</v>
      </c>
      <c r="D58" s="3" t="s">
        <v>22</v>
      </c>
      <c r="E58" s="4">
        <v>1978</v>
      </c>
      <c r="F58" s="5">
        <v>4.5306090000000001</v>
      </c>
      <c r="G58" s="6">
        <v>1.58034E-3</v>
      </c>
      <c r="H58" s="109"/>
    </row>
    <row r="59" spans="1:8" ht="29.1" customHeight="1" x14ac:dyDescent="0.2">
      <c r="A59" s="100">
        <v>53</v>
      </c>
      <c r="B59" s="3" t="s">
        <v>456</v>
      </c>
      <c r="C59" s="3" t="s">
        <v>457</v>
      </c>
      <c r="D59" s="3" t="s">
        <v>221</v>
      </c>
      <c r="E59" s="4">
        <v>1719</v>
      </c>
      <c r="F59" s="5">
        <v>4.3860285000000001</v>
      </c>
      <c r="G59" s="6">
        <v>1.52991E-3</v>
      </c>
      <c r="H59" s="109"/>
    </row>
    <row r="60" spans="1:8" ht="14.1" customHeight="1" x14ac:dyDescent="0.2">
      <c r="A60" s="99"/>
      <c r="B60" s="1"/>
      <c r="C60" s="2" t="s">
        <v>135</v>
      </c>
      <c r="D60" s="1"/>
      <c r="E60" s="1" t="s">
        <v>136</v>
      </c>
      <c r="F60" s="8">
        <v>2710.1045564999999</v>
      </c>
      <c r="G60" s="9">
        <v>0.94532291000000002</v>
      </c>
      <c r="H60" s="109"/>
    </row>
    <row r="61" spans="1:8" ht="14.1" customHeight="1" x14ac:dyDescent="0.2">
      <c r="A61" s="99"/>
      <c r="B61" s="1"/>
      <c r="C61" s="10"/>
      <c r="D61" s="1"/>
      <c r="E61" s="1"/>
      <c r="F61" s="11"/>
      <c r="G61" s="11"/>
      <c r="H61" s="109"/>
    </row>
    <row r="62" spans="1:8" ht="14.1" customHeight="1" x14ac:dyDescent="0.2">
      <c r="A62" s="99"/>
      <c r="B62" s="1"/>
      <c r="C62" s="2" t="s">
        <v>137</v>
      </c>
      <c r="D62" s="1"/>
      <c r="E62" s="1"/>
      <c r="F62" s="1"/>
      <c r="G62" s="1"/>
      <c r="H62" s="109"/>
    </row>
    <row r="63" spans="1:8" ht="14.1" customHeight="1" x14ac:dyDescent="0.2">
      <c r="A63" s="99"/>
      <c r="B63" s="1"/>
      <c r="C63" s="2" t="s">
        <v>135</v>
      </c>
      <c r="D63" s="1"/>
      <c r="E63" s="1" t="s">
        <v>136</v>
      </c>
      <c r="F63" s="115">
        <v>0</v>
      </c>
      <c r="G63" s="9">
        <v>0</v>
      </c>
      <c r="H63" s="109"/>
    </row>
    <row r="64" spans="1:8" ht="14.1" customHeight="1" x14ac:dyDescent="0.2">
      <c r="A64" s="99"/>
      <c r="B64" s="1"/>
      <c r="C64" s="10"/>
      <c r="D64" s="1"/>
      <c r="E64" s="1"/>
      <c r="F64" s="11"/>
      <c r="G64" s="11"/>
      <c r="H64" s="109"/>
    </row>
    <row r="65" spans="1:8" ht="14.1" customHeight="1" x14ac:dyDescent="0.2">
      <c r="A65" s="99"/>
      <c r="B65" s="1"/>
      <c r="C65" s="2" t="s">
        <v>138</v>
      </c>
      <c r="D65" s="1"/>
      <c r="E65" s="1"/>
      <c r="F65" s="1"/>
      <c r="G65" s="1"/>
      <c r="H65" s="109"/>
    </row>
    <row r="66" spans="1:8" ht="14.1" customHeight="1" x14ac:dyDescent="0.2">
      <c r="A66" s="99"/>
      <c r="B66" s="1"/>
      <c r="C66" s="2" t="s">
        <v>135</v>
      </c>
      <c r="D66" s="1"/>
      <c r="E66" s="1" t="s">
        <v>136</v>
      </c>
      <c r="F66" s="115">
        <v>0</v>
      </c>
      <c r="G66" s="9">
        <v>0</v>
      </c>
      <c r="H66" s="109"/>
    </row>
    <row r="67" spans="1:8" ht="14.1" customHeight="1" x14ac:dyDescent="0.2">
      <c r="A67" s="99"/>
      <c r="B67" s="1"/>
      <c r="C67" s="10"/>
      <c r="D67" s="1"/>
      <c r="E67" s="1"/>
      <c r="F67" s="11"/>
      <c r="G67" s="11"/>
      <c r="H67" s="109"/>
    </row>
    <row r="68" spans="1:8" ht="14.1" customHeight="1" x14ac:dyDescent="0.2">
      <c r="A68" s="99"/>
      <c r="B68" s="1"/>
      <c r="C68" s="2" t="s">
        <v>139</v>
      </c>
      <c r="D68" s="1"/>
      <c r="E68" s="1"/>
      <c r="F68" s="1"/>
      <c r="G68" s="1"/>
      <c r="H68" s="109"/>
    </row>
    <row r="69" spans="1:8" ht="14.1" customHeight="1" x14ac:dyDescent="0.2">
      <c r="A69" s="99"/>
      <c r="B69" s="1"/>
      <c r="C69" s="2" t="s">
        <v>135</v>
      </c>
      <c r="D69" s="1"/>
      <c r="E69" s="1" t="s">
        <v>136</v>
      </c>
      <c r="F69" s="115">
        <v>0</v>
      </c>
      <c r="G69" s="9">
        <v>0</v>
      </c>
      <c r="H69" s="109"/>
    </row>
    <row r="70" spans="1:8" ht="14.1" customHeight="1" x14ac:dyDescent="0.2">
      <c r="A70" s="99"/>
      <c r="B70" s="1"/>
      <c r="C70" s="10"/>
      <c r="D70" s="1"/>
      <c r="E70" s="1"/>
      <c r="F70" s="11"/>
      <c r="G70" s="11"/>
      <c r="H70" s="109"/>
    </row>
    <row r="71" spans="1:8" ht="14.1" customHeight="1" x14ac:dyDescent="0.2">
      <c r="A71" s="99"/>
      <c r="B71" s="1"/>
      <c r="C71" s="2" t="s">
        <v>140</v>
      </c>
      <c r="D71" s="1"/>
      <c r="E71" s="1"/>
      <c r="F71" s="11"/>
      <c r="G71" s="11"/>
      <c r="H71" s="109"/>
    </row>
    <row r="72" spans="1:8" ht="14.1" customHeight="1" x14ac:dyDescent="0.2">
      <c r="A72" s="99"/>
      <c r="B72" s="1"/>
      <c r="C72" s="2" t="s">
        <v>135</v>
      </c>
      <c r="D72" s="1"/>
      <c r="E72" s="1" t="s">
        <v>136</v>
      </c>
      <c r="F72" s="115">
        <v>0</v>
      </c>
      <c r="G72" s="9">
        <v>0</v>
      </c>
      <c r="H72" s="109"/>
    </row>
    <row r="73" spans="1:8" ht="14.1" customHeight="1" x14ac:dyDescent="0.2">
      <c r="A73" s="99"/>
      <c r="B73" s="1"/>
      <c r="C73" s="10"/>
      <c r="D73" s="1"/>
      <c r="E73" s="1"/>
      <c r="F73" s="11"/>
      <c r="G73" s="11"/>
      <c r="H73" s="109"/>
    </row>
    <row r="74" spans="1:8" ht="14.1" customHeight="1" x14ac:dyDescent="0.2">
      <c r="A74" s="99"/>
      <c r="B74" s="1"/>
      <c r="C74" s="2" t="s">
        <v>141</v>
      </c>
      <c r="D74" s="1"/>
      <c r="E74" s="1"/>
      <c r="F74" s="11"/>
      <c r="G74" s="11"/>
      <c r="H74" s="109"/>
    </row>
    <row r="75" spans="1:8" ht="14.1" customHeight="1" x14ac:dyDescent="0.2">
      <c r="A75" s="99"/>
      <c r="B75" s="1"/>
      <c r="C75" s="2" t="s">
        <v>135</v>
      </c>
      <c r="D75" s="1"/>
      <c r="E75" s="1" t="s">
        <v>136</v>
      </c>
      <c r="F75" s="115">
        <v>0</v>
      </c>
      <c r="G75" s="9">
        <v>0</v>
      </c>
      <c r="H75" s="109"/>
    </row>
    <row r="76" spans="1:8" ht="14.1" customHeight="1" x14ac:dyDescent="0.2">
      <c r="A76" s="99"/>
      <c r="B76" s="1"/>
      <c r="C76" s="10"/>
      <c r="D76" s="1"/>
      <c r="E76" s="1"/>
      <c r="F76" s="11"/>
      <c r="G76" s="11"/>
      <c r="H76" s="109"/>
    </row>
    <row r="77" spans="1:8" ht="18" customHeight="1" x14ac:dyDescent="0.2">
      <c r="A77" s="99"/>
      <c r="B77" s="1"/>
      <c r="C77" s="2" t="s">
        <v>142</v>
      </c>
      <c r="D77" s="1"/>
      <c r="E77" s="1"/>
      <c r="F77" s="8">
        <v>2710.1045564999999</v>
      </c>
      <c r="G77" s="9">
        <v>0.94532291000000002</v>
      </c>
      <c r="H77" s="109"/>
    </row>
    <row r="78" spans="1:8" ht="14.1" customHeight="1" x14ac:dyDescent="0.2">
      <c r="A78" s="99"/>
      <c r="B78" s="1"/>
      <c r="C78" s="10"/>
      <c r="D78" s="1"/>
      <c r="E78" s="1"/>
      <c r="F78" s="11"/>
      <c r="G78" s="11"/>
      <c r="H78" s="109"/>
    </row>
    <row r="79" spans="1:8" ht="14.1" customHeight="1" x14ac:dyDescent="0.2">
      <c r="A79" s="99"/>
      <c r="B79" s="1"/>
      <c r="C79" s="2" t="s">
        <v>143</v>
      </c>
      <c r="D79" s="1"/>
      <c r="E79" s="1"/>
      <c r="F79" s="11"/>
      <c r="G79" s="11"/>
      <c r="H79" s="109"/>
    </row>
    <row r="80" spans="1:8" ht="24" customHeight="1" x14ac:dyDescent="0.2">
      <c r="A80" s="99"/>
      <c r="B80" s="1"/>
      <c r="C80" s="2" t="s">
        <v>10</v>
      </c>
      <c r="D80" s="1"/>
      <c r="E80" s="1"/>
      <c r="F80" s="11"/>
      <c r="G80" s="11"/>
      <c r="H80" s="109"/>
    </row>
    <row r="81" spans="1:8" ht="14.1" customHeight="1" x14ac:dyDescent="0.2">
      <c r="A81" s="99"/>
      <c r="B81" s="1"/>
      <c r="C81" s="2" t="s">
        <v>135</v>
      </c>
      <c r="D81" s="1"/>
      <c r="E81" s="1" t="s">
        <v>136</v>
      </c>
      <c r="F81" s="115">
        <v>0</v>
      </c>
      <c r="G81" s="9">
        <v>0</v>
      </c>
      <c r="H81" s="109"/>
    </row>
    <row r="82" spans="1:8" ht="14.1" customHeight="1" x14ac:dyDescent="0.2">
      <c r="A82" s="99"/>
      <c r="B82" s="1"/>
      <c r="C82" s="10"/>
      <c r="D82" s="1"/>
      <c r="E82" s="1"/>
      <c r="F82" s="11"/>
      <c r="G82" s="11"/>
      <c r="H82" s="109"/>
    </row>
    <row r="83" spans="1:8" ht="14.1" customHeight="1" x14ac:dyDescent="0.2">
      <c r="A83" s="99"/>
      <c r="B83" s="1"/>
      <c r="C83" s="2" t="s">
        <v>144</v>
      </c>
      <c r="D83" s="1"/>
      <c r="E83" s="1"/>
      <c r="F83" s="1"/>
      <c r="G83" s="1"/>
      <c r="H83" s="109"/>
    </row>
    <row r="84" spans="1:8" ht="14.1" customHeight="1" x14ac:dyDescent="0.2">
      <c r="A84" s="99"/>
      <c r="B84" s="1"/>
      <c r="C84" s="2" t="s">
        <v>135</v>
      </c>
      <c r="D84" s="1"/>
      <c r="E84" s="1" t="s">
        <v>136</v>
      </c>
      <c r="F84" s="115">
        <v>0</v>
      </c>
      <c r="G84" s="9">
        <v>0</v>
      </c>
      <c r="H84" s="109"/>
    </row>
    <row r="85" spans="1:8" ht="14.1" customHeight="1" x14ac:dyDescent="0.2">
      <c r="A85" s="99"/>
      <c r="B85" s="1"/>
      <c r="C85" s="10"/>
      <c r="D85" s="1"/>
      <c r="E85" s="1"/>
      <c r="F85" s="11"/>
      <c r="G85" s="11"/>
      <c r="H85" s="109"/>
    </row>
    <row r="86" spans="1:8" ht="14.1" customHeight="1" x14ac:dyDescent="0.2">
      <c r="A86" s="99"/>
      <c r="B86" s="1"/>
      <c r="C86" s="2" t="s">
        <v>145</v>
      </c>
      <c r="D86" s="1"/>
      <c r="E86" s="1"/>
      <c r="F86" s="1"/>
      <c r="G86" s="1"/>
      <c r="H86" s="109"/>
    </row>
    <row r="87" spans="1:8" ht="14.1" customHeight="1" x14ac:dyDescent="0.2">
      <c r="A87" s="99"/>
      <c r="B87" s="1"/>
      <c r="C87" s="2" t="s">
        <v>135</v>
      </c>
      <c r="D87" s="1"/>
      <c r="E87" s="1" t="s">
        <v>136</v>
      </c>
      <c r="F87" s="115">
        <v>0</v>
      </c>
      <c r="G87" s="9">
        <v>0</v>
      </c>
      <c r="H87" s="109"/>
    </row>
    <row r="88" spans="1:8" ht="14.1" customHeight="1" x14ac:dyDescent="0.2">
      <c r="A88" s="99"/>
      <c r="B88" s="1"/>
      <c r="C88" s="10"/>
      <c r="D88" s="1"/>
      <c r="E88" s="1"/>
      <c r="F88" s="11"/>
      <c r="G88" s="11"/>
      <c r="H88" s="109"/>
    </row>
    <row r="89" spans="1:8" ht="14.1" customHeight="1" x14ac:dyDescent="0.2">
      <c r="A89" s="99"/>
      <c r="B89" s="1"/>
      <c r="C89" s="2" t="s">
        <v>146</v>
      </c>
      <c r="D89" s="1"/>
      <c r="E89" s="1"/>
      <c r="F89" s="11"/>
      <c r="G89" s="11"/>
      <c r="H89" s="109"/>
    </row>
    <row r="90" spans="1:8" ht="14.1" customHeight="1" x14ac:dyDescent="0.2">
      <c r="A90" s="99"/>
      <c r="B90" s="1"/>
      <c r="C90" s="2" t="s">
        <v>135</v>
      </c>
      <c r="D90" s="1"/>
      <c r="E90" s="1" t="s">
        <v>136</v>
      </c>
      <c r="F90" s="115">
        <v>0</v>
      </c>
      <c r="G90" s="9">
        <v>0</v>
      </c>
      <c r="H90" s="109"/>
    </row>
    <row r="91" spans="1:8" ht="14.1" customHeight="1" x14ac:dyDescent="0.2">
      <c r="A91" s="99"/>
      <c r="B91" s="1"/>
      <c r="C91" s="10"/>
      <c r="D91" s="1"/>
      <c r="E91" s="1"/>
      <c r="F91" s="11"/>
      <c r="G91" s="11"/>
      <c r="H91" s="109"/>
    </row>
    <row r="92" spans="1:8" ht="14.1" customHeight="1" x14ac:dyDescent="0.2">
      <c r="A92" s="99"/>
      <c r="B92" s="1"/>
      <c r="C92" s="2" t="s">
        <v>147</v>
      </c>
      <c r="D92" s="1"/>
      <c r="E92" s="1"/>
      <c r="F92" s="8">
        <v>0</v>
      </c>
      <c r="G92" s="9">
        <v>0</v>
      </c>
      <c r="H92" s="109"/>
    </row>
    <row r="93" spans="1:8" ht="14.1" customHeight="1" x14ac:dyDescent="0.2">
      <c r="A93" s="99"/>
      <c r="B93" s="1"/>
      <c r="C93" s="10"/>
      <c r="D93" s="1"/>
      <c r="E93" s="1"/>
      <c r="F93" s="11"/>
      <c r="G93" s="11"/>
      <c r="H93" s="109"/>
    </row>
    <row r="94" spans="1:8" ht="14.1" customHeight="1" x14ac:dyDescent="0.2">
      <c r="A94" s="99"/>
      <c r="B94" s="1"/>
      <c r="C94" s="2" t="s">
        <v>148</v>
      </c>
      <c r="D94" s="1"/>
      <c r="E94" s="1"/>
      <c r="F94" s="11"/>
      <c r="G94" s="11"/>
      <c r="H94" s="109"/>
    </row>
    <row r="95" spans="1:8" ht="14.1" customHeight="1" x14ac:dyDescent="0.2">
      <c r="A95" s="99"/>
      <c r="B95" s="1"/>
      <c r="C95" s="2" t="s">
        <v>149</v>
      </c>
      <c r="D95" s="1"/>
      <c r="E95" s="1"/>
      <c r="F95" s="11"/>
      <c r="G95" s="11"/>
      <c r="H95" s="109"/>
    </row>
    <row r="96" spans="1:8" ht="14.1" customHeight="1" x14ac:dyDescent="0.2">
      <c r="A96" s="99"/>
      <c r="B96" s="1"/>
      <c r="C96" s="2" t="s">
        <v>135</v>
      </c>
      <c r="D96" s="1"/>
      <c r="E96" s="1" t="s">
        <v>136</v>
      </c>
      <c r="F96" s="115">
        <v>0</v>
      </c>
      <c r="G96" s="9">
        <v>0</v>
      </c>
      <c r="H96" s="109"/>
    </row>
    <row r="97" spans="1:8" ht="14.1" customHeight="1" x14ac:dyDescent="0.2">
      <c r="A97" s="99"/>
      <c r="B97" s="1"/>
      <c r="C97" s="10"/>
      <c r="D97" s="1"/>
      <c r="E97" s="1"/>
      <c r="F97" s="11"/>
      <c r="G97" s="11"/>
      <c r="H97" s="109"/>
    </row>
    <row r="98" spans="1:8" ht="14.1" customHeight="1" x14ac:dyDescent="0.2">
      <c r="A98" s="99"/>
      <c r="B98" s="1"/>
      <c r="C98" s="2" t="s">
        <v>150</v>
      </c>
      <c r="D98" s="1"/>
      <c r="E98" s="1"/>
      <c r="F98" s="11"/>
      <c r="G98" s="11"/>
      <c r="H98" s="109"/>
    </row>
    <row r="99" spans="1:8" ht="14.1" customHeight="1" x14ac:dyDescent="0.2">
      <c r="A99" s="99"/>
      <c r="B99" s="1"/>
      <c r="C99" s="2" t="s">
        <v>135</v>
      </c>
      <c r="D99" s="1"/>
      <c r="E99" s="1" t="s">
        <v>136</v>
      </c>
      <c r="F99" s="115">
        <v>0</v>
      </c>
      <c r="G99" s="9">
        <v>0</v>
      </c>
      <c r="H99" s="109"/>
    </row>
    <row r="100" spans="1:8" ht="14.1" customHeight="1" x14ac:dyDescent="0.2">
      <c r="A100" s="99"/>
      <c r="B100" s="1"/>
      <c r="C100" s="10"/>
      <c r="D100" s="1"/>
      <c r="E100" s="1"/>
      <c r="F100" s="11"/>
      <c r="G100" s="11"/>
      <c r="H100" s="109"/>
    </row>
    <row r="101" spans="1:8" ht="14.1" customHeight="1" x14ac:dyDescent="0.2">
      <c r="A101" s="99"/>
      <c r="B101" s="1"/>
      <c r="C101" s="2" t="s">
        <v>151</v>
      </c>
      <c r="D101" s="1"/>
      <c r="E101" s="1"/>
      <c r="F101" s="11"/>
      <c r="G101" s="11"/>
      <c r="H101" s="109"/>
    </row>
    <row r="102" spans="1:8" ht="14.1" customHeight="1" x14ac:dyDescent="0.2">
      <c r="A102" s="99"/>
      <c r="B102" s="1"/>
      <c r="C102" s="2" t="s">
        <v>135</v>
      </c>
      <c r="D102" s="1"/>
      <c r="E102" s="1" t="s">
        <v>136</v>
      </c>
      <c r="F102" s="115">
        <v>0</v>
      </c>
      <c r="G102" s="9">
        <v>0</v>
      </c>
      <c r="H102" s="109"/>
    </row>
    <row r="103" spans="1:8" ht="14.1" customHeight="1" x14ac:dyDescent="0.2">
      <c r="A103" s="99"/>
      <c r="B103" s="1"/>
      <c r="C103" s="10"/>
      <c r="D103" s="1"/>
      <c r="E103" s="1"/>
      <c r="F103" s="11"/>
      <c r="G103" s="11"/>
      <c r="H103" s="109"/>
    </row>
    <row r="104" spans="1:8" ht="14.1" customHeight="1" x14ac:dyDescent="0.2">
      <c r="A104" s="99"/>
      <c r="B104" s="1"/>
      <c r="C104" s="2" t="s">
        <v>152</v>
      </c>
      <c r="D104" s="1"/>
      <c r="E104" s="1"/>
      <c r="F104" s="11"/>
      <c r="G104" s="11"/>
      <c r="H104" s="109"/>
    </row>
    <row r="105" spans="1:8" ht="17.100000000000001" customHeight="1" x14ac:dyDescent="0.2">
      <c r="A105" s="100">
        <v>1</v>
      </c>
      <c r="B105" s="3"/>
      <c r="C105" s="3" t="s">
        <v>153</v>
      </c>
      <c r="D105" s="3"/>
      <c r="E105" s="7"/>
      <c r="F105" s="5">
        <v>160.32763299999999</v>
      </c>
      <c r="G105" s="6">
        <v>5.5924550000000003E-2</v>
      </c>
      <c r="H105" s="109">
        <v>6.6015165706411798</v>
      </c>
    </row>
    <row r="106" spans="1:8" ht="14.1" customHeight="1" x14ac:dyDescent="0.2">
      <c r="A106" s="99"/>
      <c r="B106" s="1"/>
      <c r="C106" s="2" t="s">
        <v>135</v>
      </c>
      <c r="D106" s="1"/>
      <c r="E106" s="1" t="s">
        <v>136</v>
      </c>
      <c r="F106" s="8">
        <v>160.32763299999999</v>
      </c>
      <c r="G106" s="9">
        <v>5.5924550000000003E-2</v>
      </c>
      <c r="H106" s="109"/>
    </row>
    <row r="107" spans="1:8" ht="14.1" customHeight="1" x14ac:dyDescent="0.2">
      <c r="A107" s="99"/>
      <c r="B107" s="1"/>
      <c r="C107" s="10"/>
      <c r="D107" s="1"/>
      <c r="E107" s="1"/>
      <c r="F107" s="11"/>
      <c r="G107" s="11"/>
      <c r="H107" s="109"/>
    </row>
    <row r="108" spans="1:8" ht="14.1" customHeight="1" x14ac:dyDescent="0.2">
      <c r="A108" s="99"/>
      <c r="B108" s="1"/>
      <c r="C108" s="2" t="s">
        <v>154</v>
      </c>
      <c r="D108" s="1"/>
      <c r="E108" s="1"/>
      <c r="F108" s="8">
        <v>160.32763299999999</v>
      </c>
      <c r="G108" s="9">
        <v>5.5924550000000003E-2</v>
      </c>
      <c r="H108" s="109"/>
    </row>
    <row r="109" spans="1:8" ht="14.1" customHeight="1" x14ac:dyDescent="0.2">
      <c r="A109" s="99"/>
      <c r="B109" s="1"/>
      <c r="C109" s="11"/>
      <c r="D109" s="1"/>
      <c r="E109" s="1"/>
      <c r="F109" s="1"/>
      <c r="G109" s="1"/>
      <c r="H109" s="109"/>
    </row>
    <row r="110" spans="1:8" ht="14.1" customHeight="1" x14ac:dyDescent="0.2">
      <c r="A110" s="99"/>
      <c r="B110" s="1"/>
      <c r="C110" s="2" t="s">
        <v>155</v>
      </c>
      <c r="D110" s="1"/>
      <c r="E110" s="1"/>
      <c r="F110" s="1"/>
      <c r="G110" s="1"/>
      <c r="H110" s="109"/>
    </row>
    <row r="111" spans="1:8" ht="14.1" customHeight="1" x14ac:dyDescent="0.2">
      <c r="A111" s="99"/>
      <c r="B111" s="1"/>
      <c r="C111" s="2" t="s">
        <v>156</v>
      </c>
      <c r="D111" s="1"/>
      <c r="E111" s="1"/>
      <c r="F111" s="1"/>
      <c r="G111" s="1"/>
      <c r="H111" s="109"/>
    </row>
    <row r="112" spans="1:8" ht="14.1" customHeight="1" x14ac:dyDescent="0.2">
      <c r="A112" s="99"/>
      <c r="B112" s="1"/>
      <c r="C112" s="2" t="s">
        <v>135</v>
      </c>
      <c r="D112" s="1"/>
      <c r="E112" s="1" t="s">
        <v>136</v>
      </c>
      <c r="F112" s="115">
        <v>0</v>
      </c>
      <c r="G112" s="9">
        <v>0</v>
      </c>
      <c r="H112" s="109"/>
    </row>
    <row r="113" spans="1:8" ht="14.1" customHeight="1" x14ac:dyDescent="0.2">
      <c r="A113" s="99"/>
      <c r="B113" s="1"/>
      <c r="C113" s="10"/>
      <c r="D113" s="1"/>
      <c r="E113" s="1"/>
      <c r="F113" s="11"/>
      <c r="G113" s="11"/>
      <c r="H113" s="109"/>
    </row>
    <row r="114" spans="1:8" ht="14.1" customHeight="1" x14ac:dyDescent="0.2">
      <c r="A114" s="99"/>
      <c r="B114" s="1"/>
      <c r="C114" s="2" t="s">
        <v>157</v>
      </c>
      <c r="D114" s="1"/>
      <c r="E114" s="1"/>
      <c r="F114" s="1"/>
      <c r="G114" s="1"/>
      <c r="H114" s="109"/>
    </row>
    <row r="115" spans="1:8" ht="14.1" customHeight="1" x14ac:dyDescent="0.2">
      <c r="A115" s="99"/>
      <c r="B115" s="1"/>
      <c r="C115" s="2" t="s">
        <v>158</v>
      </c>
      <c r="D115" s="1"/>
      <c r="E115" s="1"/>
      <c r="F115" s="1"/>
      <c r="G115" s="1"/>
      <c r="H115" s="109"/>
    </row>
    <row r="116" spans="1:8" ht="14.1" customHeight="1" x14ac:dyDescent="0.2">
      <c r="A116" s="99"/>
      <c r="B116" s="1"/>
      <c r="C116" s="2" t="s">
        <v>135</v>
      </c>
      <c r="D116" s="1"/>
      <c r="E116" s="1" t="s">
        <v>136</v>
      </c>
      <c r="F116" s="115">
        <v>0</v>
      </c>
      <c r="G116" s="9">
        <v>0</v>
      </c>
      <c r="H116" s="109"/>
    </row>
    <row r="117" spans="1:8" ht="14.1" customHeight="1" x14ac:dyDescent="0.2">
      <c r="A117" s="99"/>
      <c r="B117" s="1"/>
      <c r="C117" s="10"/>
      <c r="D117" s="1"/>
      <c r="E117" s="1"/>
      <c r="F117" s="11"/>
      <c r="G117" s="11"/>
      <c r="H117" s="109"/>
    </row>
    <row r="118" spans="1:8" ht="24" customHeight="1" x14ac:dyDescent="0.2">
      <c r="A118" s="99"/>
      <c r="B118" s="1"/>
      <c r="C118" s="2" t="s">
        <v>159</v>
      </c>
      <c r="D118" s="1"/>
      <c r="E118" s="1"/>
      <c r="F118" s="11"/>
      <c r="G118" s="11"/>
      <c r="H118" s="109"/>
    </row>
    <row r="119" spans="1:8" ht="14.1" customHeight="1" x14ac:dyDescent="0.2">
      <c r="A119" s="99"/>
      <c r="B119" s="1"/>
      <c r="C119" s="2" t="s">
        <v>135</v>
      </c>
      <c r="D119" s="1"/>
      <c r="E119" s="1" t="s">
        <v>136</v>
      </c>
      <c r="F119" s="115">
        <v>0</v>
      </c>
      <c r="G119" s="9">
        <v>0</v>
      </c>
      <c r="H119" s="109"/>
    </row>
    <row r="120" spans="1:8" ht="14.1" customHeight="1" x14ac:dyDescent="0.2">
      <c r="A120" s="99"/>
      <c r="B120" s="1"/>
      <c r="C120" s="10"/>
      <c r="D120" s="1"/>
      <c r="E120" s="1"/>
      <c r="F120" s="11"/>
      <c r="G120" s="11"/>
      <c r="H120" s="109"/>
    </row>
    <row r="121" spans="1:8" ht="14.1" customHeight="1" x14ac:dyDescent="0.2">
      <c r="A121" s="99"/>
      <c r="B121" s="3"/>
      <c r="C121" s="3"/>
      <c r="D121" s="2"/>
      <c r="E121" s="1"/>
      <c r="F121" s="3"/>
      <c r="G121" s="7"/>
      <c r="H121" s="109"/>
    </row>
    <row r="122" spans="1:8" ht="18" customHeight="1" x14ac:dyDescent="0.2">
      <c r="A122" s="101"/>
      <c r="B122" s="3"/>
      <c r="C122" s="3" t="s">
        <v>160</v>
      </c>
      <c r="D122" s="3"/>
      <c r="E122" s="7"/>
      <c r="F122" s="5">
        <v>-3.5761253100000001</v>
      </c>
      <c r="G122" s="6">
        <v>-1.2474000000000001E-3</v>
      </c>
      <c r="H122" s="109"/>
    </row>
    <row r="123" spans="1:8" ht="14.1" customHeight="1" x14ac:dyDescent="0.2">
      <c r="A123" s="102"/>
      <c r="B123" s="10"/>
      <c r="C123" s="2" t="s">
        <v>161</v>
      </c>
      <c r="D123" s="11"/>
      <c r="E123" s="11"/>
      <c r="F123" s="8">
        <v>2866.8560641899999</v>
      </c>
      <c r="G123" s="12">
        <v>1.0000000600000001</v>
      </c>
      <c r="H123" s="109"/>
    </row>
    <row r="124" spans="1:8" ht="14.1" customHeight="1" x14ac:dyDescent="0.2">
      <c r="A124" s="13"/>
      <c r="B124" s="13"/>
      <c r="C124" s="13"/>
      <c r="D124" s="14"/>
      <c r="E124" s="14"/>
      <c r="F124" s="14"/>
      <c r="G124" s="14"/>
    </row>
    <row r="125" spans="1:8" ht="14.1" customHeight="1" x14ac:dyDescent="0.2">
      <c r="A125" s="15"/>
      <c r="B125" s="15"/>
      <c r="C125" s="15"/>
      <c r="D125" s="17"/>
      <c r="E125" s="17"/>
      <c r="F125" s="17"/>
      <c r="G125" s="17"/>
    </row>
    <row r="126" spans="1:8" ht="14.1" customHeight="1" x14ac:dyDescent="0.2">
      <c r="A126" s="15"/>
      <c r="B126" s="194" t="s">
        <v>163</v>
      </c>
      <c r="C126" s="195"/>
      <c r="D126" s="196"/>
      <c r="E126" s="18"/>
      <c r="F126" s="17"/>
      <c r="G126" s="17"/>
    </row>
    <row r="127" spans="1:8" ht="29.1" customHeight="1" x14ac:dyDescent="0.2">
      <c r="A127" s="15"/>
      <c r="B127" s="191" t="s">
        <v>164</v>
      </c>
      <c r="C127" s="192"/>
      <c r="D127" s="2" t="s">
        <v>165</v>
      </c>
      <c r="E127" s="18"/>
      <c r="F127" s="17"/>
      <c r="G127" s="17"/>
    </row>
    <row r="128" spans="1:8" ht="17.100000000000001" customHeight="1" x14ac:dyDescent="0.2">
      <c r="A128" s="15"/>
      <c r="B128" s="191" t="s">
        <v>166</v>
      </c>
      <c r="C128" s="192"/>
      <c r="D128" s="2" t="s">
        <v>165</v>
      </c>
      <c r="E128" s="18"/>
      <c r="F128" s="17"/>
      <c r="G128" s="17"/>
    </row>
    <row r="129" spans="1:7" ht="17.100000000000001" customHeight="1" x14ac:dyDescent="0.2">
      <c r="A129" s="15"/>
      <c r="B129" s="191" t="s">
        <v>167</v>
      </c>
      <c r="C129" s="192"/>
      <c r="D129" s="11" t="s">
        <v>136</v>
      </c>
      <c r="E129" s="18"/>
      <c r="F129" s="17"/>
      <c r="G129" s="17"/>
    </row>
    <row r="130" spans="1:7" ht="24" customHeight="1" x14ac:dyDescent="0.2">
      <c r="A130" s="19"/>
      <c r="B130" s="20" t="s">
        <v>136</v>
      </c>
      <c r="C130" s="20" t="s">
        <v>168</v>
      </c>
      <c r="D130" s="20" t="s">
        <v>169</v>
      </c>
      <c r="E130" s="19"/>
      <c r="F130" s="19"/>
      <c r="G130" s="19"/>
    </row>
    <row r="131" spans="1:7" ht="18" customHeight="1" x14ac:dyDescent="0.2">
      <c r="A131" s="19"/>
      <c r="B131" s="21" t="s">
        <v>170</v>
      </c>
      <c r="C131" s="20" t="s">
        <v>171</v>
      </c>
      <c r="D131" s="20" t="s">
        <v>172</v>
      </c>
      <c r="E131" s="19"/>
      <c r="F131" s="19"/>
      <c r="G131" s="19"/>
    </row>
    <row r="132" spans="1:7" ht="17.100000000000001" customHeight="1" x14ac:dyDescent="0.2">
      <c r="A132" s="19"/>
      <c r="B132" s="3" t="s">
        <v>173</v>
      </c>
      <c r="C132" s="22">
        <v>16.7408</v>
      </c>
      <c r="D132" s="22">
        <v>16.7027</v>
      </c>
      <c r="E132" s="19"/>
      <c r="F132" s="16"/>
      <c r="G132" s="23"/>
    </row>
    <row r="133" spans="1:7" ht="17.100000000000001" customHeight="1" x14ac:dyDescent="0.2">
      <c r="A133" s="19"/>
      <c r="B133" s="3" t="s">
        <v>994</v>
      </c>
      <c r="C133" s="22">
        <v>16.7408</v>
      </c>
      <c r="D133" s="22">
        <v>16.7026</v>
      </c>
      <c r="E133" s="19"/>
      <c r="F133" s="16"/>
      <c r="G133" s="23"/>
    </row>
    <row r="134" spans="1:7" ht="17.100000000000001" customHeight="1" x14ac:dyDescent="0.2">
      <c r="A134" s="19"/>
      <c r="B134" s="3" t="s">
        <v>174</v>
      </c>
      <c r="C134" s="22">
        <v>16.282900000000001</v>
      </c>
      <c r="D134" s="22">
        <v>16.2408</v>
      </c>
      <c r="E134" s="19"/>
      <c r="F134" s="16"/>
      <c r="G134" s="23"/>
    </row>
    <row r="135" spans="1:7" ht="17.100000000000001" customHeight="1" x14ac:dyDescent="0.2">
      <c r="A135" s="19"/>
      <c r="B135" s="3" t="s">
        <v>995</v>
      </c>
      <c r="C135" s="22">
        <v>16.282900000000001</v>
      </c>
      <c r="D135" s="22">
        <v>16.2408</v>
      </c>
      <c r="E135" s="19"/>
      <c r="F135" s="16"/>
      <c r="G135" s="23"/>
    </row>
    <row r="136" spans="1:7" ht="14.1" customHeight="1" x14ac:dyDescent="0.2">
      <c r="A136" s="19"/>
      <c r="B136" s="19"/>
      <c r="C136" s="19"/>
      <c r="D136" s="19"/>
      <c r="E136" s="19"/>
      <c r="F136" s="19"/>
      <c r="G136" s="19"/>
    </row>
    <row r="137" spans="1:7" ht="17.100000000000001" customHeight="1" x14ac:dyDescent="0.2">
      <c r="A137" s="19"/>
      <c r="B137" s="191" t="s">
        <v>1044</v>
      </c>
      <c r="C137" s="192"/>
      <c r="D137" s="2" t="s">
        <v>165</v>
      </c>
      <c r="E137" s="19"/>
      <c r="F137" s="19"/>
      <c r="G137" s="19"/>
    </row>
    <row r="138" spans="1:7" ht="18" customHeight="1" x14ac:dyDescent="0.2">
      <c r="A138" s="19"/>
      <c r="B138" s="24"/>
      <c r="C138" s="24"/>
      <c r="D138" s="24"/>
      <c r="E138" s="19"/>
      <c r="F138" s="19"/>
      <c r="G138" s="19"/>
    </row>
    <row r="139" spans="1:7" ht="29.1" customHeight="1" x14ac:dyDescent="0.2">
      <c r="A139" s="19"/>
      <c r="B139" s="191" t="s">
        <v>175</v>
      </c>
      <c r="C139" s="192"/>
      <c r="D139" s="2" t="s">
        <v>165</v>
      </c>
      <c r="E139" s="25"/>
      <c r="F139" s="19"/>
      <c r="G139" s="19"/>
    </row>
    <row r="140" spans="1:7" ht="29.1" customHeight="1" x14ac:dyDescent="0.2">
      <c r="A140" s="19"/>
      <c r="B140" s="191" t="s">
        <v>176</v>
      </c>
      <c r="C140" s="192"/>
      <c r="D140" s="2" t="s">
        <v>165</v>
      </c>
      <c r="E140" s="25"/>
      <c r="F140" s="19"/>
      <c r="G140" s="19"/>
    </row>
    <row r="141" spans="1:7" ht="17.100000000000001" customHeight="1" x14ac:dyDescent="0.2">
      <c r="A141" s="19"/>
      <c r="B141" s="191" t="s">
        <v>177</v>
      </c>
      <c r="C141" s="192"/>
      <c r="D141" s="2" t="s">
        <v>165</v>
      </c>
      <c r="E141" s="25"/>
      <c r="F141" s="19"/>
      <c r="G141" s="19"/>
    </row>
    <row r="142" spans="1:7" ht="17.100000000000001" customHeight="1" x14ac:dyDescent="0.2">
      <c r="A142" s="19"/>
      <c r="B142" s="191" t="s">
        <v>178</v>
      </c>
      <c r="C142" s="192"/>
      <c r="D142" s="26">
        <v>0.13972962327069791</v>
      </c>
      <c r="E142" s="19"/>
      <c r="F142" s="16"/>
      <c r="G142" s="23"/>
    </row>
    <row r="143" spans="1:7" ht="14.1" customHeight="1" x14ac:dyDescent="0.2">
      <c r="A143" s="24"/>
      <c r="B143" s="24"/>
      <c r="C143" s="24"/>
      <c r="D143" s="24"/>
      <c r="E143" s="24"/>
      <c r="F143" s="24"/>
      <c r="G143" s="24"/>
    </row>
    <row r="158" spans="10:14" x14ac:dyDescent="0.2">
      <c r="J158" s="170"/>
      <c r="K158" s="170"/>
      <c r="L158" s="170"/>
      <c r="M158" s="170"/>
      <c r="N158" s="170"/>
    </row>
  </sheetData>
  <mergeCells count="13">
    <mergeCell ref="J2:N2"/>
    <mergeCell ref="B129:C129"/>
    <mergeCell ref="B126:D126"/>
    <mergeCell ref="B127:C127"/>
    <mergeCell ref="B128:C128"/>
    <mergeCell ref="A1:H1"/>
    <mergeCell ref="A2:H2"/>
    <mergeCell ref="A3:H3"/>
    <mergeCell ref="B142:C142"/>
    <mergeCell ref="B139:C139"/>
    <mergeCell ref="B140:C140"/>
    <mergeCell ref="B141:C141"/>
    <mergeCell ref="B137:C137"/>
  </mergeCells>
  <hyperlinks>
    <hyperlink ref="I1" location="Index!B14" display="Index" xr:uid="{F9F306F6-DF8B-4363-ADA0-348079900FF4}"/>
  </hyperlinks>
  <pageMargins left="5.000000074505806E-2" right="5.000000074505806E-2" top="0.30000001192092896" bottom="0.20000000298023224" header="0" footer="0"/>
  <pageSetup paperSize="9" orientation="landscape"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N15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7" t="s">
        <v>0</v>
      </c>
      <c r="B1" s="187"/>
      <c r="C1" s="187"/>
      <c r="D1" s="187"/>
      <c r="E1" s="187"/>
      <c r="F1" s="187"/>
      <c r="G1" s="187"/>
      <c r="H1" s="187"/>
      <c r="I1" s="167" t="s">
        <v>1055</v>
      </c>
    </row>
    <row r="2" spans="1:14" ht="17.100000000000001" customHeight="1" x14ac:dyDescent="0.2">
      <c r="A2" s="188" t="s">
        <v>482</v>
      </c>
      <c r="B2" s="189"/>
      <c r="C2" s="189"/>
      <c r="D2" s="189"/>
      <c r="E2" s="189"/>
      <c r="F2" s="189"/>
      <c r="G2" s="189"/>
      <c r="H2" s="190"/>
      <c r="J2" s="186" t="s">
        <v>1056</v>
      </c>
      <c r="K2" s="186"/>
      <c r="L2" s="186"/>
      <c r="M2" s="186"/>
      <c r="N2" s="186"/>
    </row>
    <row r="3" spans="1:14" ht="21" customHeight="1" x14ac:dyDescent="0.2">
      <c r="A3" s="187" t="s">
        <v>1052</v>
      </c>
      <c r="B3" s="187"/>
      <c r="C3" s="187"/>
      <c r="D3" s="187"/>
      <c r="E3" s="187"/>
      <c r="F3" s="187"/>
      <c r="G3" s="187"/>
      <c r="H3" s="187"/>
    </row>
    <row r="4" spans="1:14" ht="30" x14ac:dyDescent="0.2">
      <c r="A4" s="163" t="s">
        <v>2</v>
      </c>
      <c r="B4" s="164" t="s">
        <v>3</v>
      </c>
      <c r="C4" s="164" t="s">
        <v>4</v>
      </c>
      <c r="D4" s="164" t="s">
        <v>5</v>
      </c>
      <c r="E4" s="164" t="s">
        <v>6</v>
      </c>
      <c r="F4" s="164" t="s">
        <v>7</v>
      </c>
      <c r="G4" s="164" t="s">
        <v>8</v>
      </c>
      <c r="H4" s="120" t="s">
        <v>881</v>
      </c>
      <c r="I4" s="165"/>
      <c r="J4" s="165"/>
      <c r="K4" s="165"/>
      <c r="L4" s="165"/>
      <c r="M4" s="165"/>
      <c r="N4" s="165"/>
    </row>
    <row r="5" spans="1:14" ht="14.1" customHeight="1" x14ac:dyDescent="0.2">
      <c r="A5" s="99"/>
      <c r="B5" s="1"/>
      <c r="C5" s="2" t="s">
        <v>9</v>
      </c>
      <c r="D5" s="1"/>
      <c r="E5" s="1"/>
      <c r="F5" s="1"/>
      <c r="G5" s="1"/>
      <c r="H5" s="109"/>
    </row>
    <row r="6" spans="1:14" ht="24" customHeight="1" x14ac:dyDescent="0.2">
      <c r="A6" s="99"/>
      <c r="B6" s="1"/>
      <c r="C6" s="2" t="s">
        <v>10</v>
      </c>
      <c r="D6" s="1"/>
      <c r="E6" s="1"/>
      <c r="F6" s="1"/>
      <c r="G6" s="1"/>
      <c r="H6" s="109"/>
    </row>
    <row r="7" spans="1:14" ht="17.100000000000001" customHeight="1" x14ac:dyDescent="0.2">
      <c r="A7" s="100">
        <v>1</v>
      </c>
      <c r="B7" s="3" t="s">
        <v>371</v>
      </c>
      <c r="C7" s="3" t="s">
        <v>372</v>
      </c>
      <c r="D7" s="3" t="s">
        <v>22</v>
      </c>
      <c r="E7" s="4">
        <v>138040</v>
      </c>
      <c r="F7" s="5">
        <v>98.698599999999999</v>
      </c>
      <c r="G7" s="6">
        <v>5.2508399999999997E-2</v>
      </c>
      <c r="H7" s="109"/>
    </row>
    <row r="8" spans="1:14" ht="17.100000000000001" customHeight="1" x14ac:dyDescent="0.2">
      <c r="A8" s="100">
        <v>2</v>
      </c>
      <c r="B8" s="3" t="s">
        <v>408</v>
      </c>
      <c r="C8" s="3" t="s">
        <v>409</v>
      </c>
      <c r="D8" s="3" t="s">
        <v>115</v>
      </c>
      <c r="E8" s="4">
        <v>4192</v>
      </c>
      <c r="F8" s="5">
        <v>84.730800000000002</v>
      </c>
      <c r="G8" s="6">
        <v>4.507742E-2</v>
      </c>
      <c r="H8" s="109"/>
    </row>
    <row r="9" spans="1:14" ht="17.100000000000001" customHeight="1" x14ac:dyDescent="0.2">
      <c r="A9" s="100">
        <v>3</v>
      </c>
      <c r="B9" s="3" t="s">
        <v>29</v>
      </c>
      <c r="C9" s="3" t="s">
        <v>30</v>
      </c>
      <c r="D9" s="3" t="s">
        <v>31</v>
      </c>
      <c r="E9" s="4">
        <v>3493</v>
      </c>
      <c r="F9" s="5">
        <v>66.913654500000007</v>
      </c>
      <c r="G9" s="6">
        <v>3.5598570000000003E-2</v>
      </c>
      <c r="H9" s="109"/>
    </row>
    <row r="10" spans="1:14" ht="17.100000000000001" customHeight="1" x14ac:dyDescent="0.2">
      <c r="A10" s="100">
        <v>4</v>
      </c>
      <c r="B10" s="3" t="s">
        <v>72</v>
      </c>
      <c r="C10" s="3" t="s">
        <v>73</v>
      </c>
      <c r="D10" s="3" t="s">
        <v>31</v>
      </c>
      <c r="E10" s="4">
        <v>3854</v>
      </c>
      <c r="F10" s="5">
        <v>62.637135000000001</v>
      </c>
      <c r="G10" s="6">
        <v>3.3323430000000001E-2</v>
      </c>
      <c r="H10" s="109"/>
    </row>
    <row r="11" spans="1:14" ht="17.100000000000001" customHeight="1" x14ac:dyDescent="0.2">
      <c r="A11" s="100">
        <v>5</v>
      </c>
      <c r="B11" s="3" t="s">
        <v>184</v>
      </c>
      <c r="C11" s="3" t="s">
        <v>185</v>
      </c>
      <c r="D11" s="3" t="s">
        <v>996</v>
      </c>
      <c r="E11" s="4">
        <v>1195</v>
      </c>
      <c r="F11" s="5">
        <v>57.277545000000003</v>
      </c>
      <c r="G11" s="6">
        <v>3.047209E-2</v>
      </c>
      <c r="H11" s="109"/>
    </row>
    <row r="12" spans="1:14" ht="29.1" customHeight="1" x14ac:dyDescent="0.2">
      <c r="A12" s="100">
        <v>6</v>
      </c>
      <c r="B12" s="3" t="s">
        <v>204</v>
      </c>
      <c r="C12" s="3" t="s">
        <v>205</v>
      </c>
      <c r="D12" s="3" t="s">
        <v>115</v>
      </c>
      <c r="E12" s="4">
        <v>17793</v>
      </c>
      <c r="F12" s="5">
        <v>54.064030500000001</v>
      </c>
      <c r="G12" s="6">
        <v>2.8762469999999998E-2</v>
      </c>
      <c r="H12" s="109"/>
    </row>
    <row r="13" spans="1:14" ht="17.100000000000001" customHeight="1" x14ac:dyDescent="0.2">
      <c r="A13" s="100">
        <v>7</v>
      </c>
      <c r="B13" s="3" t="s">
        <v>416</v>
      </c>
      <c r="C13" s="3" t="s">
        <v>417</v>
      </c>
      <c r="D13" s="3" t="s">
        <v>115</v>
      </c>
      <c r="E13" s="4">
        <v>10545</v>
      </c>
      <c r="F13" s="5">
        <v>53.320792500000003</v>
      </c>
      <c r="G13" s="6">
        <v>2.8367059999999999E-2</v>
      </c>
      <c r="H13" s="109"/>
      <c r="J13" s="169" t="s">
        <v>1060</v>
      </c>
    </row>
    <row r="14" spans="1:14" ht="29.1" customHeight="1" x14ac:dyDescent="0.2">
      <c r="A14" s="100">
        <v>8</v>
      </c>
      <c r="B14" s="3" t="s">
        <v>186</v>
      </c>
      <c r="C14" s="3" t="s">
        <v>187</v>
      </c>
      <c r="D14" s="3" t="s">
        <v>188</v>
      </c>
      <c r="E14" s="4">
        <v>1246</v>
      </c>
      <c r="F14" s="5">
        <v>51.436126000000002</v>
      </c>
      <c r="G14" s="6">
        <v>2.7364409999999999E-2</v>
      </c>
      <c r="H14" s="109"/>
    </row>
    <row r="15" spans="1:14" ht="17.100000000000001" customHeight="1" x14ac:dyDescent="0.2">
      <c r="A15" s="100">
        <v>9</v>
      </c>
      <c r="B15" s="3" t="s">
        <v>305</v>
      </c>
      <c r="C15" s="3" t="s">
        <v>306</v>
      </c>
      <c r="D15" s="3" t="s">
        <v>242</v>
      </c>
      <c r="E15" s="4">
        <v>3272</v>
      </c>
      <c r="F15" s="5">
        <v>49.675503999999997</v>
      </c>
      <c r="G15" s="6">
        <v>2.6427740000000002E-2</v>
      </c>
      <c r="H15" s="109"/>
    </row>
    <row r="16" spans="1:14" ht="17.100000000000001" customHeight="1" x14ac:dyDescent="0.2">
      <c r="A16" s="100">
        <v>10</v>
      </c>
      <c r="B16" s="3" t="s">
        <v>404</v>
      </c>
      <c r="C16" s="3" t="s">
        <v>405</v>
      </c>
      <c r="D16" s="3" t="s">
        <v>31</v>
      </c>
      <c r="E16" s="4">
        <v>5962</v>
      </c>
      <c r="F16" s="5">
        <v>49.532296000000002</v>
      </c>
      <c r="G16" s="6">
        <v>2.635156E-2</v>
      </c>
      <c r="H16" s="109"/>
    </row>
    <row r="17" spans="1:8" ht="17.100000000000001" customHeight="1" x14ac:dyDescent="0.2">
      <c r="A17" s="100">
        <v>11</v>
      </c>
      <c r="B17" s="3" t="s">
        <v>113</v>
      </c>
      <c r="C17" s="3" t="s">
        <v>114</v>
      </c>
      <c r="D17" s="3" t="s">
        <v>115</v>
      </c>
      <c r="E17" s="4">
        <v>17019</v>
      </c>
      <c r="F17" s="5">
        <v>47.729785499999998</v>
      </c>
      <c r="G17" s="6">
        <v>2.5392609999999999E-2</v>
      </c>
      <c r="H17" s="109"/>
    </row>
    <row r="18" spans="1:8" ht="17.100000000000001" customHeight="1" x14ac:dyDescent="0.2">
      <c r="A18" s="100">
        <v>12</v>
      </c>
      <c r="B18" s="3" t="s">
        <v>318</v>
      </c>
      <c r="C18" s="3" t="s">
        <v>319</v>
      </c>
      <c r="D18" s="3" t="s">
        <v>235</v>
      </c>
      <c r="E18" s="4">
        <v>3795</v>
      </c>
      <c r="F18" s="5">
        <v>47.016255000000001</v>
      </c>
      <c r="G18" s="6">
        <v>2.5013000000000001E-2</v>
      </c>
      <c r="H18" s="109"/>
    </row>
    <row r="19" spans="1:8" ht="17.100000000000001" customHeight="1" x14ac:dyDescent="0.2">
      <c r="A19" s="100">
        <v>13</v>
      </c>
      <c r="B19" s="3" t="s">
        <v>400</v>
      </c>
      <c r="C19" s="3" t="s">
        <v>401</v>
      </c>
      <c r="D19" s="3" t="s">
        <v>210</v>
      </c>
      <c r="E19" s="4">
        <v>15930</v>
      </c>
      <c r="F19" s="5">
        <v>44.492489999999997</v>
      </c>
      <c r="G19" s="6">
        <v>2.3670340000000002E-2</v>
      </c>
      <c r="H19" s="109"/>
    </row>
    <row r="20" spans="1:8" ht="17.100000000000001" customHeight="1" x14ac:dyDescent="0.2">
      <c r="A20" s="100">
        <v>14</v>
      </c>
      <c r="B20" s="3" t="s">
        <v>384</v>
      </c>
      <c r="C20" s="3" t="s">
        <v>385</v>
      </c>
      <c r="D20" s="3" t="s">
        <v>334</v>
      </c>
      <c r="E20" s="4">
        <v>2929</v>
      </c>
      <c r="F20" s="5">
        <v>41.0836185</v>
      </c>
      <c r="G20" s="6">
        <v>2.1856799999999999E-2</v>
      </c>
      <c r="H20" s="109"/>
    </row>
    <row r="21" spans="1:8" ht="17.100000000000001" customHeight="1" x14ac:dyDescent="0.2">
      <c r="A21" s="100">
        <v>15</v>
      </c>
      <c r="B21" s="3" t="s">
        <v>402</v>
      </c>
      <c r="C21" s="3" t="s">
        <v>403</v>
      </c>
      <c r="D21" s="3" t="s">
        <v>120</v>
      </c>
      <c r="E21" s="4">
        <v>6934</v>
      </c>
      <c r="F21" s="5">
        <v>39.884368000000002</v>
      </c>
      <c r="G21" s="6">
        <v>2.121878E-2</v>
      </c>
      <c r="H21" s="109"/>
    </row>
    <row r="22" spans="1:8" ht="17.100000000000001" customHeight="1" x14ac:dyDescent="0.2">
      <c r="A22" s="100">
        <v>16</v>
      </c>
      <c r="B22" s="3" t="s">
        <v>95</v>
      </c>
      <c r="C22" s="3" t="s">
        <v>96</v>
      </c>
      <c r="D22" s="3" t="s">
        <v>97</v>
      </c>
      <c r="E22" s="4">
        <v>7883</v>
      </c>
      <c r="F22" s="5">
        <v>38.441449499999997</v>
      </c>
      <c r="G22" s="6">
        <v>2.045114E-2</v>
      </c>
      <c r="H22" s="109"/>
    </row>
    <row r="23" spans="1:8" ht="17.100000000000001" customHeight="1" x14ac:dyDescent="0.2">
      <c r="A23" s="100">
        <v>17</v>
      </c>
      <c r="B23" s="3" t="s">
        <v>461</v>
      </c>
      <c r="C23" s="3" t="s">
        <v>462</v>
      </c>
      <c r="D23" s="3" t="s">
        <v>996</v>
      </c>
      <c r="E23" s="4">
        <v>4417</v>
      </c>
      <c r="F23" s="5">
        <v>36.645640499999999</v>
      </c>
      <c r="G23" s="6">
        <v>1.9495760000000001E-2</v>
      </c>
      <c r="H23" s="109"/>
    </row>
    <row r="24" spans="1:8" ht="17.100000000000001" customHeight="1" x14ac:dyDescent="0.2">
      <c r="A24" s="100">
        <v>18</v>
      </c>
      <c r="B24" s="3" t="s">
        <v>433</v>
      </c>
      <c r="C24" s="3" t="s">
        <v>434</v>
      </c>
      <c r="D24" s="3" t="s">
        <v>997</v>
      </c>
      <c r="E24" s="4">
        <v>3807</v>
      </c>
      <c r="F24" s="5">
        <v>35.949500999999998</v>
      </c>
      <c r="G24" s="6">
        <v>1.9125409999999999E-2</v>
      </c>
      <c r="H24" s="109"/>
    </row>
    <row r="25" spans="1:8" ht="17.100000000000001" customHeight="1" x14ac:dyDescent="0.2">
      <c r="A25" s="100">
        <v>19</v>
      </c>
      <c r="B25" s="3" t="s">
        <v>373</v>
      </c>
      <c r="C25" s="3" t="s">
        <v>374</v>
      </c>
      <c r="D25" s="3" t="s">
        <v>997</v>
      </c>
      <c r="E25" s="4">
        <v>3437</v>
      </c>
      <c r="F25" s="5">
        <v>35.200035499999998</v>
      </c>
      <c r="G25" s="6">
        <v>1.8726679999999999E-2</v>
      </c>
      <c r="H25" s="109"/>
    </row>
    <row r="26" spans="1:8" ht="29.1" customHeight="1" x14ac:dyDescent="0.2">
      <c r="A26" s="100">
        <v>20</v>
      </c>
      <c r="B26" s="3" t="s">
        <v>448</v>
      </c>
      <c r="C26" s="3" t="s">
        <v>449</v>
      </c>
      <c r="D26" s="3" t="s">
        <v>221</v>
      </c>
      <c r="E26" s="4">
        <v>1815</v>
      </c>
      <c r="F26" s="5">
        <v>35.187404999999998</v>
      </c>
      <c r="G26" s="6">
        <v>1.8719969999999999E-2</v>
      </c>
      <c r="H26" s="109"/>
    </row>
    <row r="27" spans="1:8" ht="17.100000000000001" customHeight="1" x14ac:dyDescent="0.2">
      <c r="A27" s="100">
        <v>21</v>
      </c>
      <c r="B27" s="3" t="s">
        <v>37</v>
      </c>
      <c r="C27" s="3" t="s">
        <v>38</v>
      </c>
      <c r="D27" s="3" t="s">
        <v>31</v>
      </c>
      <c r="E27" s="4">
        <v>1906</v>
      </c>
      <c r="F27" s="5">
        <v>34.397582</v>
      </c>
      <c r="G27" s="6">
        <v>1.829977E-2</v>
      </c>
      <c r="H27" s="109"/>
    </row>
    <row r="28" spans="1:8" ht="17.100000000000001" customHeight="1" x14ac:dyDescent="0.2">
      <c r="A28" s="100">
        <v>22</v>
      </c>
      <c r="B28" s="3" t="s">
        <v>231</v>
      </c>
      <c r="C28" s="3" t="s">
        <v>232</v>
      </c>
      <c r="D28" s="3" t="s">
        <v>80</v>
      </c>
      <c r="E28" s="4">
        <v>700</v>
      </c>
      <c r="F28" s="5">
        <v>33.959099999999999</v>
      </c>
      <c r="G28" s="6">
        <v>1.8066499999999999E-2</v>
      </c>
      <c r="H28" s="109"/>
    </row>
    <row r="29" spans="1:8" ht="17.100000000000001" customHeight="1" x14ac:dyDescent="0.2">
      <c r="A29" s="100">
        <v>23</v>
      </c>
      <c r="B29" s="3" t="s">
        <v>410</v>
      </c>
      <c r="C29" s="3" t="s">
        <v>411</v>
      </c>
      <c r="D29" s="3" t="s">
        <v>235</v>
      </c>
      <c r="E29" s="4">
        <v>5099</v>
      </c>
      <c r="F29" s="5">
        <v>33.077213</v>
      </c>
      <c r="G29" s="6">
        <v>1.7597330000000001E-2</v>
      </c>
      <c r="H29" s="109"/>
    </row>
    <row r="30" spans="1:8" ht="29.1" customHeight="1" x14ac:dyDescent="0.2">
      <c r="A30" s="100">
        <v>24</v>
      </c>
      <c r="B30" s="3" t="s">
        <v>87</v>
      </c>
      <c r="C30" s="3" t="s">
        <v>88</v>
      </c>
      <c r="D30" s="3" t="s">
        <v>25</v>
      </c>
      <c r="E30" s="4">
        <v>1193</v>
      </c>
      <c r="F30" s="5">
        <v>32.981678000000002</v>
      </c>
      <c r="G30" s="6">
        <v>1.75465E-2</v>
      </c>
      <c r="H30" s="109"/>
    </row>
    <row r="31" spans="1:8" ht="17.100000000000001" customHeight="1" x14ac:dyDescent="0.2">
      <c r="A31" s="100">
        <v>25</v>
      </c>
      <c r="B31" s="3" t="s">
        <v>418</v>
      </c>
      <c r="C31" s="3" t="s">
        <v>419</v>
      </c>
      <c r="D31" s="3" t="s">
        <v>120</v>
      </c>
      <c r="E31" s="4">
        <v>3328</v>
      </c>
      <c r="F31" s="5">
        <v>32.113536000000003</v>
      </c>
      <c r="G31" s="6">
        <v>1.7084640000000002E-2</v>
      </c>
      <c r="H31" s="109"/>
    </row>
    <row r="32" spans="1:8" ht="17.100000000000001" customHeight="1" x14ac:dyDescent="0.2">
      <c r="A32" s="100">
        <v>26</v>
      </c>
      <c r="B32" s="3" t="s">
        <v>398</v>
      </c>
      <c r="C32" s="3" t="s">
        <v>399</v>
      </c>
      <c r="D32" s="3" t="s">
        <v>97</v>
      </c>
      <c r="E32" s="4">
        <v>2275</v>
      </c>
      <c r="F32" s="5">
        <v>31.465525</v>
      </c>
      <c r="G32" s="6">
        <v>1.6739899999999999E-2</v>
      </c>
      <c r="H32" s="109"/>
    </row>
    <row r="33" spans="1:8" ht="17.100000000000001" customHeight="1" x14ac:dyDescent="0.2">
      <c r="A33" s="100">
        <v>27</v>
      </c>
      <c r="B33" s="3" t="s">
        <v>377</v>
      </c>
      <c r="C33" s="3" t="s">
        <v>378</v>
      </c>
      <c r="D33" s="3" t="s">
        <v>13</v>
      </c>
      <c r="E33" s="4">
        <v>40346</v>
      </c>
      <c r="F33" s="5">
        <v>30.077943000000001</v>
      </c>
      <c r="G33" s="6">
        <v>1.6001689999999999E-2</v>
      </c>
      <c r="H33" s="109"/>
    </row>
    <row r="34" spans="1:8" ht="29.1" customHeight="1" x14ac:dyDescent="0.2">
      <c r="A34" s="100">
        <v>28</v>
      </c>
      <c r="B34" s="3" t="s">
        <v>256</v>
      </c>
      <c r="C34" s="3" t="s">
        <v>257</v>
      </c>
      <c r="D34" s="3" t="s">
        <v>221</v>
      </c>
      <c r="E34" s="4">
        <v>9440</v>
      </c>
      <c r="F34" s="5">
        <v>29.67464</v>
      </c>
      <c r="G34" s="6">
        <v>1.578713E-2</v>
      </c>
      <c r="H34" s="109"/>
    </row>
    <row r="35" spans="1:8" ht="17.100000000000001" customHeight="1" x14ac:dyDescent="0.2">
      <c r="A35" s="100">
        <v>29</v>
      </c>
      <c r="B35" s="3" t="s">
        <v>441</v>
      </c>
      <c r="C35" s="3" t="s">
        <v>442</v>
      </c>
      <c r="D35" s="3" t="s">
        <v>120</v>
      </c>
      <c r="E35" s="4">
        <v>38221</v>
      </c>
      <c r="F35" s="5">
        <v>29.04796</v>
      </c>
      <c r="G35" s="6">
        <v>1.5453730000000001E-2</v>
      </c>
      <c r="H35" s="109"/>
    </row>
    <row r="36" spans="1:8" ht="17.100000000000001" customHeight="1" x14ac:dyDescent="0.2">
      <c r="A36" s="100">
        <v>30</v>
      </c>
      <c r="B36" s="3" t="s">
        <v>286</v>
      </c>
      <c r="C36" s="3" t="s">
        <v>287</v>
      </c>
      <c r="D36" s="3" t="s">
        <v>19</v>
      </c>
      <c r="E36" s="4">
        <v>13326</v>
      </c>
      <c r="F36" s="5">
        <v>28.684214999999998</v>
      </c>
      <c r="G36" s="6">
        <v>1.526022E-2</v>
      </c>
      <c r="H36" s="109"/>
    </row>
    <row r="37" spans="1:8" ht="29.1" customHeight="1" x14ac:dyDescent="0.2">
      <c r="A37" s="100">
        <v>31</v>
      </c>
      <c r="B37" s="3" t="s">
        <v>379</v>
      </c>
      <c r="C37" s="3" t="s">
        <v>380</v>
      </c>
      <c r="D37" s="3" t="s">
        <v>62</v>
      </c>
      <c r="E37" s="4">
        <v>1417</v>
      </c>
      <c r="F37" s="5">
        <v>28.353461500000002</v>
      </c>
      <c r="G37" s="6">
        <v>1.508426E-2</v>
      </c>
      <c r="H37" s="109"/>
    </row>
    <row r="38" spans="1:8" ht="29.1" customHeight="1" x14ac:dyDescent="0.2">
      <c r="A38" s="100">
        <v>32</v>
      </c>
      <c r="B38" s="3" t="s">
        <v>406</v>
      </c>
      <c r="C38" s="3" t="s">
        <v>407</v>
      </c>
      <c r="D38" s="3" t="s">
        <v>52</v>
      </c>
      <c r="E38" s="4">
        <v>1669</v>
      </c>
      <c r="F38" s="5">
        <v>28.3204265</v>
      </c>
      <c r="G38" s="6">
        <v>1.5066680000000001E-2</v>
      </c>
      <c r="H38" s="109"/>
    </row>
    <row r="39" spans="1:8" ht="29.1" customHeight="1" x14ac:dyDescent="0.2">
      <c r="A39" s="100">
        <v>33</v>
      </c>
      <c r="B39" s="3" t="s">
        <v>381</v>
      </c>
      <c r="C39" s="3" t="s">
        <v>382</v>
      </c>
      <c r="D39" s="3" t="s">
        <v>383</v>
      </c>
      <c r="E39" s="4">
        <v>28099</v>
      </c>
      <c r="F39" s="5">
        <v>27.818010000000001</v>
      </c>
      <c r="G39" s="6">
        <v>1.4799390000000001E-2</v>
      </c>
      <c r="H39" s="109"/>
    </row>
    <row r="40" spans="1:8" ht="17.100000000000001" customHeight="1" x14ac:dyDescent="0.2">
      <c r="A40" s="100">
        <v>34</v>
      </c>
      <c r="B40" s="3" t="s">
        <v>424</v>
      </c>
      <c r="C40" s="3" t="s">
        <v>425</v>
      </c>
      <c r="D40" s="3" t="s">
        <v>253</v>
      </c>
      <c r="E40" s="4">
        <v>19328</v>
      </c>
      <c r="F40" s="5">
        <v>27.706688</v>
      </c>
      <c r="G40" s="6">
        <v>1.474017E-2</v>
      </c>
      <c r="H40" s="109"/>
    </row>
    <row r="41" spans="1:8" ht="17.100000000000001" customHeight="1" x14ac:dyDescent="0.2">
      <c r="A41" s="100">
        <v>35</v>
      </c>
      <c r="B41" s="3" t="s">
        <v>435</v>
      </c>
      <c r="C41" s="3" t="s">
        <v>436</v>
      </c>
      <c r="D41" s="3" t="s">
        <v>47</v>
      </c>
      <c r="E41" s="4">
        <v>7937</v>
      </c>
      <c r="F41" s="5">
        <v>27.327090999999999</v>
      </c>
      <c r="G41" s="6">
        <v>1.4538219999999999E-2</v>
      </c>
      <c r="H41" s="109"/>
    </row>
    <row r="42" spans="1:8" ht="29.1" customHeight="1" x14ac:dyDescent="0.2">
      <c r="A42" s="100">
        <v>36</v>
      </c>
      <c r="B42" s="3" t="s">
        <v>412</v>
      </c>
      <c r="C42" s="3" t="s">
        <v>413</v>
      </c>
      <c r="D42" s="3" t="s">
        <v>221</v>
      </c>
      <c r="E42" s="4">
        <v>7291</v>
      </c>
      <c r="F42" s="5">
        <v>26.178335499999999</v>
      </c>
      <c r="G42" s="6">
        <v>1.392707E-2</v>
      </c>
      <c r="H42" s="109"/>
    </row>
    <row r="43" spans="1:8" ht="17.100000000000001" customHeight="1" x14ac:dyDescent="0.2">
      <c r="A43" s="100">
        <v>37</v>
      </c>
      <c r="B43" s="3" t="s">
        <v>386</v>
      </c>
      <c r="C43" s="3" t="s">
        <v>387</v>
      </c>
      <c r="D43" s="3" t="s">
        <v>228</v>
      </c>
      <c r="E43" s="4">
        <v>4092</v>
      </c>
      <c r="F43" s="5">
        <v>24.261468000000001</v>
      </c>
      <c r="G43" s="6">
        <v>1.290728E-2</v>
      </c>
      <c r="H43" s="109"/>
    </row>
    <row r="44" spans="1:8" ht="17.100000000000001" customHeight="1" x14ac:dyDescent="0.2">
      <c r="A44" s="100">
        <v>38</v>
      </c>
      <c r="B44" s="3" t="s">
        <v>332</v>
      </c>
      <c r="C44" s="3" t="s">
        <v>333</v>
      </c>
      <c r="D44" s="3" t="s">
        <v>334</v>
      </c>
      <c r="E44" s="4">
        <v>2367</v>
      </c>
      <c r="F44" s="5">
        <v>24.132748500000002</v>
      </c>
      <c r="G44" s="6">
        <v>1.2838799999999999E-2</v>
      </c>
      <c r="H44" s="109"/>
    </row>
    <row r="45" spans="1:8" ht="17.100000000000001" customHeight="1" x14ac:dyDescent="0.2">
      <c r="A45" s="100">
        <v>39</v>
      </c>
      <c r="B45" s="3" t="s">
        <v>439</v>
      </c>
      <c r="C45" s="3" t="s">
        <v>440</v>
      </c>
      <c r="D45" s="3" t="s">
        <v>31</v>
      </c>
      <c r="E45" s="4">
        <v>2300</v>
      </c>
      <c r="F45" s="5">
        <v>22.514700000000001</v>
      </c>
      <c r="G45" s="6">
        <v>1.1977990000000001E-2</v>
      </c>
      <c r="H45" s="109"/>
    </row>
    <row r="46" spans="1:8" ht="29.1" customHeight="1" x14ac:dyDescent="0.2">
      <c r="A46" s="100">
        <v>40</v>
      </c>
      <c r="B46" s="3" t="s">
        <v>422</v>
      </c>
      <c r="C46" s="3" t="s">
        <v>423</v>
      </c>
      <c r="D46" s="3" t="s">
        <v>221</v>
      </c>
      <c r="E46" s="4">
        <v>472</v>
      </c>
      <c r="F46" s="5">
        <v>22.07544</v>
      </c>
      <c r="G46" s="6">
        <v>1.1744299999999999E-2</v>
      </c>
      <c r="H46" s="109"/>
    </row>
    <row r="47" spans="1:8" ht="29.1" customHeight="1" x14ac:dyDescent="0.2">
      <c r="A47" s="100">
        <v>41</v>
      </c>
      <c r="B47" s="3" t="s">
        <v>463</v>
      </c>
      <c r="C47" s="3" t="s">
        <v>464</v>
      </c>
      <c r="D47" s="3" t="s">
        <v>188</v>
      </c>
      <c r="E47" s="4">
        <v>3180</v>
      </c>
      <c r="F47" s="5">
        <v>20.51577</v>
      </c>
      <c r="G47" s="6">
        <v>1.091454E-2</v>
      </c>
      <c r="H47" s="109"/>
    </row>
    <row r="48" spans="1:8" ht="17.100000000000001" customHeight="1" x14ac:dyDescent="0.2">
      <c r="A48" s="100">
        <v>42</v>
      </c>
      <c r="B48" s="3" t="s">
        <v>375</v>
      </c>
      <c r="C48" s="3" t="s">
        <v>376</v>
      </c>
      <c r="D48" s="3" t="s">
        <v>120</v>
      </c>
      <c r="E48" s="4">
        <v>2752</v>
      </c>
      <c r="F48" s="5">
        <v>19.942367999999998</v>
      </c>
      <c r="G48" s="6">
        <v>1.0609489999999999E-2</v>
      </c>
      <c r="H48" s="109"/>
    </row>
    <row r="49" spans="1:8" ht="17.100000000000001" customHeight="1" x14ac:dyDescent="0.2">
      <c r="A49" s="100">
        <v>43</v>
      </c>
      <c r="B49" s="3" t="s">
        <v>471</v>
      </c>
      <c r="C49" s="3" t="s">
        <v>472</v>
      </c>
      <c r="D49" s="3" t="s">
        <v>235</v>
      </c>
      <c r="E49" s="4">
        <v>10135</v>
      </c>
      <c r="F49" s="5">
        <v>19.043665000000001</v>
      </c>
      <c r="G49" s="6">
        <v>1.0131370000000001E-2</v>
      </c>
      <c r="H49" s="109"/>
    </row>
    <row r="50" spans="1:8" ht="17.100000000000001" customHeight="1" x14ac:dyDescent="0.2">
      <c r="A50" s="100">
        <v>44</v>
      </c>
      <c r="B50" s="3" t="s">
        <v>388</v>
      </c>
      <c r="C50" s="3" t="s">
        <v>389</v>
      </c>
      <c r="D50" s="3" t="s">
        <v>115</v>
      </c>
      <c r="E50" s="4">
        <v>4498</v>
      </c>
      <c r="F50" s="5">
        <v>18.410314</v>
      </c>
      <c r="G50" s="6">
        <v>9.7944299999999998E-3</v>
      </c>
      <c r="H50" s="109"/>
    </row>
    <row r="51" spans="1:8" ht="17.100000000000001" customHeight="1" x14ac:dyDescent="0.2">
      <c r="A51" s="100">
        <v>45</v>
      </c>
      <c r="B51" s="3" t="s">
        <v>480</v>
      </c>
      <c r="C51" s="3" t="s">
        <v>481</v>
      </c>
      <c r="D51" s="3" t="s">
        <v>31</v>
      </c>
      <c r="E51" s="4">
        <v>2747</v>
      </c>
      <c r="F51" s="5">
        <v>17.600028999999999</v>
      </c>
      <c r="G51" s="6">
        <v>9.3633499999999995E-3</v>
      </c>
      <c r="H51" s="109"/>
    </row>
    <row r="52" spans="1:8" ht="29.1" customHeight="1" x14ac:dyDescent="0.2">
      <c r="A52" s="100">
        <v>46</v>
      </c>
      <c r="B52" s="3" t="s">
        <v>393</v>
      </c>
      <c r="C52" s="3" t="s">
        <v>394</v>
      </c>
      <c r="D52" s="3" t="s">
        <v>191</v>
      </c>
      <c r="E52" s="4">
        <v>3485</v>
      </c>
      <c r="F52" s="5">
        <v>17.506897500000001</v>
      </c>
      <c r="G52" s="6">
        <v>9.3138000000000006E-3</v>
      </c>
      <c r="H52" s="109"/>
    </row>
    <row r="53" spans="1:8" ht="17.100000000000001" customHeight="1" x14ac:dyDescent="0.2">
      <c r="A53" s="100">
        <v>47</v>
      </c>
      <c r="B53" s="3" t="s">
        <v>428</v>
      </c>
      <c r="C53" s="3" t="s">
        <v>429</v>
      </c>
      <c r="D53" s="3" t="s">
        <v>213</v>
      </c>
      <c r="E53" s="4">
        <v>2336</v>
      </c>
      <c r="F53" s="5">
        <v>17.025936000000002</v>
      </c>
      <c r="G53" s="6">
        <v>9.0579300000000005E-3</v>
      </c>
      <c r="H53" s="109"/>
    </row>
    <row r="54" spans="1:8" ht="17.100000000000001" customHeight="1" x14ac:dyDescent="0.2">
      <c r="A54" s="100">
        <v>48</v>
      </c>
      <c r="B54" s="3" t="s">
        <v>414</v>
      </c>
      <c r="C54" s="3" t="s">
        <v>415</v>
      </c>
      <c r="D54" s="3" t="s">
        <v>57</v>
      </c>
      <c r="E54" s="4">
        <v>2557</v>
      </c>
      <c r="F54" s="5">
        <v>16.652462499999999</v>
      </c>
      <c r="G54" s="6">
        <v>8.8592400000000009E-3</v>
      </c>
      <c r="H54" s="109"/>
    </row>
    <row r="55" spans="1:8" ht="17.100000000000001" customHeight="1" x14ac:dyDescent="0.2">
      <c r="A55" s="100">
        <v>49</v>
      </c>
      <c r="B55" s="3" t="s">
        <v>454</v>
      </c>
      <c r="C55" s="3" t="s">
        <v>455</v>
      </c>
      <c r="D55" s="3" t="s">
        <v>31</v>
      </c>
      <c r="E55" s="4">
        <v>1303</v>
      </c>
      <c r="F55" s="5">
        <v>10.9028525</v>
      </c>
      <c r="G55" s="6">
        <v>5.8003999999999998E-3</v>
      </c>
      <c r="H55" s="109"/>
    </row>
    <row r="56" spans="1:8" ht="17.100000000000001" customHeight="1" x14ac:dyDescent="0.2">
      <c r="A56" s="100">
        <v>50</v>
      </c>
      <c r="B56" s="3" t="s">
        <v>330</v>
      </c>
      <c r="C56" s="3" t="s">
        <v>331</v>
      </c>
      <c r="D56" s="3" t="s">
        <v>97</v>
      </c>
      <c r="E56" s="4">
        <v>14375</v>
      </c>
      <c r="F56" s="5">
        <v>9.2287499999999998</v>
      </c>
      <c r="G56" s="6">
        <v>4.9097699999999999E-3</v>
      </c>
      <c r="H56" s="109"/>
    </row>
    <row r="57" spans="1:8" ht="29.1" customHeight="1" x14ac:dyDescent="0.2">
      <c r="A57" s="100">
        <v>51</v>
      </c>
      <c r="B57" s="3" t="s">
        <v>430</v>
      </c>
      <c r="C57" s="3" t="s">
        <v>431</v>
      </c>
      <c r="D57" s="3" t="s">
        <v>188</v>
      </c>
      <c r="E57" s="4">
        <v>1125</v>
      </c>
      <c r="F57" s="5">
        <v>4.5410624999999998</v>
      </c>
      <c r="G57" s="6">
        <v>2.41588E-3</v>
      </c>
      <c r="H57" s="109"/>
    </row>
    <row r="58" spans="1:8" ht="17.100000000000001" customHeight="1" x14ac:dyDescent="0.2">
      <c r="A58" s="100">
        <v>52</v>
      </c>
      <c r="B58" s="3" t="s">
        <v>420</v>
      </c>
      <c r="C58" s="3" t="s">
        <v>421</v>
      </c>
      <c r="D58" s="3" t="s">
        <v>22</v>
      </c>
      <c r="E58" s="4">
        <v>1389</v>
      </c>
      <c r="F58" s="5">
        <v>3.1815045</v>
      </c>
      <c r="G58" s="6">
        <v>1.69258E-3</v>
      </c>
      <c r="H58" s="109"/>
    </row>
    <row r="59" spans="1:8" ht="29.1" customHeight="1" x14ac:dyDescent="0.2">
      <c r="A59" s="100">
        <v>53</v>
      </c>
      <c r="B59" s="3" t="s">
        <v>456</v>
      </c>
      <c r="C59" s="3" t="s">
        <v>457</v>
      </c>
      <c r="D59" s="3" t="s">
        <v>221</v>
      </c>
      <c r="E59" s="4">
        <v>1120</v>
      </c>
      <c r="F59" s="5">
        <v>2.8576800000000002</v>
      </c>
      <c r="G59" s="6">
        <v>1.52031E-3</v>
      </c>
      <c r="H59" s="109"/>
    </row>
    <row r="60" spans="1:8" ht="14.1" customHeight="1" x14ac:dyDescent="0.2">
      <c r="A60" s="99"/>
      <c r="B60" s="1"/>
      <c r="C60" s="2" t="s">
        <v>135</v>
      </c>
      <c r="D60" s="1"/>
      <c r="E60" s="1" t="s">
        <v>136</v>
      </c>
      <c r="F60" s="8">
        <v>1781.4940845000001</v>
      </c>
      <c r="G60" s="9">
        <v>0.94776830000000001</v>
      </c>
      <c r="H60" s="109"/>
    </row>
    <row r="61" spans="1:8" ht="14.1" customHeight="1" x14ac:dyDescent="0.2">
      <c r="A61" s="99"/>
      <c r="B61" s="1"/>
      <c r="C61" s="10"/>
      <c r="D61" s="1"/>
      <c r="E61" s="1"/>
      <c r="F61" s="11"/>
      <c r="G61" s="11"/>
      <c r="H61" s="109"/>
    </row>
    <row r="62" spans="1:8" ht="14.1" customHeight="1" x14ac:dyDescent="0.2">
      <c r="A62" s="99"/>
      <c r="B62" s="1"/>
      <c r="C62" s="2" t="s">
        <v>137</v>
      </c>
      <c r="D62" s="1"/>
      <c r="E62" s="1"/>
      <c r="F62" s="1"/>
      <c r="G62" s="1"/>
      <c r="H62" s="109"/>
    </row>
    <row r="63" spans="1:8" ht="14.1" customHeight="1" x14ac:dyDescent="0.2">
      <c r="A63" s="99"/>
      <c r="B63" s="1"/>
      <c r="C63" s="2" t="s">
        <v>135</v>
      </c>
      <c r="D63" s="1"/>
      <c r="E63" s="1" t="s">
        <v>136</v>
      </c>
      <c r="F63" s="115">
        <v>0</v>
      </c>
      <c r="G63" s="9">
        <v>0</v>
      </c>
      <c r="H63" s="109"/>
    </row>
    <row r="64" spans="1:8" ht="14.1" customHeight="1" x14ac:dyDescent="0.2">
      <c r="A64" s="99"/>
      <c r="B64" s="1"/>
      <c r="C64" s="10"/>
      <c r="D64" s="1"/>
      <c r="E64" s="1"/>
      <c r="F64" s="11"/>
      <c r="G64" s="11"/>
      <c r="H64" s="109"/>
    </row>
    <row r="65" spans="1:8" ht="14.1" customHeight="1" x14ac:dyDescent="0.2">
      <c r="A65" s="99"/>
      <c r="B65" s="1"/>
      <c r="C65" s="2" t="s">
        <v>138</v>
      </c>
      <c r="D65" s="1"/>
      <c r="E65" s="1"/>
      <c r="F65" s="1"/>
      <c r="G65" s="1"/>
      <c r="H65" s="109"/>
    </row>
    <row r="66" spans="1:8" ht="14.1" customHeight="1" x14ac:dyDescent="0.2">
      <c r="A66" s="99"/>
      <c r="B66" s="1"/>
      <c r="C66" s="2" t="s">
        <v>135</v>
      </c>
      <c r="D66" s="1"/>
      <c r="E66" s="1" t="s">
        <v>136</v>
      </c>
      <c r="F66" s="115">
        <v>0</v>
      </c>
      <c r="G66" s="9">
        <v>0</v>
      </c>
      <c r="H66" s="109"/>
    </row>
    <row r="67" spans="1:8" ht="14.1" customHeight="1" x14ac:dyDescent="0.2">
      <c r="A67" s="99"/>
      <c r="B67" s="1"/>
      <c r="C67" s="10"/>
      <c r="D67" s="1"/>
      <c r="E67" s="1"/>
      <c r="F67" s="11"/>
      <c r="G67" s="11"/>
      <c r="H67" s="109"/>
    </row>
    <row r="68" spans="1:8" ht="14.1" customHeight="1" x14ac:dyDescent="0.2">
      <c r="A68" s="99"/>
      <c r="B68" s="1"/>
      <c r="C68" s="2" t="s">
        <v>139</v>
      </c>
      <c r="D68" s="1"/>
      <c r="E68" s="1"/>
      <c r="F68" s="1"/>
      <c r="G68" s="1"/>
      <c r="H68" s="109"/>
    </row>
    <row r="69" spans="1:8" ht="14.1" customHeight="1" x14ac:dyDescent="0.2">
      <c r="A69" s="99"/>
      <c r="B69" s="1"/>
      <c r="C69" s="2" t="s">
        <v>135</v>
      </c>
      <c r="D69" s="1"/>
      <c r="E69" s="1" t="s">
        <v>136</v>
      </c>
      <c r="F69" s="115">
        <v>0</v>
      </c>
      <c r="G69" s="9">
        <v>0</v>
      </c>
      <c r="H69" s="109"/>
    </row>
    <row r="70" spans="1:8" ht="14.1" customHeight="1" x14ac:dyDescent="0.2">
      <c r="A70" s="99"/>
      <c r="B70" s="1"/>
      <c r="C70" s="10"/>
      <c r="D70" s="1"/>
      <c r="E70" s="1"/>
      <c r="F70" s="11"/>
      <c r="G70" s="11"/>
      <c r="H70" s="109"/>
    </row>
    <row r="71" spans="1:8" ht="14.1" customHeight="1" x14ac:dyDescent="0.2">
      <c r="A71" s="99"/>
      <c r="B71" s="1"/>
      <c r="C71" s="2" t="s">
        <v>140</v>
      </c>
      <c r="D71" s="1"/>
      <c r="E71" s="1"/>
      <c r="F71" s="11"/>
      <c r="G71" s="11"/>
      <c r="H71" s="109"/>
    </row>
    <row r="72" spans="1:8" ht="14.1" customHeight="1" x14ac:dyDescent="0.2">
      <c r="A72" s="99"/>
      <c r="B72" s="1"/>
      <c r="C72" s="2" t="s">
        <v>135</v>
      </c>
      <c r="D72" s="1"/>
      <c r="E72" s="1" t="s">
        <v>136</v>
      </c>
      <c r="F72" s="115">
        <v>0</v>
      </c>
      <c r="G72" s="9">
        <v>0</v>
      </c>
      <c r="H72" s="109"/>
    </row>
    <row r="73" spans="1:8" ht="14.1" customHeight="1" x14ac:dyDescent="0.2">
      <c r="A73" s="99"/>
      <c r="B73" s="1"/>
      <c r="C73" s="10"/>
      <c r="D73" s="1"/>
      <c r="E73" s="1"/>
      <c r="F73" s="11"/>
      <c r="G73" s="11"/>
      <c r="H73" s="109"/>
    </row>
    <row r="74" spans="1:8" ht="14.1" customHeight="1" x14ac:dyDescent="0.2">
      <c r="A74" s="99"/>
      <c r="B74" s="1"/>
      <c r="C74" s="2" t="s">
        <v>141</v>
      </c>
      <c r="D74" s="1"/>
      <c r="E74" s="1"/>
      <c r="F74" s="11"/>
      <c r="G74" s="11"/>
      <c r="H74" s="109"/>
    </row>
    <row r="75" spans="1:8" ht="14.1" customHeight="1" x14ac:dyDescent="0.2">
      <c r="A75" s="99"/>
      <c r="B75" s="1"/>
      <c r="C75" s="2" t="s">
        <v>135</v>
      </c>
      <c r="D75" s="1"/>
      <c r="E75" s="1" t="s">
        <v>136</v>
      </c>
      <c r="F75" s="115">
        <v>0</v>
      </c>
      <c r="G75" s="9">
        <v>0</v>
      </c>
      <c r="H75" s="109"/>
    </row>
    <row r="76" spans="1:8" ht="14.1" customHeight="1" x14ac:dyDescent="0.2">
      <c r="A76" s="99"/>
      <c r="B76" s="1"/>
      <c r="C76" s="10"/>
      <c r="D76" s="1"/>
      <c r="E76" s="1"/>
      <c r="F76" s="11"/>
      <c r="G76" s="11"/>
      <c r="H76" s="109"/>
    </row>
    <row r="77" spans="1:8" ht="18" customHeight="1" x14ac:dyDescent="0.2">
      <c r="A77" s="99"/>
      <c r="B77" s="1"/>
      <c r="C77" s="2" t="s">
        <v>142</v>
      </c>
      <c r="D77" s="1"/>
      <c r="E77" s="1"/>
      <c r="F77" s="8">
        <v>1781.4940845000001</v>
      </c>
      <c r="G77" s="9">
        <v>0.94776830000000001</v>
      </c>
      <c r="H77" s="109"/>
    </row>
    <row r="78" spans="1:8" ht="14.1" customHeight="1" x14ac:dyDescent="0.2">
      <c r="A78" s="99"/>
      <c r="B78" s="1"/>
      <c r="C78" s="10"/>
      <c r="D78" s="1"/>
      <c r="E78" s="1"/>
      <c r="F78" s="11"/>
      <c r="G78" s="11"/>
      <c r="H78" s="109"/>
    </row>
    <row r="79" spans="1:8" ht="14.1" customHeight="1" x14ac:dyDescent="0.2">
      <c r="A79" s="99"/>
      <c r="B79" s="1"/>
      <c r="C79" s="2" t="s">
        <v>143</v>
      </c>
      <c r="D79" s="1"/>
      <c r="E79" s="1"/>
      <c r="F79" s="11"/>
      <c r="G79" s="11"/>
      <c r="H79" s="109"/>
    </row>
    <row r="80" spans="1:8" ht="24" customHeight="1" x14ac:dyDescent="0.2">
      <c r="A80" s="99"/>
      <c r="B80" s="1"/>
      <c r="C80" s="2" t="s">
        <v>10</v>
      </c>
      <c r="D80" s="1"/>
      <c r="E80" s="1"/>
      <c r="F80" s="11"/>
      <c r="G80" s="11"/>
      <c r="H80" s="109"/>
    </row>
    <row r="81" spans="1:8" ht="14.1" customHeight="1" x14ac:dyDescent="0.2">
      <c r="A81" s="99"/>
      <c r="B81" s="1"/>
      <c r="C81" s="2" t="s">
        <v>135</v>
      </c>
      <c r="D81" s="1"/>
      <c r="E81" s="1" t="s">
        <v>136</v>
      </c>
      <c r="F81" s="115">
        <v>0</v>
      </c>
      <c r="G81" s="9">
        <v>0</v>
      </c>
      <c r="H81" s="109"/>
    </row>
    <row r="82" spans="1:8" ht="14.1" customHeight="1" x14ac:dyDescent="0.2">
      <c r="A82" s="99"/>
      <c r="B82" s="1"/>
      <c r="C82" s="10"/>
      <c r="D82" s="1"/>
      <c r="E82" s="1"/>
      <c r="F82" s="11"/>
      <c r="G82" s="11"/>
      <c r="H82" s="109"/>
    </row>
    <row r="83" spans="1:8" ht="14.1" customHeight="1" x14ac:dyDescent="0.2">
      <c r="A83" s="99"/>
      <c r="B83" s="1"/>
      <c r="C83" s="2" t="s">
        <v>144</v>
      </c>
      <c r="D83" s="1"/>
      <c r="E83" s="1"/>
      <c r="F83" s="1"/>
      <c r="G83" s="1"/>
      <c r="H83" s="109"/>
    </row>
    <row r="84" spans="1:8" ht="14.1" customHeight="1" x14ac:dyDescent="0.2">
      <c r="A84" s="99"/>
      <c r="B84" s="1"/>
      <c r="C84" s="2" t="s">
        <v>135</v>
      </c>
      <c r="D84" s="1"/>
      <c r="E84" s="1" t="s">
        <v>136</v>
      </c>
      <c r="F84" s="115">
        <v>0</v>
      </c>
      <c r="G84" s="9">
        <v>0</v>
      </c>
      <c r="H84" s="109"/>
    </row>
    <row r="85" spans="1:8" ht="14.1" customHeight="1" x14ac:dyDescent="0.2">
      <c r="A85" s="99"/>
      <c r="B85" s="1"/>
      <c r="C85" s="10"/>
      <c r="D85" s="1"/>
      <c r="E85" s="1"/>
      <c r="F85" s="11"/>
      <c r="G85" s="11"/>
      <c r="H85" s="109"/>
    </row>
    <row r="86" spans="1:8" ht="14.1" customHeight="1" x14ac:dyDescent="0.2">
      <c r="A86" s="99"/>
      <c r="B86" s="1"/>
      <c r="C86" s="2" t="s">
        <v>145</v>
      </c>
      <c r="D86" s="1"/>
      <c r="E86" s="1"/>
      <c r="F86" s="1"/>
      <c r="G86" s="1"/>
      <c r="H86" s="109"/>
    </row>
    <row r="87" spans="1:8" ht="14.1" customHeight="1" x14ac:dyDescent="0.2">
      <c r="A87" s="99"/>
      <c r="B87" s="1"/>
      <c r="C87" s="2" t="s">
        <v>135</v>
      </c>
      <c r="D87" s="1"/>
      <c r="E87" s="1" t="s">
        <v>136</v>
      </c>
      <c r="F87" s="115">
        <v>0</v>
      </c>
      <c r="G87" s="9">
        <v>0</v>
      </c>
      <c r="H87" s="109"/>
    </row>
    <row r="88" spans="1:8" ht="14.1" customHeight="1" x14ac:dyDescent="0.2">
      <c r="A88" s="99"/>
      <c r="B88" s="1"/>
      <c r="C88" s="10"/>
      <c r="D88" s="1"/>
      <c r="E88" s="1"/>
      <c r="F88" s="11"/>
      <c r="G88" s="11"/>
      <c r="H88" s="109"/>
    </row>
    <row r="89" spans="1:8" ht="14.1" customHeight="1" x14ac:dyDescent="0.2">
      <c r="A89" s="99"/>
      <c r="B89" s="1"/>
      <c r="C89" s="2" t="s">
        <v>146</v>
      </c>
      <c r="D89" s="1"/>
      <c r="E89" s="1"/>
      <c r="F89" s="11"/>
      <c r="G89" s="11"/>
      <c r="H89" s="109"/>
    </row>
    <row r="90" spans="1:8" ht="14.1" customHeight="1" x14ac:dyDescent="0.2">
      <c r="A90" s="99"/>
      <c r="B90" s="1"/>
      <c r="C90" s="2" t="s">
        <v>135</v>
      </c>
      <c r="D90" s="1"/>
      <c r="E90" s="1" t="s">
        <v>136</v>
      </c>
      <c r="F90" s="115">
        <v>0</v>
      </c>
      <c r="G90" s="9">
        <v>0</v>
      </c>
      <c r="H90" s="109"/>
    </row>
    <row r="91" spans="1:8" ht="14.1" customHeight="1" x14ac:dyDescent="0.2">
      <c r="A91" s="99"/>
      <c r="B91" s="1"/>
      <c r="C91" s="10"/>
      <c r="D91" s="1"/>
      <c r="E91" s="1"/>
      <c r="F91" s="11"/>
      <c r="G91" s="11"/>
      <c r="H91" s="109"/>
    </row>
    <row r="92" spans="1:8" ht="14.1" customHeight="1" x14ac:dyDescent="0.2">
      <c r="A92" s="99"/>
      <c r="B92" s="1"/>
      <c r="C92" s="2" t="s">
        <v>147</v>
      </c>
      <c r="D92" s="1"/>
      <c r="E92" s="1"/>
      <c r="F92" s="8">
        <v>0</v>
      </c>
      <c r="G92" s="9">
        <v>0</v>
      </c>
      <c r="H92" s="109"/>
    </row>
    <row r="93" spans="1:8" ht="14.1" customHeight="1" x14ac:dyDescent="0.2">
      <c r="A93" s="99"/>
      <c r="B93" s="1"/>
      <c r="C93" s="10"/>
      <c r="D93" s="1"/>
      <c r="E93" s="1"/>
      <c r="F93" s="11"/>
      <c r="G93" s="11"/>
      <c r="H93" s="109"/>
    </row>
    <row r="94" spans="1:8" ht="14.1" customHeight="1" x14ac:dyDescent="0.2">
      <c r="A94" s="99"/>
      <c r="B94" s="1"/>
      <c r="C94" s="2" t="s">
        <v>148</v>
      </c>
      <c r="D94" s="1"/>
      <c r="E94" s="1"/>
      <c r="F94" s="11"/>
      <c r="G94" s="11"/>
      <c r="H94" s="109"/>
    </row>
    <row r="95" spans="1:8" ht="14.1" customHeight="1" x14ac:dyDescent="0.2">
      <c r="A95" s="99"/>
      <c r="B95" s="1"/>
      <c r="C95" s="2" t="s">
        <v>149</v>
      </c>
      <c r="D95" s="1"/>
      <c r="E95" s="1"/>
      <c r="F95" s="11"/>
      <c r="G95" s="11"/>
      <c r="H95" s="109"/>
    </row>
    <row r="96" spans="1:8" ht="14.1" customHeight="1" x14ac:dyDescent="0.2">
      <c r="A96" s="99"/>
      <c r="B96" s="1"/>
      <c r="C96" s="2" t="s">
        <v>135</v>
      </c>
      <c r="D96" s="1"/>
      <c r="E96" s="1" t="s">
        <v>136</v>
      </c>
      <c r="F96" s="115">
        <v>0</v>
      </c>
      <c r="G96" s="9">
        <v>0</v>
      </c>
      <c r="H96" s="109"/>
    </row>
    <row r="97" spans="1:8" ht="14.1" customHeight="1" x14ac:dyDescent="0.2">
      <c r="A97" s="99"/>
      <c r="B97" s="1"/>
      <c r="C97" s="10"/>
      <c r="D97" s="1"/>
      <c r="E97" s="1"/>
      <c r="F97" s="11"/>
      <c r="G97" s="11"/>
      <c r="H97" s="109"/>
    </row>
    <row r="98" spans="1:8" ht="14.1" customHeight="1" x14ac:dyDescent="0.2">
      <c r="A98" s="99"/>
      <c r="B98" s="1"/>
      <c r="C98" s="2" t="s">
        <v>150</v>
      </c>
      <c r="D98" s="1"/>
      <c r="E98" s="1"/>
      <c r="F98" s="11"/>
      <c r="G98" s="11"/>
      <c r="H98" s="109"/>
    </row>
    <row r="99" spans="1:8" ht="14.1" customHeight="1" x14ac:dyDescent="0.2">
      <c r="A99" s="99"/>
      <c r="B99" s="1"/>
      <c r="C99" s="2" t="s">
        <v>135</v>
      </c>
      <c r="D99" s="1"/>
      <c r="E99" s="1" t="s">
        <v>136</v>
      </c>
      <c r="F99" s="115">
        <v>0</v>
      </c>
      <c r="G99" s="9">
        <v>0</v>
      </c>
      <c r="H99" s="109"/>
    </row>
    <row r="100" spans="1:8" ht="14.1" customHeight="1" x14ac:dyDescent="0.2">
      <c r="A100" s="99"/>
      <c r="B100" s="1"/>
      <c r="C100" s="10"/>
      <c r="D100" s="1"/>
      <c r="E100" s="1"/>
      <c r="F100" s="11"/>
      <c r="G100" s="11"/>
      <c r="H100" s="109"/>
    </row>
    <row r="101" spans="1:8" ht="14.1" customHeight="1" x14ac:dyDescent="0.2">
      <c r="A101" s="99"/>
      <c r="B101" s="1"/>
      <c r="C101" s="2" t="s">
        <v>151</v>
      </c>
      <c r="D101" s="1"/>
      <c r="E101" s="1"/>
      <c r="F101" s="11"/>
      <c r="G101" s="11"/>
      <c r="H101" s="109"/>
    </row>
    <row r="102" spans="1:8" ht="14.1" customHeight="1" x14ac:dyDescent="0.2">
      <c r="A102" s="99"/>
      <c r="B102" s="1"/>
      <c r="C102" s="2" t="s">
        <v>135</v>
      </c>
      <c r="D102" s="1"/>
      <c r="E102" s="1" t="s">
        <v>136</v>
      </c>
      <c r="F102" s="115">
        <v>0</v>
      </c>
      <c r="G102" s="9">
        <v>0</v>
      </c>
      <c r="H102" s="109"/>
    </row>
    <row r="103" spans="1:8" ht="14.1" customHeight="1" x14ac:dyDescent="0.2">
      <c r="A103" s="99"/>
      <c r="B103" s="1"/>
      <c r="C103" s="10"/>
      <c r="D103" s="1"/>
      <c r="E103" s="1"/>
      <c r="F103" s="11"/>
      <c r="G103" s="11"/>
      <c r="H103" s="109"/>
    </row>
    <row r="104" spans="1:8" ht="14.1" customHeight="1" x14ac:dyDescent="0.2">
      <c r="A104" s="99"/>
      <c r="B104" s="1"/>
      <c r="C104" s="2" t="s">
        <v>152</v>
      </c>
      <c r="D104" s="1"/>
      <c r="E104" s="1"/>
      <c r="F104" s="11"/>
      <c r="G104" s="11"/>
      <c r="H104" s="109"/>
    </row>
    <row r="105" spans="1:8" ht="17.100000000000001" customHeight="1" x14ac:dyDescent="0.2">
      <c r="A105" s="100">
        <v>1</v>
      </c>
      <c r="B105" s="3"/>
      <c r="C105" s="3" t="s">
        <v>153</v>
      </c>
      <c r="D105" s="3"/>
      <c r="E105" s="7"/>
      <c r="F105" s="5">
        <v>94.604474999999994</v>
      </c>
      <c r="G105" s="6">
        <v>5.033029E-2</v>
      </c>
      <c r="H105" s="109">
        <v>6.6015165706411798</v>
      </c>
    </row>
    <row r="106" spans="1:8" ht="14.1" customHeight="1" x14ac:dyDescent="0.2">
      <c r="A106" s="99"/>
      <c r="B106" s="1"/>
      <c r="C106" s="2" t="s">
        <v>135</v>
      </c>
      <c r="D106" s="1"/>
      <c r="E106" s="1" t="s">
        <v>136</v>
      </c>
      <c r="F106" s="8">
        <v>94.604474999999994</v>
      </c>
      <c r="G106" s="9">
        <v>5.033029E-2</v>
      </c>
      <c r="H106" s="109"/>
    </row>
    <row r="107" spans="1:8" ht="14.1" customHeight="1" x14ac:dyDescent="0.2">
      <c r="A107" s="99"/>
      <c r="B107" s="1"/>
      <c r="C107" s="10"/>
      <c r="D107" s="1"/>
      <c r="E107" s="1"/>
      <c r="F107" s="11"/>
      <c r="G107" s="11"/>
      <c r="H107" s="109"/>
    </row>
    <row r="108" spans="1:8" ht="14.1" customHeight="1" x14ac:dyDescent="0.2">
      <c r="A108" s="99"/>
      <c r="B108" s="1"/>
      <c r="C108" s="2" t="s">
        <v>154</v>
      </c>
      <c r="D108" s="1"/>
      <c r="E108" s="1"/>
      <c r="F108" s="8">
        <v>94.604474999999994</v>
      </c>
      <c r="G108" s="9">
        <v>5.033029E-2</v>
      </c>
      <c r="H108" s="109"/>
    </row>
    <row r="109" spans="1:8" ht="14.1" customHeight="1" x14ac:dyDescent="0.2">
      <c r="A109" s="99"/>
      <c r="B109" s="1"/>
      <c r="C109" s="11"/>
      <c r="D109" s="1"/>
      <c r="E109" s="1"/>
      <c r="F109" s="1"/>
      <c r="G109" s="1"/>
      <c r="H109" s="109"/>
    </row>
    <row r="110" spans="1:8" ht="14.1" customHeight="1" x14ac:dyDescent="0.2">
      <c r="A110" s="99"/>
      <c r="B110" s="1"/>
      <c r="C110" s="2" t="s">
        <v>155</v>
      </c>
      <c r="D110" s="1"/>
      <c r="E110" s="1"/>
      <c r="F110" s="1"/>
      <c r="G110" s="1"/>
      <c r="H110" s="109"/>
    </row>
    <row r="111" spans="1:8" ht="14.1" customHeight="1" x14ac:dyDescent="0.2">
      <c r="A111" s="99"/>
      <c r="B111" s="1"/>
      <c r="C111" s="2" t="s">
        <v>156</v>
      </c>
      <c r="D111" s="1"/>
      <c r="E111" s="1"/>
      <c r="F111" s="1"/>
      <c r="G111" s="1"/>
      <c r="H111" s="109"/>
    </row>
    <row r="112" spans="1:8" ht="14.1" customHeight="1" x14ac:dyDescent="0.2">
      <c r="A112" s="99"/>
      <c r="B112" s="1"/>
      <c r="C112" s="2" t="s">
        <v>135</v>
      </c>
      <c r="D112" s="1"/>
      <c r="E112" s="1" t="s">
        <v>136</v>
      </c>
      <c r="F112" s="115">
        <v>0</v>
      </c>
      <c r="G112" s="9">
        <v>0</v>
      </c>
      <c r="H112" s="109"/>
    </row>
    <row r="113" spans="1:8" ht="14.1" customHeight="1" x14ac:dyDescent="0.2">
      <c r="A113" s="99"/>
      <c r="B113" s="1"/>
      <c r="C113" s="10"/>
      <c r="D113" s="1"/>
      <c r="E113" s="1"/>
      <c r="F113" s="11"/>
      <c r="G113" s="11"/>
      <c r="H113" s="109"/>
    </row>
    <row r="114" spans="1:8" ht="14.1" customHeight="1" x14ac:dyDescent="0.2">
      <c r="A114" s="99"/>
      <c r="B114" s="1"/>
      <c r="C114" s="2" t="s">
        <v>157</v>
      </c>
      <c r="D114" s="1"/>
      <c r="E114" s="1"/>
      <c r="F114" s="1"/>
      <c r="G114" s="1"/>
      <c r="H114" s="109"/>
    </row>
    <row r="115" spans="1:8" ht="14.1" customHeight="1" x14ac:dyDescent="0.2">
      <c r="A115" s="99"/>
      <c r="B115" s="1"/>
      <c r="C115" s="2" t="s">
        <v>158</v>
      </c>
      <c r="D115" s="1"/>
      <c r="E115" s="1"/>
      <c r="F115" s="1"/>
      <c r="G115" s="1"/>
      <c r="H115" s="109"/>
    </row>
    <row r="116" spans="1:8" ht="14.1" customHeight="1" x14ac:dyDescent="0.2">
      <c r="A116" s="99"/>
      <c r="B116" s="1"/>
      <c r="C116" s="2" t="s">
        <v>135</v>
      </c>
      <c r="D116" s="1"/>
      <c r="E116" s="1" t="s">
        <v>136</v>
      </c>
      <c r="F116" s="115">
        <v>0</v>
      </c>
      <c r="G116" s="9">
        <v>0</v>
      </c>
      <c r="H116" s="109"/>
    </row>
    <row r="117" spans="1:8" ht="14.1" customHeight="1" x14ac:dyDescent="0.2">
      <c r="A117" s="99"/>
      <c r="B117" s="1"/>
      <c r="C117" s="10"/>
      <c r="D117" s="1"/>
      <c r="E117" s="1"/>
      <c r="F117" s="11"/>
      <c r="G117" s="11"/>
      <c r="H117" s="109"/>
    </row>
    <row r="118" spans="1:8" ht="24" customHeight="1" x14ac:dyDescent="0.2">
      <c r="A118" s="99"/>
      <c r="B118" s="1"/>
      <c r="C118" s="2" t="s">
        <v>159</v>
      </c>
      <c r="D118" s="1"/>
      <c r="E118" s="1"/>
      <c r="F118" s="11"/>
      <c r="G118" s="11"/>
      <c r="H118" s="109"/>
    </row>
    <row r="119" spans="1:8" ht="14.1" customHeight="1" x14ac:dyDescent="0.2">
      <c r="A119" s="99"/>
      <c r="B119" s="1"/>
      <c r="C119" s="2" t="s">
        <v>135</v>
      </c>
      <c r="D119" s="1"/>
      <c r="E119" s="1" t="s">
        <v>136</v>
      </c>
      <c r="F119" s="115">
        <v>0</v>
      </c>
      <c r="G119" s="9">
        <v>0</v>
      </c>
      <c r="H119" s="109"/>
    </row>
    <row r="120" spans="1:8" ht="14.1" customHeight="1" x14ac:dyDescent="0.2">
      <c r="A120" s="99"/>
      <c r="B120" s="1"/>
      <c r="C120" s="10"/>
      <c r="D120" s="1"/>
      <c r="E120" s="1"/>
      <c r="F120" s="11"/>
      <c r="G120" s="11"/>
      <c r="H120" s="109"/>
    </row>
    <row r="121" spans="1:8" ht="14.1" customHeight="1" x14ac:dyDescent="0.2">
      <c r="A121" s="99"/>
      <c r="B121" s="3"/>
      <c r="C121" s="3"/>
      <c r="D121" s="2"/>
      <c r="E121" s="1"/>
      <c r="F121" s="3"/>
      <c r="G121" s="7"/>
      <c r="H121" s="109"/>
    </row>
    <row r="122" spans="1:8" ht="18" customHeight="1" x14ac:dyDescent="0.2">
      <c r="A122" s="101"/>
      <c r="B122" s="3"/>
      <c r="C122" s="3" t="s">
        <v>160</v>
      </c>
      <c r="D122" s="3"/>
      <c r="E122" s="7"/>
      <c r="F122" s="5">
        <v>3.5740528600000001</v>
      </c>
      <c r="G122" s="6">
        <v>1.90142E-3</v>
      </c>
      <c r="H122" s="109"/>
    </row>
    <row r="123" spans="1:8" ht="14.1" customHeight="1" x14ac:dyDescent="0.2">
      <c r="A123" s="102"/>
      <c r="B123" s="10"/>
      <c r="C123" s="2" t="s">
        <v>161</v>
      </c>
      <c r="D123" s="11"/>
      <c r="E123" s="11"/>
      <c r="F123" s="8">
        <v>1879.6726123599999</v>
      </c>
      <c r="G123" s="12">
        <v>1.0000000099999999</v>
      </c>
      <c r="H123" s="109"/>
    </row>
    <row r="124" spans="1:8" ht="14.1" customHeight="1" x14ac:dyDescent="0.2">
      <c r="A124" s="13"/>
      <c r="B124" s="13"/>
      <c r="C124" s="13"/>
      <c r="D124" s="14"/>
      <c r="E124" s="14"/>
      <c r="F124" s="14"/>
      <c r="G124" s="14"/>
    </row>
    <row r="125" spans="1:8" ht="14.1" customHeight="1" x14ac:dyDescent="0.2">
      <c r="A125" s="15"/>
      <c r="B125" s="15"/>
      <c r="C125" s="15"/>
      <c r="D125" s="17"/>
      <c r="E125" s="17"/>
      <c r="F125" s="17"/>
      <c r="G125" s="17"/>
    </row>
    <row r="126" spans="1:8" ht="14.1" customHeight="1" x14ac:dyDescent="0.2">
      <c r="A126" s="15"/>
      <c r="B126" s="194" t="s">
        <v>163</v>
      </c>
      <c r="C126" s="195"/>
      <c r="D126" s="196"/>
      <c r="E126" s="18"/>
      <c r="F126" s="17"/>
      <c r="G126" s="17"/>
    </row>
    <row r="127" spans="1:8" ht="29.1" customHeight="1" x14ac:dyDescent="0.2">
      <c r="A127" s="15"/>
      <c r="B127" s="191" t="s">
        <v>164</v>
      </c>
      <c r="C127" s="192"/>
      <c r="D127" s="2" t="s">
        <v>165</v>
      </c>
      <c r="E127" s="18"/>
      <c r="F127" s="17"/>
      <c r="G127" s="17"/>
    </row>
    <row r="128" spans="1:8" ht="17.100000000000001" customHeight="1" x14ac:dyDescent="0.2">
      <c r="A128" s="15"/>
      <c r="B128" s="191" t="s">
        <v>166</v>
      </c>
      <c r="C128" s="192"/>
      <c r="D128" s="2" t="s">
        <v>165</v>
      </c>
      <c r="E128" s="18"/>
      <c r="F128" s="17"/>
      <c r="G128" s="17"/>
    </row>
    <row r="129" spans="1:7" ht="17.100000000000001" customHeight="1" x14ac:dyDescent="0.2">
      <c r="A129" s="15"/>
      <c r="B129" s="191" t="s">
        <v>167</v>
      </c>
      <c r="C129" s="192"/>
      <c r="D129" s="11" t="s">
        <v>136</v>
      </c>
      <c r="E129" s="18"/>
      <c r="F129" s="17"/>
      <c r="G129" s="17"/>
    </row>
    <row r="130" spans="1:7" ht="24" customHeight="1" x14ac:dyDescent="0.2">
      <c r="A130" s="19"/>
      <c r="B130" s="20" t="s">
        <v>136</v>
      </c>
      <c r="C130" s="20" t="s">
        <v>168</v>
      </c>
      <c r="D130" s="20" t="s">
        <v>169</v>
      </c>
      <c r="E130" s="19"/>
      <c r="F130" s="19"/>
      <c r="G130" s="19"/>
    </row>
    <row r="131" spans="1:7" ht="18" customHeight="1" x14ac:dyDescent="0.2">
      <c r="A131" s="19"/>
      <c r="B131" s="21" t="s">
        <v>170</v>
      </c>
      <c r="C131" s="20" t="s">
        <v>171</v>
      </c>
      <c r="D131" s="20" t="s">
        <v>172</v>
      </c>
      <c r="E131" s="19"/>
      <c r="F131" s="19"/>
      <c r="G131" s="19"/>
    </row>
    <row r="132" spans="1:7" ht="17.100000000000001" customHeight="1" x14ac:dyDescent="0.2">
      <c r="A132" s="19"/>
      <c r="B132" s="3" t="s">
        <v>173</v>
      </c>
      <c r="C132" s="22">
        <v>19.081700000000001</v>
      </c>
      <c r="D132" s="22">
        <v>19.057700000000001</v>
      </c>
      <c r="E132" s="19"/>
      <c r="F132" s="16"/>
      <c r="G132" s="23"/>
    </row>
    <row r="133" spans="1:7" ht="17.100000000000001" customHeight="1" x14ac:dyDescent="0.2">
      <c r="A133" s="19"/>
      <c r="B133" s="3" t="s">
        <v>994</v>
      </c>
      <c r="C133" s="22">
        <v>18.426300000000001</v>
      </c>
      <c r="D133" s="22">
        <v>18.403199999999998</v>
      </c>
      <c r="E133" s="19"/>
      <c r="F133" s="16"/>
      <c r="G133" s="23"/>
    </row>
    <row r="134" spans="1:7" ht="17.100000000000001" customHeight="1" x14ac:dyDescent="0.2">
      <c r="A134" s="19"/>
      <c r="B134" s="3" t="s">
        <v>174</v>
      </c>
      <c r="C134" s="22">
        <v>18.828099999999999</v>
      </c>
      <c r="D134" s="22">
        <v>18.802700000000002</v>
      </c>
      <c r="E134" s="19"/>
      <c r="F134" s="16"/>
      <c r="G134" s="23"/>
    </row>
    <row r="135" spans="1:7" ht="17.100000000000001" customHeight="1" x14ac:dyDescent="0.2">
      <c r="A135" s="19"/>
      <c r="B135" s="3" t="s">
        <v>995</v>
      </c>
      <c r="C135" s="22">
        <v>18.174800000000001</v>
      </c>
      <c r="D135" s="22">
        <v>18.150300000000001</v>
      </c>
      <c r="E135" s="19"/>
      <c r="F135" s="16"/>
      <c r="G135" s="23"/>
    </row>
    <row r="136" spans="1:7" ht="14.1" customHeight="1" x14ac:dyDescent="0.2">
      <c r="A136" s="19"/>
      <c r="B136" s="19"/>
      <c r="C136" s="19"/>
      <c r="D136" s="19"/>
      <c r="E136" s="19"/>
      <c r="F136" s="19"/>
      <c r="G136" s="19"/>
    </row>
    <row r="137" spans="1:7" ht="17.100000000000001" customHeight="1" x14ac:dyDescent="0.2">
      <c r="A137" s="19"/>
      <c r="B137" s="191" t="s">
        <v>1044</v>
      </c>
      <c r="C137" s="192"/>
      <c r="D137" s="2" t="s">
        <v>165</v>
      </c>
      <c r="E137" s="19"/>
      <c r="F137" s="19"/>
      <c r="G137" s="19"/>
    </row>
    <row r="138" spans="1:7" ht="18" customHeight="1" x14ac:dyDescent="0.2">
      <c r="A138" s="19"/>
      <c r="B138" s="24"/>
      <c r="C138" s="24"/>
      <c r="D138" s="24"/>
      <c r="E138" s="19"/>
      <c r="F138" s="19"/>
      <c r="G138" s="19"/>
    </row>
    <row r="139" spans="1:7" ht="29.1" customHeight="1" x14ac:dyDescent="0.2">
      <c r="A139" s="19"/>
      <c r="B139" s="191" t="s">
        <v>175</v>
      </c>
      <c r="C139" s="192"/>
      <c r="D139" s="2" t="s">
        <v>165</v>
      </c>
      <c r="E139" s="25"/>
      <c r="F139" s="19"/>
      <c r="G139" s="19"/>
    </row>
    <row r="140" spans="1:7" ht="29.1" customHeight="1" x14ac:dyDescent="0.2">
      <c r="A140" s="19"/>
      <c r="B140" s="191" t="s">
        <v>176</v>
      </c>
      <c r="C140" s="192"/>
      <c r="D140" s="2" t="s">
        <v>165</v>
      </c>
      <c r="E140" s="25"/>
      <c r="F140" s="19"/>
      <c r="G140" s="19"/>
    </row>
    <row r="141" spans="1:7" ht="17.100000000000001" customHeight="1" x14ac:dyDescent="0.2">
      <c r="A141" s="19"/>
      <c r="B141" s="191" t="s">
        <v>177</v>
      </c>
      <c r="C141" s="192"/>
      <c r="D141" s="2" t="s">
        <v>165</v>
      </c>
      <c r="E141" s="25"/>
      <c r="F141" s="19"/>
      <c r="G141" s="19"/>
    </row>
    <row r="142" spans="1:7" ht="17.100000000000001" customHeight="1" x14ac:dyDescent="0.2">
      <c r="A142" s="19"/>
      <c r="B142" s="191" t="s">
        <v>178</v>
      </c>
      <c r="C142" s="192"/>
      <c r="D142" s="26">
        <v>0.13771947579790295</v>
      </c>
      <c r="E142" s="19"/>
      <c r="F142" s="16"/>
      <c r="G142" s="23"/>
    </row>
    <row r="143" spans="1:7" ht="14.1" customHeight="1" x14ac:dyDescent="0.2">
      <c r="A143" s="24"/>
      <c r="B143" s="24"/>
      <c r="C143" s="24"/>
      <c r="D143" s="24"/>
      <c r="E143" s="24"/>
      <c r="F143" s="24"/>
      <c r="G143" s="24"/>
    </row>
    <row r="155" spans="10:14" x14ac:dyDescent="0.2">
      <c r="J155" s="170"/>
      <c r="K155" s="170"/>
      <c r="L155" s="170"/>
      <c r="M155" s="170"/>
      <c r="N155" s="170"/>
    </row>
  </sheetData>
  <mergeCells count="13">
    <mergeCell ref="J2:N2"/>
    <mergeCell ref="B129:C129"/>
    <mergeCell ref="B126:D126"/>
    <mergeCell ref="B127:C127"/>
    <mergeCell ref="B128:C128"/>
    <mergeCell ref="A1:H1"/>
    <mergeCell ref="A2:H2"/>
    <mergeCell ref="A3:H3"/>
    <mergeCell ref="B142:C142"/>
    <mergeCell ref="B139:C139"/>
    <mergeCell ref="B140:C140"/>
    <mergeCell ref="B141:C141"/>
    <mergeCell ref="B137:C137"/>
  </mergeCells>
  <hyperlinks>
    <hyperlink ref="I1" location="Index!B15" display="Index" xr:uid="{2BD80DC0-7BAA-43CD-B1D4-D71DB8AEA818}"/>
  </hyperlinks>
  <pageMargins left="5.000000074505806E-2" right="5.000000074505806E-2" top="0.30000001192092896" bottom="0.20000000298023224" header="0" footer="0"/>
  <pageSetup paperSize="9"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N130"/>
  <sheetViews>
    <sheetView showGridLines="0" workbookViewId="0">
      <selection sqref="A1:H1"/>
    </sheetView>
  </sheetViews>
  <sheetFormatPr defaultRowHeight="12.75" x14ac:dyDescent="0.2"/>
  <cols>
    <col min="1" max="1" width="6.14062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7" t="s">
        <v>0</v>
      </c>
      <c r="B1" s="187"/>
      <c r="C1" s="187"/>
      <c r="D1" s="187"/>
      <c r="E1" s="187"/>
      <c r="F1" s="187"/>
      <c r="G1" s="187"/>
      <c r="H1" s="187"/>
      <c r="I1" s="167" t="s">
        <v>1055</v>
      </c>
    </row>
    <row r="2" spans="1:14" ht="17.100000000000001" customHeight="1" x14ac:dyDescent="0.2">
      <c r="A2" s="188" t="s">
        <v>483</v>
      </c>
      <c r="B2" s="189"/>
      <c r="C2" s="189"/>
      <c r="D2" s="189"/>
      <c r="E2" s="189"/>
      <c r="F2" s="189"/>
      <c r="G2" s="189"/>
      <c r="H2" s="190"/>
      <c r="J2" s="186" t="s">
        <v>1056</v>
      </c>
      <c r="K2" s="186"/>
      <c r="L2" s="186"/>
      <c r="M2" s="186"/>
      <c r="N2" s="186"/>
    </row>
    <row r="3" spans="1:14" ht="21" customHeight="1" x14ac:dyDescent="0.2">
      <c r="A3" s="187" t="s">
        <v>1052</v>
      </c>
      <c r="B3" s="187"/>
      <c r="C3" s="187"/>
      <c r="D3" s="187"/>
      <c r="E3" s="187"/>
      <c r="F3" s="187"/>
      <c r="G3" s="187"/>
      <c r="H3" s="187"/>
    </row>
    <row r="4" spans="1:14" ht="30" x14ac:dyDescent="0.2">
      <c r="A4" s="163" t="s">
        <v>2</v>
      </c>
      <c r="B4" s="164" t="s">
        <v>3</v>
      </c>
      <c r="C4" s="164" t="s">
        <v>4</v>
      </c>
      <c r="D4" s="164" t="s">
        <v>5</v>
      </c>
      <c r="E4" s="164" t="s">
        <v>6</v>
      </c>
      <c r="F4" s="164" t="s">
        <v>7</v>
      </c>
      <c r="G4" s="164" t="s">
        <v>8</v>
      </c>
      <c r="H4" s="120" t="s">
        <v>881</v>
      </c>
      <c r="I4" s="165"/>
      <c r="J4" s="165"/>
      <c r="K4" s="165"/>
      <c r="L4" s="165"/>
      <c r="M4" s="165"/>
      <c r="N4" s="165"/>
    </row>
    <row r="5" spans="1:14" ht="14.1" customHeight="1" x14ac:dyDescent="0.2">
      <c r="A5" s="99"/>
      <c r="B5" s="1"/>
      <c r="C5" s="2" t="s">
        <v>9</v>
      </c>
      <c r="D5" s="1"/>
      <c r="E5" s="1"/>
      <c r="F5" s="1"/>
      <c r="G5" s="1"/>
      <c r="H5" s="109"/>
    </row>
    <row r="6" spans="1:14" ht="24" customHeight="1" x14ac:dyDescent="0.2">
      <c r="A6" s="99"/>
      <c r="B6" s="1"/>
      <c r="C6" s="2" t="s">
        <v>10</v>
      </c>
      <c r="D6" s="1"/>
      <c r="E6" s="1"/>
      <c r="F6" s="1"/>
      <c r="G6" s="1"/>
      <c r="H6" s="109"/>
    </row>
    <row r="7" spans="1:14" ht="17.100000000000001" customHeight="1" x14ac:dyDescent="0.2">
      <c r="A7" s="100">
        <v>1</v>
      </c>
      <c r="B7" s="3" t="s">
        <v>20</v>
      </c>
      <c r="C7" s="3" t="s">
        <v>21</v>
      </c>
      <c r="D7" s="3" t="s">
        <v>22</v>
      </c>
      <c r="E7" s="4">
        <v>19081</v>
      </c>
      <c r="F7" s="5">
        <v>163.11392849999999</v>
      </c>
      <c r="G7" s="6">
        <v>9.6606170000000005E-2</v>
      </c>
      <c r="H7" s="109"/>
    </row>
    <row r="8" spans="1:14" ht="17.100000000000001" customHeight="1" x14ac:dyDescent="0.2">
      <c r="A8" s="100">
        <v>2</v>
      </c>
      <c r="B8" s="3" t="s">
        <v>17</v>
      </c>
      <c r="C8" s="3" t="s">
        <v>18</v>
      </c>
      <c r="D8" s="3" t="s">
        <v>19</v>
      </c>
      <c r="E8" s="4">
        <v>5610</v>
      </c>
      <c r="F8" s="5">
        <v>130.29505499999999</v>
      </c>
      <c r="G8" s="6">
        <v>7.7168799999999996E-2</v>
      </c>
      <c r="H8" s="109"/>
    </row>
    <row r="9" spans="1:14" ht="17.100000000000001" customHeight="1" x14ac:dyDescent="0.2">
      <c r="A9" s="100">
        <v>3</v>
      </c>
      <c r="B9" s="3" t="s">
        <v>293</v>
      </c>
      <c r="C9" s="3" t="s">
        <v>294</v>
      </c>
      <c r="D9" s="3" t="s">
        <v>996</v>
      </c>
      <c r="E9" s="4">
        <v>8300</v>
      </c>
      <c r="F9" s="5">
        <v>123.46665</v>
      </c>
      <c r="G9" s="6">
        <v>7.3124590000000003E-2</v>
      </c>
      <c r="H9" s="109"/>
    </row>
    <row r="10" spans="1:14" ht="17.100000000000001" customHeight="1" x14ac:dyDescent="0.2">
      <c r="A10" s="100">
        <v>4</v>
      </c>
      <c r="B10" s="3" t="s">
        <v>297</v>
      </c>
      <c r="C10" s="3" t="s">
        <v>298</v>
      </c>
      <c r="D10" s="3" t="s">
        <v>22</v>
      </c>
      <c r="E10" s="4">
        <v>7350</v>
      </c>
      <c r="F10" s="5">
        <v>117.5706</v>
      </c>
      <c r="G10" s="6">
        <v>6.9632589999999994E-2</v>
      </c>
      <c r="H10" s="109"/>
    </row>
    <row r="11" spans="1:14" ht="17.100000000000001" customHeight="1" x14ac:dyDescent="0.2">
      <c r="A11" s="100">
        <v>5</v>
      </c>
      <c r="B11" s="3" t="s">
        <v>32</v>
      </c>
      <c r="C11" s="3" t="s">
        <v>33</v>
      </c>
      <c r="D11" s="3" t="s">
        <v>22</v>
      </c>
      <c r="E11" s="4">
        <v>17595</v>
      </c>
      <c r="F11" s="5">
        <v>91.986660000000001</v>
      </c>
      <c r="G11" s="6">
        <v>5.4480199999999999E-2</v>
      </c>
      <c r="H11" s="109"/>
    </row>
    <row r="12" spans="1:14" ht="29.1" customHeight="1" x14ac:dyDescent="0.2">
      <c r="A12" s="100">
        <v>6</v>
      </c>
      <c r="B12" s="3" t="s">
        <v>295</v>
      </c>
      <c r="C12" s="3" t="s">
        <v>296</v>
      </c>
      <c r="D12" s="3" t="s">
        <v>120</v>
      </c>
      <c r="E12" s="4">
        <v>3376</v>
      </c>
      <c r="F12" s="5">
        <v>88.095032000000003</v>
      </c>
      <c r="G12" s="6">
        <v>5.2175329999999999E-2</v>
      </c>
      <c r="H12" s="109"/>
    </row>
    <row r="13" spans="1:14" ht="17.100000000000001" customHeight="1" x14ac:dyDescent="0.2">
      <c r="A13" s="100">
        <v>7</v>
      </c>
      <c r="B13" s="3" t="s">
        <v>11</v>
      </c>
      <c r="C13" s="3" t="s">
        <v>12</v>
      </c>
      <c r="D13" s="3" t="s">
        <v>13</v>
      </c>
      <c r="E13" s="4">
        <v>3340</v>
      </c>
      <c r="F13" s="5">
        <v>70.445610000000002</v>
      </c>
      <c r="G13" s="6">
        <v>4.1722250000000002E-2</v>
      </c>
      <c r="H13" s="109"/>
      <c r="J13" s="169" t="s">
        <v>1060</v>
      </c>
    </row>
    <row r="14" spans="1:14" ht="17.100000000000001" customHeight="1" x14ac:dyDescent="0.2">
      <c r="A14" s="100">
        <v>8</v>
      </c>
      <c r="B14" s="3" t="s">
        <v>197</v>
      </c>
      <c r="C14" s="3" t="s">
        <v>198</v>
      </c>
      <c r="D14" s="3" t="s">
        <v>22</v>
      </c>
      <c r="E14" s="4">
        <v>8341</v>
      </c>
      <c r="F14" s="5">
        <v>70.406380999999996</v>
      </c>
      <c r="G14" s="6">
        <v>4.1699020000000003E-2</v>
      </c>
      <c r="H14" s="109"/>
    </row>
    <row r="15" spans="1:14" ht="29.1" customHeight="1" x14ac:dyDescent="0.2">
      <c r="A15" s="100">
        <v>9</v>
      </c>
      <c r="B15" s="3" t="s">
        <v>23</v>
      </c>
      <c r="C15" s="3" t="s">
        <v>24</v>
      </c>
      <c r="D15" s="3" t="s">
        <v>25</v>
      </c>
      <c r="E15" s="4">
        <v>746</v>
      </c>
      <c r="F15" s="5">
        <v>54.169297999999998</v>
      </c>
      <c r="G15" s="6">
        <v>3.2082409999999999E-2</v>
      </c>
      <c r="H15" s="109"/>
    </row>
    <row r="16" spans="1:14" ht="17.100000000000001" customHeight="1" x14ac:dyDescent="0.2">
      <c r="A16" s="100">
        <v>10</v>
      </c>
      <c r="B16" s="3" t="s">
        <v>14</v>
      </c>
      <c r="C16" s="3" t="s">
        <v>15</v>
      </c>
      <c r="D16" s="3" t="s">
        <v>16</v>
      </c>
      <c r="E16" s="4">
        <v>6757</v>
      </c>
      <c r="F16" s="5">
        <v>50.1538325</v>
      </c>
      <c r="G16" s="6">
        <v>2.9704210000000002E-2</v>
      </c>
      <c r="H16" s="109"/>
    </row>
    <row r="17" spans="1:8" ht="29.1" customHeight="1" x14ac:dyDescent="0.2">
      <c r="A17" s="100">
        <v>11</v>
      </c>
      <c r="B17" s="3" t="s">
        <v>186</v>
      </c>
      <c r="C17" s="3" t="s">
        <v>187</v>
      </c>
      <c r="D17" s="3" t="s">
        <v>188</v>
      </c>
      <c r="E17" s="4">
        <v>1204</v>
      </c>
      <c r="F17" s="5">
        <v>49.702323999999997</v>
      </c>
      <c r="G17" s="6">
        <v>2.9436790000000001E-2</v>
      </c>
      <c r="H17" s="109"/>
    </row>
    <row r="18" spans="1:8" ht="17.100000000000001" customHeight="1" x14ac:dyDescent="0.2">
      <c r="A18" s="100">
        <v>12</v>
      </c>
      <c r="B18" s="3" t="s">
        <v>312</v>
      </c>
      <c r="C18" s="3" t="s">
        <v>313</v>
      </c>
      <c r="D18" s="3" t="s">
        <v>309</v>
      </c>
      <c r="E18" s="4">
        <v>12606</v>
      </c>
      <c r="F18" s="5">
        <v>47.486801999999997</v>
      </c>
      <c r="G18" s="6">
        <v>2.8124619999999999E-2</v>
      </c>
      <c r="H18" s="109"/>
    </row>
    <row r="19" spans="1:8" ht="17.100000000000001" customHeight="1" x14ac:dyDescent="0.2">
      <c r="A19" s="100">
        <v>13</v>
      </c>
      <c r="B19" s="3" t="s">
        <v>222</v>
      </c>
      <c r="C19" s="3" t="s">
        <v>223</v>
      </c>
      <c r="D19" s="3" t="s">
        <v>22</v>
      </c>
      <c r="E19" s="4">
        <v>25574</v>
      </c>
      <c r="F19" s="5">
        <v>40.662660000000002</v>
      </c>
      <c r="G19" s="6">
        <v>2.4082949999999999E-2</v>
      </c>
      <c r="H19" s="109"/>
    </row>
    <row r="20" spans="1:8" ht="17.100000000000001" customHeight="1" x14ac:dyDescent="0.2">
      <c r="A20" s="100">
        <v>14</v>
      </c>
      <c r="B20" s="3" t="s">
        <v>348</v>
      </c>
      <c r="C20" s="3" t="s">
        <v>349</v>
      </c>
      <c r="D20" s="3" t="s">
        <v>71</v>
      </c>
      <c r="E20" s="4">
        <v>9000</v>
      </c>
      <c r="F20" s="5">
        <v>37.863</v>
      </c>
      <c r="G20" s="6">
        <v>2.242481E-2</v>
      </c>
      <c r="H20" s="109"/>
    </row>
    <row r="21" spans="1:8" ht="17.100000000000001" customHeight="1" x14ac:dyDescent="0.2">
      <c r="A21" s="100">
        <v>15</v>
      </c>
      <c r="B21" s="3" t="s">
        <v>400</v>
      </c>
      <c r="C21" s="3" t="s">
        <v>401</v>
      </c>
      <c r="D21" s="3" t="s">
        <v>210</v>
      </c>
      <c r="E21" s="4">
        <v>13359</v>
      </c>
      <c r="F21" s="5">
        <v>37.311686999999999</v>
      </c>
      <c r="G21" s="6">
        <v>2.209829E-2</v>
      </c>
      <c r="H21" s="109"/>
    </row>
    <row r="22" spans="1:8" ht="17.100000000000001" customHeight="1" x14ac:dyDescent="0.2">
      <c r="A22" s="100">
        <v>16</v>
      </c>
      <c r="B22" s="3" t="s">
        <v>78</v>
      </c>
      <c r="C22" s="3" t="s">
        <v>79</v>
      </c>
      <c r="D22" s="3" t="s">
        <v>80</v>
      </c>
      <c r="E22" s="4">
        <v>1240</v>
      </c>
      <c r="F22" s="5">
        <v>36.974939999999997</v>
      </c>
      <c r="G22" s="6">
        <v>2.1898850000000001E-2</v>
      </c>
      <c r="H22" s="109"/>
    </row>
    <row r="23" spans="1:8" ht="29.1" customHeight="1" x14ac:dyDescent="0.2">
      <c r="A23" s="100">
        <v>17</v>
      </c>
      <c r="B23" s="3" t="s">
        <v>189</v>
      </c>
      <c r="C23" s="3" t="s">
        <v>190</v>
      </c>
      <c r="D23" s="3" t="s">
        <v>191</v>
      </c>
      <c r="E23" s="4">
        <v>4000</v>
      </c>
      <c r="F23" s="5">
        <v>35.942</v>
      </c>
      <c r="G23" s="6">
        <v>2.128708E-2</v>
      </c>
      <c r="H23" s="109"/>
    </row>
    <row r="24" spans="1:8" ht="17.100000000000001" customHeight="1" x14ac:dyDescent="0.2">
      <c r="A24" s="100">
        <v>18</v>
      </c>
      <c r="B24" s="3" t="s">
        <v>301</v>
      </c>
      <c r="C24" s="3" t="s">
        <v>302</v>
      </c>
      <c r="D24" s="3" t="s">
        <v>216</v>
      </c>
      <c r="E24" s="4">
        <v>3200</v>
      </c>
      <c r="F24" s="5">
        <v>35.872</v>
      </c>
      <c r="G24" s="6">
        <v>2.124562E-2</v>
      </c>
      <c r="H24" s="109"/>
    </row>
    <row r="25" spans="1:8" ht="17.100000000000001" customHeight="1" x14ac:dyDescent="0.2">
      <c r="A25" s="100">
        <v>19</v>
      </c>
      <c r="B25" s="3" t="s">
        <v>354</v>
      </c>
      <c r="C25" s="3" t="s">
        <v>355</v>
      </c>
      <c r="D25" s="3" t="s">
        <v>115</v>
      </c>
      <c r="E25" s="4">
        <v>1421</v>
      </c>
      <c r="F25" s="5">
        <v>33.717488000000003</v>
      </c>
      <c r="G25" s="6">
        <v>1.9969580000000001E-2</v>
      </c>
      <c r="H25" s="109"/>
    </row>
    <row r="26" spans="1:8" ht="17.100000000000001" customHeight="1" x14ac:dyDescent="0.2">
      <c r="A26" s="100">
        <v>20</v>
      </c>
      <c r="B26" s="3" t="s">
        <v>211</v>
      </c>
      <c r="C26" s="3" t="s">
        <v>212</v>
      </c>
      <c r="D26" s="3" t="s">
        <v>213</v>
      </c>
      <c r="E26" s="4">
        <v>6000</v>
      </c>
      <c r="F26" s="5">
        <v>32.951999999999998</v>
      </c>
      <c r="G26" s="6">
        <v>1.9516220000000001E-2</v>
      </c>
      <c r="H26" s="109"/>
    </row>
    <row r="27" spans="1:8" ht="17.100000000000001" customHeight="1" x14ac:dyDescent="0.2">
      <c r="A27" s="100">
        <v>21</v>
      </c>
      <c r="B27" s="3" t="s">
        <v>314</v>
      </c>
      <c r="C27" s="3" t="s">
        <v>315</v>
      </c>
      <c r="D27" s="3" t="s">
        <v>996</v>
      </c>
      <c r="E27" s="4">
        <v>3000</v>
      </c>
      <c r="F27" s="5">
        <v>32.328000000000003</v>
      </c>
      <c r="G27" s="6">
        <v>1.9146639999999999E-2</v>
      </c>
      <c r="H27" s="109"/>
    </row>
    <row r="28" spans="1:8" ht="17.100000000000001" customHeight="1" x14ac:dyDescent="0.2">
      <c r="A28" s="100">
        <v>22</v>
      </c>
      <c r="B28" s="3" t="s">
        <v>299</v>
      </c>
      <c r="C28" s="3" t="s">
        <v>300</v>
      </c>
      <c r="D28" s="3" t="s">
        <v>996</v>
      </c>
      <c r="E28" s="4">
        <v>960</v>
      </c>
      <c r="F28" s="5">
        <v>31.803360000000001</v>
      </c>
      <c r="G28" s="6">
        <v>1.8835919999999999E-2</v>
      </c>
      <c r="H28" s="109"/>
    </row>
    <row r="29" spans="1:8" ht="17.100000000000001" customHeight="1" x14ac:dyDescent="0.2">
      <c r="A29" s="100">
        <v>23</v>
      </c>
      <c r="B29" s="3" t="s">
        <v>324</v>
      </c>
      <c r="C29" s="3" t="s">
        <v>325</v>
      </c>
      <c r="D29" s="3" t="s">
        <v>22</v>
      </c>
      <c r="E29" s="4">
        <v>1570</v>
      </c>
      <c r="F29" s="5">
        <v>27.149225000000001</v>
      </c>
      <c r="G29" s="6">
        <v>1.6079449999999999E-2</v>
      </c>
      <c r="H29" s="109"/>
    </row>
    <row r="30" spans="1:8" ht="29.1" customHeight="1" x14ac:dyDescent="0.2">
      <c r="A30" s="100">
        <v>24</v>
      </c>
      <c r="B30" s="3" t="s">
        <v>303</v>
      </c>
      <c r="C30" s="3" t="s">
        <v>304</v>
      </c>
      <c r="D30" s="3" t="s">
        <v>221</v>
      </c>
      <c r="E30" s="4">
        <v>2650</v>
      </c>
      <c r="F30" s="5">
        <v>25.349900000000002</v>
      </c>
      <c r="G30" s="6">
        <v>1.5013779999999999E-2</v>
      </c>
      <c r="H30" s="109"/>
    </row>
    <row r="31" spans="1:8" ht="17.100000000000001" customHeight="1" x14ac:dyDescent="0.2">
      <c r="A31" s="100">
        <v>25</v>
      </c>
      <c r="B31" s="3" t="s">
        <v>286</v>
      </c>
      <c r="C31" s="3" t="s">
        <v>287</v>
      </c>
      <c r="D31" s="3" t="s">
        <v>19</v>
      </c>
      <c r="E31" s="4">
        <v>10787</v>
      </c>
      <c r="F31" s="5">
        <v>23.2190175</v>
      </c>
      <c r="G31" s="6">
        <v>1.375174E-2</v>
      </c>
      <c r="H31" s="109"/>
    </row>
    <row r="32" spans="1:8" ht="17.100000000000001" customHeight="1" x14ac:dyDescent="0.2">
      <c r="A32" s="100">
        <v>26</v>
      </c>
      <c r="B32" s="3" t="s">
        <v>307</v>
      </c>
      <c r="C32" s="3" t="s">
        <v>308</v>
      </c>
      <c r="D32" s="3" t="s">
        <v>309</v>
      </c>
      <c r="E32" s="4">
        <v>788</v>
      </c>
      <c r="F32" s="5">
        <v>19.389921999999999</v>
      </c>
      <c r="G32" s="6">
        <v>1.148391E-2</v>
      </c>
      <c r="H32" s="109"/>
    </row>
    <row r="33" spans="1:8" ht="17.100000000000001" customHeight="1" x14ac:dyDescent="0.2">
      <c r="A33" s="100">
        <v>27</v>
      </c>
      <c r="B33" s="3" t="s">
        <v>116</v>
      </c>
      <c r="C33" s="3" t="s">
        <v>117</v>
      </c>
      <c r="D33" s="3" t="s">
        <v>19</v>
      </c>
      <c r="E33" s="4">
        <v>5912</v>
      </c>
      <c r="F33" s="5">
        <v>18.761731999999999</v>
      </c>
      <c r="G33" s="6">
        <v>1.1111859999999999E-2</v>
      </c>
      <c r="H33" s="109"/>
    </row>
    <row r="34" spans="1:8" ht="17.100000000000001" customHeight="1" x14ac:dyDescent="0.2">
      <c r="A34" s="100">
        <v>28</v>
      </c>
      <c r="B34" s="3" t="s">
        <v>328</v>
      </c>
      <c r="C34" s="3" t="s">
        <v>329</v>
      </c>
      <c r="D34" s="3" t="s">
        <v>22</v>
      </c>
      <c r="E34" s="4">
        <v>1556</v>
      </c>
      <c r="F34" s="5">
        <v>16.769012</v>
      </c>
      <c r="G34" s="6">
        <v>9.9316500000000002E-3</v>
      </c>
      <c r="H34" s="109"/>
    </row>
    <row r="35" spans="1:8" ht="29.1" customHeight="1" x14ac:dyDescent="0.2">
      <c r="A35" s="100">
        <v>29</v>
      </c>
      <c r="B35" s="3" t="s">
        <v>484</v>
      </c>
      <c r="C35" s="3" t="s">
        <v>485</v>
      </c>
      <c r="D35" s="3" t="s">
        <v>221</v>
      </c>
      <c r="E35" s="4">
        <v>1814</v>
      </c>
      <c r="F35" s="5">
        <v>16.442095999999999</v>
      </c>
      <c r="G35" s="6">
        <v>9.7380299999999999E-3</v>
      </c>
      <c r="H35" s="109"/>
    </row>
    <row r="36" spans="1:8" ht="29.1" customHeight="1" x14ac:dyDescent="0.2">
      <c r="A36" s="100">
        <v>30</v>
      </c>
      <c r="B36" s="3" t="s">
        <v>486</v>
      </c>
      <c r="C36" s="3" t="s">
        <v>487</v>
      </c>
      <c r="D36" s="3" t="s">
        <v>25</v>
      </c>
      <c r="E36" s="4">
        <v>1871</v>
      </c>
      <c r="F36" s="5">
        <v>16.286119500000002</v>
      </c>
      <c r="G36" s="6">
        <v>9.6456500000000004E-3</v>
      </c>
      <c r="H36" s="109"/>
    </row>
    <row r="37" spans="1:8" ht="29.1" customHeight="1" x14ac:dyDescent="0.2">
      <c r="A37" s="100">
        <v>31</v>
      </c>
      <c r="B37" s="3" t="s">
        <v>488</v>
      </c>
      <c r="C37" s="3" t="s">
        <v>489</v>
      </c>
      <c r="D37" s="3" t="s">
        <v>445</v>
      </c>
      <c r="E37" s="4">
        <v>2272</v>
      </c>
      <c r="F37" s="5">
        <v>16.251615999999999</v>
      </c>
      <c r="G37" s="6">
        <v>9.6252100000000004E-3</v>
      </c>
      <c r="H37" s="109"/>
    </row>
    <row r="38" spans="1:8" ht="17.100000000000001" customHeight="1" x14ac:dyDescent="0.2">
      <c r="A38" s="100">
        <v>32</v>
      </c>
      <c r="B38" s="3" t="s">
        <v>490</v>
      </c>
      <c r="C38" s="3" t="s">
        <v>491</v>
      </c>
      <c r="D38" s="3" t="s">
        <v>203</v>
      </c>
      <c r="E38" s="4">
        <v>7000</v>
      </c>
      <c r="F38" s="5">
        <v>16.079000000000001</v>
      </c>
      <c r="G38" s="6">
        <v>9.5229800000000003E-3</v>
      </c>
      <c r="H38" s="109"/>
    </row>
    <row r="39" spans="1:8" ht="17.100000000000001" customHeight="1" x14ac:dyDescent="0.2">
      <c r="A39" s="100">
        <v>33</v>
      </c>
      <c r="B39" s="3" t="s">
        <v>55</v>
      </c>
      <c r="C39" s="3" t="s">
        <v>56</v>
      </c>
      <c r="D39" s="3" t="s">
        <v>57</v>
      </c>
      <c r="E39" s="4">
        <v>2464</v>
      </c>
      <c r="F39" s="5">
        <v>14.54992</v>
      </c>
      <c r="G39" s="6">
        <v>8.6173599999999993E-3</v>
      </c>
      <c r="H39" s="109"/>
    </row>
    <row r="40" spans="1:8" ht="17.100000000000001" customHeight="1" x14ac:dyDescent="0.2">
      <c r="A40" s="100">
        <v>34</v>
      </c>
      <c r="B40" s="3" t="s">
        <v>316</v>
      </c>
      <c r="C40" s="3" t="s">
        <v>317</v>
      </c>
      <c r="D40" s="3" t="s">
        <v>996</v>
      </c>
      <c r="E40" s="4">
        <v>2582</v>
      </c>
      <c r="F40" s="5">
        <v>9.9936310000000006</v>
      </c>
      <c r="G40" s="6">
        <v>5.9188499999999998E-3</v>
      </c>
      <c r="H40" s="109"/>
    </row>
    <row r="41" spans="1:8" ht="17.100000000000001" customHeight="1" x14ac:dyDescent="0.2">
      <c r="A41" s="100">
        <v>35</v>
      </c>
      <c r="B41" s="3" t="s">
        <v>106</v>
      </c>
      <c r="C41" s="3" t="s">
        <v>107</v>
      </c>
      <c r="D41" s="3" t="s">
        <v>108</v>
      </c>
      <c r="E41" s="4">
        <v>2289</v>
      </c>
      <c r="F41" s="5">
        <v>9.1376880000000007</v>
      </c>
      <c r="G41" s="6">
        <v>5.4119099999999998E-3</v>
      </c>
      <c r="H41" s="109"/>
    </row>
    <row r="42" spans="1:8" ht="29.1" customHeight="1" x14ac:dyDescent="0.2">
      <c r="A42" s="100">
        <v>36</v>
      </c>
      <c r="B42" s="3" t="s">
        <v>268</v>
      </c>
      <c r="C42" s="3" t="s">
        <v>269</v>
      </c>
      <c r="D42" s="3" t="s">
        <v>221</v>
      </c>
      <c r="E42" s="4">
        <v>462</v>
      </c>
      <c r="F42" s="5">
        <v>6.089391</v>
      </c>
      <c r="G42" s="6">
        <v>3.6065099999999998E-3</v>
      </c>
      <c r="H42" s="109"/>
    </row>
    <row r="43" spans="1:8" ht="17.100000000000001" customHeight="1" x14ac:dyDescent="0.2">
      <c r="A43" s="100">
        <v>37</v>
      </c>
      <c r="B43" s="3" t="s">
        <v>335</v>
      </c>
      <c r="C43" s="3" t="s">
        <v>947</v>
      </c>
      <c r="D43" s="3" t="s">
        <v>16</v>
      </c>
      <c r="E43" s="4">
        <v>482</v>
      </c>
      <c r="F43" s="5">
        <v>1.7441169999999999</v>
      </c>
      <c r="G43" s="6">
        <v>1.03297E-3</v>
      </c>
      <c r="H43" s="109"/>
    </row>
    <row r="44" spans="1:8" ht="14.1" customHeight="1" x14ac:dyDescent="0.2">
      <c r="A44" s="99"/>
      <c r="B44" s="1"/>
      <c r="C44" s="2" t="s">
        <v>135</v>
      </c>
      <c r="D44" s="1" t="s">
        <v>948</v>
      </c>
      <c r="E44" s="1" t="s">
        <v>136</v>
      </c>
      <c r="F44" s="8">
        <v>1649.5316950000001</v>
      </c>
      <c r="G44" s="9">
        <v>0.97695480000000001</v>
      </c>
      <c r="H44" s="109"/>
    </row>
    <row r="45" spans="1:8" ht="14.1" customHeight="1" x14ac:dyDescent="0.2">
      <c r="A45" s="99"/>
      <c r="B45" s="1"/>
      <c r="C45" s="10"/>
      <c r="D45" s="1"/>
      <c r="E45" s="1"/>
      <c r="F45" s="11"/>
      <c r="G45" s="11"/>
      <c r="H45" s="109"/>
    </row>
    <row r="46" spans="1:8" ht="14.1" customHeight="1" x14ac:dyDescent="0.2">
      <c r="A46" s="99"/>
      <c r="B46" s="1"/>
      <c r="C46" s="2" t="s">
        <v>137</v>
      </c>
      <c r="D46" s="1"/>
      <c r="E46" s="1"/>
      <c r="F46" s="1"/>
      <c r="G46" s="1"/>
      <c r="H46" s="109"/>
    </row>
    <row r="47" spans="1:8" ht="14.1" customHeight="1" x14ac:dyDescent="0.2">
      <c r="A47" s="99"/>
      <c r="B47" s="1"/>
      <c r="C47" s="2" t="s">
        <v>135</v>
      </c>
      <c r="D47" s="1"/>
      <c r="E47" s="1" t="s">
        <v>136</v>
      </c>
      <c r="F47" s="8">
        <v>0</v>
      </c>
      <c r="G47" s="9">
        <v>0</v>
      </c>
      <c r="H47" s="109"/>
    </row>
    <row r="48" spans="1:8" ht="14.1" customHeight="1" x14ac:dyDescent="0.2">
      <c r="A48" s="99"/>
      <c r="B48" s="1"/>
      <c r="C48" s="10"/>
      <c r="D48" s="1"/>
      <c r="E48" s="1"/>
      <c r="F48" s="11"/>
      <c r="G48" s="11"/>
      <c r="H48" s="109"/>
    </row>
    <row r="49" spans="1:8" ht="14.1" customHeight="1" x14ac:dyDescent="0.2">
      <c r="A49" s="99"/>
      <c r="B49" s="1"/>
      <c r="C49" s="2" t="s">
        <v>138</v>
      </c>
      <c r="D49" s="1"/>
      <c r="E49" s="1"/>
      <c r="F49" s="1"/>
      <c r="G49" s="1"/>
      <c r="H49" s="109"/>
    </row>
    <row r="50" spans="1:8" ht="14.1" customHeight="1" x14ac:dyDescent="0.2">
      <c r="A50" s="99"/>
      <c r="B50" s="1"/>
      <c r="C50" s="2" t="s">
        <v>135</v>
      </c>
      <c r="D50" s="1"/>
      <c r="E50" s="1" t="s">
        <v>136</v>
      </c>
      <c r="F50" s="8">
        <v>0</v>
      </c>
      <c r="G50" s="9">
        <v>0</v>
      </c>
      <c r="H50" s="109"/>
    </row>
    <row r="51" spans="1:8" ht="14.1" customHeight="1" x14ac:dyDescent="0.2">
      <c r="A51" s="99"/>
      <c r="B51" s="1"/>
      <c r="C51" s="10"/>
      <c r="D51" s="1"/>
      <c r="E51" s="1"/>
      <c r="F51" s="11"/>
      <c r="G51" s="11"/>
      <c r="H51" s="109"/>
    </row>
    <row r="52" spans="1:8" ht="14.1" customHeight="1" x14ac:dyDescent="0.2">
      <c r="A52" s="99"/>
      <c r="B52" s="1"/>
      <c r="C52" s="2" t="s">
        <v>139</v>
      </c>
      <c r="D52" s="1"/>
      <c r="E52" s="1"/>
      <c r="F52" s="1"/>
      <c r="G52" s="1"/>
      <c r="H52" s="109"/>
    </row>
    <row r="53" spans="1:8" ht="14.1" customHeight="1" x14ac:dyDescent="0.2">
      <c r="A53" s="99"/>
      <c r="B53" s="1"/>
      <c r="C53" s="2" t="s">
        <v>135</v>
      </c>
      <c r="D53" s="1"/>
      <c r="E53" s="1" t="s">
        <v>136</v>
      </c>
      <c r="F53" s="8">
        <v>0</v>
      </c>
      <c r="G53" s="9">
        <v>0</v>
      </c>
      <c r="H53" s="109"/>
    </row>
    <row r="54" spans="1:8" ht="14.1" customHeight="1" x14ac:dyDescent="0.2">
      <c r="A54" s="99"/>
      <c r="B54" s="1"/>
      <c r="C54" s="10"/>
      <c r="D54" s="1"/>
      <c r="E54" s="1"/>
      <c r="F54" s="11"/>
      <c r="G54" s="11"/>
      <c r="H54" s="109"/>
    </row>
    <row r="55" spans="1:8" ht="14.1" customHeight="1" x14ac:dyDescent="0.2">
      <c r="A55" s="99"/>
      <c r="B55" s="1"/>
      <c r="C55" s="2" t="s">
        <v>140</v>
      </c>
      <c r="D55" s="1"/>
      <c r="E55" s="1"/>
      <c r="F55" s="11"/>
      <c r="G55" s="11"/>
      <c r="H55" s="109"/>
    </row>
    <row r="56" spans="1:8" ht="14.1" customHeight="1" x14ac:dyDescent="0.2">
      <c r="A56" s="99"/>
      <c r="B56" s="1"/>
      <c r="C56" s="2" t="s">
        <v>135</v>
      </c>
      <c r="D56" s="1"/>
      <c r="E56" s="1" t="s">
        <v>136</v>
      </c>
      <c r="F56" s="8">
        <v>0</v>
      </c>
      <c r="G56" s="9">
        <v>0</v>
      </c>
      <c r="H56" s="109"/>
    </row>
    <row r="57" spans="1:8" ht="14.1" customHeight="1" x14ac:dyDescent="0.2">
      <c r="A57" s="99"/>
      <c r="B57" s="1"/>
      <c r="C57" s="10"/>
      <c r="D57" s="1"/>
      <c r="E57" s="1"/>
      <c r="F57" s="11"/>
      <c r="G57" s="11"/>
      <c r="H57" s="109"/>
    </row>
    <row r="58" spans="1:8" ht="14.1" customHeight="1" x14ac:dyDescent="0.2">
      <c r="A58" s="99"/>
      <c r="B58" s="1"/>
      <c r="C58" s="2" t="s">
        <v>141</v>
      </c>
      <c r="D58" s="1"/>
      <c r="E58" s="1"/>
      <c r="F58" s="11"/>
      <c r="G58" s="11"/>
      <c r="H58" s="109"/>
    </row>
    <row r="59" spans="1:8" ht="14.1" customHeight="1" x14ac:dyDescent="0.2">
      <c r="A59" s="99"/>
      <c r="B59" s="1"/>
      <c r="C59" s="2" t="s">
        <v>135</v>
      </c>
      <c r="D59" s="1"/>
      <c r="E59" s="1" t="s">
        <v>136</v>
      </c>
      <c r="F59" s="8">
        <v>0</v>
      </c>
      <c r="G59" s="9">
        <v>0</v>
      </c>
      <c r="H59" s="109"/>
    </row>
    <row r="60" spans="1:8" ht="14.1" customHeight="1" x14ac:dyDescent="0.2">
      <c r="A60" s="99"/>
      <c r="B60" s="1"/>
      <c r="C60" s="10"/>
      <c r="D60" s="1"/>
      <c r="E60" s="1"/>
      <c r="F60" s="11"/>
      <c r="G60" s="11"/>
      <c r="H60" s="109"/>
    </row>
    <row r="61" spans="1:8" ht="18" customHeight="1" x14ac:dyDescent="0.2">
      <c r="A61" s="99"/>
      <c r="B61" s="1"/>
      <c r="C61" s="2" t="s">
        <v>142</v>
      </c>
      <c r="D61" s="1"/>
      <c r="E61" s="1"/>
      <c r="F61" s="8">
        <v>1649.5316949999999</v>
      </c>
      <c r="G61" s="9">
        <v>0.97695480000000001</v>
      </c>
      <c r="H61" s="109"/>
    </row>
    <row r="62" spans="1:8" ht="14.1" customHeight="1" x14ac:dyDescent="0.2">
      <c r="A62" s="99"/>
      <c r="B62" s="1"/>
      <c r="C62" s="10"/>
      <c r="D62" s="1"/>
      <c r="E62" s="1"/>
      <c r="F62" s="11"/>
      <c r="G62" s="11"/>
      <c r="H62" s="109"/>
    </row>
    <row r="63" spans="1:8" ht="14.1" customHeight="1" x14ac:dyDescent="0.2">
      <c r="A63" s="99"/>
      <c r="B63" s="1"/>
      <c r="C63" s="2" t="s">
        <v>143</v>
      </c>
      <c r="D63" s="1"/>
      <c r="E63" s="1"/>
      <c r="F63" s="11"/>
      <c r="G63" s="11"/>
      <c r="H63" s="109"/>
    </row>
    <row r="64" spans="1:8" ht="24" customHeight="1" x14ac:dyDescent="0.2">
      <c r="A64" s="99"/>
      <c r="B64" s="1"/>
      <c r="C64" s="2" t="s">
        <v>10</v>
      </c>
      <c r="D64" s="1"/>
      <c r="E64" s="1"/>
      <c r="F64" s="11"/>
      <c r="G64" s="11"/>
      <c r="H64" s="109"/>
    </row>
    <row r="65" spans="1:8" ht="14.1" customHeight="1" x14ac:dyDescent="0.2">
      <c r="A65" s="99"/>
      <c r="B65" s="1"/>
      <c r="C65" s="2" t="s">
        <v>135</v>
      </c>
      <c r="D65" s="1"/>
      <c r="E65" s="1" t="s">
        <v>136</v>
      </c>
      <c r="F65" s="8">
        <v>0</v>
      </c>
      <c r="G65" s="9">
        <v>0</v>
      </c>
      <c r="H65" s="109"/>
    </row>
    <row r="66" spans="1:8" ht="14.1" customHeight="1" x14ac:dyDescent="0.2">
      <c r="A66" s="99"/>
      <c r="B66" s="1"/>
      <c r="C66" s="10"/>
      <c r="D66" s="1"/>
      <c r="E66" s="1"/>
      <c r="F66" s="11"/>
      <c r="G66" s="11"/>
      <c r="H66" s="109"/>
    </row>
    <row r="67" spans="1:8" ht="14.1" customHeight="1" x14ac:dyDescent="0.2">
      <c r="A67" s="99"/>
      <c r="B67" s="1"/>
      <c r="C67" s="2" t="s">
        <v>144</v>
      </c>
      <c r="D67" s="1"/>
      <c r="E67" s="1"/>
      <c r="F67" s="1"/>
      <c r="G67" s="1"/>
      <c r="H67" s="109"/>
    </row>
    <row r="68" spans="1:8" ht="14.1" customHeight="1" x14ac:dyDescent="0.2">
      <c r="A68" s="99"/>
      <c r="B68" s="1"/>
      <c r="C68" s="2" t="s">
        <v>135</v>
      </c>
      <c r="D68" s="1"/>
      <c r="E68" s="1" t="s">
        <v>136</v>
      </c>
      <c r="F68" s="8">
        <v>0</v>
      </c>
      <c r="G68" s="9">
        <v>0</v>
      </c>
      <c r="H68" s="109"/>
    </row>
    <row r="69" spans="1:8" ht="14.1" customHeight="1" x14ac:dyDescent="0.2">
      <c r="A69" s="99"/>
      <c r="B69" s="1"/>
      <c r="C69" s="10"/>
      <c r="D69" s="1"/>
      <c r="E69" s="1"/>
      <c r="F69" s="11"/>
      <c r="G69" s="11"/>
      <c r="H69" s="109"/>
    </row>
    <row r="70" spans="1:8" ht="14.1" customHeight="1" x14ac:dyDescent="0.2">
      <c r="A70" s="99"/>
      <c r="B70" s="1"/>
      <c r="C70" s="2" t="s">
        <v>145</v>
      </c>
      <c r="D70" s="1"/>
      <c r="E70" s="1"/>
      <c r="F70" s="1"/>
      <c r="G70" s="1"/>
      <c r="H70" s="109"/>
    </row>
    <row r="71" spans="1:8" ht="14.1" customHeight="1" x14ac:dyDescent="0.2">
      <c r="A71" s="99"/>
      <c r="B71" s="1"/>
      <c r="C71" s="2" t="s">
        <v>135</v>
      </c>
      <c r="D71" s="1"/>
      <c r="E71" s="1" t="s">
        <v>136</v>
      </c>
      <c r="F71" s="8">
        <v>0</v>
      </c>
      <c r="G71" s="9">
        <v>0</v>
      </c>
      <c r="H71" s="109"/>
    </row>
    <row r="72" spans="1:8" ht="14.1" customHeight="1" x14ac:dyDescent="0.2">
      <c r="A72" s="99"/>
      <c r="B72" s="1"/>
      <c r="C72" s="10"/>
      <c r="D72" s="1"/>
      <c r="E72" s="1"/>
      <c r="F72" s="11"/>
      <c r="G72" s="11"/>
      <c r="H72" s="109"/>
    </row>
    <row r="73" spans="1:8" ht="14.1" customHeight="1" x14ac:dyDescent="0.2">
      <c r="A73" s="99"/>
      <c r="B73" s="1"/>
      <c r="C73" s="2" t="s">
        <v>146</v>
      </c>
      <c r="D73" s="1"/>
      <c r="E73" s="1"/>
      <c r="F73" s="11"/>
      <c r="G73" s="11"/>
      <c r="H73" s="109"/>
    </row>
    <row r="74" spans="1:8" ht="14.1" customHeight="1" x14ac:dyDescent="0.2">
      <c r="A74" s="99"/>
      <c r="B74" s="1"/>
      <c r="C74" s="2" t="s">
        <v>135</v>
      </c>
      <c r="D74" s="1"/>
      <c r="E74" s="1" t="s">
        <v>136</v>
      </c>
      <c r="F74" s="8">
        <v>0</v>
      </c>
      <c r="G74" s="9">
        <v>0</v>
      </c>
      <c r="H74" s="109"/>
    </row>
    <row r="75" spans="1:8" ht="14.1" customHeight="1" x14ac:dyDescent="0.2">
      <c r="A75" s="99"/>
      <c r="B75" s="1"/>
      <c r="C75" s="10"/>
      <c r="D75" s="1"/>
      <c r="E75" s="1"/>
      <c r="F75" s="11"/>
      <c r="G75" s="11"/>
      <c r="H75" s="109"/>
    </row>
    <row r="76" spans="1:8" ht="14.1" customHeight="1" x14ac:dyDescent="0.2">
      <c r="A76" s="99"/>
      <c r="B76" s="1"/>
      <c r="C76" s="2" t="s">
        <v>147</v>
      </c>
      <c r="D76" s="1"/>
      <c r="E76" s="1"/>
      <c r="F76" s="8">
        <v>0</v>
      </c>
      <c r="G76" s="9">
        <v>0</v>
      </c>
      <c r="H76" s="109"/>
    </row>
    <row r="77" spans="1:8" ht="14.1" customHeight="1" x14ac:dyDescent="0.2">
      <c r="A77" s="99"/>
      <c r="B77" s="1"/>
      <c r="C77" s="10"/>
      <c r="D77" s="1"/>
      <c r="E77" s="1"/>
      <c r="F77" s="11"/>
      <c r="G77" s="11"/>
      <c r="H77" s="109"/>
    </row>
    <row r="78" spans="1:8" ht="14.1" customHeight="1" x14ac:dyDescent="0.2">
      <c r="A78" s="99"/>
      <c r="B78" s="1"/>
      <c r="C78" s="2" t="s">
        <v>148</v>
      </c>
      <c r="D78" s="1"/>
      <c r="E78" s="1"/>
      <c r="F78" s="11"/>
      <c r="G78" s="11"/>
      <c r="H78" s="109"/>
    </row>
    <row r="79" spans="1:8" ht="14.1" customHeight="1" x14ac:dyDescent="0.2">
      <c r="A79" s="99"/>
      <c r="B79" s="1"/>
      <c r="C79" s="2" t="s">
        <v>149</v>
      </c>
      <c r="D79" s="1"/>
      <c r="E79" s="1"/>
      <c r="F79" s="11"/>
      <c r="G79" s="11"/>
      <c r="H79" s="109"/>
    </row>
    <row r="80" spans="1:8" ht="14.1" customHeight="1" x14ac:dyDescent="0.2">
      <c r="A80" s="99"/>
      <c r="B80" s="1"/>
      <c r="C80" s="2" t="s">
        <v>135</v>
      </c>
      <c r="D80" s="1"/>
      <c r="E80" s="1" t="s">
        <v>136</v>
      </c>
      <c r="F80" s="8">
        <v>0</v>
      </c>
      <c r="G80" s="9">
        <v>0</v>
      </c>
      <c r="H80" s="109"/>
    </row>
    <row r="81" spans="1:8" ht="14.1" customHeight="1" x14ac:dyDescent="0.2">
      <c r="A81" s="99"/>
      <c r="B81" s="1"/>
      <c r="C81" s="10"/>
      <c r="D81" s="1"/>
      <c r="E81" s="1"/>
      <c r="F81" s="11"/>
      <c r="G81" s="11"/>
      <c r="H81" s="109"/>
    </row>
    <row r="82" spans="1:8" ht="14.1" customHeight="1" x14ac:dyDescent="0.2">
      <c r="A82" s="99"/>
      <c r="B82" s="1"/>
      <c r="C82" s="2" t="s">
        <v>150</v>
      </c>
      <c r="D82" s="1"/>
      <c r="E82" s="1"/>
      <c r="F82" s="11"/>
      <c r="G82" s="11"/>
      <c r="H82" s="109"/>
    </row>
    <row r="83" spans="1:8" ht="14.1" customHeight="1" x14ac:dyDescent="0.2">
      <c r="A83" s="99"/>
      <c r="B83" s="1"/>
      <c r="C83" s="2" t="s">
        <v>135</v>
      </c>
      <c r="D83" s="1"/>
      <c r="E83" s="1" t="s">
        <v>136</v>
      </c>
      <c r="F83" s="8">
        <v>0</v>
      </c>
      <c r="G83" s="9">
        <v>0</v>
      </c>
      <c r="H83" s="109"/>
    </row>
    <row r="84" spans="1:8" ht="14.1" customHeight="1" x14ac:dyDescent="0.2">
      <c r="A84" s="99"/>
      <c r="B84" s="1"/>
      <c r="C84" s="10"/>
      <c r="D84" s="1"/>
      <c r="E84" s="1"/>
      <c r="F84" s="11"/>
      <c r="G84" s="11"/>
      <c r="H84" s="109"/>
    </row>
    <row r="85" spans="1:8" ht="14.1" customHeight="1" x14ac:dyDescent="0.2">
      <c r="A85" s="99"/>
      <c r="B85" s="1"/>
      <c r="C85" s="2" t="s">
        <v>151</v>
      </c>
      <c r="D85" s="1"/>
      <c r="E85" s="1"/>
      <c r="F85" s="11"/>
      <c r="G85" s="11"/>
      <c r="H85" s="109"/>
    </row>
    <row r="86" spans="1:8" ht="14.1" customHeight="1" x14ac:dyDescent="0.2">
      <c r="A86" s="99"/>
      <c r="B86" s="1"/>
      <c r="C86" s="2" t="s">
        <v>135</v>
      </c>
      <c r="D86" s="1"/>
      <c r="E86" s="1" t="s">
        <v>136</v>
      </c>
      <c r="F86" s="8">
        <v>0</v>
      </c>
      <c r="G86" s="9">
        <v>0</v>
      </c>
      <c r="H86" s="109"/>
    </row>
    <row r="87" spans="1:8" ht="14.1" customHeight="1" x14ac:dyDescent="0.2">
      <c r="A87" s="99"/>
      <c r="B87" s="1"/>
      <c r="C87" s="10"/>
      <c r="D87" s="1"/>
      <c r="E87" s="1"/>
      <c r="F87" s="11"/>
      <c r="G87" s="11"/>
      <c r="H87" s="109"/>
    </row>
    <row r="88" spans="1:8" ht="14.1" customHeight="1" x14ac:dyDescent="0.2">
      <c r="A88" s="99"/>
      <c r="B88" s="1"/>
      <c r="C88" s="2" t="s">
        <v>152</v>
      </c>
      <c r="D88" s="1"/>
      <c r="E88" s="1"/>
      <c r="F88" s="11"/>
      <c r="G88" s="11"/>
      <c r="H88" s="109"/>
    </row>
    <row r="89" spans="1:8" ht="17.100000000000001" customHeight="1" x14ac:dyDescent="0.2">
      <c r="A89" s="100">
        <v>1</v>
      </c>
      <c r="B89" s="3"/>
      <c r="C89" s="3" t="s">
        <v>153</v>
      </c>
      <c r="D89" s="3"/>
      <c r="E89" s="7"/>
      <c r="F89" s="5">
        <v>38.263233</v>
      </c>
      <c r="G89" s="6">
        <v>2.2661859999999999E-2</v>
      </c>
      <c r="H89" s="109">
        <v>6.6015165706411798</v>
      </c>
    </row>
    <row r="90" spans="1:8" ht="14.1" customHeight="1" x14ac:dyDescent="0.2">
      <c r="A90" s="99"/>
      <c r="B90" s="1"/>
      <c r="C90" s="2" t="s">
        <v>135</v>
      </c>
      <c r="D90" s="1"/>
      <c r="E90" s="1" t="s">
        <v>136</v>
      </c>
      <c r="F90" s="8">
        <v>38.263233</v>
      </c>
      <c r="G90" s="9">
        <v>2.2661859999999999E-2</v>
      </c>
      <c r="H90" s="109"/>
    </row>
    <row r="91" spans="1:8" ht="14.1" customHeight="1" x14ac:dyDescent="0.2">
      <c r="A91" s="99"/>
      <c r="B91" s="1"/>
      <c r="C91" s="10"/>
      <c r="D91" s="1"/>
      <c r="E91" s="1"/>
      <c r="F91" s="11"/>
      <c r="G91" s="11"/>
      <c r="H91" s="109"/>
    </row>
    <row r="92" spans="1:8" ht="14.1" customHeight="1" x14ac:dyDescent="0.2">
      <c r="A92" s="99"/>
      <c r="B92" s="1"/>
      <c r="C92" s="2" t="s">
        <v>154</v>
      </c>
      <c r="D92" s="1"/>
      <c r="E92" s="1"/>
      <c r="F92" s="8">
        <v>38.263233</v>
      </c>
      <c r="G92" s="9">
        <v>2.2661859999999999E-2</v>
      </c>
      <c r="H92" s="109"/>
    </row>
    <row r="93" spans="1:8" ht="14.1" customHeight="1" x14ac:dyDescent="0.2">
      <c r="A93" s="99"/>
      <c r="B93" s="1"/>
      <c r="C93" s="11"/>
      <c r="D93" s="1"/>
      <c r="E93" s="1"/>
      <c r="F93" s="1"/>
      <c r="G93" s="1"/>
      <c r="H93" s="109"/>
    </row>
    <row r="94" spans="1:8" ht="14.1" customHeight="1" x14ac:dyDescent="0.2">
      <c r="A94" s="99"/>
      <c r="B94" s="1"/>
      <c r="C94" s="2" t="s">
        <v>155</v>
      </c>
      <c r="D94" s="1"/>
      <c r="E94" s="1"/>
      <c r="F94" s="1"/>
      <c r="G94" s="1"/>
      <c r="H94" s="109"/>
    </row>
    <row r="95" spans="1:8" ht="14.1" customHeight="1" x14ac:dyDescent="0.2">
      <c r="A95" s="99"/>
      <c r="B95" s="1"/>
      <c r="C95" s="2" t="s">
        <v>156</v>
      </c>
      <c r="D95" s="1"/>
      <c r="E95" s="1"/>
      <c r="F95" s="1"/>
      <c r="G95" s="1"/>
      <c r="H95" s="109"/>
    </row>
    <row r="96" spans="1:8" ht="14.1" customHeight="1" x14ac:dyDescent="0.2">
      <c r="A96" s="99"/>
      <c r="B96" s="1"/>
      <c r="C96" s="2" t="s">
        <v>135</v>
      </c>
      <c r="D96" s="1"/>
      <c r="E96" s="1" t="s">
        <v>136</v>
      </c>
      <c r="F96" s="8">
        <v>0</v>
      </c>
      <c r="G96" s="9">
        <v>0</v>
      </c>
      <c r="H96" s="109"/>
    </row>
    <row r="97" spans="1:8" ht="14.1" customHeight="1" x14ac:dyDescent="0.2">
      <c r="A97" s="99"/>
      <c r="B97" s="1"/>
      <c r="C97" s="10"/>
      <c r="D97" s="1"/>
      <c r="E97" s="1"/>
      <c r="F97" s="11"/>
      <c r="G97" s="11"/>
      <c r="H97" s="109"/>
    </row>
    <row r="98" spans="1:8" ht="14.1" customHeight="1" x14ac:dyDescent="0.2">
      <c r="A98" s="99"/>
      <c r="B98" s="1"/>
      <c r="C98" s="2" t="s">
        <v>157</v>
      </c>
      <c r="D98" s="1"/>
      <c r="E98" s="1"/>
      <c r="F98" s="1"/>
      <c r="G98" s="1"/>
      <c r="H98" s="109"/>
    </row>
    <row r="99" spans="1:8" ht="14.1" customHeight="1" x14ac:dyDescent="0.2">
      <c r="A99" s="99"/>
      <c r="B99" s="1"/>
      <c r="C99" s="2" t="s">
        <v>158</v>
      </c>
      <c r="D99" s="1"/>
      <c r="E99" s="1"/>
      <c r="F99" s="1"/>
      <c r="G99" s="1"/>
      <c r="H99" s="109"/>
    </row>
    <row r="100" spans="1:8" ht="14.1" customHeight="1" x14ac:dyDescent="0.2">
      <c r="A100" s="99"/>
      <c r="B100" s="1"/>
      <c r="C100" s="2" t="s">
        <v>135</v>
      </c>
      <c r="D100" s="1"/>
      <c r="E100" s="1" t="s">
        <v>136</v>
      </c>
      <c r="F100" s="8">
        <v>0</v>
      </c>
      <c r="G100" s="9">
        <v>0</v>
      </c>
      <c r="H100" s="109"/>
    </row>
    <row r="101" spans="1:8" ht="14.1" customHeight="1" x14ac:dyDescent="0.2">
      <c r="A101" s="99"/>
      <c r="B101" s="1"/>
      <c r="C101" s="10"/>
      <c r="D101" s="1"/>
      <c r="E101" s="1"/>
      <c r="F101" s="11"/>
      <c r="G101" s="11"/>
      <c r="H101" s="109"/>
    </row>
    <row r="102" spans="1:8" ht="24" customHeight="1" x14ac:dyDescent="0.2">
      <c r="A102" s="99"/>
      <c r="B102" s="1"/>
      <c r="C102" s="2" t="s">
        <v>159</v>
      </c>
      <c r="D102" s="1"/>
      <c r="E102" s="1"/>
      <c r="F102" s="11"/>
      <c r="G102" s="11"/>
      <c r="H102" s="109"/>
    </row>
    <row r="103" spans="1:8" ht="14.1" customHeight="1" x14ac:dyDescent="0.2">
      <c r="A103" s="99"/>
      <c r="B103" s="1"/>
      <c r="C103" s="2" t="s">
        <v>135</v>
      </c>
      <c r="D103" s="1"/>
      <c r="E103" s="1" t="s">
        <v>136</v>
      </c>
      <c r="F103" s="8">
        <v>0</v>
      </c>
      <c r="G103" s="9">
        <v>0</v>
      </c>
      <c r="H103" s="109"/>
    </row>
    <row r="104" spans="1:8" ht="14.1" customHeight="1" x14ac:dyDescent="0.2">
      <c r="A104" s="99"/>
      <c r="B104" s="1"/>
      <c r="C104" s="10"/>
      <c r="D104" s="1"/>
      <c r="E104" s="1"/>
      <c r="F104" s="11"/>
      <c r="G104" s="11"/>
      <c r="H104" s="109"/>
    </row>
    <row r="105" spans="1:8" ht="14.1" customHeight="1" x14ac:dyDescent="0.2">
      <c r="A105" s="99"/>
      <c r="B105" s="3"/>
      <c r="C105" s="3"/>
      <c r="D105" s="2"/>
      <c r="E105" s="1"/>
      <c r="F105" s="3"/>
      <c r="G105" s="7"/>
      <c r="H105" s="109"/>
    </row>
    <row r="106" spans="1:8" ht="18" customHeight="1" x14ac:dyDescent="0.2">
      <c r="A106" s="101"/>
      <c r="B106" s="3"/>
      <c r="C106" s="3" t="s">
        <v>160</v>
      </c>
      <c r="D106" s="3"/>
      <c r="E106" s="7"/>
      <c r="F106" s="5">
        <v>0.64726172000000004</v>
      </c>
      <c r="G106" s="6">
        <v>3.8335000000000002E-4</v>
      </c>
      <c r="H106" s="109"/>
    </row>
    <row r="107" spans="1:8" ht="14.1" customHeight="1" x14ac:dyDescent="0.2">
      <c r="A107" s="102"/>
      <c r="B107" s="10"/>
      <c r="C107" s="2" t="s">
        <v>161</v>
      </c>
      <c r="D107" s="11"/>
      <c r="E107" s="11"/>
      <c r="F107" s="8">
        <v>1688.44218972</v>
      </c>
      <c r="G107" s="12">
        <v>1.0000000099999999</v>
      </c>
      <c r="H107" s="109"/>
    </row>
    <row r="108" spans="1:8" ht="14.1" customHeight="1" x14ac:dyDescent="0.2">
      <c r="A108" s="13"/>
      <c r="B108" s="13"/>
      <c r="C108" s="13"/>
      <c r="D108" s="14"/>
      <c r="E108" s="14"/>
      <c r="F108" s="14"/>
      <c r="G108" s="14"/>
    </row>
    <row r="109" spans="1:8" ht="14.1" customHeight="1" x14ac:dyDescent="0.2">
      <c r="A109" s="15"/>
      <c r="B109" s="15"/>
      <c r="C109" s="15"/>
      <c r="D109" s="17"/>
      <c r="E109" s="17"/>
      <c r="F109" s="17"/>
      <c r="G109" s="17"/>
    </row>
    <row r="110" spans="1:8" ht="14.1" customHeight="1" x14ac:dyDescent="0.2">
      <c r="A110" s="15"/>
      <c r="B110" s="194" t="s">
        <v>163</v>
      </c>
      <c r="C110" s="195"/>
      <c r="D110" s="196"/>
      <c r="E110" s="18"/>
      <c r="F110" s="17"/>
      <c r="G110" s="17"/>
    </row>
    <row r="111" spans="1:8" ht="29.1" customHeight="1" x14ac:dyDescent="0.2">
      <c r="A111" s="15"/>
      <c r="B111" s="191" t="s">
        <v>164</v>
      </c>
      <c r="C111" s="192"/>
      <c r="D111" s="2" t="s">
        <v>165</v>
      </c>
      <c r="E111" s="18"/>
      <c r="F111" s="17"/>
      <c r="G111" s="17"/>
    </row>
    <row r="112" spans="1:8" ht="17.100000000000001" customHeight="1" x14ac:dyDescent="0.2">
      <c r="A112" s="15"/>
      <c r="B112" s="191" t="s">
        <v>166</v>
      </c>
      <c r="C112" s="192"/>
      <c r="D112" s="2" t="s">
        <v>165</v>
      </c>
      <c r="E112" s="18"/>
      <c r="F112" s="17"/>
      <c r="G112" s="17"/>
    </row>
    <row r="113" spans="1:7" ht="17.100000000000001" customHeight="1" x14ac:dyDescent="0.2">
      <c r="A113" s="15"/>
      <c r="B113" s="191" t="s">
        <v>167</v>
      </c>
      <c r="C113" s="192"/>
      <c r="D113" s="11" t="s">
        <v>136</v>
      </c>
      <c r="E113" s="18"/>
      <c r="F113" s="17"/>
      <c r="G113" s="17"/>
    </row>
    <row r="114" spans="1:7" ht="24" customHeight="1" x14ac:dyDescent="0.2">
      <c r="A114" s="19"/>
      <c r="B114" s="20" t="s">
        <v>136</v>
      </c>
      <c r="C114" s="20" t="s">
        <v>168</v>
      </c>
      <c r="D114" s="20" t="s">
        <v>169</v>
      </c>
      <c r="E114" s="19"/>
      <c r="F114" s="19"/>
      <c r="G114" s="19"/>
    </row>
    <row r="115" spans="1:7" ht="18" customHeight="1" x14ac:dyDescent="0.2">
      <c r="A115" s="19"/>
      <c r="B115" s="21" t="s">
        <v>170</v>
      </c>
      <c r="C115" s="20" t="s">
        <v>171</v>
      </c>
      <c r="D115" s="20" t="s">
        <v>172</v>
      </c>
      <c r="E115" s="19"/>
      <c r="F115" s="19"/>
      <c r="G115" s="19"/>
    </row>
    <row r="116" spans="1:7" ht="17.100000000000001" customHeight="1" x14ac:dyDescent="0.2">
      <c r="A116" s="19"/>
      <c r="B116" s="3" t="s">
        <v>173</v>
      </c>
      <c r="C116" s="22">
        <v>23.076599999999999</v>
      </c>
      <c r="D116" s="22">
        <v>22.683299999999999</v>
      </c>
      <c r="E116" s="19"/>
      <c r="F116" s="16"/>
      <c r="G116" s="23"/>
    </row>
    <row r="117" spans="1:7" ht="17.100000000000001" customHeight="1" x14ac:dyDescent="0.2">
      <c r="A117" s="19"/>
      <c r="B117" s="3" t="s">
        <v>994</v>
      </c>
      <c r="C117" s="22">
        <v>19.223800000000001</v>
      </c>
      <c r="D117" s="22">
        <v>18.896100000000001</v>
      </c>
      <c r="E117" s="19"/>
      <c r="F117" s="16"/>
      <c r="G117" s="23"/>
    </row>
    <row r="118" spans="1:7" ht="17.100000000000001" customHeight="1" x14ac:dyDescent="0.2">
      <c r="A118" s="19"/>
      <c r="B118" s="3" t="s">
        <v>174</v>
      </c>
      <c r="C118" s="22">
        <v>22.498200000000001</v>
      </c>
      <c r="D118" s="22">
        <v>22.108699999999999</v>
      </c>
      <c r="E118" s="19"/>
      <c r="F118" s="16"/>
      <c r="G118" s="23"/>
    </row>
    <row r="119" spans="1:7" ht="17.100000000000001" customHeight="1" x14ac:dyDescent="0.2">
      <c r="A119" s="19"/>
      <c r="B119" s="3" t="s">
        <v>995</v>
      </c>
      <c r="C119" s="22">
        <v>18.677900000000001</v>
      </c>
      <c r="D119" s="22">
        <v>18.354500000000002</v>
      </c>
      <c r="E119" s="19"/>
      <c r="F119" s="16"/>
      <c r="G119" s="23"/>
    </row>
    <row r="120" spans="1:7" ht="14.1" customHeight="1" x14ac:dyDescent="0.2">
      <c r="A120" s="19"/>
      <c r="B120" s="19"/>
      <c r="C120" s="19"/>
      <c r="D120" s="19"/>
      <c r="E120" s="19"/>
      <c r="F120" s="19"/>
      <c r="G120" s="19"/>
    </row>
    <row r="121" spans="1:7" ht="17.100000000000001" customHeight="1" x14ac:dyDescent="0.2">
      <c r="A121" s="19"/>
      <c r="B121" s="191" t="s">
        <v>1044</v>
      </c>
      <c r="C121" s="192"/>
      <c r="D121" s="2" t="s">
        <v>165</v>
      </c>
      <c r="E121" s="19"/>
      <c r="F121" s="19"/>
      <c r="G121" s="19"/>
    </row>
    <row r="122" spans="1:7" ht="18" customHeight="1" x14ac:dyDescent="0.2">
      <c r="A122" s="19"/>
      <c r="B122" s="24"/>
      <c r="C122" s="24"/>
      <c r="D122" s="24"/>
      <c r="E122" s="19"/>
      <c r="F122" s="19"/>
      <c r="G122" s="19"/>
    </row>
    <row r="123" spans="1:7" ht="29.1" customHeight="1" x14ac:dyDescent="0.2">
      <c r="A123" s="19"/>
      <c r="B123" s="191" t="s">
        <v>175</v>
      </c>
      <c r="C123" s="192"/>
      <c r="D123" s="2" t="s">
        <v>165</v>
      </c>
      <c r="E123" s="25"/>
      <c r="F123" s="19"/>
      <c r="G123" s="19"/>
    </row>
    <row r="124" spans="1:7" ht="29.1" customHeight="1" x14ac:dyDescent="0.2">
      <c r="A124" s="19"/>
      <c r="B124" s="191" t="s">
        <v>176</v>
      </c>
      <c r="C124" s="192"/>
      <c r="D124" s="2" t="s">
        <v>165</v>
      </c>
      <c r="E124" s="25"/>
      <c r="F124" s="19"/>
      <c r="G124" s="19"/>
    </row>
    <row r="125" spans="1:7" ht="17.100000000000001" customHeight="1" x14ac:dyDescent="0.2">
      <c r="A125" s="19"/>
      <c r="B125" s="191" t="s">
        <v>177</v>
      </c>
      <c r="C125" s="192"/>
      <c r="D125" s="2" t="s">
        <v>165</v>
      </c>
      <c r="E125" s="25"/>
      <c r="F125" s="19"/>
      <c r="G125" s="19"/>
    </row>
    <row r="126" spans="1:7" ht="17.100000000000001" customHeight="1" x14ac:dyDescent="0.2">
      <c r="A126" s="19"/>
      <c r="B126" s="191" t="s">
        <v>178</v>
      </c>
      <c r="C126" s="192"/>
      <c r="D126" s="26">
        <v>3.8474421939543764E-2</v>
      </c>
      <c r="E126" s="19"/>
      <c r="F126" s="16"/>
      <c r="G126" s="23"/>
    </row>
    <row r="127" spans="1:7" ht="14.1" customHeight="1" x14ac:dyDescent="0.2">
      <c r="A127" s="24"/>
      <c r="B127" s="24"/>
      <c r="C127" s="24"/>
      <c r="D127" s="24"/>
      <c r="E127" s="24"/>
      <c r="F127" s="24"/>
      <c r="G127" s="24"/>
    </row>
    <row r="130" spans="10:14" x14ac:dyDescent="0.2">
      <c r="J130" s="170"/>
      <c r="K130" s="170"/>
      <c r="L130" s="170"/>
      <c r="M130" s="170"/>
      <c r="N130" s="170"/>
    </row>
  </sheetData>
  <mergeCells count="13">
    <mergeCell ref="J2:N2"/>
    <mergeCell ref="B112:C112"/>
    <mergeCell ref="B113:C113"/>
    <mergeCell ref="B110:D110"/>
    <mergeCell ref="B111:C111"/>
    <mergeCell ref="A1:H1"/>
    <mergeCell ref="A2:H2"/>
    <mergeCell ref="A3:H3"/>
    <mergeCell ref="B125:C125"/>
    <mergeCell ref="B126:C126"/>
    <mergeCell ref="B121:C121"/>
    <mergeCell ref="B123:C123"/>
    <mergeCell ref="B124:C124"/>
  </mergeCells>
  <hyperlinks>
    <hyperlink ref="I1" location="Index!B16" display="Index" xr:uid="{74E491B8-7595-40ED-8E16-48CF1E747518}"/>
  </hyperlinks>
  <pageMargins left="5.000000074505806E-2" right="5.000000074505806E-2" top="0.30000001192092896" bottom="0.20000000298023224" header="0" footer="0"/>
  <pageSetup paperSize="9" orientation="landscape"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N127"/>
  <sheetViews>
    <sheetView showGridLines="0" workbookViewId="0">
      <selection sqref="A1:H1"/>
    </sheetView>
  </sheetViews>
  <sheetFormatPr defaultRowHeight="12.75" x14ac:dyDescent="0.2"/>
  <cols>
    <col min="1" max="1" width="5.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7" t="s">
        <v>0</v>
      </c>
      <c r="B1" s="187"/>
      <c r="C1" s="187"/>
      <c r="D1" s="187"/>
      <c r="E1" s="187"/>
      <c r="F1" s="187"/>
      <c r="G1" s="187"/>
      <c r="H1" s="187"/>
      <c r="I1" s="167" t="s">
        <v>1055</v>
      </c>
    </row>
    <row r="2" spans="1:14" ht="17.100000000000001" customHeight="1" x14ac:dyDescent="0.2">
      <c r="A2" s="188" t="s">
        <v>492</v>
      </c>
      <c r="B2" s="189"/>
      <c r="C2" s="189"/>
      <c r="D2" s="189"/>
      <c r="E2" s="189"/>
      <c r="F2" s="189"/>
      <c r="G2" s="189"/>
      <c r="H2" s="190"/>
      <c r="J2" s="186" t="s">
        <v>1056</v>
      </c>
      <c r="K2" s="186"/>
      <c r="L2" s="186"/>
      <c r="M2" s="186"/>
      <c r="N2" s="186"/>
    </row>
    <row r="3" spans="1:14" ht="21" customHeight="1" x14ac:dyDescent="0.2">
      <c r="A3" s="187" t="s">
        <v>1052</v>
      </c>
      <c r="B3" s="187"/>
      <c r="C3" s="187"/>
      <c r="D3" s="187"/>
      <c r="E3" s="187"/>
      <c r="F3" s="187"/>
      <c r="G3" s="187"/>
      <c r="H3" s="187"/>
    </row>
    <row r="4" spans="1:14" ht="30" x14ac:dyDescent="0.2">
      <c r="A4" s="163" t="s">
        <v>2</v>
      </c>
      <c r="B4" s="164" t="s">
        <v>3</v>
      </c>
      <c r="C4" s="164" t="s">
        <v>4</v>
      </c>
      <c r="D4" s="164" t="s">
        <v>5</v>
      </c>
      <c r="E4" s="164" t="s">
        <v>6</v>
      </c>
      <c r="F4" s="164" t="s">
        <v>7</v>
      </c>
      <c r="G4" s="164" t="s">
        <v>8</v>
      </c>
      <c r="H4" s="120" t="s">
        <v>881</v>
      </c>
      <c r="I4" s="165"/>
      <c r="J4" s="165"/>
      <c r="K4" s="165"/>
      <c r="L4" s="165"/>
      <c r="M4" s="165"/>
      <c r="N4" s="165"/>
    </row>
    <row r="5" spans="1:14" ht="14.1" customHeight="1" x14ac:dyDescent="0.2">
      <c r="A5" s="99"/>
      <c r="B5" s="1"/>
      <c r="C5" s="2" t="s">
        <v>9</v>
      </c>
      <c r="D5" s="1"/>
      <c r="E5" s="1"/>
      <c r="F5" s="1"/>
      <c r="G5" s="1"/>
      <c r="H5" s="109"/>
    </row>
    <row r="6" spans="1:14" ht="24" customHeight="1" x14ac:dyDescent="0.2">
      <c r="A6" s="99"/>
      <c r="B6" s="1"/>
      <c r="C6" s="2" t="s">
        <v>10</v>
      </c>
      <c r="D6" s="1"/>
      <c r="E6" s="1"/>
      <c r="F6" s="1"/>
      <c r="G6" s="1"/>
      <c r="H6" s="109"/>
    </row>
    <row r="7" spans="1:14" ht="17.100000000000001" customHeight="1" x14ac:dyDescent="0.2">
      <c r="A7" s="100">
        <v>1</v>
      </c>
      <c r="B7" s="3" t="s">
        <v>20</v>
      </c>
      <c r="C7" s="3" t="s">
        <v>21</v>
      </c>
      <c r="D7" s="3" t="s">
        <v>22</v>
      </c>
      <c r="E7" s="4">
        <v>12088</v>
      </c>
      <c r="F7" s="5">
        <v>103.33426799999999</v>
      </c>
      <c r="G7" s="6">
        <v>9.7322939999999997E-2</v>
      </c>
      <c r="H7" s="109"/>
    </row>
    <row r="8" spans="1:14" ht="17.100000000000001" customHeight="1" x14ac:dyDescent="0.2">
      <c r="A8" s="100">
        <v>2</v>
      </c>
      <c r="B8" s="3" t="s">
        <v>293</v>
      </c>
      <c r="C8" s="3" t="s">
        <v>294</v>
      </c>
      <c r="D8" s="3" t="s">
        <v>996</v>
      </c>
      <c r="E8" s="4">
        <v>5779</v>
      </c>
      <c r="F8" s="5">
        <v>85.965514499999998</v>
      </c>
      <c r="G8" s="6">
        <v>8.0964590000000003E-2</v>
      </c>
      <c r="H8" s="109"/>
    </row>
    <row r="9" spans="1:14" ht="17.100000000000001" customHeight="1" x14ac:dyDescent="0.2">
      <c r="A9" s="100">
        <v>3</v>
      </c>
      <c r="B9" s="3" t="s">
        <v>17</v>
      </c>
      <c r="C9" s="3" t="s">
        <v>18</v>
      </c>
      <c r="D9" s="3" t="s">
        <v>19</v>
      </c>
      <c r="E9" s="4">
        <v>3489</v>
      </c>
      <c r="F9" s="5">
        <v>81.033769500000005</v>
      </c>
      <c r="G9" s="6">
        <v>7.6319739999999997E-2</v>
      </c>
      <c r="H9" s="109"/>
    </row>
    <row r="10" spans="1:14" ht="17.100000000000001" customHeight="1" x14ac:dyDescent="0.2">
      <c r="A10" s="100">
        <v>4</v>
      </c>
      <c r="B10" s="3" t="s">
        <v>297</v>
      </c>
      <c r="C10" s="3" t="s">
        <v>298</v>
      </c>
      <c r="D10" s="3" t="s">
        <v>22</v>
      </c>
      <c r="E10" s="4">
        <v>4906</v>
      </c>
      <c r="F10" s="5">
        <v>78.476376000000002</v>
      </c>
      <c r="G10" s="6">
        <v>7.3911119999999997E-2</v>
      </c>
      <c r="H10" s="109"/>
    </row>
    <row r="11" spans="1:14" ht="17.100000000000001" customHeight="1" x14ac:dyDescent="0.2">
      <c r="A11" s="100">
        <v>5</v>
      </c>
      <c r="B11" s="3" t="s">
        <v>32</v>
      </c>
      <c r="C11" s="3" t="s">
        <v>33</v>
      </c>
      <c r="D11" s="3" t="s">
        <v>22</v>
      </c>
      <c r="E11" s="4">
        <v>12485</v>
      </c>
      <c r="F11" s="5">
        <v>65.27158</v>
      </c>
      <c r="G11" s="6">
        <v>6.1474500000000001E-2</v>
      </c>
      <c r="H11" s="109"/>
    </row>
    <row r="12" spans="1:14" ht="29.1" customHeight="1" x14ac:dyDescent="0.2">
      <c r="A12" s="100">
        <v>6</v>
      </c>
      <c r="B12" s="3" t="s">
        <v>295</v>
      </c>
      <c r="C12" s="3" t="s">
        <v>296</v>
      </c>
      <c r="D12" s="3" t="s">
        <v>120</v>
      </c>
      <c r="E12" s="4">
        <v>2230</v>
      </c>
      <c r="F12" s="5">
        <v>58.190734999999997</v>
      </c>
      <c r="G12" s="6">
        <v>5.4805569999999998E-2</v>
      </c>
      <c r="H12" s="109"/>
    </row>
    <row r="13" spans="1:14" ht="17.100000000000001" customHeight="1" x14ac:dyDescent="0.2">
      <c r="A13" s="100">
        <v>7</v>
      </c>
      <c r="B13" s="3" t="s">
        <v>11</v>
      </c>
      <c r="C13" s="3" t="s">
        <v>12</v>
      </c>
      <c r="D13" s="3" t="s">
        <v>13</v>
      </c>
      <c r="E13" s="4">
        <v>2233</v>
      </c>
      <c r="F13" s="5">
        <v>47.097319499999998</v>
      </c>
      <c r="G13" s="6">
        <v>4.4357500000000001E-2</v>
      </c>
      <c r="H13" s="109"/>
      <c r="J13" s="169" t="s">
        <v>1060</v>
      </c>
    </row>
    <row r="14" spans="1:14" ht="17.100000000000001" customHeight="1" x14ac:dyDescent="0.2">
      <c r="A14" s="100">
        <v>8</v>
      </c>
      <c r="B14" s="3" t="s">
        <v>197</v>
      </c>
      <c r="C14" s="3" t="s">
        <v>198</v>
      </c>
      <c r="D14" s="3" t="s">
        <v>22</v>
      </c>
      <c r="E14" s="4">
        <v>5335</v>
      </c>
      <c r="F14" s="5">
        <v>45.032735000000002</v>
      </c>
      <c r="G14" s="6">
        <v>4.2413020000000003E-2</v>
      </c>
      <c r="H14" s="109"/>
    </row>
    <row r="15" spans="1:14" ht="29.1" customHeight="1" x14ac:dyDescent="0.2">
      <c r="A15" s="100">
        <v>9</v>
      </c>
      <c r="B15" s="3" t="s">
        <v>23</v>
      </c>
      <c r="C15" s="3" t="s">
        <v>24</v>
      </c>
      <c r="D15" s="3" t="s">
        <v>25</v>
      </c>
      <c r="E15" s="4">
        <v>501</v>
      </c>
      <c r="F15" s="5">
        <v>36.379112999999997</v>
      </c>
      <c r="G15" s="6">
        <v>3.4262809999999998E-2</v>
      </c>
      <c r="H15" s="109"/>
    </row>
    <row r="16" spans="1:14" ht="17.100000000000001" customHeight="1" x14ac:dyDescent="0.2">
      <c r="A16" s="100">
        <v>10</v>
      </c>
      <c r="B16" s="3" t="s">
        <v>14</v>
      </c>
      <c r="C16" s="3" t="s">
        <v>15</v>
      </c>
      <c r="D16" s="3" t="s">
        <v>16</v>
      </c>
      <c r="E16" s="4">
        <v>4570</v>
      </c>
      <c r="F16" s="5">
        <v>33.920825000000001</v>
      </c>
      <c r="G16" s="6">
        <v>3.1947530000000002E-2</v>
      </c>
      <c r="H16" s="109"/>
    </row>
    <row r="17" spans="1:8" ht="17.100000000000001" customHeight="1" x14ac:dyDescent="0.2">
      <c r="A17" s="100">
        <v>11</v>
      </c>
      <c r="B17" s="3" t="s">
        <v>348</v>
      </c>
      <c r="C17" s="3" t="s">
        <v>349</v>
      </c>
      <c r="D17" s="3" t="s">
        <v>71</v>
      </c>
      <c r="E17" s="4">
        <v>7590</v>
      </c>
      <c r="F17" s="5">
        <v>31.93113</v>
      </c>
      <c r="G17" s="6">
        <v>3.0073579999999999E-2</v>
      </c>
      <c r="H17" s="109"/>
    </row>
    <row r="18" spans="1:8" ht="17.100000000000001" customHeight="1" x14ac:dyDescent="0.2">
      <c r="A18" s="100">
        <v>12</v>
      </c>
      <c r="B18" s="3" t="s">
        <v>312</v>
      </c>
      <c r="C18" s="3" t="s">
        <v>313</v>
      </c>
      <c r="D18" s="3" t="s">
        <v>309</v>
      </c>
      <c r="E18" s="4">
        <v>7286</v>
      </c>
      <c r="F18" s="5">
        <v>27.446362000000001</v>
      </c>
      <c r="G18" s="6">
        <v>2.5849710000000001E-2</v>
      </c>
      <c r="H18" s="109"/>
    </row>
    <row r="19" spans="1:8" ht="17.100000000000001" customHeight="1" x14ac:dyDescent="0.2">
      <c r="A19" s="100">
        <v>13</v>
      </c>
      <c r="B19" s="3" t="s">
        <v>354</v>
      </c>
      <c r="C19" s="3" t="s">
        <v>355</v>
      </c>
      <c r="D19" s="3" t="s">
        <v>115</v>
      </c>
      <c r="E19" s="4">
        <v>959</v>
      </c>
      <c r="F19" s="5">
        <v>22.755151999999999</v>
      </c>
      <c r="G19" s="6">
        <v>2.14314E-2</v>
      </c>
      <c r="H19" s="109"/>
    </row>
    <row r="20" spans="1:8" ht="17.100000000000001" customHeight="1" x14ac:dyDescent="0.2">
      <c r="A20" s="100">
        <v>14</v>
      </c>
      <c r="B20" s="3" t="s">
        <v>299</v>
      </c>
      <c r="C20" s="3" t="s">
        <v>300</v>
      </c>
      <c r="D20" s="3" t="s">
        <v>996</v>
      </c>
      <c r="E20" s="4">
        <v>672</v>
      </c>
      <c r="F20" s="5">
        <v>22.262352</v>
      </c>
      <c r="G20" s="6">
        <v>2.096727E-2</v>
      </c>
      <c r="H20" s="109"/>
    </row>
    <row r="21" spans="1:8" ht="29.1" customHeight="1" x14ac:dyDescent="0.2">
      <c r="A21" s="100">
        <v>15</v>
      </c>
      <c r="B21" s="3" t="s">
        <v>186</v>
      </c>
      <c r="C21" s="3" t="s">
        <v>187</v>
      </c>
      <c r="D21" s="3" t="s">
        <v>188</v>
      </c>
      <c r="E21" s="4">
        <v>526</v>
      </c>
      <c r="F21" s="5">
        <v>21.713806000000002</v>
      </c>
      <c r="G21" s="6">
        <v>2.0450639999999999E-2</v>
      </c>
      <c r="H21" s="109"/>
    </row>
    <row r="22" spans="1:8" ht="17.100000000000001" customHeight="1" x14ac:dyDescent="0.2">
      <c r="A22" s="100">
        <v>16</v>
      </c>
      <c r="B22" s="3" t="s">
        <v>211</v>
      </c>
      <c r="C22" s="3" t="s">
        <v>212</v>
      </c>
      <c r="D22" s="3" t="s">
        <v>213</v>
      </c>
      <c r="E22" s="4">
        <v>3810</v>
      </c>
      <c r="F22" s="5">
        <v>20.924520000000001</v>
      </c>
      <c r="G22" s="6">
        <v>1.9707269999999999E-2</v>
      </c>
      <c r="H22" s="109"/>
    </row>
    <row r="23" spans="1:8" ht="17.100000000000001" customHeight="1" x14ac:dyDescent="0.2">
      <c r="A23" s="100">
        <v>17</v>
      </c>
      <c r="B23" s="3" t="s">
        <v>301</v>
      </c>
      <c r="C23" s="3" t="s">
        <v>302</v>
      </c>
      <c r="D23" s="3" t="s">
        <v>216</v>
      </c>
      <c r="E23" s="4">
        <v>1859</v>
      </c>
      <c r="F23" s="5">
        <v>20.839390000000002</v>
      </c>
      <c r="G23" s="6">
        <v>1.962709E-2</v>
      </c>
      <c r="H23" s="109"/>
    </row>
    <row r="24" spans="1:8" ht="17.100000000000001" customHeight="1" x14ac:dyDescent="0.2">
      <c r="A24" s="100">
        <v>18</v>
      </c>
      <c r="B24" s="3" t="s">
        <v>314</v>
      </c>
      <c r="C24" s="3" t="s">
        <v>315</v>
      </c>
      <c r="D24" s="3" t="s">
        <v>996</v>
      </c>
      <c r="E24" s="4">
        <v>1859</v>
      </c>
      <c r="F24" s="5">
        <v>20.032584</v>
      </c>
      <c r="G24" s="6">
        <v>1.8867220000000001E-2</v>
      </c>
      <c r="H24" s="109"/>
    </row>
    <row r="25" spans="1:8" ht="17.100000000000001" customHeight="1" x14ac:dyDescent="0.2">
      <c r="A25" s="100">
        <v>19</v>
      </c>
      <c r="B25" s="3" t="s">
        <v>222</v>
      </c>
      <c r="C25" s="3" t="s">
        <v>223</v>
      </c>
      <c r="D25" s="3" t="s">
        <v>22</v>
      </c>
      <c r="E25" s="4">
        <v>12176</v>
      </c>
      <c r="F25" s="5">
        <v>19.359839999999998</v>
      </c>
      <c r="G25" s="6">
        <v>1.8233610000000001E-2</v>
      </c>
      <c r="H25" s="109"/>
    </row>
    <row r="26" spans="1:8" ht="29.1" customHeight="1" x14ac:dyDescent="0.2">
      <c r="A26" s="100">
        <v>20</v>
      </c>
      <c r="B26" s="3" t="s">
        <v>189</v>
      </c>
      <c r="C26" s="3" t="s">
        <v>190</v>
      </c>
      <c r="D26" s="3" t="s">
        <v>191</v>
      </c>
      <c r="E26" s="4">
        <v>2059</v>
      </c>
      <c r="F26" s="5">
        <v>18.501144499999999</v>
      </c>
      <c r="G26" s="6">
        <v>1.7424869999999999E-2</v>
      </c>
      <c r="H26" s="109"/>
    </row>
    <row r="27" spans="1:8" ht="17.100000000000001" customHeight="1" x14ac:dyDescent="0.2">
      <c r="A27" s="100">
        <v>21</v>
      </c>
      <c r="B27" s="3" t="s">
        <v>286</v>
      </c>
      <c r="C27" s="3" t="s">
        <v>287</v>
      </c>
      <c r="D27" s="3" t="s">
        <v>19</v>
      </c>
      <c r="E27" s="4">
        <v>8132</v>
      </c>
      <c r="F27" s="5">
        <v>17.50413</v>
      </c>
      <c r="G27" s="6">
        <v>1.648585E-2</v>
      </c>
      <c r="H27" s="109"/>
    </row>
    <row r="28" spans="1:8" ht="17.100000000000001" customHeight="1" x14ac:dyDescent="0.2">
      <c r="A28" s="100">
        <v>22</v>
      </c>
      <c r="B28" s="3" t="s">
        <v>78</v>
      </c>
      <c r="C28" s="3" t="s">
        <v>79</v>
      </c>
      <c r="D28" s="3" t="s">
        <v>80</v>
      </c>
      <c r="E28" s="4">
        <v>587</v>
      </c>
      <c r="F28" s="5">
        <v>17.503459500000002</v>
      </c>
      <c r="G28" s="6">
        <v>1.6485219999999998E-2</v>
      </c>
      <c r="H28" s="109"/>
    </row>
    <row r="29" spans="1:8" ht="17.100000000000001" customHeight="1" x14ac:dyDescent="0.2">
      <c r="A29" s="100">
        <v>23</v>
      </c>
      <c r="B29" s="3" t="s">
        <v>400</v>
      </c>
      <c r="C29" s="3" t="s">
        <v>401</v>
      </c>
      <c r="D29" s="3" t="s">
        <v>210</v>
      </c>
      <c r="E29" s="4">
        <v>5791</v>
      </c>
      <c r="F29" s="5">
        <v>16.174263</v>
      </c>
      <c r="G29" s="6">
        <v>1.523335E-2</v>
      </c>
      <c r="H29" s="109"/>
    </row>
    <row r="30" spans="1:8" ht="17.100000000000001" customHeight="1" x14ac:dyDescent="0.2">
      <c r="A30" s="100">
        <v>24</v>
      </c>
      <c r="B30" s="3" t="s">
        <v>324</v>
      </c>
      <c r="C30" s="3" t="s">
        <v>325</v>
      </c>
      <c r="D30" s="3" t="s">
        <v>22</v>
      </c>
      <c r="E30" s="4">
        <v>916</v>
      </c>
      <c r="F30" s="5">
        <v>15.839930000000001</v>
      </c>
      <c r="G30" s="6">
        <v>1.491846E-2</v>
      </c>
      <c r="H30" s="109"/>
    </row>
    <row r="31" spans="1:8" ht="17.100000000000001" customHeight="1" x14ac:dyDescent="0.2">
      <c r="A31" s="100">
        <v>25</v>
      </c>
      <c r="B31" s="3" t="s">
        <v>307</v>
      </c>
      <c r="C31" s="3" t="s">
        <v>308</v>
      </c>
      <c r="D31" s="3" t="s">
        <v>309</v>
      </c>
      <c r="E31" s="4">
        <v>517</v>
      </c>
      <c r="F31" s="5">
        <v>12.721560500000001</v>
      </c>
      <c r="G31" s="6">
        <v>1.1981500000000001E-2</v>
      </c>
      <c r="H31" s="109"/>
    </row>
    <row r="32" spans="1:8" ht="17.100000000000001" customHeight="1" x14ac:dyDescent="0.2">
      <c r="A32" s="100">
        <v>26</v>
      </c>
      <c r="B32" s="3" t="s">
        <v>116</v>
      </c>
      <c r="C32" s="3" t="s">
        <v>117</v>
      </c>
      <c r="D32" s="3" t="s">
        <v>19</v>
      </c>
      <c r="E32" s="4">
        <v>3989</v>
      </c>
      <c r="F32" s="5">
        <v>12.659091500000001</v>
      </c>
      <c r="G32" s="6">
        <v>1.192267E-2</v>
      </c>
      <c r="H32" s="109"/>
    </row>
    <row r="33" spans="1:8" ht="17.100000000000001" customHeight="1" x14ac:dyDescent="0.2">
      <c r="A33" s="100">
        <v>27</v>
      </c>
      <c r="B33" s="3" t="s">
        <v>106</v>
      </c>
      <c r="C33" s="3" t="s">
        <v>107</v>
      </c>
      <c r="D33" s="3" t="s">
        <v>108</v>
      </c>
      <c r="E33" s="4">
        <v>2990</v>
      </c>
      <c r="F33" s="5">
        <v>11.93608</v>
      </c>
      <c r="G33" s="6">
        <v>1.124172E-2</v>
      </c>
      <c r="H33" s="109"/>
    </row>
    <row r="34" spans="1:8" ht="17.100000000000001" customHeight="1" x14ac:dyDescent="0.2">
      <c r="A34" s="100">
        <v>28</v>
      </c>
      <c r="B34" s="3" t="s">
        <v>328</v>
      </c>
      <c r="C34" s="3" t="s">
        <v>329</v>
      </c>
      <c r="D34" s="3" t="s">
        <v>22</v>
      </c>
      <c r="E34" s="4">
        <v>1052</v>
      </c>
      <c r="F34" s="5">
        <v>11.337403999999999</v>
      </c>
      <c r="G34" s="6">
        <v>1.0677870000000001E-2</v>
      </c>
      <c r="H34" s="109"/>
    </row>
    <row r="35" spans="1:8" ht="29.1" customHeight="1" x14ac:dyDescent="0.2">
      <c r="A35" s="100">
        <v>29</v>
      </c>
      <c r="B35" s="3" t="s">
        <v>486</v>
      </c>
      <c r="C35" s="3" t="s">
        <v>487</v>
      </c>
      <c r="D35" s="3" t="s">
        <v>25</v>
      </c>
      <c r="E35" s="4">
        <v>1266</v>
      </c>
      <c r="F35" s="5">
        <v>11.019897</v>
      </c>
      <c r="G35" s="6">
        <v>1.037883E-2</v>
      </c>
      <c r="H35" s="109"/>
    </row>
    <row r="36" spans="1:8" ht="29.1" customHeight="1" x14ac:dyDescent="0.2">
      <c r="A36" s="100">
        <v>30</v>
      </c>
      <c r="B36" s="3" t="s">
        <v>484</v>
      </c>
      <c r="C36" s="3" t="s">
        <v>485</v>
      </c>
      <c r="D36" s="3" t="s">
        <v>221</v>
      </c>
      <c r="E36" s="4">
        <v>1213</v>
      </c>
      <c r="F36" s="5">
        <v>10.994631999999999</v>
      </c>
      <c r="G36" s="6">
        <v>1.0355039999999999E-2</v>
      </c>
      <c r="H36" s="109"/>
    </row>
    <row r="37" spans="1:8" ht="29.1" customHeight="1" x14ac:dyDescent="0.2">
      <c r="A37" s="100">
        <v>31</v>
      </c>
      <c r="B37" s="3" t="s">
        <v>488</v>
      </c>
      <c r="C37" s="3" t="s">
        <v>489</v>
      </c>
      <c r="D37" s="3" t="s">
        <v>445</v>
      </c>
      <c r="E37" s="4">
        <v>1535</v>
      </c>
      <c r="F37" s="5">
        <v>10.979855000000001</v>
      </c>
      <c r="G37" s="6">
        <v>1.0341120000000001E-2</v>
      </c>
      <c r="H37" s="109"/>
    </row>
    <row r="38" spans="1:8" ht="17.100000000000001" customHeight="1" x14ac:dyDescent="0.2">
      <c r="A38" s="100">
        <v>32</v>
      </c>
      <c r="B38" s="3" t="s">
        <v>490</v>
      </c>
      <c r="C38" s="3" t="s">
        <v>491</v>
      </c>
      <c r="D38" s="3" t="s">
        <v>203</v>
      </c>
      <c r="E38" s="4">
        <v>4646</v>
      </c>
      <c r="F38" s="5">
        <v>10.671862000000001</v>
      </c>
      <c r="G38" s="6">
        <v>1.0051040000000001E-2</v>
      </c>
      <c r="H38" s="109"/>
    </row>
    <row r="39" spans="1:8" ht="17.100000000000001" customHeight="1" x14ac:dyDescent="0.2">
      <c r="A39" s="100">
        <v>33</v>
      </c>
      <c r="B39" s="3" t="s">
        <v>55</v>
      </c>
      <c r="C39" s="3" t="s">
        <v>56</v>
      </c>
      <c r="D39" s="3" t="s">
        <v>57</v>
      </c>
      <c r="E39" s="4">
        <v>1593</v>
      </c>
      <c r="F39" s="5">
        <v>9.4066650000000003</v>
      </c>
      <c r="G39" s="6">
        <v>8.8594499999999996E-3</v>
      </c>
      <c r="H39" s="109"/>
    </row>
    <row r="40" spans="1:8" ht="17.100000000000001" customHeight="1" x14ac:dyDescent="0.2">
      <c r="A40" s="100">
        <v>34</v>
      </c>
      <c r="B40" s="3" t="s">
        <v>316</v>
      </c>
      <c r="C40" s="3" t="s">
        <v>317</v>
      </c>
      <c r="D40" s="3" t="s">
        <v>996</v>
      </c>
      <c r="E40" s="4">
        <v>1742</v>
      </c>
      <c r="F40" s="5">
        <v>6.7424109999999997</v>
      </c>
      <c r="G40" s="6">
        <v>6.3501800000000004E-3</v>
      </c>
      <c r="H40" s="109"/>
    </row>
    <row r="41" spans="1:8" ht="29.1" customHeight="1" x14ac:dyDescent="0.2">
      <c r="A41" s="100">
        <v>35</v>
      </c>
      <c r="B41" s="3" t="s">
        <v>268</v>
      </c>
      <c r="C41" s="3" t="s">
        <v>269</v>
      </c>
      <c r="D41" s="3" t="s">
        <v>221</v>
      </c>
      <c r="E41" s="4">
        <v>311</v>
      </c>
      <c r="F41" s="5">
        <v>4.0991355</v>
      </c>
      <c r="G41" s="6">
        <v>3.8606700000000001E-3</v>
      </c>
      <c r="H41" s="109"/>
    </row>
    <row r="42" spans="1:8" ht="17.100000000000001" customHeight="1" x14ac:dyDescent="0.2">
      <c r="A42" s="100">
        <v>36</v>
      </c>
      <c r="B42" s="3" t="s">
        <v>335</v>
      </c>
      <c r="C42" s="3" t="s">
        <v>947</v>
      </c>
      <c r="D42" s="3" t="s">
        <v>16</v>
      </c>
      <c r="E42" s="4">
        <v>327</v>
      </c>
      <c r="F42" s="5">
        <v>1.1832495000000001</v>
      </c>
      <c r="G42" s="6">
        <v>1.1144200000000001E-3</v>
      </c>
      <c r="H42" s="109"/>
    </row>
    <row r="43" spans="1:8" ht="14.1" customHeight="1" x14ac:dyDescent="0.2">
      <c r="A43" s="99"/>
      <c r="B43" s="1"/>
      <c r="C43" s="2" t="s">
        <v>135</v>
      </c>
      <c r="D43" s="1"/>
      <c r="E43" s="1" t="s">
        <v>136</v>
      </c>
      <c r="F43" s="8">
        <v>1041.2421415000003</v>
      </c>
      <c r="G43" s="9">
        <v>0.98066936999999976</v>
      </c>
      <c r="H43" s="109"/>
    </row>
    <row r="44" spans="1:8" ht="14.1" customHeight="1" x14ac:dyDescent="0.2">
      <c r="A44" s="99"/>
      <c r="B44" s="1"/>
      <c r="C44" s="10"/>
      <c r="D44" s="1"/>
      <c r="E44" s="1"/>
      <c r="F44" s="11"/>
      <c r="G44" s="11"/>
      <c r="H44" s="109"/>
    </row>
    <row r="45" spans="1:8" ht="14.1" customHeight="1" x14ac:dyDescent="0.2">
      <c r="A45" s="99"/>
      <c r="B45" s="1"/>
      <c r="C45" s="2" t="s">
        <v>137</v>
      </c>
      <c r="D45" s="1"/>
      <c r="E45" s="1"/>
      <c r="F45" s="1"/>
      <c r="G45" s="1"/>
      <c r="H45" s="109"/>
    </row>
    <row r="46" spans="1:8" ht="14.1" customHeight="1" x14ac:dyDescent="0.2">
      <c r="A46" s="99"/>
      <c r="B46" s="1"/>
      <c r="C46" s="2" t="s">
        <v>135</v>
      </c>
      <c r="D46" s="1"/>
      <c r="E46" s="1" t="s">
        <v>136</v>
      </c>
      <c r="F46" s="8">
        <v>0</v>
      </c>
      <c r="G46" s="9">
        <v>0</v>
      </c>
      <c r="H46" s="109"/>
    </row>
    <row r="47" spans="1:8" ht="14.1" customHeight="1" x14ac:dyDescent="0.2">
      <c r="A47" s="99"/>
      <c r="B47" s="1"/>
      <c r="C47" s="10"/>
      <c r="D47" s="1"/>
      <c r="E47" s="1"/>
      <c r="F47" s="11"/>
      <c r="G47" s="11"/>
      <c r="H47" s="109"/>
    </row>
    <row r="48" spans="1:8" ht="14.1" customHeight="1" x14ac:dyDescent="0.2">
      <c r="A48" s="99"/>
      <c r="B48" s="1"/>
      <c r="C48" s="2" t="s">
        <v>138</v>
      </c>
      <c r="D48" s="1"/>
      <c r="E48" s="1"/>
      <c r="F48" s="1"/>
      <c r="G48" s="1"/>
      <c r="H48" s="109"/>
    </row>
    <row r="49" spans="1:8" ht="14.1" customHeight="1" x14ac:dyDescent="0.2">
      <c r="A49" s="99"/>
      <c r="B49" s="1"/>
      <c r="C49" s="2" t="s">
        <v>135</v>
      </c>
      <c r="D49" s="1"/>
      <c r="E49" s="1" t="s">
        <v>136</v>
      </c>
      <c r="F49" s="8">
        <v>0</v>
      </c>
      <c r="G49" s="9">
        <v>0</v>
      </c>
      <c r="H49" s="109"/>
    </row>
    <row r="50" spans="1:8" ht="14.1" customHeight="1" x14ac:dyDescent="0.2">
      <c r="A50" s="99"/>
      <c r="B50" s="1"/>
      <c r="C50" s="10"/>
      <c r="D50" s="1"/>
      <c r="E50" s="1"/>
      <c r="F50" s="11"/>
      <c r="G50" s="11"/>
      <c r="H50" s="109"/>
    </row>
    <row r="51" spans="1:8" ht="14.1" customHeight="1" x14ac:dyDescent="0.2">
      <c r="A51" s="99"/>
      <c r="B51" s="1"/>
      <c r="C51" s="2" t="s">
        <v>139</v>
      </c>
      <c r="D51" s="1"/>
      <c r="E51" s="1"/>
      <c r="F51" s="1"/>
      <c r="G51" s="1"/>
      <c r="H51" s="109"/>
    </row>
    <row r="52" spans="1:8" ht="14.1" customHeight="1" x14ac:dyDescent="0.2">
      <c r="A52" s="99"/>
      <c r="B52" s="1"/>
      <c r="C52" s="2" t="s">
        <v>135</v>
      </c>
      <c r="D52" s="1"/>
      <c r="E52" s="1" t="s">
        <v>136</v>
      </c>
      <c r="F52" s="8">
        <v>0</v>
      </c>
      <c r="G52" s="9">
        <v>0</v>
      </c>
      <c r="H52" s="109"/>
    </row>
    <row r="53" spans="1:8" ht="14.1" customHeight="1" x14ac:dyDescent="0.2">
      <c r="A53" s="99"/>
      <c r="B53" s="1"/>
      <c r="C53" s="10"/>
      <c r="D53" s="1"/>
      <c r="E53" s="1"/>
      <c r="F53" s="11"/>
      <c r="G53" s="11"/>
      <c r="H53" s="109"/>
    </row>
    <row r="54" spans="1:8" ht="14.1" customHeight="1" x14ac:dyDescent="0.2">
      <c r="A54" s="99"/>
      <c r="B54" s="1"/>
      <c r="C54" s="2" t="s">
        <v>140</v>
      </c>
      <c r="D54" s="1"/>
      <c r="E54" s="1"/>
      <c r="F54" s="11"/>
      <c r="G54" s="11"/>
      <c r="H54" s="109"/>
    </row>
    <row r="55" spans="1:8" ht="14.1" customHeight="1" x14ac:dyDescent="0.2">
      <c r="A55" s="99"/>
      <c r="B55" s="1"/>
      <c r="C55" s="2" t="s">
        <v>135</v>
      </c>
      <c r="D55" s="1"/>
      <c r="E55" s="1" t="s">
        <v>136</v>
      </c>
      <c r="F55" s="8">
        <v>0</v>
      </c>
      <c r="G55" s="9">
        <v>0</v>
      </c>
      <c r="H55" s="109"/>
    </row>
    <row r="56" spans="1:8" ht="14.1" customHeight="1" x14ac:dyDescent="0.2">
      <c r="A56" s="99"/>
      <c r="B56" s="1"/>
      <c r="C56" s="10"/>
      <c r="D56" s="1"/>
      <c r="E56" s="1"/>
      <c r="F56" s="11"/>
      <c r="G56" s="11"/>
      <c r="H56" s="109"/>
    </row>
    <row r="57" spans="1:8" ht="14.1" customHeight="1" x14ac:dyDescent="0.2">
      <c r="A57" s="99"/>
      <c r="B57" s="1"/>
      <c r="C57" s="2" t="s">
        <v>141</v>
      </c>
      <c r="D57" s="1"/>
      <c r="E57" s="1"/>
      <c r="F57" s="11"/>
      <c r="G57" s="11"/>
      <c r="H57" s="109"/>
    </row>
    <row r="58" spans="1:8" ht="14.1" customHeight="1" x14ac:dyDescent="0.2">
      <c r="A58" s="99"/>
      <c r="B58" s="1"/>
      <c r="C58" s="2" t="s">
        <v>135</v>
      </c>
      <c r="D58" s="1"/>
      <c r="E58" s="1" t="s">
        <v>136</v>
      </c>
      <c r="F58" s="8">
        <v>0</v>
      </c>
      <c r="G58" s="9">
        <v>0</v>
      </c>
      <c r="H58" s="109"/>
    </row>
    <row r="59" spans="1:8" ht="14.1" customHeight="1" x14ac:dyDescent="0.2">
      <c r="A59" s="99"/>
      <c r="B59" s="1"/>
      <c r="C59" s="10"/>
      <c r="D59" s="1"/>
      <c r="E59" s="1"/>
      <c r="F59" s="11"/>
      <c r="G59" s="11"/>
      <c r="H59" s="109"/>
    </row>
    <row r="60" spans="1:8" ht="18" customHeight="1" x14ac:dyDescent="0.2">
      <c r="A60" s="99"/>
      <c r="B60" s="1"/>
      <c r="C60" s="2" t="s">
        <v>142</v>
      </c>
      <c r="D60" s="1"/>
      <c r="E60" s="1"/>
      <c r="F60" s="8">
        <v>1041.2421414999999</v>
      </c>
      <c r="G60" s="9">
        <v>0.98066936999999998</v>
      </c>
      <c r="H60" s="109"/>
    </row>
    <row r="61" spans="1:8" ht="14.1" customHeight="1" x14ac:dyDescent="0.2">
      <c r="A61" s="99"/>
      <c r="B61" s="1"/>
      <c r="C61" s="10"/>
      <c r="D61" s="1"/>
      <c r="E61" s="1"/>
      <c r="F61" s="11"/>
      <c r="G61" s="11"/>
      <c r="H61" s="109"/>
    </row>
    <row r="62" spans="1:8" ht="14.1" customHeight="1" x14ac:dyDescent="0.2">
      <c r="A62" s="99"/>
      <c r="B62" s="1"/>
      <c r="C62" s="2" t="s">
        <v>143</v>
      </c>
      <c r="D62" s="1"/>
      <c r="E62" s="1"/>
      <c r="F62" s="11"/>
      <c r="G62" s="11"/>
      <c r="H62" s="109"/>
    </row>
    <row r="63" spans="1:8" ht="24" customHeight="1" x14ac:dyDescent="0.2">
      <c r="A63" s="99"/>
      <c r="B63" s="1"/>
      <c r="C63" s="2" t="s">
        <v>10</v>
      </c>
      <c r="D63" s="1"/>
      <c r="E63" s="1"/>
      <c r="F63" s="11"/>
      <c r="G63" s="11"/>
      <c r="H63" s="109"/>
    </row>
    <row r="64" spans="1:8" ht="14.1" customHeight="1" x14ac:dyDescent="0.2">
      <c r="A64" s="99"/>
      <c r="B64" s="1"/>
      <c r="C64" s="2" t="s">
        <v>135</v>
      </c>
      <c r="D64" s="1"/>
      <c r="E64" s="1" t="s">
        <v>136</v>
      </c>
      <c r="F64" s="8">
        <v>0</v>
      </c>
      <c r="G64" s="9">
        <v>0</v>
      </c>
      <c r="H64" s="109"/>
    </row>
    <row r="65" spans="1:8" ht="14.1" customHeight="1" x14ac:dyDescent="0.2">
      <c r="A65" s="99"/>
      <c r="B65" s="1"/>
      <c r="C65" s="10"/>
      <c r="D65" s="1"/>
      <c r="E65" s="1"/>
      <c r="F65" s="11"/>
      <c r="G65" s="11"/>
      <c r="H65" s="109"/>
    </row>
    <row r="66" spans="1:8" ht="14.1" customHeight="1" x14ac:dyDescent="0.2">
      <c r="A66" s="99"/>
      <c r="B66" s="1"/>
      <c r="C66" s="2" t="s">
        <v>144</v>
      </c>
      <c r="D66" s="1"/>
      <c r="E66" s="1"/>
      <c r="F66" s="1"/>
      <c r="G66" s="1"/>
      <c r="H66" s="109"/>
    </row>
    <row r="67" spans="1:8" ht="14.1" customHeight="1" x14ac:dyDescent="0.2">
      <c r="A67" s="99"/>
      <c r="B67" s="1"/>
      <c r="C67" s="2" t="s">
        <v>135</v>
      </c>
      <c r="D67" s="1"/>
      <c r="E67" s="1" t="s">
        <v>136</v>
      </c>
      <c r="F67" s="8">
        <v>0</v>
      </c>
      <c r="G67" s="9">
        <v>0</v>
      </c>
      <c r="H67" s="109"/>
    </row>
    <row r="68" spans="1:8" ht="14.1" customHeight="1" x14ac:dyDescent="0.2">
      <c r="A68" s="99"/>
      <c r="B68" s="1"/>
      <c r="C68" s="10"/>
      <c r="D68" s="1"/>
      <c r="E68" s="1"/>
      <c r="F68" s="11"/>
      <c r="G68" s="11"/>
      <c r="H68" s="109"/>
    </row>
    <row r="69" spans="1:8" ht="14.1" customHeight="1" x14ac:dyDescent="0.2">
      <c r="A69" s="99"/>
      <c r="B69" s="1"/>
      <c r="C69" s="2" t="s">
        <v>145</v>
      </c>
      <c r="D69" s="1"/>
      <c r="E69" s="1"/>
      <c r="F69" s="1"/>
      <c r="G69" s="1"/>
      <c r="H69" s="109"/>
    </row>
    <row r="70" spans="1:8" ht="14.1" customHeight="1" x14ac:dyDescent="0.2">
      <c r="A70" s="99"/>
      <c r="B70" s="1"/>
      <c r="C70" s="2" t="s">
        <v>135</v>
      </c>
      <c r="D70" s="1"/>
      <c r="E70" s="1" t="s">
        <v>136</v>
      </c>
      <c r="F70" s="8">
        <v>0</v>
      </c>
      <c r="G70" s="9">
        <v>0</v>
      </c>
      <c r="H70" s="109"/>
    </row>
    <row r="71" spans="1:8" ht="14.1" customHeight="1" x14ac:dyDescent="0.2">
      <c r="A71" s="99"/>
      <c r="B71" s="1"/>
      <c r="C71" s="10"/>
      <c r="D71" s="1"/>
      <c r="E71" s="1"/>
      <c r="F71" s="11"/>
      <c r="G71" s="11"/>
      <c r="H71" s="109"/>
    </row>
    <row r="72" spans="1:8" ht="14.1" customHeight="1" x14ac:dyDescent="0.2">
      <c r="A72" s="99"/>
      <c r="B72" s="1"/>
      <c r="C72" s="2" t="s">
        <v>146</v>
      </c>
      <c r="D72" s="1"/>
      <c r="E72" s="1"/>
      <c r="F72" s="11"/>
      <c r="G72" s="11"/>
      <c r="H72" s="109"/>
    </row>
    <row r="73" spans="1:8" ht="14.1" customHeight="1" x14ac:dyDescent="0.2">
      <c r="A73" s="99"/>
      <c r="B73" s="1"/>
      <c r="C73" s="2" t="s">
        <v>135</v>
      </c>
      <c r="D73" s="1"/>
      <c r="E73" s="1" t="s">
        <v>136</v>
      </c>
      <c r="F73" s="8">
        <v>0</v>
      </c>
      <c r="G73" s="9">
        <v>0</v>
      </c>
      <c r="H73" s="109"/>
    </row>
    <row r="74" spans="1:8" ht="14.1" customHeight="1" x14ac:dyDescent="0.2">
      <c r="A74" s="99"/>
      <c r="B74" s="1"/>
      <c r="C74" s="10"/>
      <c r="D74" s="1"/>
      <c r="E74" s="1"/>
      <c r="F74" s="11"/>
      <c r="G74" s="11"/>
      <c r="H74" s="109"/>
    </row>
    <row r="75" spans="1:8" ht="14.1" customHeight="1" x14ac:dyDescent="0.2">
      <c r="A75" s="99"/>
      <c r="B75" s="1"/>
      <c r="C75" s="2" t="s">
        <v>147</v>
      </c>
      <c r="D75" s="1"/>
      <c r="E75" s="1"/>
      <c r="F75" s="8">
        <v>0</v>
      </c>
      <c r="G75" s="9">
        <v>0</v>
      </c>
      <c r="H75" s="109"/>
    </row>
    <row r="76" spans="1:8" ht="14.1" customHeight="1" x14ac:dyDescent="0.2">
      <c r="A76" s="99"/>
      <c r="B76" s="1"/>
      <c r="C76" s="10"/>
      <c r="D76" s="1"/>
      <c r="E76" s="1"/>
      <c r="F76" s="11"/>
      <c r="G76" s="11"/>
      <c r="H76" s="109"/>
    </row>
    <row r="77" spans="1:8" ht="14.1" customHeight="1" x14ac:dyDescent="0.2">
      <c r="A77" s="99"/>
      <c r="B77" s="1"/>
      <c r="C77" s="2" t="s">
        <v>148</v>
      </c>
      <c r="D77" s="1"/>
      <c r="E77" s="1"/>
      <c r="F77" s="11"/>
      <c r="G77" s="11"/>
      <c r="H77" s="109"/>
    </row>
    <row r="78" spans="1:8" ht="14.1" customHeight="1" x14ac:dyDescent="0.2">
      <c r="A78" s="99"/>
      <c r="B78" s="1"/>
      <c r="C78" s="2" t="s">
        <v>149</v>
      </c>
      <c r="D78" s="1"/>
      <c r="E78" s="1"/>
      <c r="F78" s="11"/>
      <c r="G78" s="11"/>
      <c r="H78" s="109"/>
    </row>
    <row r="79" spans="1:8" ht="14.1" customHeight="1" x14ac:dyDescent="0.2">
      <c r="A79" s="99"/>
      <c r="B79" s="1"/>
      <c r="C79" s="2" t="s">
        <v>135</v>
      </c>
      <c r="D79" s="1"/>
      <c r="E79" s="1" t="s">
        <v>136</v>
      </c>
      <c r="F79" s="8">
        <v>0</v>
      </c>
      <c r="G79" s="9">
        <v>0</v>
      </c>
      <c r="H79" s="109"/>
    </row>
    <row r="80" spans="1:8" ht="14.1" customHeight="1" x14ac:dyDescent="0.2">
      <c r="A80" s="99"/>
      <c r="B80" s="1"/>
      <c r="C80" s="10"/>
      <c r="D80" s="1"/>
      <c r="E80" s="1"/>
      <c r="F80" s="11"/>
      <c r="G80" s="11"/>
      <c r="H80" s="109"/>
    </row>
    <row r="81" spans="1:8" ht="14.1" customHeight="1" x14ac:dyDescent="0.2">
      <c r="A81" s="99"/>
      <c r="B81" s="1"/>
      <c r="C81" s="2" t="s">
        <v>150</v>
      </c>
      <c r="D81" s="1"/>
      <c r="E81" s="1"/>
      <c r="F81" s="11"/>
      <c r="G81" s="11"/>
      <c r="H81" s="109"/>
    </row>
    <row r="82" spans="1:8" ht="14.1" customHeight="1" x14ac:dyDescent="0.2">
      <c r="A82" s="99"/>
      <c r="B82" s="1"/>
      <c r="C82" s="2" t="s">
        <v>135</v>
      </c>
      <c r="D82" s="1"/>
      <c r="E82" s="1" t="s">
        <v>136</v>
      </c>
      <c r="F82" s="8">
        <v>0</v>
      </c>
      <c r="G82" s="9">
        <v>0</v>
      </c>
      <c r="H82" s="109"/>
    </row>
    <row r="83" spans="1:8" ht="14.1" customHeight="1" x14ac:dyDescent="0.2">
      <c r="A83" s="99"/>
      <c r="B83" s="1"/>
      <c r="C83" s="10"/>
      <c r="D83" s="1"/>
      <c r="E83" s="1"/>
      <c r="F83" s="11"/>
      <c r="G83" s="11"/>
      <c r="H83" s="109"/>
    </row>
    <row r="84" spans="1:8" ht="14.1" customHeight="1" x14ac:dyDescent="0.2">
      <c r="A84" s="99"/>
      <c r="B84" s="1"/>
      <c r="C84" s="2" t="s">
        <v>151</v>
      </c>
      <c r="D84" s="1"/>
      <c r="E84" s="1"/>
      <c r="F84" s="11"/>
      <c r="G84" s="11"/>
      <c r="H84" s="109"/>
    </row>
    <row r="85" spans="1:8" ht="14.1" customHeight="1" x14ac:dyDescent="0.2">
      <c r="A85" s="99"/>
      <c r="B85" s="1"/>
      <c r="C85" s="2" t="s">
        <v>135</v>
      </c>
      <c r="D85" s="1"/>
      <c r="E85" s="1" t="s">
        <v>136</v>
      </c>
      <c r="F85" s="8">
        <v>0</v>
      </c>
      <c r="G85" s="9">
        <v>0</v>
      </c>
      <c r="H85" s="109"/>
    </row>
    <row r="86" spans="1:8" ht="14.1" customHeight="1" x14ac:dyDescent="0.2">
      <c r="A86" s="99"/>
      <c r="B86" s="1"/>
      <c r="C86" s="10"/>
      <c r="D86" s="1"/>
      <c r="E86" s="1"/>
      <c r="F86" s="11"/>
      <c r="G86" s="11"/>
      <c r="H86" s="109"/>
    </row>
    <row r="87" spans="1:8" ht="14.1" customHeight="1" x14ac:dyDescent="0.2">
      <c r="A87" s="99"/>
      <c r="B87" s="1"/>
      <c r="C87" s="2" t="s">
        <v>152</v>
      </c>
      <c r="D87" s="1"/>
      <c r="E87" s="1"/>
      <c r="F87" s="11"/>
      <c r="G87" s="11"/>
      <c r="H87" s="109"/>
    </row>
    <row r="88" spans="1:8" ht="17.100000000000001" customHeight="1" x14ac:dyDescent="0.2">
      <c r="A88" s="100">
        <v>1</v>
      </c>
      <c r="B88" s="3"/>
      <c r="C88" s="3" t="s">
        <v>153</v>
      </c>
      <c r="D88" s="3"/>
      <c r="E88" s="7"/>
      <c r="F88" s="5">
        <v>18.463591999999998</v>
      </c>
      <c r="G88" s="6">
        <v>1.7389499999999999E-2</v>
      </c>
      <c r="H88" s="109">
        <v>6.6015165706411798</v>
      </c>
    </row>
    <row r="89" spans="1:8" ht="14.1" customHeight="1" x14ac:dyDescent="0.2">
      <c r="A89" s="99"/>
      <c r="B89" s="1"/>
      <c r="C89" s="2" t="s">
        <v>135</v>
      </c>
      <c r="D89" s="1"/>
      <c r="E89" s="1" t="s">
        <v>136</v>
      </c>
      <c r="F89" s="8">
        <v>18.463591999999998</v>
      </c>
      <c r="G89" s="9">
        <v>1.7389499999999999E-2</v>
      </c>
      <c r="H89" s="109"/>
    </row>
    <row r="90" spans="1:8" ht="14.1" customHeight="1" x14ac:dyDescent="0.2">
      <c r="A90" s="99"/>
      <c r="B90" s="1"/>
      <c r="C90" s="10"/>
      <c r="D90" s="1"/>
      <c r="E90" s="1"/>
      <c r="F90" s="11"/>
      <c r="G90" s="11"/>
      <c r="H90" s="109"/>
    </row>
    <row r="91" spans="1:8" ht="14.1" customHeight="1" x14ac:dyDescent="0.2">
      <c r="A91" s="99"/>
      <c r="B91" s="1"/>
      <c r="C91" s="2" t="s">
        <v>154</v>
      </c>
      <c r="D91" s="1"/>
      <c r="E91" s="1"/>
      <c r="F91" s="8">
        <v>18.463591999999998</v>
      </c>
      <c r="G91" s="9">
        <v>1.7389499999999999E-2</v>
      </c>
      <c r="H91" s="109"/>
    </row>
    <row r="92" spans="1:8" ht="14.1" customHeight="1" x14ac:dyDescent="0.2">
      <c r="A92" s="99"/>
      <c r="B92" s="1"/>
      <c r="C92" s="11"/>
      <c r="D92" s="1"/>
      <c r="E92" s="1"/>
      <c r="F92" s="1"/>
      <c r="G92" s="1"/>
      <c r="H92" s="109"/>
    </row>
    <row r="93" spans="1:8" ht="14.1" customHeight="1" x14ac:dyDescent="0.2">
      <c r="A93" s="99"/>
      <c r="B93" s="1"/>
      <c r="C93" s="2" t="s">
        <v>155</v>
      </c>
      <c r="D93" s="1"/>
      <c r="E93" s="1"/>
      <c r="F93" s="1"/>
      <c r="G93" s="1"/>
      <c r="H93" s="109"/>
    </row>
    <row r="94" spans="1:8" ht="14.1" customHeight="1" x14ac:dyDescent="0.2">
      <c r="A94" s="99"/>
      <c r="B94" s="1"/>
      <c r="C94" s="2" t="s">
        <v>156</v>
      </c>
      <c r="D94" s="1"/>
      <c r="E94" s="1"/>
      <c r="F94" s="1"/>
      <c r="G94" s="1"/>
      <c r="H94" s="109"/>
    </row>
    <row r="95" spans="1:8" ht="14.1" customHeight="1" x14ac:dyDescent="0.2">
      <c r="A95" s="99"/>
      <c r="B95" s="1"/>
      <c r="C95" s="2" t="s">
        <v>135</v>
      </c>
      <c r="D95" s="1"/>
      <c r="E95" s="1" t="s">
        <v>136</v>
      </c>
      <c r="F95" s="8">
        <v>0</v>
      </c>
      <c r="G95" s="9">
        <v>0</v>
      </c>
      <c r="H95" s="109"/>
    </row>
    <row r="96" spans="1:8" ht="14.1" customHeight="1" x14ac:dyDescent="0.2">
      <c r="A96" s="99"/>
      <c r="B96" s="1"/>
      <c r="C96" s="10"/>
      <c r="D96" s="1"/>
      <c r="E96" s="1"/>
      <c r="F96" s="11"/>
      <c r="G96" s="11"/>
      <c r="H96" s="109"/>
    </row>
    <row r="97" spans="1:8" ht="14.1" customHeight="1" x14ac:dyDescent="0.2">
      <c r="A97" s="99"/>
      <c r="B97" s="1"/>
      <c r="C97" s="2" t="s">
        <v>157</v>
      </c>
      <c r="D97" s="1"/>
      <c r="E97" s="1"/>
      <c r="F97" s="1"/>
      <c r="G97" s="1"/>
      <c r="H97" s="109"/>
    </row>
    <row r="98" spans="1:8" ht="14.1" customHeight="1" x14ac:dyDescent="0.2">
      <c r="A98" s="99"/>
      <c r="B98" s="1"/>
      <c r="C98" s="2" t="s">
        <v>158</v>
      </c>
      <c r="D98" s="1"/>
      <c r="E98" s="1"/>
      <c r="F98" s="1"/>
      <c r="G98" s="1"/>
      <c r="H98" s="109"/>
    </row>
    <row r="99" spans="1:8" ht="14.1" customHeight="1" x14ac:dyDescent="0.2">
      <c r="A99" s="99"/>
      <c r="B99" s="1"/>
      <c r="C99" s="2" t="s">
        <v>135</v>
      </c>
      <c r="D99" s="1"/>
      <c r="E99" s="1" t="s">
        <v>136</v>
      </c>
      <c r="F99" s="8">
        <v>0</v>
      </c>
      <c r="G99" s="9">
        <v>0</v>
      </c>
      <c r="H99" s="109"/>
    </row>
    <row r="100" spans="1:8" ht="14.1" customHeight="1" x14ac:dyDescent="0.2">
      <c r="A100" s="99"/>
      <c r="B100" s="1"/>
      <c r="C100" s="10"/>
      <c r="D100" s="1"/>
      <c r="E100" s="1"/>
      <c r="F100" s="11"/>
      <c r="G100" s="11"/>
      <c r="H100" s="109"/>
    </row>
    <row r="101" spans="1:8" ht="24" customHeight="1" x14ac:dyDescent="0.2">
      <c r="A101" s="99"/>
      <c r="B101" s="1"/>
      <c r="C101" s="2" t="s">
        <v>159</v>
      </c>
      <c r="D101" s="1"/>
      <c r="E101" s="1"/>
      <c r="F101" s="11"/>
      <c r="G101" s="11"/>
      <c r="H101" s="109"/>
    </row>
    <row r="102" spans="1:8" ht="14.1" customHeight="1" x14ac:dyDescent="0.2">
      <c r="A102" s="99"/>
      <c r="B102" s="1"/>
      <c r="C102" s="2" t="s">
        <v>135</v>
      </c>
      <c r="D102" s="1"/>
      <c r="E102" s="1" t="s">
        <v>136</v>
      </c>
      <c r="F102" s="8">
        <v>0</v>
      </c>
      <c r="G102" s="9">
        <v>0</v>
      </c>
      <c r="H102" s="109"/>
    </row>
    <row r="103" spans="1:8" ht="14.1" customHeight="1" x14ac:dyDescent="0.2">
      <c r="A103" s="99"/>
      <c r="B103" s="1"/>
      <c r="C103" s="10"/>
      <c r="D103" s="1"/>
      <c r="E103" s="1"/>
      <c r="F103" s="11"/>
      <c r="G103" s="11"/>
      <c r="H103" s="109"/>
    </row>
    <row r="104" spans="1:8" ht="14.1" customHeight="1" x14ac:dyDescent="0.2">
      <c r="A104" s="99"/>
      <c r="B104" s="3"/>
      <c r="C104" s="3"/>
      <c r="D104" s="2"/>
      <c r="E104" s="1"/>
      <c r="F104" s="3"/>
      <c r="G104" s="7"/>
      <c r="H104" s="109"/>
    </row>
    <row r="105" spans="1:8" ht="18" customHeight="1" x14ac:dyDescent="0.2">
      <c r="A105" s="101"/>
      <c r="B105" s="3"/>
      <c r="C105" s="3" t="s">
        <v>160</v>
      </c>
      <c r="D105" s="3"/>
      <c r="E105" s="7"/>
      <c r="F105" s="5">
        <v>2.0610737299999999</v>
      </c>
      <c r="G105" s="6">
        <v>1.9411700000000001E-3</v>
      </c>
      <c r="H105" s="109"/>
    </row>
    <row r="106" spans="1:8" ht="14.1" customHeight="1" x14ac:dyDescent="0.2">
      <c r="A106" s="102"/>
      <c r="B106" s="10"/>
      <c r="C106" s="2" t="s">
        <v>161</v>
      </c>
      <c r="D106" s="11"/>
      <c r="E106" s="11"/>
      <c r="F106" s="8">
        <v>1061.76680723</v>
      </c>
      <c r="G106" s="12">
        <v>1.00000004</v>
      </c>
      <c r="H106" s="109"/>
    </row>
    <row r="107" spans="1:8" ht="14.1" customHeight="1" x14ac:dyDescent="0.2">
      <c r="A107" s="13"/>
      <c r="B107" s="13"/>
      <c r="C107" s="13"/>
      <c r="D107" s="14"/>
      <c r="E107" s="14"/>
      <c r="F107" s="14"/>
      <c r="G107" s="14"/>
    </row>
    <row r="108" spans="1:8" ht="14.1" customHeight="1" x14ac:dyDescent="0.2">
      <c r="A108" s="15"/>
      <c r="B108" s="15"/>
      <c r="C108" s="15"/>
      <c r="D108" s="17"/>
      <c r="E108" s="17"/>
      <c r="F108" s="17"/>
      <c r="G108" s="17"/>
    </row>
    <row r="109" spans="1:8" ht="14.1" customHeight="1" x14ac:dyDescent="0.2">
      <c r="A109" s="15"/>
      <c r="B109" s="194" t="s">
        <v>163</v>
      </c>
      <c r="C109" s="195"/>
      <c r="D109" s="196"/>
      <c r="E109" s="18"/>
      <c r="F109" s="17"/>
      <c r="G109" s="17"/>
    </row>
    <row r="110" spans="1:8" ht="29.1" customHeight="1" x14ac:dyDescent="0.2">
      <c r="A110" s="15"/>
      <c r="B110" s="191" t="s">
        <v>164</v>
      </c>
      <c r="C110" s="192"/>
      <c r="D110" s="2" t="s">
        <v>165</v>
      </c>
      <c r="E110" s="18"/>
      <c r="F110" s="17"/>
      <c r="G110" s="17"/>
    </row>
    <row r="111" spans="1:8" ht="17.100000000000001" customHeight="1" x14ac:dyDescent="0.2">
      <c r="A111" s="15"/>
      <c r="B111" s="191" t="s">
        <v>166</v>
      </c>
      <c r="C111" s="192"/>
      <c r="D111" s="2" t="s">
        <v>165</v>
      </c>
      <c r="E111" s="18"/>
      <c r="F111" s="17"/>
      <c r="G111" s="17"/>
    </row>
    <row r="112" spans="1:8" ht="17.100000000000001" customHeight="1" x14ac:dyDescent="0.2">
      <c r="A112" s="15"/>
      <c r="B112" s="191" t="s">
        <v>167</v>
      </c>
      <c r="C112" s="192"/>
      <c r="D112" s="11" t="s">
        <v>136</v>
      </c>
      <c r="E112" s="18"/>
      <c r="F112" s="17"/>
      <c r="G112" s="17"/>
    </row>
    <row r="113" spans="1:14" ht="24" customHeight="1" x14ac:dyDescent="0.2">
      <c r="A113" s="19"/>
      <c r="B113" s="20" t="s">
        <v>136</v>
      </c>
      <c r="C113" s="20" t="s">
        <v>168</v>
      </c>
      <c r="D113" s="20" t="s">
        <v>169</v>
      </c>
      <c r="E113" s="19"/>
      <c r="F113" s="19"/>
      <c r="G113" s="19"/>
    </row>
    <row r="114" spans="1:14" ht="18" customHeight="1" x14ac:dyDescent="0.2">
      <c r="A114" s="19"/>
      <c r="B114" s="21" t="s">
        <v>170</v>
      </c>
      <c r="C114" s="20" t="s">
        <v>171</v>
      </c>
      <c r="D114" s="20" t="s">
        <v>172</v>
      </c>
      <c r="E114" s="19"/>
      <c r="F114" s="19"/>
      <c r="G114" s="19"/>
    </row>
    <row r="115" spans="1:14" ht="17.100000000000001" customHeight="1" x14ac:dyDescent="0.2">
      <c r="A115" s="19"/>
      <c r="B115" s="3" t="s">
        <v>173</v>
      </c>
      <c r="C115" s="22">
        <v>25.101600000000001</v>
      </c>
      <c r="D115" s="22">
        <v>24.612300000000001</v>
      </c>
      <c r="E115" s="19"/>
      <c r="F115" s="16"/>
      <c r="G115" s="23"/>
    </row>
    <row r="116" spans="1:14" ht="17.100000000000001" customHeight="1" x14ac:dyDescent="0.2">
      <c r="A116" s="19"/>
      <c r="B116" s="3" t="s">
        <v>994</v>
      </c>
      <c r="C116" s="22">
        <v>20.3383</v>
      </c>
      <c r="D116" s="22">
        <v>19.941700000000001</v>
      </c>
      <c r="E116" s="19"/>
      <c r="F116" s="16"/>
      <c r="G116" s="23"/>
    </row>
    <row r="117" spans="1:14" ht="17.100000000000001" customHeight="1" x14ac:dyDescent="0.2">
      <c r="A117" s="19"/>
      <c r="B117" s="3" t="s">
        <v>174</v>
      </c>
      <c r="C117" s="22">
        <v>24.4815</v>
      </c>
      <c r="D117" s="22">
        <v>24.000900000000001</v>
      </c>
      <c r="E117" s="19"/>
      <c r="F117" s="16"/>
      <c r="G117" s="23"/>
    </row>
    <row r="118" spans="1:14" ht="17.100000000000001" customHeight="1" x14ac:dyDescent="0.2">
      <c r="A118" s="19"/>
      <c r="B118" s="3" t="s">
        <v>995</v>
      </c>
      <c r="C118" s="22">
        <v>19.759699999999999</v>
      </c>
      <c r="D118" s="22">
        <v>19.3718</v>
      </c>
      <c r="E118" s="19"/>
      <c r="F118" s="16"/>
      <c r="G118" s="23"/>
    </row>
    <row r="119" spans="1:14" ht="14.1" customHeight="1" x14ac:dyDescent="0.2">
      <c r="A119" s="19"/>
      <c r="B119" s="19"/>
      <c r="C119" s="19"/>
      <c r="D119" s="19"/>
      <c r="E119" s="19"/>
      <c r="F119" s="19"/>
      <c r="G119" s="19"/>
    </row>
    <row r="120" spans="1:14" ht="17.100000000000001" customHeight="1" x14ac:dyDescent="0.2">
      <c r="A120" s="19"/>
      <c r="B120" s="191" t="s">
        <v>1044</v>
      </c>
      <c r="C120" s="192"/>
      <c r="D120" s="2" t="s">
        <v>165</v>
      </c>
      <c r="E120" s="19"/>
      <c r="F120" s="19"/>
      <c r="G120" s="19"/>
    </row>
    <row r="121" spans="1:14" ht="18" customHeight="1" x14ac:dyDescent="0.2">
      <c r="A121" s="19"/>
      <c r="B121" s="24"/>
      <c r="C121" s="24"/>
      <c r="D121" s="24"/>
      <c r="E121" s="19"/>
      <c r="F121" s="19"/>
      <c r="G121" s="19"/>
    </row>
    <row r="122" spans="1:14" ht="29.1" customHeight="1" x14ac:dyDescent="0.2">
      <c r="A122" s="19"/>
      <c r="B122" s="191" t="s">
        <v>175</v>
      </c>
      <c r="C122" s="192"/>
      <c r="D122" s="2" t="s">
        <v>165</v>
      </c>
      <c r="E122" s="25"/>
      <c r="F122" s="19"/>
      <c r="G122" s="19"/>
    </row>
    <row r="123" spans="1:14" ht="29.1" customHeight="1" x14ac:dyDescent="0.2">
      <c r="A123" s="19"/>
      <c r="B123" s="191" t="s">
        <v>176</v>
      </c>
      <c r="C123" s="192"/>
      <c r="D123" s="2" t="s">
        <v>165</v>
      </c>
      <c r="E123" s="25"/>
      <c r="F123" s="19"/>
      <c r="G123" s="19"/>
    </row>
    <row r="124" spans="1:14" ht="17.100000000000001" customHeight="1" x14ac:dyDescent="0.2">
      <c r="A124" s="19"/>
      <c r="B124" s="191" t="s">
        <v>177</v>
      </c>
      <c r="C124" s="192"/>
      <c r="D124" s="2" t="s">
        <v>165</v>
      </c>
      <c r="E124" s="25"/>
      <c r="F124" s="19"/>
      <c r="G124" s="19"/>
    </row>
    <row r="125" spans="1:14" ht="17.100000000000001" customHeight="1" x14ac:dyDescent="0.2">
      <c r="A125" s="19"/>
      <c r="B125" s="191" t="s">
        <v>178</v>
      </c>
      <c r="C125" s="192"/>
      <c r="D125" s="26">
        <v>4.6441295521735815E-2</v>
      </c>
      <c r="E125" s="19"/>
      <c r="F125" s="16"/>
      <c r="G125" s="23"/>
    </row>
    <row r="126" spans="1:14" ht="14.1" customHeight="1" x14ac:dyDescent="0.2">
      <c r="A126" s="24"/>
      <c r="B126" s="24"/>
      <c r="C126" s="24"/>
      <c r="D126" s="24"/>
      <c r="E126" s="24"/>
      <c r="F126" s="24"/>
      <c r="G126" s="24"/>
    </row>
    <row r="127" spans="1:14" x14ac:dyDescent="0.2">
      <c r="J127" s="170"/>
      <c r="K127" s="170"/>
      <c r="L127" s="170"/>
      <c r="M127" s="170"/>
      <c r="N127" s="170"/>
    </row>
  </sheetData>
  <mergeCells count="13">
    <mergeCell ref="J2:N2"/>
    <mergeCell ref="B111:C111"/>
    <mergeCell ref="B112:C112"/>
    <mergeCell ref="B109:D109"/>
    <mergeCell ref="B110:C110"/>
    <mergeCell ref="A1:H1"/>
    <mergeCell ref="A2:H2"/>
    <mergeCell ref="A3:H3"/>
    <mergeCell ref="B124:C124"/>
    <mergeCell ref="B125:C125"/>
    <mergeCell ref="B120:C120"/>
    <mergeCell ref="B122:C122"/>
    <mergeCell ref="B123:C123"/>
  </mergeCells>
  <hyperlinks>
    <hyperlink ref="I1" location="Index!B17" display="Index" xr:uid="{5B7C917F-036B-42FC-8051-7428CC75A935}"/>
  </hyperlinks>
  <pageMargins left="5.000000074505806E-2" right="5.000000074505806E-2" top="0.30000001192092896" bottom="0.20000000298023224" header="0" footer="0"/>
  <pageSetup paperSize="9" orientation="landscape"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N156"/>
  <sheetViews>
    <sheetView showGridLines="0" workbookViewId="0">
      <selection sqref="A1:H1"/>
    </sheetView>
  </sheetViews>
  <sheetFormatPr defaultRowHeight="12.75" x14ac:dyDescent="0.2"/>
  <cols>
    <col min="1" max="1" width="5.570312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7" t="s">
        <v>0</v>
      </c>
      <c r="B1" s="187"/>
      <c r="C1" s="187"/>
      <c r="D1" s="187"/>
      <c r="E1" s="187"/>
      <c r="F1" s="187"/>
      <c r="G1" s="187"/>
      <c r="H1" s="187"/>
      <c r="I1" s="167" t="s">
        <v>1055</v>
      </c>
    </row>
    <row r="2" spans="1:14" ht="17.100000000000001" customHeight="1" x14ac:dyDescent="0.2">
      <c r="A2" s="188" t="s">
        <v>493</v>
      </c>
      <c r="B2" s="189"/>
      <c r="C2" s="189"/>
      <c r="D2" s="189"/>
      <c r="E2" s="189"/>
      <c r="F2" s="189"/>
      <c r="G2" s="189"/>
      <c r="H2" s="190"/>
      <c r="J2" s="186" t="s">
        <v>1056</v>
      </c>
      <c r="K2" s="186"/>
      <c r="L2" s="186"/>
      <c r="M2" s="186"/>
      <c r="N2" s="186"/>
    </row>
    <row r="3" spans="1:14" ht="21" customHeight="1" x14ac:dyDescent="0.2">
      <c r="A3" s="187" t="s">
        <v>1052</v>
      </c>
      <c r="B3" s="187"/>
      <c r="C3" s="187"/>
      <c r="D3" s="187"/>
      <c r="E3" s="187"/>
      <c r="F3" s="187"/>
      <c r="G3" s="187"/>
      <c r="H3" s="187"/>
    </row>
    <row r="4" spans="1:14" ht="30" x14ac:dyDescent="0.2">
      <c r="A4" s="163" t="s">
        <v>2</v>
      </c>
      <c r="B4" s="164" t="s">
        <v>3</v>
      </c>
      <c r="C4" s="164" t="s">
        <v>4</v>
      </c>
      <c r="D4" s="164" t="s">
        <v>5</v>
      </c>
      <c r="E4" s="164" t="s">
        <v>6</v>
      </c>
      <c r="F4" s="164" t="s">
        <v>7</v>
      </c>
      <c r="G4" s="164" t="s">
        <v>8</v>
      </c>
      <c r="H4" s="120" t="s">
        <v>881</v>
      </c>
      <c r="I4" s="165"/>
      <c r="J4" s="165"/>
      <c r="K4" s="165"/>
      <c r="L4" s="165"/>
      <c r="M4" s="165"/>
      <c r="N4" s="165"/>
    </row>
    <row r="5" spans="1:14" ht="14.1" customHeight="1" x14ac:dyDescent="0.2">
      <c r="A5" s="99"/>
      <c r="B5" s="1"/>
      <c r="C5" s="2" t="s">
        <v>9</v>
      </c>
      <c r="D5" s="1"/>
      <c r="E5" s="1"/>
      <c r="F5" s="1"/>
      <c r="G5" s="1"/>
      <c r="H5" s="109"/>
    </row>
    <row r="6" spans="1:14" ht="24" customHeight="1" x14ac:dyDescent="0.2">
      <c r="A6" s="99"/>
      <c r="B6" s="1"/>
      <c r="C6" s="2" t="s">
        <v>10</v>
      </c>
      <c r="D6" s="1"/>
      <c r="E6" s="1"/>
      <c r="F6" s="1"/>
      <c r="G6" s="1"/>
      <c r="H6" s="109"/>
    </row>
    <row r="7" spans="1:14" ht="17.100000000000001" customHeight="1" x14ac:dyDescent="0.2">
      <c r="A7" s="100">
        <v>1</v>
      </c>
      <c r="B7" s="3" t="s">
        <v>371</v>
      </c>
      <c r="C7" s="3" t="s">
        <v>372</v>
      </c>
      <c r="D7" s="3" t="s">
        <v>22</v>
      </c>
      <c r="E7" s="4">
        <v>445779</v>
      </c>
      <c r="F7" s="5">
        <v>318.73198500000001</v>
      </c>
      <c r="G7" s="6">
        <v>5.0799709999999998E-2</v>
      </c>
      <c r="H7" s="109"/>
    </row>
    <row r="8" spans="1:14" ht="17.100000000000001" customHeight="1" x14ac:dyDescent="0.2">
      <c r="A8" s="100">
        <v>2</v>
      </c>
      <c r="B8" s="3" t="s">
        <v>29</v>
      </c>
      <c r="C8" s="3" t="s">
        <v>30</v>
      </c>
      <c r="D8" s="3" t="s">
        <v>31</v>
      </c>
      <c r="E8" s="4">
        <v>12434</v>
      </c>
      <c r="F8" s="5">
        <v>238.19192100000001</v>
      </c>
      <c r="G8" s="6">
        <v>3.7963179999999999E-2</v>
      </c>
      <c r="H8" s="109"/>
    </row>
    <row r="9" spans="1:14" ht="17.100000000000001" customHeight="1" x14ac:dyDescent="0.2">
      <c r="A9" s="100">
        <v>3</v>
      </c>
      <c r="B9" s="3" t="s">
        <v>408</v>
      </c>
      <c r="C9" s="3" t="s">
        <v>409</v>
      </c>
      <c r="D9" s="3" t="s">
        <v>115</v>
      </c>
      <c r="E9" s="4">
        <v>11132</v>
      </c>
      <c r="F9" s="5">
        <v>225.00555</v>
      </c>
      <c r="G9" s="6">
        <v>3.5861530000000003E-2</v>
      </c>
      <c r="H9" s="109"/>
    </row>
    <row r="10" spans="1:14" ht="17.100000000000001" customHeight="1" x14ac:dyDescent="0.2">
      <c r="A10" s="100">
        <v>4</v>
      </c>
      <c r="B10" s="3" t="s">
        <v>72</v>
      </c>
      <c r="C10" s="3" t="s">
        <v>73</v>
      </c>
      <c r="D10" s="3" t="s">
        <v>31</v>
      </c>
      <c r="E10" s="4">
        <v>13792</v>
      </c>
      <c r="F10" s="5">
        <v>224.15448000000001</v>
      </c>
      <c r="G10" s="6">
        <v>3.5725880000000002E-2</v>
      </c>
      <c r="H10" s="109"/>
    </row>
    <row r="11" spans="1:14" ht="29.1" customHeight="1" x14ac:dyDescent="0.2">
      <c r="A11" s="100">
        <v>5</v>
      </c>
      <c r="B11" s="3" t="s">
        <v>186</v>
      </c>
      <c r="C11" s="3" t="s">
        <v>187</v>
      </c>
      <c r="D11" s="3" t="s">
        <v>188</v>
      </c>
      <c r="E11" s="4">
        <v>4936</v>
      </c>
      <c r="F11" s="5">
        <v>203.76301599999999</v>
      </c>
      <c r="G11" s="6">
        <v>3.2475879999999999E-2</v>
      </c>
      <c r="H11" s="109"/>
    </row>
    <row r="12" spans="1:14" ht="17.100000000000001" customHeight="1" x14ac:dyDescent="0.2">
      <c r="A12" s="100">
        <v>6</v>
      </c>
      <c r="B12" s="3" t="s">
        <v>461</v>
      </c>
      <c r="C12" s="3" t="s">
        <v>462</v>
      </c>
      <c r="D12" s="3" t="s">
        <v>996</v>
      </c>
      <c r="E12" s="4">
        <v>24503</v>
      </c>
      <c r="F12" s="5">
        <v>203.2891395</v>
      </c>
      <c r="G12" s="6">
        <v>3.2400350000000001E-2</v>
      </c>
      <c r="H12" s="109"/>
    </row>
    <row r="13" spans="1:14" ht="17.100000000000001" customHeight="1" x14ac:dyDescent="0.2">
      <c r="A13" s="100">
        <v>7</v>
      </c>
      <c r="B13" s="3" t="s">
        <v>400</v>
      </c>
      <c r="C13" s="3" t="s">
        <v>401</v>
      </c>
      <c r="D13" s="3" t="s">
        <v>210</v>
      </c>
      <c r="E13" s="4">
        <v>72529</v>
      </c>
      <c r="F13" s="5">
        <v>202.573497</v>
      </c>
      <c r="G13" s="6">
        <v>3.2286290000000002E-2</v>
      </c>
      <c r="H13" s="109"/>
      <c r="J13" s="169" t="s">
        <v>1066</v>
      </c>
    </row>
    <row r="14" spans="1:14" ht="17.100000000000001" customHeight="1" x14ac:dyDescent="0.2">
      <c r="A14" s="100">
        <v>8</v>
      </c>
      <c r="B14" s="3" t="s">
        <v>95</v>
      </c>
      <c r="C14" s="3" t="s">
        <v>96</v>
      </c>
      <c r="D14" s="3" t="s">
        <v>97</v>
      </c>
      <c r="E14" s="4">
        <v>40332</v>
      </c>
      <c r="F14" s="5">
        <v>196.67899800000001</v>
      </c>
      <c r="G14" s="6">
        <v>3.1346819999999997E-2</v>
      </c>
      <c r="H14" s="109"/>
    </row>
    <row r="15" spans="1:14" ht="17.100000000000001" customHeight="1" x14ac:dyDescent="0.2">
      <c r="A15" s="100">
        <v>9</v>
      </c>
      <c r="B15" s="3" t="s">
        <v>416</v>
      </c>
      <c r="C15" s="3" t="s">
        <v>417</v>
      </c>
      <c r="D15" s="3" t="s">
        <v>115</v>
      </c>
      <c r="E15" s="4">
        <v>37592</v>
      </c>
      <c r="F15" s="5">
        <v>190.08394799999999</v>
      </c>
      <c r="G15" s="6">
        <v>3.0295699999999998E-2</v>
      </c>
      <c r="H15" s="109"/>
    </row>
    <row r="16" spans="1:14" ht="17.100000000000001" customHeight="1" x14ac:dyDescent="0.2">
      <c r="A16" s="100">
        <v>10</v>
      </c>
      <c r="B16" s="3" t="s">
        <v>113</v>
      </c>
      <c r="C16" s="3" t="s">
        <v>114</v>
      </c>
      <c r="D16" s="3" t="s">
        <v>115</v>
      </c>
      <c r="E16" s="4">
        <v>65253</v>
      </c>
      <c r="F16" s="5">
        <v>183.0020385</v>
      </c>
      <c r="G16" s="6">
        <v>2.9166979999999999E-2</v>
      </c>
      <c r="H16" s="109"/>
    </row>
    <row r="17" spans="1:8" ht="17.100000000000001" customHeight="1" x14ac:dyDescent="0.2">
      <c r="A17" s="100">
        <v>11</v>
      </c>
      <c r="B17" s="3" t="s">
        <v>37</v>
      </c>
      <c r="C17" s="3" t="s">
        <v>38</v>
      </c>
      <c r="D17" s="3" t="s">
        <v>31</v>
      </c>
      <c r="E17" s="4">
        <v>10116</v>
      </c>
      <c r="F17" s="5">
        <v>182.56345200000001</v>
      </c>
      <c r="G17" s="6">
        <v>2.9097080000000001E-2</v>
      </c>
      <c r="H17" s="109"/>
    </row>
    <row r="18" spans="1:8" ht="17.100000000000001" customHeight="1" x14ac:dyDescent="0.2">
      <c r="A18" s="100">
        <v>12</v>
      </c>
      <c r="B18" s="3" t="s">
        <v>305</v>
      </c>
      <c r="C18" s="3" t="s">
        <v>306</v>
      </c>
      <c r="D18" s="3" t="s">
        <v>242</v>
      </c>
      <c r="E18" s="4">
        <v>11089</v>
      </c>
      <c r="F18" s="5">
        <v>168.35319799999999</v>
      </c>
      <c r="G18" s="6">
        <v>2.683224E-2</v>
      </c>
      <c r="H18" s="109"/>
    </row>
    <row r="19" spans="1:8" ht="17.100000000000001" customHeight="1" x14ac:dyDescent="0.2">
      <c r="A19" s="100">
        <v>13</v>
      </c>
      <c r="B19" s="3" t="s">
        <v>332</v>
      </c>
      <c r="C19" s="3" t="s">
        <v>333</v>
      </c>
      <c r="D19" s="3" t="s">
        <v>334</v>
      </c>
      <c r="E19" s="4">
        <v>16028</v>
      </c>
      <c r="F19" s="5">
        <v>163.41347400000001</v>
      </c>
      <c r="G19" s="6">
        <v>2.6044939999999999E-2</v>
      </c>
      <c r="H19" s="109"/>
    </row>
    <row r="20" spans="1:8" ht="17.100000000000001" customHeight="1" x14ac:dyDescent="0.2">
      <c r="A20" s="100">
        <v>14</v>
      </c>
      <c r="B20" s="3" t="s">
        <v>318</v>
      </c>
      <c r="C20" s="3" t="s">
        <v>319</v>
      </c>
      <c r="D20" s="3" t="s">
        <v>235</v>
      </c>
      <c r="E20" s="4">
        <v>12562</v>
      </c>
      <c r="F20" s="5">
        <v>155.630618</v>
      </c>
      <c r="G20" s="6">
        <v>2.4804509999999998E-2</v>
      </c>
      <c r="H20" s="109"/>
    </row>
    <row r="21" spans="1:8" ht="17.100000000000001" customHeight="1" x14ac:dyDescent="0.2">
      <c r="A21" s="100">
        <v>15</v>
      </c>
      <c r="B21" s="3" t="s">
        <v>402</v>
      </c>
      <c r="C21" s="3" t="s">
        <v>403</v>
      </c>
      <c r="D21" s="3" t="s">
        <v>120</v>
      </c>
      <c r="E21" s="4">
        <v>26340</v>
      </c>
      <c r="F21" s="5">
        <v>151.50767999999999</v>
      </c>
      <c r="G21" s="6">
        <v>2.4147390000000001E-2</v>
      </c>
      <c r="H21" s="109"/>
    </row>
    <row r="22" spans="1:8" ht="29.1" customHeight="1" x14ac:dyDescent="0.2">
      <c r="A22" s="100">
        <v>16</v>
      </c>
      <c r="B22" s="3" t="s">
        <v>87</v>
      </c>
      <c r="C22" s="3" t="s">
        <v>88</v>
      </c>
      <c r="D22" s="3" t="s">
        <v>25</v>
      </c>
      <c r="E22" s="4">
        <v>5414</v>
      </c>
      <c r="F22" s="5">
        <v>149.675444</v>
      </c>
      <c r="G22" s="6">
        <v>2.3855370000000001E-2</v>
      </c>
      <c r="H22" s="109"/>
    </row>
    <row r="23" spans="1:8" ht="17.100000000000001" customHeight="1" x14ac:dyDescent="0.2">
      <c r="A23" s="100">
        <v>17</v>
      </c>
      <c r="B23" s="3" t="s">
        <v>384</v>
      </c>
      <c r="C23" s="3" t="s">
        <v>385</v>
      </c>
      <c r="D23" s="3" t="s">
        <v>334</v>
      </c>
      <c r="E23" s="4">
        <v>9937</v>
      </c>
      <c r="F23" s="5">
        <v>139.38133049999999</v>
      </c>
      <c r="G23" s="6">
        <v>2.2214689999999999E-2</v>
      </c>
      <c r="H23" s="109"/>
    </row>
    <row r="24" spans="1:8" ht="29.1" customHeight="1" x14ac:dyDescent="0.2">
      <c r="A24" s="100">
        <v>18</v>
      </c>
      <c r="B24" s="3" t="s">
        <v>379</v>
      </c>
      <c r="C24" s="3" t="s">
        <v>380</v>
      </c>
      <c r="D24" s="3" t="s">
        <v>62</v>
      </c>
      <c r="E24" s="4">
        <v>6607</v>
      </c>
      <c r="F24" s="5">
        <v>132.2027665</v>
      </c>
      <c r="G24" s="6">
        <v>2.1070559999999999E-2</v>
      </c>
      <c r="H24" s="109"/>
    </row>
    <row r="25" spans="1:8" ht="29.1" customHeight="1" x14ac:dyDescent="0.2">
      <c r="A25" s="100">
        <v>19</v>
      </c>
      <c r="B25" s="3" t="s">
        <v>412</v>
      </c>
      <c r="C25" s="3" t="s">
        <v>413</v>
      </c>
      <c r="D25" s="3" t="s">
        <v>221</v>
      </c>
      <c r="E25" s="4">
        <v>36034</v>
      </c>
      <c r="F25" s="5">
        <v>129.380077</v>
      </c>
      <c r="G25" s="6">
        <v>2.0620679999999999E-2</v>
      </c>
      <c r="H25" s="109"/>
    </row>
    <row r="26" spans="1:8" ht="17.100000000000001" customHeight="1" x14ac:dyDescent="0.2">
      <c r="A26" s="100">
        <v>20</v>
      </c>
      <c r="B26" s="3" t="s">
        <v>471</v>
      </c>
      <c r="C26" s="3" t="s">
        <v>472</v>
      </c>
      <c r="D26" s="3" t="s">
        <v>235</v>
      </c>
      <c r="E26" s="4">
        <v>65797</v>
      </c>
      <c r="F26" s="5">
        <v>123.632563</v>
      </c>
      <c r="G26" s="6">
        <v>1.9704639999999999E-2</v>
      </c>
      <c r="H26" s="109"/>
    </row>
    <row r="27" spans="1:8" ht="17.100000000000001" customHeight="1" x14ac:dyDescent="0.2">
      <c r="A27" s="100">
        <v>21</v>
      </c>
      <c r="B27" s="3" t="s">
        <v>410</v>
      </c>
      <c r="C27" s="3" t="s">
        <v>411</v>
      </c>
      <c r="D27" s="3" t="s">
        <v>235</v>
      </c>
      <c r="E27" s="4">
        <v>18794</v>
      </c>
      <c r="F27" s="5">
        <v>121.916678</v>
      </c>
      <c r="G27" s="6">
        <v>1.9431159999999999E-2</v>
      </c>
      <c r="H27" s="109"/>
    </row>
    <row r="28" spans="1:8" ht="17.100000000000001" customHeight="1" x14ac:dyDescent="0.2">
      <c r="A28" s="100">
        <v>22</v>
      </c>
      <c r="B28" s="3" t="s">
        <v>375</v>
      </c>
      <c r="C28" s="3" t="s">
        <v>376</v>
      </c>
      <c r="D28" s="3" t="s">
        <v>120</v>
      </c>
      <c r="E28" s="4">
        <v>15340</v>
      </c>
      <c r="F28" s="5">
        <v>111.16131</v>
      </c>
      <c r="G28" s="6">
        <v>1.771696E-2</v>
      </c>
      <c r="H28" s="109"/>
    </row>
    <row r="29" spans="1:8" ht="17.100000000000001" customHeight="1" x14ac:dyDescent="0.2">
      <c r="A29" s="100">
        <v>23</v>
      </c>
      <c r="B29" s="3" t="s">
        <v>424</v>
      </c>
      <c r="C29" s="3" t="s">
        <v>425</v>
      </c>
      <c r="D29" s="3" t="s">
        <v>253</v>
      </c>
      <c r="E29" s="4">
        <v>76918</v>
      </c>
      <c r="F29" s="5">
        <v>110.26195300000001</v>
      </c>
      <c r="G29" s="6">
        <v>1.7573620000000002E-2</v>
      </c>
      <c r="H29" s="109"/>
    </row>
    <row r="30" spans="1:8" ht="29.1" customHeight="1" x14ac:dyDescent="0.2">
      <c r="A30" s="100">
        <v>24</v>
      </c>
      <c r="B30" s="3" t="s">
        <v>406</v>
      </c>
      <c r="C30" s="3" t="s">
        <v>407</v>
      </c>
      <c r="D30" s="3" t="s">
        <v>52</v>
      </c>
      <c r="E30" s="4">
        <v>6367</v>
      </c>
      <c r="F30" s="5">
        <v>108.0384395</v>
      </c>
      <c r="G30" s="6">
        <v>1.721924E-2</v>
      </c>
      <c r="H30" s="109"/>
    </row>
    <row r="31" spans="1:8" ht="29.1" customHeight="1" x14ac:dyDescent="0.2">
      <c r="A31" s="100">
        <v>25</v>
      </c>
      <c r="B31" s="3" t="s">
        <v>443</v>
      </c>
      <c r="C31" s="3" t="s">
        <v>444</v>
      </c>
      <c r="D31" s="3" t="s">
        <v>445</v>
      </c>
      <c r="E31" s="4">
        <v>18519</v>
      </c>
      <c r="F31" s="5">
        <v>101.2896705</v>
      </c>
      <c r="G31" s="6">
        <v>1.6143609999999999E-2</v>
      </c>
      <c r="H31" s="109"/>
    </row>
    <row r="32" spans="1:8" ht="29.1" customHeight="1" x14ac:dyDescent="0.2">
      <c r="A32" s="100">
        <v>26</v>
      </c>
      <c r="B32" s="3" t="s">
        <v>381</v>
      </c>
      <c r="C32" s="3" t="s">
        <v>382</v>
      </c>
      <c r="D32" s="3" t="s">
        <v>383</v>
      </c>
      <c r="E32" s="4">
        <v>96813</v>
      </c>
      <c r="F32" s="5">
        <v>95.84487</v>
      </c>
      <c r="G32" s="6">
        <v>1.5275820000000001E-2</v>
      </c>
      <c r="H32" s="109"/>
    </row>
    <row r="33" spans="1:8" ht="29.1" customHeight="1" x14ac:dyDescent="0.2">
      <c r="A33" s="100">
        <v>27</v>
      </c>
      <c r="B33" s="3" t="s">
        <v>393</v>
      </c>
      <c r="C33" s="3" t="s">
        <v>394</v>
      </c>
      <c r="D33" s="3" t="s">
        <v>191</v>
      </c>
      <c r="E33" s="4">
        <v>18954</v>
      </c>
      <c r="F33" s="5">
        <v>95.215418999999997</v>
      </c>
      <c r="G33" s="6">
        <v>1.517549E-2</v>
      </c>
      <c r="H33" s="109"/>
    </row>
    <row r="34" spans="1:8" ht="17.100000000000001" customHeight="1" x14ac:dyDescent="0.2">
      <c r="A34" s="100">
        <v>28</v>
      </c>
      <c r="B34" s="3" t="s">
        <v>441</v>
      </c>
      <c r="C34" s="3" t="s">
        <v>442</v>
      </c>
      <c r="D34" s="3" t="s">
        <v>120</v>
      </c>
      <c r="E34" s="4">
        <v>124593</v>
      </c>
      <c r="F34" s="5">
        <v>94.69068</v>
      </c>
      <c r="G34" s="6">
        <v>1.509186E-2</v>
      </c>
      <c r="H34" s="109"/>
    </row>
    <row r="35" spans="1:8" ht="17.100000000000001" customHeight="1" x14ac:dyDescent="0.2">
      <c r="A35" s="100">
        <v>29</v>
      </c>
      <c r="B35" s="3" t="s">
        <v>433</v>
      </c>
      <c r="C35" s="3" t="s">
        <v>434</v>
      </c>
      <c r="D35" s="3" t="s">
        <v>997</v>
      </c>
      <c r="E35" s="4">
        <v>10005</v>
      </c>
      <c r="F35" s="5">
        <v>94.477215000000001</v>
      </c>
      <c r="G35" s="6">
        <v>1.5057839999999999E-2</v>
      </c>
      <c r="H35" s="109"/>
    </row>
    <row r="36" spans="1:8" ht="29.1" customHeight="1" x14ac:dyDescent="0.2">
      <c r="A36" s="100">
        <v>30</v>
      </c>
      <c r="B36" s="3" t="s">
        <v>466</v>
      </c>
      <c r="C36" s="3" t="s">
        <v>467</v>
      </c>
      <c r="D36" s="3" t="s">
        <v>468</v>
      </c>
      <c r="E36" s="4">
        <v>20856</v>
      </c>
      <c r="F36" s="5">
        <v>88.346016000000006</v>
      </c>
      <c r="G36" s="6">
        <v>1.408064E-2</v>
      </c>
      <c r="H36" s="109"/>
    </row>
    <row r="37" spans="1:8" ht="17.100000000000001" customHeight="1" x14ac:dyDescent="0.2">
      <c r="A37" s="100">
        <v>31</v>
      </c>
      <c r="B37" s="3" t="s">
        <v>446</v>
      </c>
      <c r="C37" s="3" t="s">
        <v>447</v>
      </c>
      <c r="D37" s="3" t="s">
        <v>13</v>
      </c>
      <c r="E37" s="4">
        <v>16020</v>
      </c>
      <c r="F37" s="5">
        <v>84.906000000000006</v>
      </c>
      <c r="G37" s="6">
        <v>1.353237E-2</v>
      </c>
      <c r="H37" s="109"/>
    </row>
    <row r="38" spans="1:8" ht="17.100000000000001" customHeight="1" x14ac:dyDescent="0.2">
      <c r="A38" s="100">
        <v>32</v>
      </c>
      <c r="B38" s="3" t="s">
        <v>388</v>
      </c>
      <c r="C38" s="3" t="s">
        <v>389</v>
      </c>
      <c r="D38" s="3" t="s">
        <v>115</v>
      </c>
      <c r="E38" s="4">
        <v>20256</v>
      </c>
      <c r="F38" s="5">
        <v>82.907808000000003</v>
      </c>
      <c r="G38" s="6">
        <v>1.3213900000000001E-2</v>
      </c>
      <c r="H38" s="109"/>
    </row>
    <row r="39" spans="1:8" ht="17.100000000000001" customHeight="1" x14ac:dyDescent="0.2">
      <c r="A39" s="100">
        <v>33</v>
      </c>
      <c r="B39" s="3" t="s">
        <v>377</v>
      </c>
      <c r="C39" s="3" t="s">
        <v>378</v>
      </c>
      <c r="D39" s="3" t="s">
        <v>13</v>
      </c>
      <c r="E39" s="4">
        <v>104608</v>
      </c>
      <c r="F39" s="5">
        <v>77.985264000000001</v>
      </c>
      <c r="G39" s="6">
        <v>1.2429340000000001E-2</v>
      </c>
      <c r="H39" s="109"/>
    </row>
    <row r="40" spans="1:8" ht="29.1" customHeight="1" x14ac:dyDescent="0.2">
      <c r="A40" s="100">
        <v>34</v>
      </c>
      <c r="B40" s="3" t="s">
        <v>494</v>
      </c>
      <c r="C40" s="3" t="s">
        <v>495</v>
      </c>
      <c r="D40" s="3" t="s">
        <v>52</v>
      </c>
      <c r="E40" s="4">
        <v>26477</v>
      </c>
      <c r="F40" s="5">
        <v>68.919630999999995</v>
      </c>
      <c r="G40" s="6">
        <v>1.098446E-2</v>
      </c>
      <c r="H40" s="109"/>
    </row>
    <row r="41" spans="1:8" ht="17.100000000000001" customHeight="1" x14ac:dyDescent="0.2">
      <c r="A41" s="100">
        <v>35</v>
      </c>
      <c r="B41" s="3" t="s">
        <v>231</v>
      </c>
      <c r="C41" s="3" t="s">
        <v>232</v>
      </c>
      <c r="D41" s="3" t="s">
        <v>80</v>
      </c>
      <c r="E41" s="4">
        <v>1412</v>
      </c>
      <c r="F41" s="5">
        <v>68.500355999999996</v>
      </c>
      <c r="G41" s="6">
        <v>1.0917629999999999E-2</v>
      </c>
      <c r="H41" s="109"/>
    </row>
    <row r="42" spans="1:8" ht="29.1" customHeight="1" x14ac:dyDescent="0.2">
      <c r="A42" s="100">
        <v>36</v>
      </c>
      <c r="B42" s="3" t="s">
        <v>390</v>
      </c>
      <c r="C42" s="3" t="s">
        <v>391</v>
      </c>
      <c r="D42" s="3" t="s">
        <v>392</v>
      </c>
      <c r="E42" s="4">
        <v>18905</v>
      </c>
      <c r="F42" s="5">
        <v>67.793329999999997</v>
      </c>
      <c r="G42" s="6">
        <v>1.0804940000000001E-2</v>
      </c>
      <c r="H42" s="109"/>
    </row>
    <row r="43" spans="1:8" ht="29.1" customHeight="1" x14ac:dyDescent="0.2">
      <c r="A43" s="100">
        <v>37</v>
      </c>
      <c r="B43" s="3" t="s">
        <v>463</v>
      </c>
      <c r="C43" s="3" t="s">
        <v>464</v>
      </c>
      <c r="D43" s="3" t="s">
        <v>188</v>
      </c>
      <c r="E43" s="4">
        <v>10502</v>
      </c>
      <c r="F43" s="5">
        <v>67.753653</v>
      </c>
      <c r="G43" s="6">
        <v>1.079862E-2</v>
      </c>
      <c r="H43" s="109"/>
    </row>
    <row r="44" spans="1:8" ht="17.100000000000001" customHeight="1" x14ac:dyDescent="0.2">
      <c r="A44" s="100">
        <v>38</v>
      </c>
      <c r="B44" s="3" t="s">
        <v>386</v>
      </c>
      <c r="C44" s="3" t="s">
        <v>387</v>
      </c>
      <c r="D44" s="3" t="s">
        <v>228</v>
      </c>
      <c r="E44" s="4">
        <v>11065</v>
      </c>
      <c r="F44" s="5">
        <v>65.604384999999994</v>
      </c>
      <c r="G44" s="6">
        <v>1.045607E-2</v>
      </c>
      <c r="H44" s="109"/>
    </row>
    <row r="45" spans="1:8" ht="17.100000000000001" customHeight="1" x14ac:dyDescent="0.2">
      <c r="A45" s="100">
        <v>39</v>
      </c>
      <c r="B45" s="3" t="s">
        <v>450</v>
      </c>
      <c r="C45" s="3" t="s">
        <v>451</v>
      </c>
      <c r="D45" s="3" t="s">
        <v>80</v>
      </c>
      <c r="E45" s="4">
        <v>7227</v>
      </c>
      <c r="F45" s="5">
        <v>64.670809500000004</v>
      </c>
      <c r="G45" s="6">
        <v>1.030728E-2</v>
      </c>
      <c r="H45" s="109"/>
    </row>
    <row r="46" spans="1:8" ht="17.100000000000001" customHeight="1" x14ac:dyDescent="0.2">
      <c r="A46" s="100">
        <v>40</v>
      </c>
      <c r="B46" s="3" t="s">
        <v>435</v>
      </c>
      <c r="C46" s="3" t="s">
        <v>436</v>
      </c>
      <c r="D46" s="3" t="s">
        <v>47</v>
      </c>
      <c r="E46" s="4">
        <v>17559</v>
      </c>
      <c r="F46" s="5">
        <v>60.455637000000003</v>
      </c>
      <c r="G46" s="6">
        <v>9.6354600000000002E-3</v>
      </c>
      <c r="H46" s="109"/>
    </row>
    <row r="47" spans="1:8" ht="17.100000000000001" customHeight="1" x14ac:dyDescent="0.2">
      <c r="A47" s="100">
        <v>41</v>
      </c>
      <c r="B47" s="3" t="s">
        <v>480</v>
      </c>
      <c r="C47" s="3" t="s">
        <v>481</v>
      </c>
      <c r="D47" s="3" t="s">
        <v>31</v>
      </c>
      <c r="E47" s="4">
        <v>9276</v>
      </c>
      <c r="F47" s="5">
        <v>59.431331999999998</v>
      </c>
      <c r="G47" s="6">
        <v>9.4722000000000001E-3</v>
      </c>
      <c r="H47" s="109"/>
    </row>
    <row r="48" spans="1:8" ht="29.1" customHeight="1" x14ac:dyDescent="0.2">
      <c r="A48" s="100">
        <v>42</v>
      </c>
      <c r="B48" s="3" t="s">
        <v>426</v>
      </c>
      <c r="C48" s="3" t="s">
        <v>427</v>
      </c>
      <c r="D48" s="3" t="s">
        <v>115</v>
      </c>
      <c r="E48" s="4">
        <v>5046</v>
      </c>
      <c r="F48" s="5">
        <v>58.427633999999998</v>
      </c>
      <c r="G48" s="6">
        <v>9.3122299999999995E-3</v>
      </c>
      <c r="H48" s="109"/>
    </row>
    <row r="49" spans="1:8" ht="29.1" customHeight="1" x14ac:dyDescent="0.2">
      <c r="A49" s="100">
        <v>43</v>
      </c>
      <c r="B49" s="3" t="s">
        <v>452</v>
      </c>
      <c r="C49" s="3" t="s">
        <v>453</v>
      </c>
      <c r="D49" s="3" t="s">
        <v>392</v>
      </c>
      <c r="E49" s="4">
        <v>16350</v>
      </c>
      <c r="F49" s="5">
        <v>57.797249999999998</v>
      </c>
      <c r="G49" s="6">
        <v>9.2117599999999994E-3</v>
      </c>
      <c r="H49" s="109"/>
    </row>
    <row r="50" spans="1:8" ht="17.100000000000001" customHeight="1" x14ac:dyDescent="0.2">
      <c r="A50" s="100">
        <v>44</v>
      </c>
      <c r="B50" s="3" t="s">
        <v>428</v>
      </c>
      <c r="C50" s="3" t="s">
        <v>429</v>
      </c>
      <c r="D50" s="3" t="s">
        <v>213</v>
      </c>
      <c r="E50" s="4">
        <v>7165</v>
      </c>
      <c r="F50" s="5">
        <v>52.222102499999998</v>
      </c>
      <c r="G50" s="6">
        <v>8.3231899999999994E-3</v>
      </c>
      <c r="H50" s="109"/>
    </row>
    <row r="51" spans="1:8" ht="29.1" customHeight="1" x14ac:dyDescent="0.2">
      <c r="A51" s="100">
        <v>45</v>
      </c>
      <c r="B51" s="3" t="s">
        <v>422</v>
      </c>
      <c r="C51" s="3" t="s">
        <v>423</v>
      </c>
      <c r="D51" s="3" t="s">
        <v>221</v>
      </c>
      <c r="E51" s="4">
        <v>1052</v>
      </c>
      <c r="F51" s="5">
        <v>49.202039999999997</v>
      </c>
      <c r="G51" s="6">
        <v>7.8418499999999992E-3</v>
      </c>
      <c r="H51" s="109"/>
    </row>
    <row r="52" spans="1:8" ht="17.100000000000001" customHeight="1" x14ac:dyDescent="0.2">
      <c r="A52" s="100">
        <v>46</v>
      </c>
      <c r="B52" s="3" t="s">
        <v>420</v>
      </c>
      <c r="C52" s="3" t="s">
        <v>421</v>
      </c>
      <c r="D52" s="3" t="s">
        <v>22</v>
      </c>
      <c r="E52" s="4">
        <v>18341</v>
      </c>
      <c r="F52" s="5">
        <v>42.010060500000002</v>
      </c>
      <c r="G52" s="6">
        <v>6.6955900000000004E-3</v>
      </c>
      <c r="H52" s="109"/>
    </row>
    <row r="53" spans="1:8" ht="17.100000000000001" customHeight="1" x14ac:dyDescent="0.2">
      <c r="A53" s="100">
        <v>47</v>
      </c>
      <c r="B53" s="3" t="s">
        <v>395</v>
      </c>
      <c r="C53" s="3" t="s">
        <v>396</v>
      </c>
      <c r="D53" s="3" t="s">
        <v>115</v>
      </c>
      <c r="E53" s="4">
        <v>20113</v>
      </c>
      <c r="F53" s="5">
        <v>39.371197500000001</v>
      </c>
      <c r="G53" s="6">
        <v>6.2750100000000001E-3</v>
      </c>
      <c r="H53" s="109"/>
    </row>
    <row r="54" spans="1:8" ht="17.100000000000001" customHeight="1" x14ac:dyDescent="0.2">
      <c r="A54" s="100">
        <v>48</v>
      </c>
      <c r="B54" s="3" t="s">
        <v>454</v>
      </c>
      <c r="C54" s="3" t="s">
        <v>455</v>
      </c>
      <c r="D54" s="3" t="s">
        <v>31</v>
      </c>
      <c r="E54" s="4">
        <v>4443</v>
      </c>
      <c r="F54" s="5">
        <v>37.176802500000001</v>
      </c>
      <c r="G54" s="6">
        <v>5.9252599999999999E-3</v>
      </c>
      <c r="H54" s="109"/>
    </row>
    <row r="55" spans="1:8" ht="17.100000000000001" customHeight="1" x14ac:dyDescent="0.2">
      <c r="A55" s="100">
        <v>49</v>
      </c>
      <c r="B55" s="3" t="s">
        <v>123</v>
      </c>
      <c r="C55" s="3" t="s">
        <v>124</v>
      </c>
      <c r="D55" s="3" t="s">
        <v>115</v>
      </c>
      <c r="E55" s="4">
        <v>1940</v>
      </c>
      <c r="F55" s="5">
        <v>36.583550000000002</v>
      </c>
      <c r="G55" s="6">
        <v>5.8307100000000002E-3</v>
      </c>
      <c r="H55" s="109"/>
    </row>
    <row r="56" spans="1:8" ht="17.100000000000001" customHeight="1" x14ac:dyDescent="0.2">
      <c r="A56" s="100">
        <v>50</v>
      </c>
      <c r="B56" s="3" t="s">
        <v>330</v>
      </c>
      <c r="C56" s="3" t="s">
        <v>331</v>
      </c>
      <c r="D56" s="3" t="s">
        <v>97</v>
      </c>
      <c r="E56" s="4">
        <v>45125</v>
      </c>
      <c r="F56" s="5">
        <v>28.97025</v>
      </c>
      <c r="G56" s="6">
        <v>4.6173000000000004E-3</v>
      </c>
      <c r="H56" s="109"/>
    </row>
    <row r="57" spans="1:8" ht="29.1" customHeight="1" x14ac:dyDescent="0.2">
      <c r="A57" s="100">
        <v>51</v>
      </c>
      <c r="B57" s="3" t="s">
        <v>430</v>
      </c>
      <c r="C57" s="3" t="s">
        <v>431</v>
      </c>
      <c r="D57" s="3" t="s">
        <v>188</v>
      </c>
      <c r="E57" s="4">
        <v>3563</v>
      </c>
      <c r="F57" s="5">
        <v>14.382049500000001</v>
      </c>
      <c r="G57" s="6">
        <v>2.2922200000000002E-3</v>
      </c>
      <c r="H57" s="109"/>
    </row>
    <row r="58" spans="1:8" ht="29.1" customHeight="1" x14ac:dyDescent="0.2">
      <c r="A58" s="100">
        <v>52</v>
      </c>
      <c r="B58" s="3" t="s">
        <v>456</v>
      </c>
      <c r="C58" s="3" t="s">
        <v>457</v>
      </c>
      <c r="D58" s="3" t="s">
        <v>221</v>
      </c>
      <c r="E58" s="4">
        <v>3593</v>
      </c>
      <c r="F58" s="5">
        <v>9.1675395000000002</v>
      </c>
      <c r="G58" s="6">
        <v>1.4611299999999999E-3</v>
      </c>
      <c r="H58" s="109"/>
    </row>
    <row r="59" spans="1:8" ht="14.1" customHeight="1" x14ac:dyDescent="0.2">
      <c r="A59" s="99"/>
      <c r="B59" s="1"/>
      <c r="C59" s="2" t="s">
        <v>135</v>
      </c>
      <c r="D59" s="1"/>
      <c r="E59" s="1" t="s">
        <v>136</v>
      </c>
      <c r="F59" s="8">
        <v>5896.6961085000003</v>
      </c>
      <c r="G59" s="9">
        <v>0.93981917999999998</v>
      </c>
      <c r="H59" s="109"/>
    </row>
    <row r="60" spans="1:8" ht="14.1" customHeight="1" x14ac:dyDescent="0.2">
      <c r="A60" s="99"/>
      <c r="B60" s="1"/>
      <c r="C60" s="10"/>
      <c r="D60" s="1"/>
      <c r="E60" s="1"/>
      <c r="F60" s="11"/>
      <c r="G60" s="11"/>
      <c r="H60" s="109"/>
    </row>
    <row r="61" spans="1:8" ht="14.1" customHeight="1" x14ac:dyDescent="0.2">
      <c r="A61" s="99"/>
      <c r="B61" s="1"/>
      <c r="C61" s="2" t="s">
        <v>137</v>
      </c>
      <c r="D61" s="1"/>
      <c r="E61" s="1"/>
      <c r="F61" s="1"/>
      <c r="G61" s="1"/>
      <c r="H61" s="109"/>
    </row>
    <row r="62" spans="1:8" ht="14.1" customHeight="1" x14ac:dyDescent="0.2">
      <c r="A62" s="99"/>
      <c r="B62" s="1"/>
      <c r="C62" s="2" t="s">
        <v>135</v>
      </c>
      <c r="D62" s="1"/>
      <c r="E62" s="1" t="s">
        <v>136</v>
      </c>
      <c r="F62" s="115">
        <v>0</v>
      </c>
      <c r="G62" s="9">
        <v>0</v>
      </c>
      <c r="H62" s="109"/>
    </row>
    <row r="63" spans="1:8" ht="14.1" customHeight="1" x14ac:dyDescent="0.2">
      <c r="A63" s="99"/>
      <c r="B63" s="1"/>
      <c r="C63" s="10"/>
      <c r="D63" s="1"/>
      <c r="E63" s="1"/>
      <c r="F63" s="11"/>
      <c r="G63" s="11"/>
      <c r="H63" s="109"/>
    </row>
    <row r="64" spans="1:8" ht="14.1" customHeight="1" x14ac:dyDescent="0.2">
      <c r="A64" s="99"/>
      <c r="B64" s="1"/>
      <c r="C64" s="2" t="s">
        <v>138</v>
      </c>
      <c r="D64" s="1"/>
      <c r="E64" s="1"/>
      <c r="F64" s="1"/>
      <c r="G64" s="1"/>
      <c r="H64" s="109"/>
    </row>
    <row r="65" spans="1:8" ht="14.1" customHeight="1" x14ac:dyDescent="0.2">
      <c r="A65" s="99"/>
      <c r="B65" s="1"/>
      <c r="C65" s="2" t="s">
        <v>135</v>
      </c>
      <c r="D65" s="1"/>
      <c r="E65" s="1" t="s">
        <v>136</v>
      </c>
      <c r="F65" s="115">
        <v>0</v>
      </c>
      <c r="G65" s="9">
        <v>0</v>
      </c>
      <c r="H65" s="109"/>
    </row>
    <row r="66" spans="1:8" ht="14.1" customHeight="1" x14ac:dyDescent="0.2">
      <c r="A66" s="99"/>
      <c r="B66" s="1"/>
      <c r="C66" s="10"/>
      <c r="D66" s="1"/>
      <c r="E66" s="1"/>
      <c r="F66" s="11"/>
      <c r="G66" s="11"/>
      <c r="H66" s="109"/>
    </row>
    <row r="67" spans="1:8" ht="14.1" customHeight="1" x14ac:dyDescent="0.2">
      <c r="A67" s="99"/>
      <c r="B67" s="1"/>
      <c r="C67" s="2" t="s">
        <v>139</v>
      </c>
      <c r="D67" s="1"/>
      <c r="E67" s="1"/>
      <c r="F67" s="1"/>
      <c r="G67" s="1"/>
      <c r="H67" s="109"/>
    </row>
    <row r="68" spans="1:8" ht="14.1" customHeight="1" x14ac:dyDescent="0.2">
      <c r="A68" s="99"/>
      <c r="B68" s="1"/>
      <c r="C68" s="2" t="s">
        <v>135</v>
      </c>
      <c r="D68" s="1"/>
      <c r="E68" s="1" t="s">
        <v>136</v>
      </c>
      <c r="F68" s="115">
        <v>0</v>
      </c>
      <c r="G68" s="9">
        <v>0</v>
      </c>
      <c r="H68" s="109"/>
    </row>
    <row r="69" spans="1:8" ht="14.1" customHeight="1" x14ac:dyDescent="0.2">
      <c r="A69" s="99"/>
      <c r="B69" s="1"/>
      <c r="C69" s="10"/>
      <c r="D69" s="1"/>
      <c r="E69" s="1"/>
      <c r="F69" s="11"/>
      <c r="G69" s="11"/>
      <c r="H69" s="109"/>
    </row>
    <row r="70" spans="1:8" ht="14.1" customHeight="1" x14ac:dyDescent="0.2">
      <c r="A70" s="99"/>
      <c r="B70" s="1"/>
      <c r="C70" s="2" t="s">
        <v>140</v>
      </c>
      <c r="D70" s="1"/>
      <c r="E70" s="1"/>
      <c r="F70" s="11"/>
      <c r="G70" s="11"/>
      <c r="H70" s="109"/>
    </row>
    <row r="71" spans="1:8" ht="14.1" customHeight="1" x14ac:dyDescent="0.2">
      <c r="A71" s="99"/>
      <c r="B71" s="1"/>
      <c r="C71" s="2" t="s">
        <v>135</v>
      </c>
      <c r="D71" s="1"/>
      <c r="E71" s="1" t="s">
        <v>136</v>
      </c>
      <c r="F71" s="115">
        <v>0</v>
      </c>
      <c r="G71" s="9">
        <v>0</v>
      </c>
      <c r="H71" s="109"/>
    </row>
    <row r="72" spans="1:8" ht="14.1" customHeight="1" x14ac:dyDescent="0.2">
      <c r="A72" s="99"/>
      <c r="B72" s="1"/>
      <c r="C72" s="10"/>
      <c r="D72" s="1"/>
      <c r="E72" s="1"/>
      <c r="F72" s="11"/>
      <c r="G72" s="11"/>
      <c r="H72" s="109"/>
    </row>
    <row r="73" spans="1:8" ht="14.1" customHeight="1" x14ac:dyDescent="0.2">
      <c r="A73" s="99"/>
      <c r="B73" s="1"/>
      <c r="C73" s="2" t="s">
        <v>141</v>
      </c>
      <c r="D73" s="1"/>
      <c r="E73" s="1"/>
      <c r="F73" s="11"/>
      <c r="G73" s="11"/>
      <c r="H73" s="109"/>
    </row>
    <row r="74" spans="1:8" ht="14.1" customHeight="1" x14ac:dyDescent="0.2">
      <c r="A74" s="99"/>
      <c r="B74" s="1"/>
      <c r="C74" s="2" t="s">
        <v>135</v>
      </c>
      <c r="D74" s="1"/>
      <c r="E74" s="1" t="s">
        <v>136</v>
      </c>
      <c r="F74" s="115">
        <v>0</v>
      </c>
      <c r="G74" s="9">
        <v>0</v>
      </c>
      <c r="H74" s="109"/>
    </row>
    <row r="75" spans="1:8" ht="14.1" customHeight="1" x14ac:dyDescent="0.2">
      <c r="A75" s="99"/>
      <c r="B75" s="1"/>
      <c r="C75" s="10"/>
      <c r="D75" s="1"/>
      <c r="E75" s="1"/>
      <c r="F75" s="11"/>
      <c r="G75" s="11"/>
      <c r="H75" s="109"/>
    </row>
    <row r="76" spans="1:8" ht="18" customHeight="1" x14ac:dyDescent="0.2">
      <c r="A76" s="99"/>
      <c r="B76" s="1"/>
      <c r="C76" s="2" t="s">
        <v>142</v>
      </c>
      <c r="D76" s="1"/>
      <c r="E76" s="1"/>
      <c r="F76" s="8">
        <v>5896.6961085000003</v>
      </c>
      <c r="G76" s="9">
        <v>0.93981917999999998</v>
      </c>
      <c r="H76" s="109"/>
    </row>
    <row r="77" spans="1:8" ht="14.1" customHeight="1" x14ac:dyDescent="0.2">
      <c r="A77" s="99"/>
      <c r="B77" s="1"/>
      <c r="C77" s="10"/>
      <c r="D77" s="1"/>
      <c r="E77" s="1"/>
      <c r="F77" s="11"/>
      <c r="G77" s="11"/>
      <c r="H77" s="109"/>
    </row>
    <row r="78" spans="1:8" ht="14.1" customHeight="1" x14ac:dyDescent="0.2">
      <c r="A78" s="99"/>
      <c r="B78" s="1"/>
      <c r="C78" s="2" t="s">
        <v>143</v>
      </c>
      <c r="D78" s="1"/>
      <c r="E78" s="1"/>
      <c r="F78" s="11"/>
      <c r="G78" s="11"/>
      <c r="H78" s="109"/>
    </row>
    <row r="79" spans="1:8" ht="24" customHeight="1" x14ac:dyDescent="0.2">
      <c r="A79" s="99"/>
      <c r="B79" s="1"/>
      <c r="C79" s="2" t="s">
        <v>10</v>
      </c>
      <c r="D79" s="1"/>
      <c r="E79" s="1"/>
      <c r="F79" s="11"/>
      <c r="G79" s="11"/>
      <c r="H79" s="109"/>
    </row>
    <row r="80" spans="1:8" ht="14.1" customHeight="1" x14ac:dyDescent="0.2">
      <c r="A80" s="99"/>
      <c r="B80" s="1"/>
      <c r="C80" s="2" t="s">
        <v>135</v>
      </c>
      <c r="D80" s="1"/>
      <c r="E80" s="1" t="s">
        <v>136</v>
      </c>
      <c r="F80" s="115">
        <v>0</v>
      </c>
      <c r="G80" s="9">
        <v>0</v>
      </c>
      <c r="H80" s="109"/>
    </row>
    <row r="81" spans="1:8" ht="14.1" customHeight="1" x14ac:dyDescent="0.2">
      <c r="A81" s="99"/>
      <c r="B81" s="1"/>
      <c r="C81" s="10"/>
      <c r="D81" s="1"/>
      <c r="E81" s="1"/>
      <c r="F81" s="11"/>
      <c r="G81" s="11"/>
      <c r="H81" s="109"/>
    </row>
    <row r="82" spans="1:8" ht="14.1" customHeight="1" x14ac:dyDescent="0.2">
      <c r="A82" s="99"/>
      <c r="B82" s="1"/>
      <c r="C82" s="2" t="s">
        <v>144</v>
      </c>
      <c r="D82" s="1"/>
      <c r="E82" s="1"/>
      <c r="F82" s="1"/>
      <c r="G82" s="1"/>
      <c r="H82" s="109"/>
    </row>
    <row r="83" spans="1:8" ht="14.1" customHeight="1" x14ac:dyDescent="0.2">
      <c r="A83" s="99"/>
      <c r="B83" s="1"/>
      <c r="C83" s="2" t="s">
        <v>135</v>
      </c>
      <c r="D83" s="1"/>
      <c r="E83" s="1" t="s">
        <v>136</v>
      </c>
      <c r="F83" s="115">
        <v>0</v>
      </c>
      <c r="G83" s="9">
        <v>0</v>
      </c>
      <c r="H83" s="109"/>
    </row>
    <row r="84" spans="1:8" ht="14.1" customHeight="1" x14ac:dyDescent="0.2">
      <c r="A84" s="99"/>
      <c r="B84" s="1"/>
      <c r="C84" s="10"/>
      <c r="D84" s="1"/>
      <c r="E84" s="1"/>
      <c r="F84" s="11"/>
      <c r="G84" s="11"/>
      <c r="H84" s="109"/>
    </row>
    <row r="85" spans="1:8" ht="14.1" customHeight="1" x14ac:dyDescent="0.2">
      <c r="A85" s="99"/>
      <c r="B85" s="1"/>
      <c r="C85" s="2" t="s">
        <v>145</v>
      </c>
      <c r="D85" s="1"/>
      <c r="E85" s="1"/>
      <c r="F85" s="1"/>
      <c r="G85" s="1"/>
      <c r="H85" s="109"/>
    </row>
    <row r="86" spans="1:8" ht="14.1" customHeight="1" x14ac:dyDescent="0.2">
      <c r="A86" s="99"/>
      <c r="B86" s="1"/>
      <c r="C86" s="2" t="s">
        <v>135</v>
      </c>
      <c r="D86" s="1"/>
      <c r="E86" s="1" t="s">
        <v>136</v>
      </c>
      <c r="F86" s="115">
        <v>0</v>
      </c>
      <c r="G86" s="9">
        <v>0</v>
      </c>
      <c r="H86" s="109"/>
    </row>
    <row r="87" spans="1:8" ht="14.1" customHeight="1" x14ac:dyDescent="0.2">
      <c r="A87" s="99"/>
      <c r="B87" s="1"/>
      <c r="C87" s="10"/>
      <c r="D87" s="1"/>
      <c r="E87" s="1"/>
      <c r="F87" s="11"/>
      <c r="G87" s="11"/>
      <c r="H87" s="109"/>
    </row>
    <row r="88" spans="1:8" ht="14.1" customHeight="1" x14ac:dyDescent="0.2">
      <c r="A88" s="99"/>
      <c r="B88" s="1"/>
      <c r="C88" s="2" t="s">
        <v>146</v>
      </c>
      <c r="D88" s="1"/>
      <c r="E88" s="1"/>
      <c r="F88" s="11"/>
      <c r="G88" s="11"/>
      <c r="H88" s="109"/>
    </row>
    <row r="89" spans="1:8" ht="14.1" customHeight="1" x14ac:dyDescent="0.2">
      <c r="A89" s="99"/>
      <c r="B89" s="1"/>
      <c r="C89" s="2" t="s">
        <v>135</v>
      </c>
      <c r="D89" s="1"/>
      <c r="E89" s="1" t="s">
        <v>136</v>
      </c>
      <c r="F89" s="115">
        <v>0</v>
      </c>
      <c r="G89" s="9">
        <v>0</v>
      </c>
      <c r="H89" s="109"/>
    </row>
    <row r="90" spans="1:8" ht="14.1" customHeight="1" x14ac:dyDescent="0.2">
      <c r="A90" s="99"/>
      <c r="B90" s="1"/>
      <c r="C90" s="10"/>
      <c r="D90" s="1"/>
      <c r="E90" s="1"/>
      <c r="F90" s="11"/>
      <c r="G90" s="11"/>
      <c r="H90" s="109"/>
    </row>
    <row r="91" spans="1:8" ht="14.1" customHeight="1" x14ac:dyDescent="0.2">
      <c r="A91" s="99"/>
      <c r="B91" s="1"/>
      <c r="C91" s="2" t="s">
        <v>147</v>
      </c>
      <c r="D91" s="1"/>
      <c r="E91" s="1"/>
      <c r="F91" s="8">
        <v>0</v>
      </c>
      <c r="G91" s="9">
        <v>0</v>
      </c>
      <c r="H91" s="109"/>
    </row>
    <row r="92" spans="1:8" ht="14.1" customHeight="1" x14ac:dyDescent="0.2">
      <c r="A92" s="99"/>
      <c r="B92" s="1"/>
      <c r="C92" s="10"/>
      <c r="D92" s="1"/>
      <c r="E92" s="1"/>
      <c r="F92" s="11"/>
      <c r="G92" s="11"/>
      <c r="H92" s="109"/>
    </row>
    <row r="93" spans="1:8" ht="14.1" customHeight="1" x14ac:dyDescent="0.2">
      <c r="A93" s="99"/>
      <c r="B93" s="1"/>
      <c r="C93" s="2" t="s">
        <v>148</v>
      </c>
      <c r="D93" s="1"/>
      <c r="E93" s="1"/>
      <c r="F93" s="11"/>
      <c r="G93" s="11"/>
      <c r="H93" s="109"/>
    </row>
    <row r="94" spans="1:8" ht="14.1" customHeight="1" x14ac:dyDescent="0.2">
      <c r="A94" s="99"/>
      <c r="B94" s="1"/>
      <c r="C94" s="2" t="s">
        <v>149</v>
      </c>
      <c r="D94" s="1"/>
      <c r="E94" s="1"/>
      <c r="F94" s="11"/>
      <c r="G94" s="11"/>
      <c r="H94" s="109"/>
    </row>
    <row r="95" spans="1:8" ht="14.1" customHeight="1" x14ac:dyDescent="0.2">
      <c r="A95" s="99"/>
      <c r="B95" s="1"/>
      <c r="C95" s="2" t="s">
        <v>135</v>
      </c>
      <c r="D95" s="1"/>
      <c r="E95" s="1" t="s">
        <v>136</v>
      </c>
      <c r="F95" s="115">
        <v>0</v>
      </c>
      <c r="G95" s="9">
        <v>0</v>
      </c>
      <c r="H95" s="109"/>
    </row>
    <row r="96" spans="1:8" ht="14.1" customHeight="1" x14ac:dyDescent="0.2">
      <c r="A96" s="99"/>
      <c r="B96" s="1"/>
      <c r="C96" s="10"/>
      <c r="D96" s="1"/>
      <c r="E96" s="1"/>
      <c r="F96" s="11"/>
      <c r="G96" s="11"/>
      <c r="H96" s="109"/>
    </row>
    <row r="97" spans="1:8" ht="14.1" customHeight="1" x14ac:dyDescent="0.2">
      <c r="A97" s="99"/>
      <c r="B97" s="1"/>
      <c r="C97" s="2" t="s">
        <v>150</v>
      </c>
      <c r="D97" s="1"/>
      <c r="E97" s="1"/>
      <c r="F97" s="11"/>
      <c r="G97" s="11"/>
      <c r="H97" s="109"/>
    </row>
    <row r="98" spans="1:8" ht="14.1" customHeight="1" x14ac:dyDescent="0.2">
      <c r="A98" s="99"/>
      <c r="B98" s="1"/>
      <c r="C98" s="2" t="s">
        <v>135</v>
      </c>
      <c r="D98" s="1"/>
      <c r="E98" s="1" t="s">
        <v>136</v>
      </c>
      <c r="F98" s="115">
        <v>0</v>
      </c>
      <c r="G98" s="9">
        <v>0</v>
      </c>
      <c r="H98" s="109"/>
    </row>
    <row r="99" spans="1:8" ht="14.1" customHeight="1" x14ac:dyDescent="0.2">
      <c r="A99" s="99"/>
      <c r="B99" s="1"/>
      <c r="C99" s="10"/>
      <c r="D99" s="1"/>
      <c r="E99" s="1"/>
      <c r="F99" s="11"/>
      <c r="G99" s="11"/>
      <c r="H99" s="109"/>
    </row>
    <row r="100" spans="1:8" ht="14.1" customHeight="1" x14ac:dyDescent="0.2">
      <c r="A100" s="99"/>
      <c r="B100" s="1"/>
      <c r="C100" s="2" t="s">
        <v>151</v>
      </c>
      <c r="D100" s="1"/>
      <c r="E100" s="1"/>
      <c r="F100" s="11"/>
      <c r="G100" s="11"/>
      <c r="H100" s="109"/>
    </row>
    <row r="101" spans="1:8" ht="14.1" customHeight="1" x14ac:dyDescent="0.2">
      <c r="A101" s="99"/>
      <c r="B101" s="1"/>
      <c r="C101" s="2" t="s">
        <v>135</v>
      </c>
      <c r="D101" s="1"/>
      <c r="E101" s="1" t="s">
        <v>136</v>
      </c>
      <c r="F101" s="115">
        <v>0</v>
      </c>
      <c r="G101" s="9">
        <v>0</v>
      </c>
      <c r="H101" s="109"/>
    </row>
    <row r="102" spans="1:8" ht="14.1" customHeight="1" x14ac:dyDescent="0.2">
      <c r="A102" s="99"/>
      <c r="B102" s="1"/>
      <c r="C102" s="10"/>
      <c r="D102" s="1"/>
      <c r="E102" s="1"/>
      <c r="F102" s="11"/>
      <c r="G102" s="11"/>
      <c r="H102" s="109"/>
    </row>
    <row r="103" spans="1:8" ht="14.1" customHeight="1" x14ac:dyDescent="0.2">
      <c r="A103" s="99"/>
      <c r="B103" s="1"/>
      <c r="C103" s="2" t="s">
        <v>152</v>
      </c>
      <c r="D103" s="1"/>
      <c r="E103" s="1"/>
      <c r="F103" s="11"/>
      <c r="G103" s="11"/>
      <c r="H103" s="109"/>
    </row>
    <row r="104" spans="1:8" ht="17.100000000000001" customHeight="1" x14ac:dyDescent="0.2">
      <c r="A104" s="100">
        <v>1</v>
      </c>
      <c r="B104" s="3"/>
      <c r="C104" s="3" t="s">
        <v>153</v>
      </c>
      <c r="D104" s="3"/>
      <c r="E104" s="7"/>
      <c r="F104" s="5">
        <v>380.12282100200002</v>
      </c>
      <c r="G104" s="6">
        <v>6.0584220000000001E-2</v>
      </c>
      <c r="H104" s="109">
        <v>6.6015165706411798</v>
      </c>
    </row>
    <row r="105" spans="1:8" ht="14.1" customHeight="1" x14ac:dyDescent="0.2">
      <c r="A105" s="99"/>
      <c r="B105" s="1"/>
      <c r="C105" s="2" t="s">
        <v>135</v>
      </c>
      <c r="D105" s="1"/>
      <c r="E105" s="1" t="s">
        <v>136</v>
      </c>
      <c r="F105" s="8">
        <v>380.12282100200002</v>
      </c>
      <c r="G105" s="9">
        <v>6.0584220000000001E-2</v>
      </c>
      <c r="H105" s="109"/>
    </row>
    <row r="106" spans="1:8" ht="14.1" customHeight="1" x14ac:dyDescent="0.2">
      <c r="A106" s="99"/>
      <c r="B106" s="1"/>
      <c r="C106" s="10"/>
      <c r="D106" s="1"/>
      <c r="E106" s="1"/>
      <c r="F106" s="11"/>
      <c r="G106" s="11"/>
      <c r="H106" s="109"/>
    </row>
    <row r="107" spans="1:8" ht="14.1" customHeight="1" x14ac:dyDescent="0.2">
      <c r="A107" s="99"/>
      <c r="B107" s="1"/>
      <c r="C107" s="2" t="s">
        <v>154</v>
      </c>
      <c r="D107" s="1"/>
      <c r="E107" s="1"/>
      <c r="F107" s="8">
        <v>380.12282100200002</v>
      </c>
      <c r="G107" s="9">
        <v>6.0584220000000001E-2</v>
      </c>
      <c r="H107" s="109"/>
    </row>
    <row r="108" spans="1:8" ht="14.1" customHeight="1" x14ac:dyDescent="0.2">
      <c r="A108" s="99"/>
      <c r="B108" s="1"/>
      <c r="C108" s="11"/>
      <c r="D108" s="1"/>
      <c r="E108" s="1"/>
      <c r="F108" s="1"/>
      <c r="G108" s="1"/>
      <c r="H108" s="109"/>
    </row>
    <row r="109" spans="1:8" ht="14.1" customHeight="1" x14ac:dyDescent="0.2">
      <c r="A109" s="99"/>
      <c r="B109" s="1"/>
      <c r="C109" s="2" t="s">
        <v>155</v>
      </c>
      <c r="D109" s="1"/>
      <c r="E109" s="1"/>
      <c r="F109" s="1"/>
      <c r="G109" s="1"/>
      <c r="H109" s="109"/>
    </row>
    <row r="110" spans="1:8" ht="14.1" customHeight="1" x14ac:dyDescent="0.2">
      <c r="A110" s="99"/>
      <c r="B110" s="1"/>
      <c r="C110" s="2" t="s">
        <v>156</v>
      </c>
      <c r="D110" s="1"/>
      <c r="E110" s="1"/>
      <c r="F110" s="1"/>
      <c r="G110" s="1"/>
      <c r="H110" s="109"/>
    </row>
    <row r="111" spans="1:8" ht="14.1" customHeight="1" x14ac:dyDescent="0.2">
      <c r="A111" s="99"/>
      <c r="B111" s="1"/>
      <c r="C111" s="2" t="s">
        <v>135</v>
      </c>
      <c r="D111" s="1"/>
      <c r="E111" s="1" t="s">
        <v>136</v>
      </c>
      <c r="F111" s="115">
        <v>0</v>
      </c>
      <c r="G111" s="9">
        <v>0</v>
      </c>
      <c r="H111" s="109"/>
    </row>
    <row r="112" spans="1:8" ht="14.1" customHeight="1" x14ac:dyDescent="0.2">
      <c r="A112" s="99"/>
      <c r="B112" s="1"/>
      <c r="C112" s="10"/>
      <c r="D112" s="1"/>
      <c r="E112" s="1"/>
      <c r="F112" s="11"/>
      <c r="G112" s="11"/>
      <c r="H112" s="109"/>
    </row>
    <row r="113" spans="1:8" ht="14.1" customHeight="1" x14ac:dyDescent="0.2">
      <c r="A113" s="99"/>
      <c r="B113" s="1"/>
      <c r="C113" s="2" t="s">
        <v>157</v>
      </c>
      <c r="D113" s="1"/>
      <c r="E113" s="1"/>
      <c r="F113" s="1"/>
      <c r="G113" s="1"/>
      <c r="H113" s="109"/>
    </row>
    <row r="114" spans="1:8" ht="14.1" customHeight="1" x14ac:dyDescent="0.2">
      <c r="A114" s="99"/>
      <c r="B114" s="1"/>
      <c r="C114" s="2" t="s">
        <v>158</v>
      </c>
      <c r="D114" s="1"/>
      <c r="E114" s="1"/>
      <c r="F114" s="1"/>
      <c r="G114" s="1"/>
      <c r="H114" s="109"/>
    </row>
    <row r="115" spans="1:8" ht="14.1" customHeight="1" x14ac:dyDescent="0.2">
      <c r="A115" s="99"/>
      <c r="B115" s="1"/>
      <c r="C115" s="2" t="s">
        <v>135</v>
      </c>
      <c r="D115" s="1"/>
      <c r="E115" s="1" t="s">
        <v>136</v>
      </c>
      <c r="F115" s="115">
        <v>0</v>
      </c>
      <c r="G115" s="9">
        <v>0</v>
      </c>
      <c r="H115" s="109"/>
    </row>
    <row r="116" spans="1:8" ht="14.1" customHeight="1" x14ac:dyDescent="0.2">
      <c r="A116" s="99"/>
      <c r="B116" s="1"/>
      <c r="C116" s="10"/>
      <c r="D116" s="1"/>
      <c r="E116" s="1"/>
      <c r="F116" s="11"/>
      <c r="G116" s="11"/>
      <c r="H116" s="109"/>
    </row>
    <row r="117" spans="1:8" ht="24" customHeight="1" x14ac:dyDescent="0.2">
      <c r="A117" s="99"/>
      <c r="B117" s="1"/>
      <c r="C117" s="2" t="s">
        <v>159</v>
      </c>
      <c r="D117" s="1"/>
      <c r="E117" s="1"/>
      <c r="F117" s="11"/>
      <c r="G117" s="11"/>
      <c r="H117" s="109"/>
    </row>
    <row r="118" spans="1:8" ht="14.1" customHeight="1" x14ac:dyDescent="0.2">
      <c r="A118" s="99"/>
      <c r="B118" s="1"/>
      <c r="C118" s="2" t="s">
        <v>135</v>
      </c>
      <c r="D118" s="1"/>
      <c r="E118" s="1" t="s">
        <v>136</v>
      </c>
      <c r="F118" s="115">
        <v>0</v>
      </c>
      <c r="G118" s="9">
        <v>0</v>
      </c>
      <c r="H118" s="109"/>
    </row>
    <row r="119" spans="1:8" ht="14.1" customHeight="1" x14ac:dyDescent="0.2">
      <c r="A119" s="99"/>
      <c r="B119" s="1"/>
      <c r="C119" s="10"/>
      <c r="D119" s="1"/>
      <c r="E119" s="1"/>
      <c r="F119" s="11"/>
      <c r="G119" s="11"/>
      <c r="H119" s="109"/>
    </row>
    <row r="120" spans="1:8" ht="14.1" customHeight="1" x14ac:dyDescent="0.2">
      <c r="A120" s="99"/>
      <c r="B120" s="3"/>
      <c r="C120" s="3"/>
      <c r="D120" s="2"/>
      <c r="E120" s="1"/>
      <c r="F120" s="3"/>
      <c r="G120" s="7"/>
      <c r="H120" s="109"/>
    </row>
    <row r="121" spans="1:8" ht="18" customHeight="1" x14ac:dyDescent="0.2">
      <c r="A121" s="101"/>
      <c r="B121" s="3"/>
      <c r="C121" s="3" t="s">
        <v>160</v>
      </c>
      <c r="D121" s="3"/>
      <c r="E121" s="7"/>
      <c r="F121" s="5">
        <v>-2.5310601099999999</v>
      </c>
      <c r="G121" s="6">
        <v>-4.0339999999999999E-4</v>
      </c>
      <c r="H121" s="109"/>
    </row>
    <row r="122" spans="1:8" ht="14.1" customHeight="1" x14ac:dyDescent="0.2">
      <c r="A122" s="102"/>
      <c r="B122" s="10"/>
      <c r="C122" s="2" t="s">
        <v>161</v>
      </c>
      <c r="D122" s="11"/>
      <c r="E122" s="11"/>
      <c r="F122" s="8">
        <v>6274.2878693920002</v>
      </c>
      <c r="G122" s="12">
        <v>1</v>
      </c>
      <c r="H122" s="109"/>
    </row>
    <row r="123" spans="1:8" ht="14.1" customHeight="1" x14ac:dyDescent="0.2">
      <c r="A123" s="13"/>
      <c r="B123" s="13"/>
      <c r="C123" s="13"/>
      <c r="D123" s="14"/>
      <c r="E123" s="14"/>
      <c r="F123" s="14"/>
      <c r="G123" s="14"/>
    </row>
    <row r="124" spans="1:8" ht="14.1" customHeight="1" x14ac:dyDescent="0.2">
      <c r="A124" s="15"/>
      <c r="B124" s="15"/>
      <c r="C124" s="15"/>
      <c r="D124" s="17"/>
      <c r="E124" s="17"/>
      <c r="F124" s="17"/>
      <c r="G124" s="17"/>
    </row>
    <row r="125" spans="1:8" ht="14.1" customHeight="1" x14ac:dyDescent="0.2">
      <c r="A125" s="15"/>
      <c r="B125" s="194" t="s">
        <v>163</v>
      </c>
      <c r="C125" s="195"/>
      <c r="D125" s="196"/>
      <c r="E125" s="18"/>
      <c r="F125" s="17"/>
      <c r="G125" s="17"/>
    </row>
    <row r="126" spans="1:8" ht="29.1" customHeight="1" x14ac:dyDescent="0.2">
      <c r="A126" s="15"/>
      <c r="B126" s="191" t="s">
        <v>164</v>
      </c>
      <c r="C126" s="192"/>
      <c r="D126" s="2" t="s">
        <v>165</v>
      </c>
      <c r="E126" s="18"/>
      <c r="F126" s="17"/>
      <c r="G126" s="17"/>
    </row>
    <row r="127" spans="1:8" ht="17.100000000000001" customHeight="1" x14ac:dyDescent="0.2">
      <c r="A127" s="15"/>
      <c r="B127" s="191" t="s">
        <v>166</v>
      </c>
      <c r="C127" s="192"/>
      <c r="D127" s="2" t="s">
        <v>165</v>
      </c>
      <c r="E127" s="18"/>
      <c r="F127" s="17"/>
      <c r="G127" s="17"/>
    </row>
    <row r="128" spans="1:8" ht="17.100000000000001" customHeight="1" x14ac:dyDescent="0.2">
      <c r="A128" s="15"/>
      <c r="B128" s="191" t="s">
        <v>167</v>
      </c>
      <c r="C128" s="192"/>
      <c r="D128" s="11" t="s">
        <v>136</v>
      </c>
      <c r="E128" s="18"/>
      <c r="F128" s="17"/>
      <c r="G128" s="17"/>
    </row>
    <row r="129" spans="1:7" ht="24" customHeight="1" x14ac:dyDescent="0.2">
      <c r="A129" s="19"/>
      <c r="B129" s="20" t="s">
        <v>136</v>
      </c>
      <c r="C129" s="20" t="s">
        <v>168</v>
      </c>
      <c r="D129" s="20" t="s">
        <v>169</v>
      </c>
      <c r="E129" s="19"/>
      <c r="F129" s="19"/>
      <c r="G129" s="19"/>
    </row>
    <row r="130" spans="1:7" ht="18" customHeight="1" x14ac:dyDescent="0.2">
      <c r="A130" s="19"/>
      <c r="B130" s="21" t="s">
        <v>170</v>
      </c>
      <c r="C130" s="20" t="s">
        <v>171</v>
      </c>
      <c r="D130" s="20" t="s">
        <v>172</v>
      </c>
      <c r="E130" s="19"/>
      <c r="F130" s="19"/>
      <c r="G130" s="19"/>
    </row>
    <row r="131" spans="1:7" ht="17.100000000000001" customHeight="1" x14ac:dyDescent="0.2">
      <c r="A131" s="19"/>
      <c r="B131" s="3" t="s">
        <v>173</v>
      </c>
      <c r="C131" s="22">
        <v>19.7529</v>
      </c>
      <c r="D131" s="22">
        <v>19.689699999999998</v>
      </c>
      <c r="E131" s="19"/>
      <c r="F131" s="16"/>
      <c r="G131" s="23"/>
    </row>
    <row r="132" spans="1:7" ht="17.100000000000001" customHeight="1" x14ac:dyDescent="0.2">
      <c r="A132" s="19"/>
      <c r="B132" s="3" t="s">
        <v>994</v>
      </c>
      <c r="C132" s="22">
        <v>18.193899999999999</v>
      </c>
      <c r="D132" s="22">
        <v>18.1356</v>
      </c>
      <c r="E132" s="19"/>
      <c r="F132" s="16"/>
      <c r="G132" s="23"/>
    </row>
    <row r="133" spans="1:7" ht="17.100000000000001" customHeight="1" x14ac:dyDescent="0.2">
      <c r="A133" s="19"/>
      <c r="B133" s="3" t="s">
        <v>174</v>
      </c>
      <c r="C133" s="22">
        <v>19.2681</v>
      </c>
      <c r="D133" s="22">
        <v>19.203900000000001</v>
      </c>
      <c r="E133" s="19"/>
      <c r="F133" s="16"/>
      <c r="G133" s="23"/>
    </row>
    <row r="134" spans="1:7" ht="17.100000000000001" customHeight="1" x14ac:dyDescent="0.2">
      <c r="A134" s="19"/>
      <c r="B134" s="3" t="s">
        <v>995</v>
      </c>
      <c r="C134" s="22">
        <v>17.730699999999999</v>
      </c>
      <c r="D134" s="22">
        <v>17.671600000000002</v>
      </c>
      <c r="E134" s="19"/>
      <c r="F134" s="16"/>
      <c r="G134" s="23"/>
    </row>
    <row r="135" spans="1:7" ht="14.1" customHeight="1" x14ac:dyDescent="0.2">
      <c r="A135" s="19"/>
      <c r="B135" s="19"/>
      <c r="C135" s="19"/>
      <c r="D135" s="19"/>
      <c r="E135" s="19"/>
      <c r="F135" s="19"/>
      <c r="G135" s="19"/>
    </row>
    <row r="136" spans="1:7" ht="17.100000000000001" customHeight="1" x14ac:dyDescent="0.2">
      <c r="A136" s="19"/>
      <c r="B136" s="191" t="s">
        <v>1044</v>
      </c>
      <c r="C136" s="192"/>
      <c r="D136" s="2" t="s">
        <v>165</v>
      </c>
      <c r="E136" s="19"/>
      <c r="F136" s="19"/>
      <c r="G136" s="19"/>
    </row>
    <row r="137" spans="1:7" ht="18" customHeight="1" x14ac:dyDescent="0.2">
      <c r="A137" s="19"/>
      <c r="B137" s="24"/>
      <c r="C137" s="24"/>
      <c r="D137" s="24"/>
      <c r="E137" s="19"/>
      <c r="F137" s="19"/>
      <c r="G137" s="19"/>
    </row>
    <row r="138" spans="1:7" ht="29.1" customHeight="1" x14ac:dyDescent="0.2">
      <c r="A138" s="19"/>
      <c r="B138" s="191" t="s">
        <v>175</v>
      </c>
      <c r="C138" s="192"/>
      <c r="D138" s="2" t="s">
        <v>165</v>
      </c>
      <c r="E138" s="25"/>
      <c r="F138" s="19"/>
      <c r="G138" s="19"/>
    </row>
    <row r="139" spans="1:7" ht="29.1" customHeight="1" x14ac:dyDescent="0.2">
      <c r="A139" s="19"/>
      <c r="B139" s="191" t="s">
        <v>176</v>
      </c>
      <c r="C139" s="192"/>
      <c r="D139" s="2" t="s">
        <v>165</v>
      </c>
      <c r="E139" s="25"/>
      <c r="F139" s="19"/>
      <c r="G139" s="19"/>
    </row>
    <row r="140" spans="1:7" ht="17.100000000000001" customHeight="1" x14ac:dyDescent="0.2">
      <c r="A140" s="19"/>
      <c r="B140" s="191" t="s">
        <v>177</v>
      </c>
      <c r="C140" s="192"/>
      <c r="D140" s="2" t="s">
        <v>165</v>
      </c>
      <c r="E140" s="25"/>
      <c r="F140" s="19"/>
      <c r="G140" s="19"/>
    </row>
    <row r="141" spans="1:7" ht="17.100000000000001" customHeight="1" x14ac:dyDescent="0.2">
      <c r="A141" s="19"/>
      <c r="B141" s="191" t="s">
        <v>178</v>
      </c>
      <c r="C141" s="192"/>
      <c r="D141" s="26">
        <v>0.11743849231340404</v>
      </c>
      <c r="E141" s="19"/>
      <c r="F141" s="16"/>
      <c r="G141" s="23"/>
    </row>
    <row r="142" spans="1:7" ht="14.1" customHeight="1" x14ac:dyDescent="0.2">
      <c r="A142" s="24"/>
      <c r="B142" s="24"/>
      <c r="C142" s="24"/>
      <c r="D142" s="24"/>
      <c r="E142" s="24"/>
      <c r="F142" s="24"/>
      <c r="G142" s="24"/>
    </row>
    <row r="156" spans="10:14" x14ac:dyDescent="0.2">
      <c r="J156" s="170"/>
      <c r="K156" s="170"/>
      <c r="L156" s="170"/>
      <c r="M156" s="170"/>
      <c r="N156" s="170"/>
    </row>
  </sheetData>
  <mergeCells count="13">
    <mergeCell ref="J2:N2"/>
    <mergeCell ref="B128:C128"/>
    <mergeCell ref="B125:D125"/>
    <mergeCell ref="B126:C126"/>
    <mergeCell ref="B127:C127"/>
    <mergeCell ref="A1:H1"/>
    <mergeCell ref="A2:H2"/>
    <mergeCell ref="A3:H3"/>
    <mergeCell ref="B141:C141"/>
    <mergeCell ref="B138:C138"/>
    <mergeCell ref="B139:C139"/>
    <mergeCell ref="B140:C140"/>
    <mergeCell ref="B136:C136"/>
  </mergeCells>
  <hyperlinks>
    <hyperlink ref="I1" location="Index!B18" display="Index" xr:uid="{A28DF125-15A3-4C5C-A19B-C0D947FD2071}"/>
  </hyperlinks>
  <pageMargins left="5.000000074505806E-2" right="5.000000074505806E-2" top="0.30000001192092896" bottom="0.20000000298023224" header="0" footer="0"/>
  <pageSetup paperSize="9" orientation="landscape"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N155"/>
  <sheetViews>
    <sheetView showGridLines="0" workbookViewId="0">
      <selection sqref="A1:H1"/>
    </sheetView>
  </sheetViews>
  <sheetFormatPr defaultRowHeight="12.75" x14ac:dyDescent="0.2"/>
  <cols>
    <col min="1" max="1" width="6.570312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7" t="s">
        <v>0</v>
      </c>
      <c r="B1" s="187"/>
      <c r="C1" s="187"/>
      <c r="D1" s="187"/>
      <c r="E1" s="187"/>
      <c r="F1" s="187"/>
      <c r="G1" s="187"/>
      <c r="H1" s="187"/>
      <c r="I1" s="167" t="s">
        <v>1055</v>
      </c>
    </row>
    <row r="2" spans="1:14" ht="17.100000000000001" customHeight="1" x14ac:dyDescent="0.2">
      <c r="A2" s="188" t="s">
        <v>496</v>
      </c>
      <c r="B2" s="189"/>
      <c r="C2" s="189"/>
      <c r="D2" s="189"/>
      <c r="E2" s="189"/>
      <c r="F2" s="189"/>
      <c r="G2" s="189"/>
      <c r="H2" s="190"/>
      <c r="J2" s="186" t="s">
        <v>1056</v>
      </c>
      <c r="K2" s="186"/>
      <c r="L2" s="186"/>
      <c r="M2" s="186"/>
      <c r="N2" s="186"/>
    </row>
    <row r="3" spans="1:14" ht="21" customHeight="1" x14ac:dyDescent="0.2">
      <c r="A3" s="187" t="s">
        <v>1052</v>
      </c>
      <c r="B3" s="187"/>
      <c r="C3" s="187"/>
      <c r="D3" s="187"/>
      <c r="E3" s="187"/>
      <c r="F3" s="187"/>
      <c r="G3" s="187"/>
      <c r="H3" s="187"/>
    </row>
    <row r="4" spans="1:14" ht="30" x14ac:dyDescent="0.2">
      <c r="A4" s="163" t="s">
        <v>2</v>
      </c>
      <c r="B4" s="164" t="s">
        <v>3</v>
      </c>
      <c r="C4" s="164" t="s">
        <v>4</v>
      </c>
      <c r="D4" s="164" t="s">
        <v>5</v>
      </c>
      <c r="E4" s="164" t="s">
        <v>6</v>
      </c>
      <c r="F4" s="164" t="s">
        <v>7</v>
      </c>
      <c r="G4" s="164" t="s">
        <v>8</v>
      </c>
      <c r="H4" s="120" t="s">
        <v>881</v>
      </c>
      <c r="I4" s="165"/>
      <c r="J4" s="165"/>
      <c r="K4" s="165"/>
      <c r="L4" s="165"/>
      <c r="M4" s="165"/>
      <c r="N4" s="165"/>
    </row>
    <row r="5" spans="1:14" ht="14.1" customHeight="1" x14ac:dyDescent="0.2">
      <c r="A5" s="99"/>
      <c r="B5" s="1"/>
      <c r="C5" s="2" t="s">
        <v>9</v>
      </c>
      <c r="D5" s="1"/>
      <c r="E5" s="1"/>
      <c r="F5" s="1"/>
      <c r="G5" s="1"/>
      <c r="H5" s="109"/>
    </row>
    <row r="6" spans="1:14" ht="24" customHeight="1" x14ac:dyDescent="0.2">
      <c r="A6" s="99"/>
      <c r="B6" s="1"/>
      <c r="C6" s="2" t="s">
        <v>10</v>
      </c>
      <c r="D6" s="1"/>
      <c r="E6" s="1"/>
      <c r="F6" s="1"/>
      <c r="G6" s="1"/>
      <c r="H6" s="109"/>
    </row>
    <row r="7" spans="1:14" ht="17.100000000000001" customHeight="1" x14ac:dyDescent="0.2">
      <c r="A7" s="100">
        <v>1</v>
      </c>
      <c r="B7" s="3" t="s">
        <v>371</v>
      </c>
      <c r="C7" s="3" t="s">
        <v>372</v>
      </c>
      <c r="D7" s="3" t="s">
        <v>22</v>
      </c>
      <c r="E7" s="4">
        <v>205102</v>
      </c>
      <c r="F7" s="5">
        <v>146.64793</v>
      </c>
      <c r="G7" s="6">
        <v>4.7169299999999997E-2</v>
      </c>
      <c r="H7" s="109"/>
    </row>
    <row r="8" spans="1:14" ht="17.100000000000001" customHeight="1" x14ac:dyDescent="0.2">
      <c r="A8" s="100">
        <v>2</v>
      </c>
      <c r="B8" s="3" t="s">
        <v>72</v>
      </c>
      <c r="C8" s="3" t="s">
        <v>73</v>
      </c>
      <c r="D8" s="3" t="s">
        <v>31</v>
      </c>
      <c r="E8" s="4">
        <v>7749</v>
      </c>
      <c r="F8" s="5">
        <v>125.9406225</v>
      </c>
      <c r="G8" s="6">
        <v>4.0508799999999998E-2</v>
      </c>
      <c r="H8" s="109"/>
    </row>
    <row r="9" spans="1:14" ht="17.100000000000001" customHeight="1" x14ac:dyDescent="0.2">
      <c r="A9" s="100">
        <v>3</v>
      </c>
      <c r="B9" s="3" t="s">
        <v>408</v>
      </c>
      <c r="C9" s="3" t="s">
        <v>409</v>
      </c>
      <c r="D9" s="3" t="s">
        <v>115</v>
      </c>
      <c r="E9" s="4">
        <v>5646</v>
      </c>
      <c r="F9" s="5">
        <v>114.119775</v>
      </c>
      <c r="G9" s="6">
        <v>3.6706620000000002E-2</v>
      </c>
      <c r="H9" s="109"/>
    </row>
    <row r="10" spans="1:14" ht="17.100000000000001" customHeight="1" x14ac:dyDescent="0.2">
      <c r="A10" s="100">
        <v>4</v>
      </c>
      <c r="B10" s="3" t="s">
        <v>29</v>
      </c>
      <c r="C10" s="3" t="s">
        <v>30</v>
      </c>
      <c r="D10" s="3" t="s">
        <v>31</v>
      </c>
      <c r="E10" s="4">
        <v>5766</v>
      </c>
      <c r="F10" s="5">
        <v>110.456379</v>
      </c>
      <c r="G10" s="6">
        <v>3.5528289999999997E-2</v>
      </c>
      <c r="H10" s="109"/>
    </row>
    <row r="11" spans="1:14" ht="17.100000000000001" customHeight="1" x14ac:dyDescent="0.2">
      <c r="A11" s="100">
        <v>5</v>
      </c>
      <c r="B11" s="3" t="s">
        <v>461</v>
      </c>
      <c r="C11" s="3" t="s">
        <v>462</v>
      </c>
      <c r="D11" s="3" t="s">
        <v>996</v>
      </c>
      <c r="E11" s="4">
        <v>12907</v>
      </c>
      <c r="F11" s="5">
        <v>107.0829255</v>
      </c>
      <c r="G11" s="6">
        <v>3.4443219999999997E-2</v>
      </c>
      <c r="H11" s="109"/>
    </row>
    <row r="12" spans="1:14" ht="17.100000000000001" customHeight="1" x14ac:dyDescent="0.2">
      <c r="A12" s="100">
        <v>6</v>
      </c>
      <c r="B12" s="3" t="s">
        <v>400</v>
      </c>
      <c r="C12" s="3" t="s">
        <v>401</v>
      </c>
      <c r="D12" s="3" t="s">
        <v>210</v>
      </c>
      <c r="E12" s="4">
        <v>35324</v>
      </c>
      <c r="F12" s="5">
        <v>98.659931999999998</v>
      </c>
      <c r="G12" s="6">
        <v>3.173397E-2</v>
      </c>
      <c r="H12" s="109"/>
    </row>
    <row r="13" spans="1:14" ht="29.1" customHeight="1" x14ac:dyDescent="0.2">
      <c r="A13" s="100">
        <v>7</v>
      </c>
      <c r="B13" s="3" t="s">
        <v>186</v>
      </c>
      <c r="C13" s="3" t="s">
        <v>187</v>
      </c>
      <c r="D13" s="3" t="s">
        <v>188</v>
      </c>
      <c r="E13" s="4">
        <v>2356</v>
      </c>
      <c r="F13" s="5">
        <v>97.258036000000004</v>
      </c>
      <c r="G13" s="6">
        <v>3.128305E-2</v>
      </c>
      <c r="H13" s="109"/>
      <c r="J13" s="169" t="s">
        <v>1066</v>
      </c>
    </row>
    <row r="14" spans="1:14" ht="17.100000000000001" customHeight="1" x14ac:dyDescent="0.2">
      <c r="A14" s="100">
        <v>8</v>
      </c>
      <c r="B14" s="3" t="s">
        <v>416</v>
      </c>
      <c r="C14" s="3" t="s">
        <v>417</v>
      </c>
      <c r="D14" s="3" t="s">
        <v>115</v>
      </c>
      <c r="E14" s="4">
        <v>18118</v>
      </c>
      <c r="F14" s="5">
        <v>91.613667000000007</v>
      </c>
      <c r="G14" s="6">
        <v>2.9467529999999999E-2</v>
      </c>
      <c r="H14" s="109"/>
    </row>
    <row r="15" spans="1:14" ht="17.100000000000001" customHeight="1" x14ac:dyDescent="0.2">
      <c r="A15" s="100">
        <v>9</v>
      </c>
      <c r="B15" s="3" t="s">
        <v>446</v>
      </c>
      <c r="C15" s="3" t="s">
        <v>447</v>
      </c>
      <c r="D15" s="3" t="s">
        <v>13</v>
      </c>
      <c r="E15" s="4">
        <v>17176</v>
      </c>
      <c r="F15" s="5">
        <v>91.032799999999995</v>
      </c>
      <c r="G15" s="6">
        <v>2.92807E-2</v>
      </c>
      <c r="H15" s="109"/>
    </row>
    <row r="16" spans="1:14" ht="17.100000000000001" customHeight="1" x14ac:dyDescent="0.2">
      <c r="A16" s="100">
        <v>10</v>
      </c>
      <c r="B16" s="3" t="s">
        <v>95</v>
      </c>
      <c r="C16" s="3" t="s">
        <v>96</v>
      </c>
      <c r="D16" s="3" t="s">
        <v>97</v>
      </c>
      <c r="E16" s="4">
        <v>18429</v>
      </c>
      <c r="F16" s="5">
        <v>89.869018499999996</v>
      </c>
      <c r="G16" s="6">
        <v>2.8906370000000001E-2</v>
      </c>
      <c r="H16" s="109"/>
    </row>
    <row r="17" spans="1:8" ht="17.100000000000001" customHeight="1" x14ac:dyDescent="0.2">
      <c r="A17" s="100">
        <v>11</v>
      </c>
      <c r="B17" s="3" t="s">
        <v>113</v>
      </c>
      <c r="C17" s="3" t="s">
        <v>114</v>
      </c>
      <c r="D17" s="3" t="s">
        <v>115</v>
      </c>
      <c r="E17" s="4">
        <v>31555</v>
      </c>
      <c r="F17" s="5">
        <v>88.495997500000001</v>
      </c>
      <c r="G17" s="6">
        <v>2.8464739999999999E-2</v>
      </c>
      <c r="H17" s="109"/>
    </row>
    <row r="18" spans="1:8" ht="17.100000000000001" customHeight="1" x14ac:dyDescent="0.2">
      <c r="A18" s="100">
        <v>12</v>
      </c>
      <c r="B18" s="3" t="s">
        <v>37</v>
      </c>
      <c r="C18" s="3" t="s">
        <v>38</v>
      </c>
      <c r="D18" s="3" t="s">
        <v>31</v>
      </c>
      <c r="E18" s="4">
        <v>4869</v>
      </c>
      <c r="F18" s="5">
        <v>87.870842999999994</v>
      </c>
      <c r="G18" s="6">
        <v>2.8263650000000001E-2</v>
      </c>
      <c r="H18" s="109"/>
    </row>
    <row r="19" spans="1:8" ht="17.100000000000001" customHeight="1" x14ac:dyDescent="0.2">
      <c r="A19" s="100">
        <v>13</v>
      </c>
      <c r="B19" s="3" t="s">
        <v>305</v>
      </c>
      <c r="C19" s="3" t="s">
        <v>306</v>
      </c>
      <c r="D19" s="3" t="s">
        <v>242</v>
      </c>
      <c r="E19" s="4">
        <v>5434</v>
      </c>
      <c r="F19" s="5">
        <v>82.498987999999997</v>
      </c>
      <c r="G19" s="6">
        <v>2.6535799999999998E-2</v>
      </c>
      <c r="H19" s="109"/>
    </row>
    <row r="20" spans="1:8" ht="17.100000000000001" customHeight="1" x14ac:dyDescent="0.2">
      <c r="A20" s="100">
        <v>14</v>
      </c>
      <c r="B20" s="3" t="s">
        <v>332</v>
      </c>
      <c r="C20" s="3" t="s">
        <v>333</v>
      </c>
      <c r="D20" s="3" t="s">
        <v>334</v>
      </c>
      <c r="E20" s="4">
        <v>7740</v>
      </c>
      <c r="F20" s="5">
        <v>78.913169999999994</v>
      </c>
      <c r="G20" s="6">
        <v>2.5382419999999999E-2</v>
      </c>
      <c r="H20" s="109"/>
    </row>
    <row r="21" spans="1:8" ht="17.100000000000001" customHeight="1" x14ac:dyDescent="0.2">
      <c r="A21" s="100">
        <v>15</v>
      </c>
      <c r="B21" s="3" t="s">
        <v>318</v>
      </c>
      <c r="C21" s="3" t="s">
        <v>319</v>
      </c>
      <c r="D21" s="3" t="s">
        <v>235</v>
      </c>
      <c r="E21" s="4">
        <v>6161</v>
      </c>
      <c r="F21" s="5">
        <v>76.328629000000006</v>
      </c>
      <c r="G21" s="6">
        <v>2.4551099999999999E-2</v>
      </c>
      <c r="H21" s="109"/>
    </row>
    <row r="22" spans="1:8" ht="17.100000000000001" customHeight="1" x14ac:dyDescent="0.2">
      <c r="A22" s="100">
        <v>16</v>
      </c>
      <c r="B22" s="3" t="s">
        <v>402</v>
      </c>
      <c r="C22" s="3" t="s">
        <v>403</v>
      </c>
      <c r="D22" s="3" t="s">
        <v>120</v>
      </c>
      <c r="E22" s="4">
        <v>12457</v>
      </c>
      <c r="F22" s="5">
        <v>71.652664000000001</v>
      </c>
      <c r="G22" s="6">
        <v>2.3047080000000001E-2</v>
      </c>
      <c r="H22" s="109"/>
    </row>
    <row r="23" spans="1:8" ht="29.1" customHeight="1" x14ac:dyDescent="0.2">
      <c r="A23" s="100">
        <v>17</v>
      </c>
      <c r="B23" s="3" t="s">
        <v>87</v>
      </c>
      <c r="C23" s="3" t="s">
        <v>88</v>
      </c>
      <c r="D23" s="3" t="s">
        <v>25</v>
      </c>
      <c r="E23" s="4">
        <v>2480</v>
      </c>
      <c r="F23" s="5">
        <v>68.562079999999995</v>
      </c>
      <c r="G23" s="6">
        <v>2.2052990000000001E-2</v>
      </c>
      <c r="H23" s="109"/>
    </row>
    <row r="24" spans="1:8" ht="17.100000000000001" customHeight="1" x14ac:dyDescent="0.2">
      <c r="A24" s="100">
        <v>18</v>
      </c>
      <c r="B24" s="3" t="s">
        <v>384</v>
      </c>
      <c r="C24" s="3" t="s">
        <v>385</v>
      </c>
      <c r="D24" s="3" t="s">
        <v>334</v>
      </c>
      <c r="E24" s="4">
        <v>4793</v>
      </c>
      <c r="F24" s="5">
        <v>67.229014500000005</v>
      </c>
      <c r="G24" s="6">
        <v>2.1624210000000001E-2</v>
      </c>
      <c r="H24" s="109"/>
    </row>
    <row r="25" spans="1:8" ht="29.1" customHeight="1" x14ac:dyDescent="0.2">
      <c r="A25" s="100">
        <v>19</v>
      </c>
      <c r="B25" s="3" t="s">
        <v>412</v>
      </c>
      <c r="C25" s="3" t="s">
        <v>413</v>
      </c>
      <c r="D25" s="3" t="s">
        <v>221</v>
      </c>
      <c r="E25" s="4">
        <v>18366</v>
      </c>
      <c r="F25" s="5">
        <v>65.943123</v>
      </c>
      <c r="G25" s="6">
        <v>2.12106E-2</v>
      </c>
      <c r="H25" s="109"/>
    </row>
    <row r="26" spans="1:8" ht="29.1" customHeight="1" x14ac:dyDescent="0.2">
      <c r="A26" s="100">
        <v>20</v>
      </c>
      <c r="B26" s="3" t="s">
        <v>379</v>
      </c>
      <c r="C26" s="3" t="s">
        <v>380</v>
      </c>
      <c r="D26" s="3" t="s">
        <v>62</v>
      </c>
      <c r="E26" s="4">
        <v>3181</v>
      </c>
      <c r="F26" s="5">
        <v>63.650219499999999</v>
      </c>
      <c r="G26" s="6">
        <v>2.0473089999999999E-2</v>
      </c>
      <c r="H26" s="109"/>
    </row>
    <row r="27" spans="1:8" ht="29.1" customHeight="1" x14ac:dyDescent="0.2">
      <c r="A27" s="100">
        <v>21</v>
      </c>
      <c r="B27" s="3" t="s">
        <v>494</v>
      </c>
      <c r="C27" s="3" t="s">
        <v>495</v>
      </c>
      <c r="D27" s="3" t="s">
        <v>52</v>
      </c>
      <c r="E27" s="4">
        <v>23991</v>
      </c>
      <c r="F27" s="5">
        <v>62.448573000000003</v>
      </c>
      <c r="G27" s="6">
        <v>2.008658E-2</v>
      </c>
      <c r="H27" s="109"/>
    </row>
    <row r="28" spans="1:8" ht="17.100000000000001" customHeight="1" x14ac:dyDescent="0.2">
      <c r="A28" s="100">
        <v>22</v>
      </c>
      <c r="B28" s="3" t="s">
        <v>410</v>
      </c>
      <c r="C28" s="3" t="s">
        <v>411</v>
      </c>
      <c r="D28" s="3" t="s">
        <v>235</v>
      </c>
      <c r="E28" s="4">
        <v>9165</v>
      </c>
      <c r="F28" s="5">
        <v>59.453355000000002</v>
      </c>
      <c r="G28" s="6">
        <v>1.9123169999999998E-2</v>
      </c>
      <c r="H28" s="109"/>
    </row>
    <row r="29" spans="1:8" ht="29.1" customHeight="1" x14ac:dyDescent="0.2">
      <c r="A29" s="100">
        <v>23</v>
      </c>
      <c r="B29" s="3" t="s">
        <v>466</v>
      </c>
      <c r="C29" s="3" t="s">
        <v>467</v>
      </c>
      <c r="D29" s="3" t="s">
        <v>468</v>
      </c>
      <c r="E29" s="4">
        <v>13939</v>
      </c>
      <c r="F29" s="5">
        <v>59.045603999999997</v>
      </c>
      <c r="G29" s="6">
        <v>1.8992019999999998E-2</v>
      </c>
      <c r="H29" s="109"/>
    </row>
    <row r="30" spans="1:8" ht="17.100000000000001" customHeight="1" x14ac:dyDescent="0.2">
      <c r="A30" s="100">
        <v>24</v>
      </c>
      <c r="B30" s="3" t="s">
        <v>471</v>
      </c>
      <c r="C30" s="3" t="s">
        <v>472</v>
      </c>
      <c r="D30" s="3" t="s">
        <v>235</v>
      </c>
      <c r="E30" s="4">
        <v>31256</v>
      </c>
      <c r="F30" s="5">
        <v>58.730024</v>
      </c>
      <c r="G30" s="6">
        <v>1.8890509999999999E-2</v>
      </c>
      <c r="H30" s="109"/>
    </row>
    <row r="31" spans="1:8" ht="17.100000000000001" customHeight="1" x14ac:dyDescent="0.2">
      <c r="A31" s="100">
        <v>25</v>
      </c>
      <c r="B31" s="3" t="s">
        <v>433</v>
      </c>
      <c r="C31" s="3" t="s">
        <v>434</v>
      </c>
      <c r="D31" s="3" t="s">
        <v>997</v>
      </c>
      <c r="E31" s="4">
        <v>5920</v>
      </c>
      <c r="F31" s="5">
        <v>55.902560000000001</v>
      </c>
      <c r="G31" s="6">
        <v>1.798106E-2</v>
      </c>
      <c r="H31" s="109"/>
    </row>
    <row r="32" spans="1:8" ht="29.1" customHeight="1" x14ac:dyDescent="0.2">
      <c r="A32" s="100">
        <v>26</v>
      </c>
      <c r="B32" s="3" t="s">
        <v>406</v>
      </c>
      <c r="C32" s="3" t="s">
        <v>407</v>
      </c>
      <c r="D32" s="3" t="s">
        <v>52</v>
      </c>
      <c r="E32" s="4">
        <v>3088</v>
      </c>
      <c r="F32" s="5">
        <v>52.398727999999998</v>
      </c>
      <c r="G32" s="6">
        <v>1.6854049999999999E-2</v>
      </c>
      <c r="H32" s="109"/>
    </row>
    <row r="33" spans="1:8" ht="17.100000000000001" customHeight="1" x14ac:dyDescent="0.2">
      <c r="A33" s="100">
        <v>27</v>
      </c>
      <c r="B33" s="3" t="s">
        <v>375</v>
      </c>
      <c r="C33" s="3" t="s">
        <v>376</v>
      </c>
      <c r="D33" s="3" t="s">
        <v>120</v>
      </c>
      <c r="E33" s="4">
        <v>7127</v>
      </c>
      <c r="F33" s="5">
        <v>51.645805500000002</v>
      </c>
      <c r="G33" s="6">
        <v>1.6611870000000001E-2</v>
      </c>
      <c r="H33" s="109"/>
    </row>
    <row r="34" spans="1:8" ht="17.100000000000001" customHeight="1" x14ac:dyDescent="0.2">
      <c r="A34" s="100">
        <v>28</v>
      </c>
      <c r="B34" s="3" t="s">
        <v>424</v>
      </c>
      <c r="C34" s="3" t="s">
        <v>425</v>
      </c>
      <c r="D34" s="3" t="s">
        <v>253</v>
      </c>
      <c r="E34" s="4">
        <v>35822</v>
      </c>
      <c r="F34" s="5">
        <v>51.350836999999999</v>
      </c>
      <c r="G34" s="6">
        <v>1.6517E-2</v>
      </c>
      <c r="H34" s="109"/>
    </row>
    <row r="35" spans="1:8" ht="29.1" customHeight="1" x14ac:dyDescent="0.2">
      <c r="A35" s="100">
        <v>29</v>
      </c>
      <c r="B35" s="3" t="s">
        <v>443</v>
      </c>
      <c r="C35" s="3" t="s">
        <v>444</v>
      </c>
      <c r="D35" s="3" t="s">
        <v>445</v>
      </c>
      <c r="E35" s="4">
        <v>8921</v>
      </c>
      <c r="F35" s="5">
        <v>48.793409500000003</v>
      </c>
      <c r="G35" s="6">
        <v>1.5694400000000001E-2</v>
      </c>
      <c r="H35" s="109"/>
    </row>
    <row r="36" spans="1:8" ht="29.1" customHeight="1" x14ac:dyDescent="0.2">
      <c r="A36" s="100">
        <v>30</v>
      </c>
      <c r="B36" s="3" t="s">
        <v>381</v>
      </c>
      <c r="C36" s="3" t="s">
        <v>382</v>
      </c>
      <c r="D36" s="3" t="s">
        <v>383</v>
      </c>
      <c r="E36" s="4">
        <v>47711</v>
      </c>
      <c r="F36" s="5">
        <v>47.233890000000002</v>
      </c>
      <c r="G36" s="6">
        <v>1.5192779999999999E-2</v>
      </c>
      <c r="H36" s="109"/>
    </row>
    <row r="37" spans="1:8" ht="17.100000000000001" customHeight="1" x14ac:dyDescent="0.2">
      <c r="A37" s="100">
        <v>31</v>
      </c>
      <c r="B37" s="3" t="s">
        <v>441</v>
      </c>
      <c r="C37" s="3" t="s">
        <v>442</v>
      </c>
      <c r="D37" s="3" t="s">
        <v>120</v>
      </c>
      <c r="E37" s="4">
        <v>60160</v>
      </c>
      <c r="F37" s="5">
        <v>45.721600000000002</v>
      </c>
      <c r="G37" s="6">
        <v>1.470635E-2</v>
      </c>
      <c r="H37" s="109"/>
    </row>
    <row r="38" spans="1:8" ht="29.1" customHeight="1" x14ac:dyDescent="0.2">
      <c r="A38" s="100">
        <v>32</v>
      </c>
      <c r="B38" s="3" t="s">
        <v>393</v>
      </c>
      <c r="C38" s="3" t="s">
        <v>394</v>
      </c>
      <c r="D38" s="3" t="s">
        <v>191</v>
      </c>
      <c r="E38" s="4">
        <v>8645</v>
      </c>
      <c r="F38" s="5">
        <v>43.428157499999998</v>
      </c>
      <c r="G38" s="6">
        <v>1.3968670000000001E-2</v>
      </c>
      <c r="H38" s="109"/>
    </row>
    <row r="39" spans="1:8" ht="17.100000000000001" customHeight="1" x14ac:dyDescent="0.2">
      <c r="A39" s="100">
        <v>33</v>
      </c>
      <c r="B39" s="3" t="s">
        <v>388</v>
      </c>
      <c r="C39" s="3" t="s">
        <v>389</v>
      </c>
      <c r="D39" s="3" t="s">
        <v>115</v>
      </c>
      <c r="E39" s="4">
        <v>10328</v>
      </c>
      <c r="F39" s="5">
        <v>42.272503999999998</v>
      </c>
      <c r="G39" s="6">
        <v>1.359695E-2</v>
      </c>
      <c r="H39" s="109"/>
    </row>
    <row r="40" spans="1:8" ht="17.100000000000001" customHeight="1" x14ac:dyDescent="0.2">
      <c r="A40" s="100">
        <v>34</v>
      </c>
      <c r="B40" s="3" t="s">
        <v>435</v>
      </c>
      <c r="C40" s="3" t="s">
        <v>436</v>
      </c>
      <c r="D40" s="3" t="s">
        <v>47</v>
      </c>
      <c r="E40" s="4">
        <v>11552</v>
      </c>
      <c r="F40" s="5">
        <v>39.773536</v>
      </c>
      <c r="G40" s="6">
        <v>1.279316E-2</v>
      </c>
      <c r="H40" s="109"/>
    </row>
    <row r="41" spans="1:8" ht="17.100000000000001" customHeight="1" x14ac:dyDescent="0.2">
      <c r="A41" s="100">
        <v>35</v>
      </c>
      <c r="B41" s="3" t="s">
        <v>377</v>
      </c>
      <c r="C41" s="3" t="s">
        <v>378</v>
      </c>
      <c r="D41" s="3" t="s">
        <v>13</v>
      </c>
      <c r="E41" s="4">
        <v>50158</v>
      </c>
      <c r="F41" s="5">
        <v>37.392789</v>
      </c>
      <c r="G41" s="6">
        <v>1.2027390000000001E-2</v>
      </c>
      <c r="H41" s="109"/>
    </row>
    <row r="42" spans="1:8" ht="17.100000000000001" customHeight="1" x14ac:dyDescent="0.2">
      <c r="A42" s="100">
        <v>36</v>
      </c>
      <c r="B42" s="3" t="s">
        <v>231</v>
      </c>
      <c r="C42" s="3" t="s">
        <v>232</v>
      </c>
      <c r="D42" s="3" t="s">
        <v>80</v>
      </c>
      <c r="E42" s="4">
        <v>692</v>
      </c>
      <c r="F42" s="5">
        <v>33.570996000000001</v>
      </c>
      <c r="G42" s="6">
        <v>1.079811E-2</v>
      </c>
      <c r="H42" s="109"/>
    </row>
    <row r="43" spans="1:8" ht="29.1" customHeight="1" x14ac:dyDescent="0.2">
      <c r="A43" s="100">
        <v>37</v>
      </c>
      <c r="B43" s="3" t="s">
        <v>463</v>
      </c>
      <c r="C43" s="3" t="s">
        <v>464</v>
      </c>
      <c r="D43" s="3" t="s">
        <v>188</v>
      </c>
      <c r="E43" s="4">
        <v>5097</v>
      </c>
      <c r="F43" s="5">
        <v>32.883295500000003</v>
      </c>
      <c r="G43" s="6">
        <v>1.057691E-2</v>
      </c>
      <c r="H43" s="109"/>
    </row>
    <row r="44" spans="1:8" ht="17.100000000000001" customHeight="1" x14ac:dyDescent="0.2">
      <c r="A44" s="100">
        <v>38</v>
      </c>
      <c r="B44" s="3" t="s">
        <v>450</v>
      </c>
      <c r="C44" s="3" t="s">
        <v>451</v>
      </c>
      <c r="D44" s="3" t="s">
        <v>80</v>
      </c>
      <c r="E44" s="4">
        <v>3503</v>
      </c>
      <c r="F44" s="5">
        <v>31.346595499999999</v>
      </c>
      <c r="G44" s="6">
        <v>1.008263E-2</v>
      </c>
      <c r="H44" s="109"/>
    </row>
    <row r="45" spans="1:8" ht="29.1" customHeight="1" x14ac:dyDescent="0.2">
      <c r="A45" s="100">
        <v>39</v>
      </c>
      <c r="B45" s="3" t="s">
        <v>390</v>
      </c>
      <c r="C45" s="3" t="s">
        <v>391</v>
      </c>
      <c r="D45" s="3" t="s">
        <v>392</v>
      </c>
      <c r="E45" s="4">
        <v>8672</v>
      </c>
      <c r="F45" s="5">
        <v>31.097791999999998</v>
      </c>
      <c r="G45" s="6">
        <v>1.00026E-2</v>
      </c>
      <c r="H45" s="109"/>
    </row>
    <row r="46" spans="1:8" ht="17.100000000000001" customHeight="1" x14ac:dyDescent="0.2">
      <c r="A46" s="100">
        <v>40</v>
      </c>
      <c r="B46" s="3" t="s">
        <v>386</v>
      </c>
      <c r="C46" s="3" t="s">
        <v>387</v>
      </c>
      <c r="D46" s="3" t="s">
        <v>228</v>
      </c>
      <c r="E46" s="4">
        <v>5116</v>
      </c>
      <c r="F46" s="5">
        <v>30.332764000000001</v>
      </c>
      <c r="G46" s="6">
        <v>9.7565299999999994E-3</v>
      </c>
      <c r="H46" s="109"/>
    </row>
    <row r="47" spans="1:8" ht="17.100000000000001" customHeight="1" x14ac:dyDescent="0.2">
      <c r="A47" s="100">
        <v>41</v>
      </c>
      <c r="B47" s="3" t="s">
        <v>480</v>
      </c>
      <c r="C47" s="3" t="s">
        <v>481</v>
      </c>
      <c r="D47" s="3" t="s">
        <v>31</v>
      </c>
      <c r="E47" s="4">
        <v>4549</v>
      </c>
      <c r="F47" s="5">
        <v>29.145443</v>
      </c>
      <c r="G47" s="6">
        <v>9.3746300000000001E-3</v>
      </c>
      <c r="H47" s="109"/>
    </row>
    <row r="48" spans="1:8" ht="29.1" customHeight="1" x14ac:dyDescent="0.2">
      <c r="A48" s="100">
        <v>42</v>
      </c>
      <c r="B48" s="3" t="s">
        <v>426</v>
      </c>
      <c r="C48" s="3" t="s">
        <v>427</v>
      </c>
      <c r="D48" s="3" t="s">
        <v>115</v>
      </c>
      <c r="E48" s="4">
        <v>2514</v>
      </c>
      <c r="F48" s="5">
        <v>29.109605999999999</v>
      </c>
      <c r="G48" s="6">
        <v>9.3630999999999992E-3</v>
      </c>
      <c r="H48" s="109"/>
    </row>
    <row r="49" spans="1:8" ht="29.1" customHeight="1" x14ac:dyDescent="0.2">
      <c r="A49" s="100">
        <v>43</v>
      </c>
      <c r="B49" s="3" t="s">
        <v>452</v>
      </c>
      <c r="C49" s="3" t="s">
        <v>453</v>
      </c>
      <c r="D49" s="3" t="s">
        <v>392</v>
      </c>
      <c r="E49" s="4">
        <v>7893</v>
      </c>
      <c r="F49" s="5">
        <v>27.901755000000001</v>
      </c>
      <c r="G49" s="6">
        <v>8.9745999999999992E-3</v>
      </c>
      <c r="H49" s="109"/>
    </row>
    <row r="50" spans="1:8" ht="17.100000000000001" customHeight="1" x14ac:dyDescent="0.2">
      <c r="A50" s="100">
        <v>44</v>
      </c>
      <c r="B50" s="3" t="s">
        <v>428</v>
      </c>
      <c r="C50" s="3" t="s">
        <v>429</v>
      </c>
      <c r="D50" s="3" t="s">
        <v>213</v>
      </c>
      <c r="E50" s="4">
        <v>3248</v>
      </c>
      <c r="F50" s="5">
        <v>23.673048000000001</v>
      </c>
      <c r="G50" s="6">
        <v>7.6144400000000001E-3</v>
      </c>
      <c r="H50" s="109"/>
    </row>
    <row r="51" spans="1:8" ht="29.1" customHeight="1" x14ac:dyDescent="0.2">
      <c r="A51" s="100">
        <v>45</v>
      </c>
      <c r="B51" s="3" t="s">
        <v>422</v>
      </c>
      <c r="C51" s="3" t="s">
        <v>423</v>
      </c>
      <c r="D51" s="3" t="s">
        <v>221</v>
      </c>
      <c r="E51" s="4">
        <v>482</v>
      </c>
      <c r="F51" s="5">
        <v>22.543140000000001</v>
      </c>
      <c r="G51" s="6">
        <v>7.2509999999999996E-3</v>
      </c>
      <c r="H51" s="109"/>
    </row>
    <row r="52" spans="1:8" ht="17.100000000000001" customHeight="1" x14ac:dyDescent="0.2">
      <c r="A52" s="100">
        <v>46</v>
      </c>
      <c r="B52" s="3" t="s">
        <v>420</v>
      </c>
      <c r="C52" s="3" t="s">
        <v>421</v>
      </c>
      <c r="D52" s="3" t="s">
        <v>22</v>
      </c>
      <c r="E52" s="4">
        <v>8773</v>
      </c>
      <c r="F52" s="5">
        <v>20.094556499999999</v>
      </c>
      <c r="G52" s="6">
        <v>6.4634100000000002E-3</v>
      </c>
      <c r="H52" s="109"/>
    </row>
    <row r="53" spans="1:8" ht="17.100000000000001" customHeight="1" x14ac:dyDescent="0.2">
      <c r="A53" s="100">
        <v>47</v>
      </c>
      <c r="B53" s="3" t="s">
        <v>454</v>
      </c>
      <c r="C53" s="3" t="s">
        <v>455</v>
      </c>
      <c r="D53" s="3" t="s">
        <v>31</v>
      </c>
      <c r="E53" s="4">
        <v>2157</v>
      </c>
      <c r="F53" s="5">
        <v>18.048697499999999</v>
      </c>
      <c r="G53" s="6">
        <v>5.8053599999999999E-3</v>
      </c>
      <c r="H53" s="109"/>
    </row>
    <row r="54" spans="1:8" ht="17.100000000000001" customHeight="1" x14ac:dyDescent="0.2">
      <c r="A54" s="100">
        <v>48</v>
      </c>
      <c r="B54" s="3" t="s">
        <v>123</v>
      </c>
      <c r="C54" s="3" t="s">
        <v>124</v>
      </c>
      <c r="D54" s="3" t="s">
        <v>115</v>
      </c>
      <c r="E54" s="4">
        <v>937</v>
      </c>
      <c r="F54" s="5">
        <v>17.669477499999999</v>
      </c>
      <c r="G54" s="6">
        <v>5.68339E-3</v>
      </c>
      <c r="H54" s="109"/>
    </row>
    <row r="55" spans="1:8" ht="17.100000000000001" customHeight="1" x14ac:dyDescent="0.2">
      <c r="A55" s="100">
        <v>49</v>
      </c>
      <c r="B55" s="3" t="s">
        <v>330</v>
      </c>
      <c r="C55" s="3" t="s">
        <v>331</v>
      </c>
      <c r="D55" s="3" t="s">
        <v>97</v>
      </c>
      <c r="E55" s="4">
        <v>21625</v>
      </c>
      <c r="F55" s="5">
        <v>13.88325</v>
      </c>
      <c r="G55" s="6">
        <v>4.4655500000000004E-3</v>
      </c>
      <c r="H55" s="109"/>
    </row>
    <row r="56" spans="1:8" ht="29.1" customHeight="1" x14ac:dyDescent="0.2">
      <c r="A56" s="100">
        <v>50</v>
      </c>
      <c r="B56" s="3" t="s">
        <v>430</v>
      </c>
      <c r="C56" s="3" t="s">
        <v>431</v>
      </c>
      <c r="D56" s="3" t="s">
        <v>188</v>
      </c>
      <c r="E56" s="4">
        <v>1745</v>
      </c>
      <c r="F56" s="5">
        <v>7.0436924999999997</v>
      </c>
      <c r="G56" s="6">
        <v>2.2656E-3</v>
      </c>
      <c r="H56" s="109"/>
    </row>
    <row r="57" spans="1:8" ht="29.1" customHeight="1" x14ac:dyDescent="0.2">
      <c r="A57" s="100">
        <v>51</v>
      </c>
      <c r="B57" s="3" t="s">
        <v>456</v>
      </c>
      <c r="C57" s="3" t="s">
        <v>457</v>
      </c>
      <c r="D57" s="3" t="s">
        <v>221</v>
      </c>
      <c r="E57" s="4">
        <v>1757</v>
      </c>
      <c r="F57" s="5">
        <v>4.4829854999999998</v>
      </c>
      <c r="G57" s="6">
        <v>1.44195E-3</v>
      </c>
      <c r="H57" s="109"/>
    </row>
    <row r="58" spans="1:8" ht="14.1" customHeight="1" x14ac:dyDescent="0.2">
      <c r="A58" s="99"/>
      <c r="B58" s="1"/>
      <c r="C58" s="2" t="s">
        <v>135</v>
      </c>
      <c r="D58" s="1"/>
      <c r="E58" s="1" t="s">
        <v>136</v>
      </c>
      <c r="F58" s="8">
        <v>2952.2442809999998</v>
      </c>
      <c r="G58" s="9">
        <v>0.94958929999999997</v>
      </c>
      <c r="H58" s="109"/>
    </row>
    <row r="59" spans="1:8" ht="14.1" customHeight="1" x14ac:dyDescent="0.2">
      <c r="A59" s="99"/>
      <c r="B59" s="1"/>
      <c r="C59" s="10"/>
      <c r="D59" s="1"/>
      <c r="E59" s="1"/>
      <c r="F59" s="11"/>
      <c r="G59" s="11"/>
      <c r="H59" s="109"/>
    </row>
    <row r="60" spans="1:8" ht="14.1" customHeight="1" x14ac:dyDescent="0.2">
      <c r="A60" s="99"/>
      <c r="B60" s="1"/>
      <c r="C60" s="2" t="s">
        <v>137</v>
      </c>
      <c r="D60" s="1"/>
      <c r="E60" s="1"/>
      <c r="F60" s="1"/>
      <c r="G60" s="1"/>
      <c r="H60" s="109"/>
    </row>
    <row r="61" spans="1:8" ht="14.1" customHeight="1" x14ac:dyDescent="0.2">
      <c r="A61" s="99"/>
      <c r="B61" s="1"/>
      <c r="C61" s="2" t="s">
        <v>135</v>
      </c>
      <c r="D61" s="1"/>
      <c r="E61" s="1" t="s">
        <v>136</v>
      </c>
      <c r="F61" s="115">
        <v>0</v>
      </c>
      <c r="G61" s="9">
        <v>0</v>
      </c>
      <c r="H61" s="109"/>
    </row>
    <row r="62" spans="1:8" ht="14.1" customHeight="1" x14ac:dyDescent="0.2">
      <c r="A62" s="99"/>
      <c r="B62" s="1"/>
      <c r="C62" s="10"/>
      <c r="D62" s="1"/>
      <c r="E62" s="1"/>
      <c r="F62" s="11"/>
      <c r="G62" s="11"/>
      <c r="H62" s="109"/>
    </row>
    <row r="63" spans="1:8" ht="14.1" customHeight="1" x14ac:dyDescent="0.2">
      <c r="A63" s="99"/>
      <c r="B63" s="1"/>
      <c r="C63" s="2" t="s">
        <v>138</v>
      </c>
      <c r="D63" s="1"/>
      <c r="E63" s="1"/>
      <c r="F63" s="1"/>
      <c r="G63" s="1"/>
      <c r="H63" s="109"/>
    </row>
    <row r="64" spans="1:8" ht="14.1" customHeight="1" x14ac:dyDescent="0.2">
      <c r="A64" s="99"/>
      <c r="B64" s="1"/>
      <c r="C64" s="2" t="s">
        <v>135</v>
      </c>
      <c r="D64" s="1"/>
      <c r="E64" s="1" t="s">
        <v>136</v>
      </c>
      <c r="F64" s="115">
        <v>0</v>
      </c>
      <c r="G64" s="9">
        <v>0</v>
      </c>
      <c r="H64" s="109"/>
    </row>
    <row r="65" spans="1:8" ht="14.1" customHeight="1" x14ac:dyDescent="0.2">
      <c r="A65" s="99"/>
      <c r="B65" s="1"/>
      <c r="C65" s="10"/>
      <c r="D65" s="1"/>
      <c r="E65" s="1"/>
      <c r="F65" s="11"/>
      <c r="G65" s="11"/>
      <c r="H65" s="109"/>
    </row>
    <row r="66" spans="1:8" ht="14.1" customHeight="1" x14ac:dyDescent="0.2">
      <c r="A66" s="99"/>
      <c r="B66" s="1"/>
      <c r="C66" s="2" t="s">
        <v>139</v>
      </c>
      <c r="D66" s="1"/>
      <c r="E66" s="1"/>
      <c r="F66" s="1"/>
      <c r="G66" s="1"/>
      <c r="H66" s="109"/>
    </row>
    <row r="67" spans="1:8" ht="14.1" customHeight="1" x14ac:dyDescent="0.2">
      <c r="A67" s="99"/>
      <c r="B67" s="1"/>
      <c r="C67" s="2" t="s">
        <v>135</v>
      </c>
      <c r="D67" s="1"/>
      <c r="E67" s="1" t="s">
        <v>136</v>
      </c>
      <c r="F67" s="115">
        <v>0</v>
      </c>
      <c r="G67" s="9">
        <v>0</v>
      </c>
      <c r="H67" s="109"/>
    </row>
    <row r="68" spans="1:8" ht="14.1" customHeight="1" x14ac:dyDescent="0.2">
      <c r="A68" s="99"/>
      <c r="B68" s="1"/>
      <c r="C68" s="10"/>
      <c r="D68" s="1"/>
      <c r="E68" s="1"/>
      <c r="F68" s="11"/>
      <c r="G68" s="11"/>
      <c r="H68" s="109"/>
    </row>
    <row r="69" spans="1:8" ht="14.1" customHeight="1" x14ac:dyDescent="0.2">
      <c r="A69" s="99"/>
      <c r="B69" s="1"/>
      <c r="C69" s="2" t="s">
        <v>140</v>
      </c>
      <c r="D69" s="1"/>
      <c r="E69" s="1"/>
      <c r="F69" s="11"/>
      <c r="G69" s="11"/>
      <c r="H69" s="109"/>
    </row>
    <row r="70" spans="1:8" ht="14.1" customHeight="1" x14ac:dyDescent="0.2">
      <c r="A70" s="99"/>
      <c r="B70" s="1"/>
      <c r="C70" s="2" t="s">
        <v>135</v>
      </c>
      <c r="D70" s="1"/>
      <c r="E70" s="1" t="s">
        <v>136</v>
      </c>
      <c r="F70" s="115">
        <v>0</v>
      </c>
      <c r="G70" s="9">
        <v>0</v>
      </c>
      <c r="H70" s="109"/>
    </row>
    <row r="71" spans="1:8" ht="14.1" customHeight="1" x14ac:dyDescent="0.2">
      <c r="A71" s="99"/>
      <c r="B71" s="1"/>
      <c r="C71" s="10"/>
      <c r="D71" s="1"/>
      <c r="E71" s="1"/>
      <c r="F71" s="11"/>
      <c r="G71" s="11"/>
      <c r="H71" s="109"/>
    </row>
    <row r="72" spans="1:8" ht="14.1" customHeight="1" x14ac:dyDescent="0.2">
      <c r="A72" s="99"/>
      <c r="B72" s="1"/>
      <c r="C72" s="2" t="s">
        <v>141</v>
      </c>
      <c r="D72" s="1"/>
      <c r="E72" s="1"/>
      <c r="F72" s="11"/>
      <c r="G72" s="11"/>
      <c r="H72" s="109"/>
    </row>
    <row r="73" spans="1:8" ht="14.1" customHeight="1" x14ac:dyDescent="0.2">
      <c r="A73" s="99"/>
      <c r="B73" s="1"/>
      <c r="C73" s="2" t="s">
        <v>135</v>
      </c>
      <c r="D73" s="1"/>
      <c r="E73" s="1" t="s">
        <v>136</v>
      </c>
      <c r="F73" s="115">
        <v>0</v>
      </c>
      <c r="G73" s="9">
        <v>0</v>
      </c>
      <c r="H73" s="109"/>
    </row>
    <row r="74" spans="1:8" ht="14.1" customHeight="1" x14ac:dyDescent="0.2">
      <c r="A74" s="99"/>
      <c r="B74" s="1"/>
      <c r="C74" s="10"/>
      <c r="D74" s="1"/>
      <c r="E74" s="1"/>
      <c r="F74" s="11"/>
      <c r="G74" s="11"/>
      <c r="H74" s="109"/>
    </row>
    <row r="75" spans="1:8" ht="18" customHeight="1" x14ac:dyDescent="0.2">
      <c r="A75" s="99"/>
      <c r="B75" s="1"/>
      <c r="C75" s="2" t="s">
        <v>142</v>
      </c>
      <c r="D75" s="1"/>
      <c r="E75" s="1"/>
      <c r="F75" s="8">
        <v>2952.2442809999998</v>
      </c>
      <c r="G75" s="9">
        <v>0.94958929999999997</v>
      </c>
      <c r="H75" s="109"/>
    </row>
    <row r="76" spans="1:8" ht="14.1" customHeight="1" x14ac:dyDescent="0.2">
      <c r="A76" s="99"/>
      <c r="B76" s="1"/>
      <c r="C76" s="10"/>
      <c r="D76" s="1"/>
      <c r="E76" s="1"/>
      <c r="F76" s="11"/>
      <c r="G76" s="11"/>
      <c r="H76" s="109"/>
    </row>
    <row r="77" spans="1:8" ht="14.1" customHeight="1" x14ac:dyDescent="0.2">
      <c r="A77" s="99"/>
      <c r="B77" s="1"/>
      <c r="C77" s="2" t="s">
        <v>143</v>
      </c>
      <c r="D77" s="1"/>
      <c r="E77" s="1"/>
      <c r="F77" s="11"/>
      <c r="G77" s="11"/>
      <c r="H77" s="109"/>
    </row>
    <row r="78" spans="1:8" ht="24" customHeight="1" x14ac:dyDescent="0.2">
      <c r="A78" s="99"/>
      <c r="B78" s="1"/>
      <c r="C78" s="2" t="s">
        <v>10</v>
      </c>
      <c r="D78" s="1"/>
      <c r="E78" s="1"/>
      <c r="F78" s="11"/>
      <c r="G78" s="11"/>
      <c r="H78" s="109"/>
    </row>
    <row r="79" spans="1:8" ht="14.1" customHeight="1" x14ac:dyDescent="0.2">
      <c r="A79" s="99"/>
      <c r="B79" s="1"/>
      <c r="C79" s="2" t="s">
        <v>135</v>
      </c>
      <c r="D79" s="1"/>
      <c r="E79" s="1" t="s">
        <v>136</v>
      </c>
      <c r="F79" s="115">
        <v>0</v>
      </c>
      <c r="G79" s="9">
        <v>0</v>
      </c>
      <c r="H79" s="109"/>
    </row>
    <row r="80" spans="1:8" ht="14.1" customHeight="1" x14ac:dyDescent="0.2">
      <c r="A80" s="99"/>
      <c r="B80" s="1"/>
      <c r="C80" s="10"/>
      <c r="D80" s="1"/>
      <c r="E80" s="1"/>
      <c r="F80" s="11"/>
      <c r="G80" s="11"/>
      <c r="H80" s="109"/>
    </row>
    <row r="81" spans="1:8" ht="14.1" customHeight="1" x14ac:dyDescent="0.2">
      <c r="A81" s="99"/>
      <c r="B81" s="1"/>
      <c r="C81" s="2" t="s">
        <v>144</v>
      </c>
      <c r="D81" s="1"/>
      <c r="E81" s="1"/>
      <c r="F81" s="1"/>
      <c r="G81" s="1"/>
      <c r="H81" s="109"/>
    </row>
    <row r="82" spans="1:8" ht="14.1" customHeight="1" x14ac:dyDescent="0.2">
      <c r="A82" s="99"/>
      <c r="B82" s="1"/>
      <c r="C82" s="2" t="s">
        <v>135</v>
      </c>
      <c r="D82" s="1"/>
      <c r="E82" s="1" t="s">
        <v>136</v>
      </c>
      <c r="F82" s="115">
        <v>0</v>
      </c>
      <c r="G82" s="9">
        <v>0</v>
      </c>
      <c r="H82" s="109"/>
    </row>
    <row r="83" spans="1:8" ht="14.1" customHeight="1" x14ac:dyDescent="0.2">
      <c r="A83" s="99"/>
      <c r="B83" s="1"/>
      <c r="C83" s="10"/>
      <c r="D83" s="1"/>
      <c r="E83" s="1"/>
      <c r="F83" s="11"/>
      <c r="G83" s="11"/>
      <c r="H83" s="109"/>
    </row>
    <row r="84" spans="1:8" ht="14.1" customHeight="1" x14ac:dyDescent="0.2">
      <c r="A84" s="99"/>
      <c r="B84" s="1"/>
      <c r="C84" s="2" t="s">
        <v>145</v>
      </c>
      <c r="D84" s="1"/>
      <c r="E84" s="1"/>
      <c r="F84" s="1"/>
      <c r="G84" s="1"/>
      <c r="H84" s="109"/>
    </row>
    <row r="85" spans="1:8" ht="14.1" customHeight="1" x14ac:dyDescent="0.2">
      <c r="A85" s="99"/>
      <c r="B85" s="1"/>
      <c r="C85" s="2" t="s">
        <v>135</v>
      </c>
      <c r="D85" s="1"/>
      <c r="E85" s="1" t="s">
        <v>136</v>
      </c>
      <c r="F85" s="115">
        <v>0</v>
      </c>
      <c r="G85" s="9">
        <v>0</v>
      </c>
      <c r="H85" s="109"/>
    </row>
    <row r="86" spans="1:8" ht="14.1" customHeight="1" x14ac:dyDescent="0.2">
      <c r="A86" s="99"/>
      <c r="B86" s="1"/>
      <c r="C86" s="10"/>
      <c r="D86" s="1"/>
      <c r="E86" s="1"/>
      <c r="F86" s="11"/>
      <c r="G86" s="11"/>
      <c r="H86" s="109"/>
    </row>
    <row r="87" spans="1:8" ht="14.1" customHeight="1" x14ac:dyDescent="0.2">
      <c r="A87" s="99"/>
      <c r="B87" s="1"/>
      <c r="C87" s="2" t="s">
        <v>146</v>
      </c>
      <c r="D87" s="1"/>
      <c r="E87" s="1"/>
      <c r="F87" s="11"/>
      <c r="G87" s="11"/>
      <c r="H87" s="109"/>
    </row>
    <row r="88" spans="1:8" ht="14.1" customHeight="1" x14ac:dyDescent="0.2">
      <c r="A88" s="99"/>
      <c r="B88" s="1"/>
      <c r="C88" s="2" t="s">
        <v>135</v>
      </c>
      <c r="D88" s="1"/>
      <c r="E88" s="1" t="s">
        <v>136</v>
      </c>
      <c r="F88" s="115">
        <v>0</v>
      </c>
      <c r="G88" s="9">
        <v>0</v>
      </c>
      <c r="H88" s="109"/>
    </row>
    <row r="89" spans="1:8" ht="14.1" customHeight="1" x14ac:dyDescent="0.2">
      <c r="A89" s="99"/>
      <c r="B89" s="1"/>
      <c r="C89" s="10"/>
      <c r="D89" s="1"/>
      <c r="E89" s="1"/>
      <c r="F89" s="11"/>
      <c r="G89" s="11"/>
      <c r="H89" s="109"/>
    </row>
    <row r="90" spans="1:8" ht="14.1" customHeight="1" x14ac:dyDescent="0.2">
      <c r="A90" s="99"/>
      <c r="B90" s="1"/>
      <c r="C90" s="2" t="s">
        <v>147</v>
      </c>
      <c r="D90" s="1"/>
      <c r="E90" s="1"/>
      <c r="F90" s="8">
        <v>0</v>
      </c>
      <c r="G90" s="9">
        <v>0</v>
      </c>
      <c r="H90" s="109"/>
    </row>
    <row r="91" spans="1:8" ht="14.1" customHeight="1" x14ac:dyDescent="0.2">
      <c r="A91" s="99"/>
      <c r="B91" s="1"/>
      <c r="C91" s="10"/>
      <c r="D91" s="1"/>
      <c r="E91" s="1"/>
      <c r="F91" s="11"/>
      <c r="G91" s="11"/>
      <c r="H91" s="109"/>
    </row>
    <row r="92" spans="1:8" ht="14.1" customHeight="1" x14ac:dyDescent="0.2">
      <c r="A92" s="99"/>
      <c r="B92" s="1"/>
      <c r="C92" s="2" t="s">
        <v>148</v>
      </c>
      <c r="D92" s="1"/>
      <c r="E92" s="1"/>
      <c r="F92" s="11"/>
      <c r="G92" s="11"/>
      <c r="H92" s="109"/>
    </row>
    <row r="93" spans="1:8" ht="14.1" customHeight="1" x14ac:dyDescent="0.2">
      <c r="A93" s="99"/>
      <c r="B93" s="1"/>
      <c r="C93" s="2" t="s">
        <v>149</v>
      </c>
      <c r="D93" s="1"/>
      <c r="E93" s="1"/>
      <c r="F93" s="11"/>
      <c r="G93" s="11"/>
      <c r="H93" s="109"/>
    </row>
    <row r="94" spans="1:8" ht="14.1" customHeight="1" x14ac:dyDescent="0.2">
      <c r="A94" s="99"/>
      <c r="B94" s="1"/>
      <c r="C94" s="2" t="s">
        <v>135</v>
      </c>
      <c r="D94" s="1"/>
      <c r="E94" s="1" t="s">
        <v>136</v>
      </c>
      <c r="F94" s="115">
        <v>0</v>
      </c>
      <c r="G94" s="9">
        <v>0</v>
      </c>
      <c r="H94" s="109"/>
    </row>
    <row r="95" spans="1:8" ht="14.1" customHeight="1" x14ac:dyDescent="0.2">
      <c r="A95" s="99"/>
      <c r="B95" s="1"/>
      <c r="C95" s="10"/>
      <c r="D95" s="1"/>
      <c r="E95" s="1"/>
      <c r="F95" s="11"/>
      <c r="G95" s="11"/>
      <c r="H95" s="109"/>
    </row>
    <row r="96" spans="1:8" ht="14.1" customHeight="1" x14ac:dyDescent="0.2">
      <c r="A96" s="99"/>
      <c r="B96" s="1"/>
      <c r="C96" s="2" t="s">
        <v>150</v>
      </c>
      <c r="D96" s="1"/>
      <c r="E96" s="1"/>
      <c r="F96" s="11"/>
      <c r="G96" s="11"/>
      <c r="H96" s="109"/>
    </row>
    <row r="97" spans="1:8" ht="14.1" customHeight="1" x14ac:dyDescent="0.2">
      <c r="A97" s="99"/>
      <c r="B97" s="1"/>
      <c r="C97" s="2" t="s">
        <v>135</v>
      </c>
      <c r="D97" s="1"/>
      <c r="E97" s="1" t="s">
        <v>136</v>
      </c>
      <c r="F97" s="115">
        <v>0</v>
      </c>
      <c r="G97" s="9">
        <v>0</v>
      </c>
      <c r="H97" s="109"/>
    </row>
    <row r="98" spans="1:8" ht="14.1" customHeight="1" x14ac:dyDescent="0.2">
      <c r="A98" s="99"/>
      <c r="B98" s="1"/>
      <c r="C98" s="10"/>
      <c r="D98" s="1"/>
      <c r="E98" s="1"/>
      <c r="F98" s="11"/>
      <c r="G98" s="11"/>
      <c r="H98" s="109"/>
    </row>
    <row r="99" spans="1:8" ht="14.1" customHeight="1" x14ac:dyDescent="0.2">
      <c r="A99" s="99"/>
      <c r="B99" s="1"/>
      <c r="C99" s="2" t="s">
        <v>151</v>
      </c>
      <c r="D99" s="1"/>
      <c r="E99" s="1"/>
      <c r="F99" s="11"/>
      <c r="G99" s="11"/>
      <c r="H99" s="109"/>
    </row>
    <row r="100" spans="1:8" ht="14.1" customHeight="1" x14ac:dyDescent="0.2">
      <c r="A100" s="99"/>
      <c r="B100" s="1"/>
      <c r="C100" s="2" t="s">
        <v>135</v>
      </c>
      <c r="D100" s="1"/>
      <c r="E100" s="1" t="s">
        <v>136</v>
      </c>
      <c r="F100" s="115">
        <v>0</v>
      </c>
      <c r="G100" s="9">
        <v>0</v>
      </c>
      <c r="H100" s="109"/>
    </row>
    <row r="101" spans="1:8" ht="14.1" customHeight="1" x14ac:dyDescent="0.2">
      <c r="A101" s="99"/>
      <c r="B101" s="1"/>
      <c r="C101" s="10"/>
      <c r="D101" s="1"/>
      <c r="E101" s="1"/>
      <c r="F101" s="11"/>
      <c r="G101" s="11"/>
      <c r="H101" s="109"/>
    </row>
    <row r="102" spans="1:8" ht="14.1" customHeight="1" x14ac:dyDescent="0.2">
      <c r="A102" s="99"/>
      <c r="B102" s="1"/>
      <c r="C102" s="2" t="s">
        <v>152</v>
      </c>
      <c r="D102" s="1"/>
      <c r="E102" s="1"/>
      <c r="F102" s="11"/>
      <c r="G102" s="11"/>
      <c r="H102" s="109"/>
    </row>
    <row r="103" spans="1:8" ht="17.100000000000001" customHeight="1" x14ac:dyDescent="0.2">
      <c r="A103" s="100">
        <v>1</v>
      </c>
      <c r="B103" s="3"/>
      <c r="C103" s="3" t="s">
        <v>153</v>
      </c>
      <c r="D103" s="3"/>
      <c r="E103" s="7"/>
      <c r="F103" s="5">
        <v>157.12065200000001</v>
      </c>
      <c r="G103" s="6">
        <v>5.0537850000000002E-2</v>
      </c>
      <c r="H103" s="109">
        <v>6.6015165706411798</v>
      </c>
    </row>
    <row r="104" spans="1:8" ht="14.1" customHeight="1" x14ac:dyDescent="0.2">
      <c r="A104" s="99"/>
      <c r="B104" s="1"/>
      <c r="C104" s="2" t="s">
        <v>135</v>
      </c>
      <c r="D104" s="1"/>
      <c r="E104" s="1" t="s">
        <v>136</v>
      </c>
      <c r="F104" s="8">
        <v>157.12065200000001</v>
      </c>
      <c r="G104" s="9">
        <v>5.0537850000000002E-2</v>
      </c>
      <c r="H104" s="109"/>
    </row>
    <row r="105" spans="1:8" ht="14.1" customHeight="1" x14ac:dyDescent="0.2">
      <c r="A105" s="99"/>
      <c r="B105" s="1"/>
      <c r="C105" s="10"/>
      <c r="D105" s="1"/>
      <c r="E105" s="1"/>
      <c r="F105" s="11"/>
      <c r="G105" s="11"/>
      <c r="H105" s="109"/>
    </row>
    <row r="106" spans="1:8" ht="14.1" customHeight="1" x14ac:dyDescent="0.2">
      <c r="A106" s="99"/>
      <c r="B106" s="1"/>
      <c r="C106" s="2" t="s">
        <v>154</v>
      </c>
      <c r="D106" s="1"/>
      <c r="E106" s="1"/>
      <c r="F106" s="8">
        <v>157.12065200000001</v>
      </c>
      <c r="G106" s="9">
        <v>5.0537850000000002E-2</v>
      </c>
      <c r="H106" s="109"/>
    </row>
    <row r="107" spans="1:8" ht="14.1" customHeight="1" x14ac:dyDescent="0.2">
      <c r="A107" s="99"/>
      <c r="B107" s="1"/>
      <c r="C107" s="11"/>
      <c r="D107" s="1"/>
      <c r="E107" s="1"/>
      <c r="F107" s="1"/>
      <c r="G107" s="1"/>
      <c r="H107" s="109"/>
    </row>
    <row r="108" spans="1:8" ht="14.1" customHeight="1" x14ac:dyDescent="0.2">
      <c r="A108" s="99"/>
      <c r="B108" s="1"/>
      <c r="C108" s="2" t="s">
        <v>155</v>
      </c>
      <c r="D108" s="1"/>
      <c r="E108" s="1"/>
      <c r="F108" s="1"/>
      <c r="G108" s="1"/>
      <c r="H108" s="109"/>
    </row>
    <row r="109" spans="1:8" ht="14.1" customHeight="1" x14ac:dyDescent="0.2">
      <c r="A109" s="99"/>
      <c r="B109" s="1"/>
      <c r="C109" s="2" t="s">
        <v>156</v>
      </c>
      <c r="D109" s="1"/>
      <c r="E109" s="1"/>
      <c r="F109" s="1"/>
      <c r="G109" s="1"/>
      <c r="H109" s="109"/>
    </row>
    <row r="110" spans="1:8" ht="14.1" customHeight="1" x14ac:dyDescent="0.2">
      <c r="A110" s="99"/>
      <c r="B110" s="1"/>
      <c r="C110" s="2" t="s">
        <v>135</v>
      </c>
      <c r="D110" s="1"/>
      <c r="E110" s="1" t="s">
        <v>136</v>
      </c>
      <c r="F110" s="115">
        <v>0</v>
      </c>
      <c r="G110" s="9">
        <v>0</v>
      </c>
      <c r="H110" s="109"/>
    </row>
    <row r="111" spans="1:8" ht="14.1" customHeight="1" x14ac:dyDescent="0.2">
      <c r="A111" s="99"/>
      <c r="B111" s="1"/>
      <c r="C111" s="10"/>
      <c r="D111" s="1"/>
      <c r="E111" s="1"/>
      <c r="F111" s="11"/>
      <c r="G111" s="11"/>
      <c r="H111" s="109"/>
    </row>
    <row r="112" spans="1:8" ht="14.1" customHeight="1" x14ac:dyDescent="0.2">
      <c r="A112" s="99"/>
      <c r="B112" s="1"/>
      <c r="C112" s="2" t="s">
        <v>157</v>
      </c>
      <c r="D112" s="1"/>
      <c r="E112" s="1"/>
      <c r="F112" s="1"/>
      <c r="G112" s="1"/>
      <c r="H112" s="109"/>
    </row>
    <row r="113" spans="1:8" ht="14.1" customHeight="1" x14ac:dyDescent="0.2">
      <c r="A113" s="99"/>
      <c r="B113" s="1"/>
      <c r="C113" s="2" t="s">
        <v>158</v>
      </c>
      <c r="D113" s="1"/>
      <c r="E113" s="1"/>
      <c r="F113" s="1"/>
      <c r="G113" s="1"/>
      <c r="H113" s="109"/>
    </row>
    <row r="114" spans="1:8" ht="14.1" customHeight="1" x14ac:dyDescent="0.2">
      <c r="A114" s="99"/>
      <c r="B114" s="1"/>
      <c r="C114" s="2" t="s">
        <v>135</v>
      </c>
      <c r="D114" s="1"/>
      <c r="E114" s="1" t="s">
        <v>136</v>
      </c>
      <c r="F114" s="115">
        <v>0</v>
      </c>
      <c r="G114" s="9">
        <v>0</v>
      </c>
      <c r="H114" s="109"/>
    </row>
    <row r="115" spans="1:8" ht="14.1" customHeight="1" x14ac:dyDescent="0.2">
      <c r="A115" s="99"/>
      <c r="B115" s="1"/>
      <c r="C115" s="10"/>
      <c r="D115" s="1"/>
      <c r="E115" s="1"/>
      <c r="F115" s="11"/>
      <c r="G115" s="11"/>
      <c r="H115" s="109"/>
    </row>
    <row r="116" spans="1:8" ht="24" customHeight="1" x14ac:dyDescent="0.2">
      <c r="A116" s="99"/>
      <c r="B116" s="1"/>
      <c r="C116" s="2" t="s">
        <v>159</v>
      </c>
      <c r="D116" s="1"/>
      <c r="E116" s="1"/>
      <c r="F116" s="11"/>
      <c r="G116" s="11"/>
      <c r="H116" s="109"/>
    </row>
    <row r="117" spans="1:8" ht="14.1" customHeight="1" x14ac:dyDescent="0.2">
      <c r="A117" s="99"/>
      <c r="B117" s="1"/>
      <c r="C117" s="2" t="s">
        <v>135</v>
      </c>
      <c r="D117" s="1"/>
      <c r="E117" s="1" t="s">
        <v>136</v>
      </c>
      <c r="F117" s="115">
        <v>0</v>
      </c>
      <c r="G117" s="9">
        <v>0</v>
      </c>
      <c r="H117" s="109"/>
    </row>
    <row r="118" spans="1:8" ht="14.1" customHeight="1" x14ac:dyDescent="0.2">
      <c r="A118" s="99"/>
      <c r="B118" s="1"/>
      <c r="C118" s="10"/>
      <c r="D118" s="1"/>
      <c r="E118" s="1"/>
      <c r="F118" s="11"/>
      <c r="G118" s="11"/>
      <c r="H118" s="109"/>
    </row>
    <row r="119" spans="1:8" ht="14.1" customHeight="1" x14ac:dyDescent="0.2">
      <c r="A119" s="99"/>
      <c r="B119" s="3"/>
      <c r="C119" s="3"/>
      <c r="D119" s="2"/>
      <c r="E119" s="1"/>
      <c r="F119" s="3"/>
      <c r="G119" s="7"/>
      <c r="H119" s="109"/>
    </row>
    <row r="120" spans="1:8" ht="18" customHeight="1" x14ac:dyDescent="0.2">
      <c r="A120" s="101"/>
      <c r="B120" s="3"/>
      <c r="C120" s="3" t="s">
        <v>160</v>
      </c>
      <c r="D120" s="3"/>
      <c r="E120" s="7"/>
      <c r="F120" s="5">
        <v>-0.39530745</v>
      </c>
      <c r="G120" s="6">
        <v>-1.2715E-4</v>
      </c>
      <c r="H120" s="109"/>
    </row>
    <row r="121" spans="1:8" ht="14.1" customHeight="1" x14ac:dyDescent="0.2">
      <c r="A121" s="102"/>
      <c r="B121" s="10"/>
      <c r="C121" s="2" t="s">
        <v>161</v>
      </c>
      <c r="D121" s="11"/>
      <c r="E121" s="11"/>
      <c r="F121" s="8">
        <v>3108.9696255499998</v>
      </c>
      <c r="G121" s="12">
        <v>1</v>
      </c>
      <c r="H121" s="109"/>
    </row>
    <row r="122" spans="1:8" ht="14.1" customHeight="1" x14ac:dyDescent="0.2">
      <c r="A122" s="13"/>
      <c r="B122" s="13"/>
      <c r="C122" s="13"/>
      <c r="D122" s="14"/>
      <c r="E122" s="14"/>
      <c r="F122" s="14"/>
      <c r="G122" s="14"/>
    </row>
    <row r="123" spans="1:8" ht="14.1" customHeight="1" x14ac:dyDescent="0.2">
      <c r="A123" s="15"/>
      <c r="B123" s="15"/>
      <c r="C123" s="15"/>
      <c r="D123" s="17"/>
      <c r="E123" s="17"/>
      <c r="F123" s="17"/>
      <c r="G123" s="17"/>
    </row>
    <row r="124" spans="1:8" ht="14.1" customHeight="1" x14ac:dyDescent="0.2">
      <c r="A124" s="15"/>
      <c r="B124" s="194" t="s">
        <v>163</v>
      </c>
      <c r="C124" s="195"/>
      <c r="D124" s="196"/>
      <c r="E124" s="18"/>
      <c r="F124" s="17"/>
      <c r="G124" s="17"/>
    </row>
    <row r="125" spans="1:8" ht="29.1" customHeight="1" x14ac:dyDescent="0.2">
      <c r="A125" s="15"/>
      <c r="B125" s="191" t="s">
        <v>164</v>
      </c>
      <c r="C125" s="192"/>
      <c r="D125" s="2" t="s">
        <v>165</v>
      </c>
      <c r="E125" s="18"/>
      <c r="F125" s="17"/>
      <c r="G125" s="17"/>
    </row>
    <row r="126" spans="1:8" ht="17.100000000000001" customHeight="1" x14ac:dyDescent="0.2">
      <c r="A126" s="15"/>
      <c r="B126" s="191" t="s">
        <v>166</v>
      </c>
      <c r="C126" s="192"/>
      <c r="D126" s="2" t="s">
        <v>165</v>
      </c>
      <c r="E126" s="18"/>
      <c r="F126" s="17"/>
      <c r="G126" s="17"/>
    </row>
    <row r="127" spans="1:8" ht="17.100000000000001" customHeight="1" x14ac:dyDescent="0.2">
      <c r="A127" s="15"/>
      <c r="B127" s="191" t="s">
        <v>167</v>
      </c>
      <c r="C127" s="192"/>
      <c r="D127" s="11" t="s">
        <v>136</v>
      </c>
      <c r="E127" s="18"/>
      <c r="F127" s="17"/>
      <c r="G127" s="17"/>
    </row>
    <row r="128" spans="1:8" ht="24" customHeight="1" x14ac:dyDescent="0.2">
      <c r="A128" s="19"/>
      <c r="B128" s="20" t="s">
        <v>136</v>
      </c>
      <c r="C128" s="20" t="s">
        <v>168</v>
      </c>
      <c r="D128" s="20" t="s">
        <v>169</v>
      </c>
      <c r="E128" s="19"/>
      <c r="F128" s="19"/>
      <c r="G128" s="19"/>
    </row>
    <row r="129" spans="1:7" ht="18" customHeight="1" x14ac:dyDescent="0.2">
      <c r="A129" s="19"/>
      <c r="B129" s="21" t="s">
        <v>170</v>
      </c>
      <c r="C129" s="20" t="s">
        <v>171</v>
      </c>
      <c r="D129" s="20" t="s">
        <v>172</v>
      </c>
      <c r="E129" s="19"/>
      <c r="F129" s="19"/>
      <c r="G129" s="19"/>
    </row>
    <row r="130" spans="1:7" ht="17.100000000000001" customHeight="1" x14ac:dyDescent="0.2">
      <c r="A130" s="19"/>
      <c r="B130" s="3" t="s">
        <v>173</v>
      </c>
      <c r="C130" s="22">
        <v>16.9819</v>
      </c>
      <c r="D130" s="22">
        <v>16.925599999999999</v>
      </c>
      <c r="E130" s="19"/>
      <c r="F130" s="16"/>
      <c r="G130" s="23"/>
    </row>
    <row r="131" spans="1:7" ht="17.100000000000001" customHeight="1" x14ac:dyDescent="0.2">
      <c r="A131" s="19"/>
      <c r="B131" s="3" t="s">
        <v>994</v>
      </c>
      <c r="C131" s="22">
        <v>16.9819</v>
      </c>
      <c r="D131" s="22">
        <v>16.925599999999999</v>
      </c>
      <c r="E131" s="19"/>
      <c r="F131" s="16"/>
      <c r="G131" s="23"/>
    </row>
    <row r="132" spans="1:7" ht="17.100000000000001" customHeight="1" x14ac:dyDescent="0.2">
      <c r="A132" s="19"/>
      <c r="B132" s="3" t="s">
        <v>174</v>
      </c>
      <c r="C132" s="22">
        <v>16.6539</v>
      </c>
      <c r="D132" s="22">
        <v>16.597300000000001</v>
      </c>
      <c r="E132" s="19"/>
      <c r="F132" s="16"/>
      <c r="G132" s="23"/>
    </row>
    <row r="133" spans="1:7" ht="17.100000000000001" customHeight="1" x14ac:dyDescent="0.2">
      <c r="A133" s="19"/>
      <c r="B133" s="3" t="s">
        <v>995</v>
      </c>
      <c r="C133" s="22">
        <v>16.653700000000001</v>
      </c>
      <c r="D133" s="22">
        <v>16.597100000000001</v>
      </c>
      <c r="E133" s="19"/>
      <c r="F133" s="16"/>
      <c r="G133" s="23"/>
    </row>
    <row r="134" spans="1:7" ht="14.1" customHeight="1" x14ac:dyDescent="0.2">
      <c r="A134" s="19"/>
      <c r="B134" s="19"/>
      <c r="C134" s="19"/>
      <c r="D134" s="19"/>
      <c r="E134" s="19"/>
      <c r="F134" s="19"/>
      <c r="G134" s="19"/>
    </row>
    <row r="135" spans="1:7" ht="17.100000000000001" customHeight="1" x14ac:dyDescent="0.2">
      <c r="A135" s="19"/>
      <c r="B135" s="191" t="s">
        <v>1044</v>
      </c>
      <c r="C135" s="192"/>
      <c r="D135" s="2" t="s">
        <v>165</v>
      </c>
      <c r="E135" s="19"/>
      <c r="F135" s="19"/>
      <c r="G135" s="19"/>
    </row>
    <row r="136" spans="1:7" ht="18" customHeight="1" x14ac:dyDescent="0.2">
      <c r="A136" s="19"/>
      <c r="B136" s="24"/>
      <c r="C136" s="24"/>
      <c r="D136" s="24"/>
      <c r="E136" s="19"/>
      <c r="F136" s="19"/>
      <c r="G136" s="19"/>
    </row>
    <row r="137" spans="1:7" ht="29.1" customHeight="1" x14ac:dyDescent="0.2">
      <c r="A137" s="19"/>
      <c r="B137" s="191" t="s">
        <v>175</v>
      </c>
      <c r="C137" s="192"/>
      <c r="D137" s="2" t="s">
        <v>165</v>
      </c>
      <c r="E137" s="25"/>
      <c r="F137" s="19"/>
      <c r="G137" s="19"/>
    </row>
    <row r="138" spans="1:7" ht="29.1" customHeight="1" x14ac:dyDescent="0.2">
      <c r="A138" s="19"/>
      <c r="B138" s="191" t="s">
        <v>176</v>
      </c>
      <c r="C138" s="192"/>
      <c r="D138" s="2" t="s">
        <v>165</v>
      </c>
      <c r="E138" s="25"/>
      <c r="F138" s="19"/>
      <c r="G138" s="19"/>
    </row>
    <row r="139" spans="1:7" ht="17.100000000000001" customHeight="1" x14ac:dyDescent="0.2">
      <c r="A139" s="19"/>
      <c r="B139" s="191" t="s">
        <v>177</v>
      </c>
      <c r="C139" s="192"/>
      <c r="D139" s="2" t="s">
        <v>165</v>
      </c>
      <c r="E139" s="25"/>
      <c r="F139" s="19"/>
      <c r="G139" s="19"/>
    </row>
    <row r="140" spans="1:7" ht="17.100000000000001" customHeight="1" x14ac:dyDescent="0.2">
      <c r="A140" s="19"/>
      <c r="B140" s="191" t="s">
        <v>178</v>
      </c>
      <c r="C140" s="192"/>
      <c r="D140" s="26">
        <v>0.11309138443278408</v>
      </c>
      <c r="E140" s="19"/>
      <c r="F140" s="16"/>
      <c r="G140" s="23"/>
    </row>
    <row r="141" spans="1:7" ht="14.1" customHeight="1" x14ac:dyDescent="0.2">
      <c r="A141" s="24"/>
      <c r="B141" s="24"/>
      <c r="C141" s="24"/>
      <c r="D141" s="24"/>
      <c r="E141" s="24"/>
      <c r="F141" s="24"/>
      <c r="G141" s="24"/>
    </row>
    <row r="155" spans="10:14" x14ac:dyDescent="0.2">
      <c r="J155" s="170"/>
      <c r="K155" s="170"/>
      <c r="L155" s="170"/>
      <c r="M155" s="170"/>
      <c r="N155" s="170"/>
    </row>
  </sheetData>
  <mergeCells count="13">
    <mergeCell ref="J2:N2"/>
    <mergeCell ref="A1:H1"/>
    <mergeCell ref="A2:H2"/>
    <mergeCell ref="A3:H3"/>
    <mergeCell ref="B140:C140"/>
    <mergeCell ref="B135:C135"/>
    <mergeCell ref="B137:C137"/>
    <mergeCell ref="B127:C127"/>
    <mergeCell ref="B124:D124"/>
    <mergeCell ref="B138:C138"/>
    <mergeCell ref="B139:C139"/>
    <mergeCell ref="B125:C125"/>
    <mergeCell ref="B126:C126"/>
  </mergeCells>
  <hyperlinks>
    <hyperlink ref="I1" location="Index!B19" display="Index" xr:uid="{D8F3206D-7D5E-4617-881D-A2615A790FA1}"/>
  </hyperlinks>
  <pageMargins left="5.000000074505806E-2" right="5.000000074505806E-2" top="0.30000001192092896" bottom="0.20000000298023224" header="0" footer="0"/>
  <pageSetup paperSize="9" orientation="landscape"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N154"/>
  <sheetViews>
    <sheetView showGridLines="0" workbookViewId="0">
      <selection sqref="A1:H1"/>
    </sheetView>
  </sheetViews>
  <sheetFormatPr defaultRowHeight="12.75" x14ac:dyDescent="0.2"/>
  <cols>
    <col min="1" max="1" width="5.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7" t="s">
        <v>0</v>
      </c>
      <c r="B1" s="187"/>
      <c r="C1" s="187"/>
      <c r="D1" s="187"/>
      <c r="E1" s="187"/>
      <c r="F1" s="187"/>
      <c r="G1" s="187"/>
      <c r="H1" s="187"/>
      <c r="I1" s="167" t="s">
        <v>1055</v>
      </c>
    </row>
    <row r="2" spans="1:14" ht="17.100000000000001" customHeight="1" x14ac:dyDescent="0.2">
      <c r="A2" s="188" t="s">
        <v>497</v>
      </c>
      <c r="B2" s="189"/>
      <c r="C2" s="189"/>
      <c r="D2" s="189"/>
      <c r="E2" s="189"/>
      <c r="F2" s="189"/>
      <c r="G2" s="189"/>
      <c r="H2" s="190"/>
      <c r="J2" s="186" t="s">
        <v>1056</v>
      </c>
      <c r="K2" s="186"/>
      <c r="L2" s="186"/>
      <c r="M2" s="186"/>
      <c r="N2" s="186"/>
    </row>
    <row r="3" spans="1:14" ht="21" customHeight="1" x14ac:dyDescent="0.2">
      <c r="A3" s="187" t="s">
        <v>1052</v>
      </c>
      <c r="B3" s="187"/>
      <c r="C3" s="187"/>
      <c r="D3" s="187"/>
      <c r="E3" s="187"/>
      <c r="F3" s="187"/>
      <c r="G3" s="187"/>
      <c r="H3" s="187"/>
    </row>
    <row r="4" spans="1:14" ht="30" x14ac:dyDescent="0.2">
      <c r="A4" s="163" t="s">
        <v>2</v>
      </c>
      <c r="B4" s="164" t="s">
        <v>3</v>
      </c>
      <c r="C4" s="164" t="s">
        <v>4</v>
      </c>
      <c r="D4" s="164" t="s">
        <v>5</v>
      </c>
      <c r="E4" s="164" t="s">
        <v>6</v>
      </c>
      <c r="F4" s="164" t="s">
        <v>7</v>
      </c>
      <c r="G4" s="164" t="s">
        <v>8</v>
      </c>
      <c r="H4" s="120" t="s">
        <v>881</v>
      </c>
      <c r="I4" s="165"/>
      <c r="J4" s="165"/>
      <c r="K4" s="165"/>
      <c r="L4" s="165"/>
      <c r="M4" s="165"/>
      <c r="N4" s="165"/>
    </row>
    <row r="5" spans="1:14" ht="14.1" customHeight="1" x14ac:dyDescent="0.2">
      <c r="A5" s="99"/>
      <c r="B5" s="1"/>
      <c r="C5" s="2" t="s">
        <v>9</v>
      </c>
      <c r="D5" s="1"/>
      <c r="E5" s="1"/>
      <c r="F5" s="1"/>
      <c r="G5" s="1"/>
      <c r="H5" s="109"/>
    </row>
    <row r="6" spans="1:14" ht="24" customHeight="1" x14ac:dyDescent="0.2">
      <c r="A6" s="99"/>
      <c r="B6" s="1"/>
      <c r="C6" s="2" t="s">
        <v>10</v>
      </c>
      <c r="D6" s="1"/>
      <c r="E6" s="1"/>
      <c r="F6" s="1"/>
      <c r="G6" s="1"/>
      <c r="H6" s="109"/>
    </row>
    <row r="7" spans="1:14" ht="17.100000000000001" customHeight="1" x14ac:dyDescent="0.2">
      <c r="A7" s="100">
        <v>1</v>
      </c>
      <c r="B7" s="3" t="s">
        <v>371</v>
      </c>
      <c r="C7" s="3" t="s">
        <v>372</v>
      </c>
      <c r="D7" s="3" t="s">
        <v>22</v>
      </c>
      <c r="E7" s="4">
        <v>221954</v>
      </c>
      <c r="F7" s="5">
        <v>158.69711000000001</v>
      </c>
      <c r="G7" s="6">
        <v>5.8675680000000001E-2</v>
      </c>
      <c r="H7" s="109"/>
    </row>
    <row r="8" spans="1:14" ht="17.100000000000001" customHeight="1" x14ac:dyDescent="0.2">
      <c r="A8" s="100">
        <v>2</v>
      </c>
      <c r="B8" s="3" t="s">
        <v>408</v>
      </c>
      <c r="C8" s="3" t="s">
        <v>409</v>
      </c>
      <c r="D8" s="3" t="s">
        <v>115</v>
      </c>
      <c r="E8" s="4">
        <v>5377</v>
      </c>
      <c r="F8" s="5">
        <v>108.6826125</v>
      </c>
      <c r="G8" s="6">
        <v>4.0183629999999998E-2</v>
      </c>
      <c r="H8" s="109"/>
    </row>
    <row r="9" spans="1:14" ht="17.100000000000001" customHeight="1" x14ac:dyDescent="0.2">
      <c r="A9" s="100">
        <v>3</v>
      </c>
      <c r="B9" s="3" t="s">
        <v>29</v>
      </c>
      <c r="C9" s="3" t="s">
        <v>30</v>
      </c>
      <c r="D9" s="3" t="s">
        <v>31</v>
      </c>
      <c r="E9" s="4">
        <v>5066</v>
      </c>
      <c r="F9" s="5">
        <v>97.046829000000002</v>
      </c>
      <c r="G9" s="6">
        <v>3.5881490000000002E-2</v>
      </c>
      <c r="H9" s="109"/>
    </row>
    <row r="10" spans="1:14" ht="17.100000000000001" customHeight="1" x14ac:dyDescent="0.2">
      <c r="A10" s="100">
        <v>4</v>
      </c>
      <c r="B10" s="3" t="s">
        <v>305</v>
      </c>
      <c r="C10" s="3" t="s">
        <v>306</v>
      </c>
      <c r="D10" s="3" t="s">
        <v>242</v>
      </c>
      <c r="E10" s="4">
        <v>5857</v>
      </c>
      <c r="F10" s="5">
        <v>88.920974000000001</v>
      </c>
      <c r="G10" s="6">
        <v>3.2877089999999998E-2</v>
      </c>
      <c r="H10" s="109"/>
    </row>
    <row r="11" spans="1:14" ht="17.100000000000001" customHeight="1" x14ac:dyDescent="0.2">
      <c r="A11" s="100">
        <v>5</v>
      </c>
      <c r="B11" s="3" t="s">
        <v>72</v>
      </c>
      <c r="C11" s="3" t="s">
        <v>73</v>
      </c>
      <c r="D11" s="3" t="s">
        <v>31</v>
      </c>
      <c r="E11" s="4">
        <v>5130</v>
      </c>
      <c r="F11" s="5">
        <v>83.375325000000004</v>
      </c>
      <c r="G11" s="6">
        <v>3.082667E-2</v>
      </c>
      <c r="H11" s="109"/>
    </row>
    <row r="12" spans="1:14" ht="17.100000000000001" customHeight="1" x14ac:dyDescent="0.2">
      <c r="A12" s="100">
        <v>6</v>
      </c>
      <c r="B12" s="3" t="s">
        <v>95</v>
      </c>
      <c r="C12" s="3" t="s">
        <v>96</v>
      </c>
      <c r="D12" s="3" t="s">
        <v>97</v>
      </c>
      <c r="E12" s="4">
        <v>16682</v>
      </c>
      <c r="F12" s="5">
        <v>81.349772999999999</v>
      </c>
      <c r="G12" s="6">
        <v>3.0077759999999999E-2</v>
      </c>
      <c r="H12" s="109"/>
    </row>
    <row r="13" spans="1:14" ht="29.1" customHeight="1" x14ac:dyDescent="0.2">
      <c r="A13" s="100">
        <v>7</v>
      </c>
      <c r="B13" s="3" t="s">
        <v>186</v>
      </c>
      <c r="C13" s="3" t="s">
        <v>187</v>
      </c>
      <c r="D13" s="3" t="s">
        <v>188</v>
      </c>
      <c r="E13" s="4">
        <v>1852</v>
      </c>
      <c r="F13" s="5">
        <v>76.452411999999995</v>
      </c>
      <c r="G13" s="6">
        <v>2.826704E-2</v>
      </c>
      <c r="H13" s="109"/>
    </row>
    <row r="14" spans="1:14" ht="17.100000000000001" customHeight="1" x14ac:dyDescent="0.2">
      <c r="A14" s="100">
        <v>8</v>
      </c>
      <c r="B14" s="3" t="s">
        <v>113</v>
      </c>
      <c r="C14" s="3" t="s">
        <v>114</v>
      </c>
      <c r="D14" s="3" t="s">
        <v>115</v>
      </c>
      <c r="E14" s="4">
        <v>26570</v>
      </c>
      <c r="F14" s="5">
        <v>74.515564999999995</v>
      </c>
      <c r="G14" s="6">
        <v>2.755092E-2</v>
      </c>
      <c r="H14" s="109"/>
      <c r="J14" s="169" t="s">
        <v>1066</v>
      </c>
    </row>
    <row r="15" spans="1:14" ht="17.100000000000001" customHeight="1" x14ac:dyDescent="0.2">
      <c r="A15" s="100">
        <v>9</v>
      </c>
      <c r="B15" s="3" t="s">
        <v>416</v>
      </c>
      <c r="C15" s="3" t="s">
        <v>417</v>
      </c>
      <c r="D15" s="3" t="s">
        <v>115</v>
      </c>
      <c r="E15" s="4">
        <v>14444</v>
      </c>
      <c r="F15" s="5">
        <v>73.036085999999997</v>
      </c>
      <c r="G15" s="6">
        <v>2.7003909999999999E-2</v>
      </c>
      <c r="H15" s="109"/>
    </row>
    <row r="16" spans="1:14" ht="17.100000000000001" customHeight="1" x14ac:dyDescent="0.2">
      <c r="A16" s="100">
        <v>10</v>
      </c>
      <c r="B16" s="3" t="s">
        <v>402</v>
      </c>
      <c r="C16" s="3" t="s">
        <v>403</v>
      </c>
      <c r="D16" s="3" t="s">
        <v>120</v>
      </c>
      <c r="E16" s="4">
        <v>12229</v>
      </c>
      <c r="F16" s="5">
        <v>70.341207999999995</v>
      </c>
      <c r="G16" s="6">
        <v>2.6007519999999999E-2</v>
      </c>
      <c r="H16" s="109"/>
    </row>
    <row r="17" spans="1:8" ht="17.100000000000001" customHeight="1" x14ac:dyDescent="0.2">
      <c r="A17" s="100">
        <v>11</v>
      </c>
      <c r="B17" s="3" t="s">
        <v>400</v>
      </c>
      <c r="C17" s="3" t="s">
        <v>401</v>
      </c>
      <c r="D17" s="3" t="s">
        <v>210</v>
      </c>
      <c r="E17" s="4">
        <v>24965</v>
      </c>
      <c r="F17" s="5">
        <v>69.727244999999996</v>
      </c>
      <c r="G17" s="6">
        <v>2.5780520000000001E-2</v>
      </c>
      <c r="H17" s="109"/>
    </row>
    <row r="18" spans="1:8" ht="17.100000000000001" customHeight="1" x14ac:dyDescent="0.2">
      <c r="A18" s="100">
        <v>12</v>
      </c>
      <c r="B18" s="3" t="s">
        <v>318</v>
      </c>
      <c r="C18" s="3" t="s">
        <v>319</v>
      </c>
      <c r="D18" s="3" t="s">
        <v>235</v>
      </c>
      <c r="E18" s="4">
        <v>5601</v>
      </c>
      <c r="F18" s="5">
        <v>69.390788999999998</v>
      </c>
      <c r="G18" s="6">
        <v>2.5656120000000001E-2</v>
      </c>
      <c r="H18" s="109"/>
    </row>
    <row r="19" spans="1:8" ht="29.1" customHeight="1" x14ac:dyDescent="0.2">
      <c r="A19" s="100">
        <v>13</v>
      </c>
      <c r="B19" s="3" t="s">
        <v>204</v>
      </c>
      <c r="C19" s="3" t="s">
        <v>205</v>
      </c>
      <c r="D19" s="3" t="s">
        <v>115</v>
      </c>
      <c r="E19" s="4">
        <v>22574</v>
      </c>
      <c r="F19" s="5">
        <v>68.591099</v>
      </c>
      <c r="G19" s="6">
        <v>2.536045E-2</v>
      </c>
      <c r="H19" s="109"/>
    </row>
    <row r="20" spans="1:8" ht="17.100000000000001" customHeight="1" x14ac:dyDescent="0.2">
      <c r="A20" s="100">
        <v>14</v>
      </c>
      <c r="B20" s="3" t="s">
        <v>332</v>
      </c>
      <c r="C20" s="3" t="s">
        <v>333</v>
      </c>
      <c r="D20" s="3" t="s">
        <v>334</v>
      </c>
      <c r="E20" s="4">
        <v>6432</v>
      </c>
      <c r="F20" s="5">
        <v>65.577455999999998</v>
      </c>
      <c r="G20" s="6">
        <v>2.4246199999999999E-2</v>
      </c>
      <c r="H20" s="109"/>
    </row>
    <row r="21" spans="1:8" ht="29.1" customHeight="1" x14ac:dyDescent="0.2">
      <c r="A21" s="100">
        <v>15</v>
      </c>
      <c r="B21" s="3" t="s">
        <v>412</v>
      </c>
      <c r="C21" s="3" t="s">
        <v>413</v>
      </c>
      <c r="D21" s="3" t="s">
        <v>221</v>
      </c>
      <c r="E21" s="4">
        <v>17579</v>
      </c>
      <c r="F21" s="5">
        <v>63.117399499999998</v>
      </c>
      <c r="G21" s="6">
        <v>2.3336630000000001E-2</v>
      </c>
      <c r="H21" s="109"/>
    </row>
    <row r="22" spans="1:8" ht="17.100000000000001" customHeight="1" x14ac:dyDescent="0.2">
      <c r="A22" s="100">
        <v>16</v>
      </c>
      <c r="B22" s="3" t="s">
        <v>471</v>
      </c>
      <c r="C22" s="3" t="s">
        <v>472</v>
      </c>
      <c r="D22" s="3" t="s">
        <v>235</v>
      </c>
      <c r="E22" s="4">
        <v>33431</v>
      </c>
      <c r="F22" s="5">
        <v>62.816848999999998</v>
      </c>
      <c r="G22" s="6">
        <v>2.3225510000000001E-2</v>
      </c>
      <c r="H22" s="109"/>
    </row>
    <row r="23" spans="1:8" ht="17.100000000000001" customHeight="1" x14ac:dyDescent="0.2">
      <c r="A23" s="100">
        <v>17</v>
      </c>
      <c r="B23" s="3" t="s">
        <v>384</v>
      </c>
      <c r="C23" s="3" t="s">
        <v>385</v>
      </c>
      <c r="D23" s="3" t="s">
        <v>334</v>
      </c>
      <c r="E23" s="4">
        <v>4116</v>
      </c>
      <c r="F23" s="5">
        <v>57.733074000000002</v>
      </c>
      <c r="G23" s="6">
        <v>2.1345869999999999E-2</v>
      </c>
      <c r="H23" s="109"/>
    </row>
    <row r="24" spans="1:8" ht="17.100000000000001" customHeight="1" x14ac:dyDescent="0.2">
      <c r="A24" s="100">
        <v>18</v>
      </c>
      <c r="B24" s="3" t="s">
        <v>37</v>
      </c>
      <c r="C24" s="3" t="s">
        <v>38</v>
      </c>
      <c r="D24" s="3" t="s">
        <v>31</v>
      </c>
      <c r="E24" s="4">
        <v>3026</v>
      </c>
      <c r="F24" s="5">
        <v>54.610222</v>
      </c>
      <c r="G24" s="6">
        <v>2.0191239999999999E-2</v>
      </c>
      <c r="H24" s="109"/>
    </row>
    <row r="25" spans="1:8" ht="17.100000000000001" customHeight="1" x14ac:dyDescent="0.2">
      <c r="A25" s="100">
        <v>19</v>
      </c>
      <c r="B25" s="3" t="s">
        <v>410</v>
      </c>
      <c r="C25" s="3" t="s">
        <v>411</v>
      </c>
      <c r="D25" s="3" t="s">
        <v>235</v>
      </c>
      <c r="E25" s="4">
        <v>8090</v>
      </c>
      <c r="F25" s="5">
        <v>52.47983</v>
      </c>
      <c r="G25" s="6">
        <v>1.9403569999999998E-2</v>
      </c>
      <c r="H25" s="109"/>
    </row>
    <row r="26" spans="1:8" ht="29.1" customHeight="1" x14ac:dyDescent="0.2">
      <c r="A26" s="100">
        <v>20</v>
      </c>
      <c r="B26" s="3" t="s">
        <v>406</v>
      </c>
      <c r="C26" s="3" t="s">
        <v>407</v>
      </c>
      <c r="D26" s="3" t="s">
        <v>52</v>
      </c>
      <c r="E26" s="4">
        <v>3057</v>
      </c>
      <c r="F26" s="5">
        <v>51.872704499999998</v>
      </c>
      <c r="G26" s="6">
        <v>1.9179089999999999E-2</v>
      </c>
      <c r="H26" s="109"/>
    </row>
    <row r="27" spans="1:8" ht="29.1" customHeight="1" x14ac:dyDescent="0.2">
      <c r="A27" s="100">
        <v>21</v>
      </c>
      <c r="B27" s="3" t="s">
        <v>256</v>
      </c>
      <c r="C27" s="3" t="s">
        <v>257</v>
      </c>
      <c r="D27" s="3" t="s">
        <v>221</v>
      </c>
      <c r="E27" s="4">
        <v>15078</v>
      </c>
      <c r="F27" s="5">
        <v>47.397692999999997</v>
      </c>
      <c r="G27" s="6">
        <v>1.752453E-2</v>
      </c>
      <c r="H27" s="109"/>
    </row>
    <row r="28" spans="1:8" ht="17.100000000000001" customHeight="1" x14ac:dyDescent="0.2">
      <c r="A28" s="100">
        <v>22</v>
      </c>
      <c r="B28" s="3" t="s">
        <v>424</v>
      </c>
      <c r="C28" s="3" t="s">
        <v>425</v>
      </c>
      <c r="D28" s="3" t="s">
        <v>253</v>
      </c>
      <c r="E28" s="4">
        <v>31050</v>
      </c>
      <c r="F28" s="5">
        <v>44.510174999999997</v>
      </c>
      <c r="G28" s="6">
        <v>1.6456910000000002E-2</v>
      </c>
      <c r="H28" s="109"/>
    </row>
    <row r="29" spans="1:8" ht="29.1" customHeight="1" x14ac:dyDescent="0.2">
      <c r="A29" s="100">
        <v>23</v>
      </c>
      <c r="B29" s="3" t="s">
        <v>379</v>
      </c>
      <c r="C29" s="3" t="s">
        <v>380</v>
      </c>
      <c r="D29" s="3" t="s">
        <v>62</v>
      </c>
      <c r="E29" s="4">
        <v>2217</v>
      </c>
      <c r="F29" s="5">
        <v>44.361061499999998</v>
      </c>
      <c r="G29" s="6">
        <v>1.6401780000000001E-2</v>
      </c>
      <c r="H29" s="109"/>
    </row>
    <row r="30" spans="1:8" ht="17.100000000000001" customHeight="1" x14ac:dyDescent="0.2">
      <c r="A30" s="100">
        <v>24</v>
      </c>
      <c r="B30" s="3" t="s">
        <v>375</v>
      </c>
      <c r="C30" s="3" t="s">
        <v>376</v>
      </c>
      <c r="D30" s="3" t="s">
        <v>120</v>
      </c>
      <c r="E30" s="4">
        <v>6095</v>
      </c>
      <c r="F30" s="5">
        <v>44.167417499999999</v>
      </c>
      <c r="G30" s="6">
        <v>1.6330190000000001E-2</v>
      </c>
      <c r="H30" s="109"/>
    </row>
    <row r="31" spans="1:8" ht="17.100000000000001" customHeight="1" x14ac:dyDescent="0.2">
      <c r="A31" s="100">
        <v>25</v>
      </c>
      <c r="B31" s="3" t="s">
        <v>433</v>
      </c>
      <c r="C31" s="3" t="s">
        <v>434</v>
      </c>
      <c r="D31" s="3" t="s">
        <v>997</v>
      </c>
      <c r="E31" s="4">
        <v>4330</v>
      </c>
      <c r="F31" s="5">
        <v>40.888190000000002</v>
      </c>
      <c r="G31" s="6">
        <v>1.5117739999999999E-2</v>
      </c>
      <c r="H31" s="109"/>
    </row>
    <row r="32" spans="1:8" ht="17.100000000000001" customHeight="1" x14ac:dyDescent="0.2">
      <c r="A32" s="100">
        <v>26</v>
      </c>
      <c r="B32" s="3" t="s">
        <v>461</v>
      </c>
      <c r="C32" s="3" t="s">
        <v>462</v>
      </c>
      <c r="D32" s="3" t="s">
        <v>996</v>
      </c>
      <c r="E32" s="4">
        <v>4870</v>
      </c>
      <c r="F32" s="5">
        <v>40.403955000000003</v>
      </c>
      <c r="G32" s="6">
        <v>1.4938709999999999E-2</v>
      </c>
      <c r="H32" s="109"/>
    </row>
    <row r="33" spans="1:8" ht="29.1" customHeight="1" x14ac:dyDescent="0.2">
      <c r="A33" s="100">
        <v>27</v>
      </c>
      <c r="B33" s="3" t="s">
        <v>381</v>
      </c>
      <c r="C33" s="3" t="s">
        <v>382</v>
      </c>
      <c r="D33" s="3" t="s">
        <v>383</v>
      </c>
      <c r="E33" s="4">
        <v>39159</v>
      </c>
      <c r="F33" s="5">
        <v>38.767409999999998</v>
      </c>
      <c r="G33" s="6">
        <v>1.433362E-2</v>
      </c>
      <c r="H33" s="109"/>
    </row>
    <row r="34" spans="1:8" ht="17.100000000000001" customHeight="1" x14ac:dyDescent="0.2">
      <c r="A34" s="100">
        <v>28</v>
      </c>
      <c r="B34" s="3" t="s">
        <v>377</v>
      </c>
      <c r="C34" s="3" t="s">
        <v>378</v>
      </c>
      <c r="D34" s="3" t="s">
        <v>13</v>
      </c>
      <c r="E34" s="4">
        <v>51989</v>
      </c>
      <c r="F34" s="5">
        <v>38.757799499999997</v>
      </c>
      <c r="G34" s="6">
        <v>1.433007E-2</v>
      </c>
      <c r="H34" s="109"/>
    </row>
    <row r="35" spans="1:8" ht="17.100000000000001" customHeight="1" x14ac:dyDescent="0.2">
      <c r="A35" s="100">
        <v>29</v>
      </c>
      <c r="B35" s="3" t="s">
        <v>388</v>
      </c>
      <c r="C35" s="3" t="s">
        <v>389</v>
      </c>
      <c r="D35" s="3" t="s">
        <v>115</v>
      </c>
      <c r="E35" s="4">
        <v>9015</v>
      </c>
      <c r="F35" s="5">
        <v>36.898395000000001</v>
      </c>
      <c r="G35" s="6">
        <v>1.364258E-2</v>
      </c>
      <c r="H35" s="109"/>
    </row>
    <row r="36" spans="1:8" ht="17.100000000000001" customHeight="1" x14ac:dyDescent="0.2">
      <c r="A36" s="100">
        <v>30</v>
      </c>
      <c r="B36" s="3" t="s">
        <v>446</v>
      </c>
      <c r="C36" s="3" t="s">
        <v>447</v>
      </c>
      <c r="D36" s="3" t="s">
        <v>13</v>
      </c>
      <c r="E36" s="4">
        <v>6941</v>
      </c>
      <c r="F36" s="5">
        <v>36.787300000000002</v>
      </c>
      <c r="G36" s="6">
        <v>1.3601510000000001E-2</v>
      </c>
      <c r="H36" s="109"/>
    </row>
    <row r="37" spans="1:8" ht="17.100000000000001" customHeight="1" x14ac:dyDescent="0.2">
      <c r="A37" s="100">
        <v>31</v>
      </c>
      <c r="B37" s="3" t="s">
        <v>373</v>
      </c>
      <c r="C37" s="3" t="s">
        <v>374</v>
      </c>
      <c r="D37" s="3" t="s">
        <v>997</v>
      </c>
      <c r="E37" s="4">
        <v>3490</v>
      </c>
      <c r="F37" s="5">
        <v>35.742834999999999</v>
      </c>
      <c r="G37" s="6">
        <v>1.3215330000000001E-2</v>
      </c>
      <c r="H37" s="109"/>
    </row>
    <row r="38" spans="1:8" ht="29.1" customHeight="1" x14ac:dyDescent="0.2">
      <c r="A38" s="100">
        <v>32</v>
      </c>
      <c r="B38" s="3" t="s">
        <v>87</v>
      </c>
      <c r="C38" s="3" t="s">
        <v>88</v>
      </c>
      <c r="D38" s="3" t="s">
        <v>25</v>
      </c>
      <c r="E38" s="4">
        <v>1255</v>
      </c>
      <c r="F38" s="5">
        <v>34.695729999999998</v>
      </c>
      <c r="G38" s="6">
        <v>1.282818E-2</v>
      </c>
      <c r="H38" s="109"/>
    </row>
    <row r="39" spans="1:8" ht="29.1" customHeight="1" x14ac:dyDescent="0.2">
      <c r="A39" s="100">
        <v>33</v>
      </c>
      <c r="B39" s="3" t="s">
        <v>390</v>
      </c>
      <c r="C39" s="3" t="s">
        <v>391</v>
      </c>
      <c r="D39" s="3" t="s">
        <v>392</v>
      </c>
      <c r="E39" s="4">
        <v>9641</v>
      </c>
      <c r="F39" s="5">
        <v>34.572626</v>
      </c>
      <c r="G39" s="6">
        <v>1.2782669999999999E-2</v>
      </c>
      <c r="H39" s="109"/>
    </row>
    <row r="40" spans="1:8" ht="17.100000000000001" customHeight="1" x14ac:dyDescent="0.2">
      <c r="A40" s="100">
        <v>34</v>
      </c>
      <c r="B40" s="3" t="s">
        <v>184</v>
      </c>
      <c r="C40" s="3" t="s">
        <v>185</v>
      </c>
      <c r="D40" s="3" t="s">
        <v>996</v>
      </c>
      <c r="E40" s="4">
        <v>717</v>
      </c>
      <c r="F40" s="5">
        <v>34.366526999999998</v>
      </c>
      <c r="G40" s="6">
        <v>1.2706469999999999E-2</v>
      </c>
      <c r="H40" s="109"/>
    </row>
    <row r="41" spans="1:8" ht="29.1" customHeight="1" x14ac:dyDescent="0.2">
      <c r="A41" s="100">
        <v>35</v>
      </c>
      <c r="B41" s="3" t="s">
        <v>443</v>
      </c>
      <c r="C41" s="3" t="s">
        <v>444</v>
      </c>
      <c r="D41" s="3" t="s">
        <v>445</v>
      </c>
      <c r="E41" s="4">
        <v>6151</v>
      </c>
      <c r="F41" s="5">
        <v>33.642894499999997</v>
      </c>
      <c r="G41" s="6">
        <v>1.2438909999999999E-2</v>
      </c>
      <c r="H41" s="109"/>
    </row>
    <row r="42" spans="1:8" ht="29.1" customHeight="1" x14ac:dyDescent="0.2">
      <c r="A42" s="100">
        <v>36</v>
      </c>
      <c r="B42" s="3" t="s">
        <v>463</v>
      </c>
      <c r="C42" s="3" t="s">
        <v>464</v>
      </c>
      <c r="D42" s="3" t="s">
        <v>188</v>
      </c>
      <c r="E42" s="4">
        <v>4967</v>
      </c>
      <c r="F42" s="5">
        <v>32.044600500000001</v>
      </c>
      <c r="G42" s="6">
        <v>1.1847969999999999E-2</v>
      </c>
      <c r="H42" s="109"/>
    </row>
    <row r="43" spans="1:8" ht="17.100000000000001" customHeight="1" x14ac:dyDescent="0.2">
      <c r="A43" s="100">
        <v>37</v>
      </c>
      <c r="B43" s="3" t="s">
        <v>441</v>
      </c>
      <c r="C43" s="3" t="s">
        <v>442</v>
      </c>
      <c r="D43" s="3" t="s">
        <v>120</v>
      </c>
      <c r="E43" s="4">
        <v>38726</v>
      </c>
      <c r="F43" s="5">
        <v>29.431760000000001</v>
      </c>
      <c r="G43" s="6">
        <v>1.088192E-2</v>
      </c>
      <c r="H43" s="109"/>
    </row>
    <row r="44" spans="1:8" ht="17.100000000000001" customHeight="1" x14ac:dyDescent="0.2">
      <c r="A44" s="100">
        <v>38</v>
      </c>
      <c r="B44" s="3" t="s">
        <v>231</v>
      </c>
      <c r="C44" s="3" t="s">
        <v>232</v>
      </c>
      <c r="D44" s="3" t="s">
        <v>80</v>
      </c>
      <c r="E44" s="4">
        <v>601</v>
      </c>
      <c r="F44" s="5">
        <v>29.156313000000001</v>
      </c>
      <c r="G44" s="6">
        <v>1.0780069999999999E-2</v>
      </c>
      <c r="H44" s="109"/>
    </row>
    <row r="45" spans="1:8" ht="17.100000000000001" customHeight="1" x14ac:dyDescent="0.2">
      <c r="A45" s="100">
        <v>39</v>
      </c>
      <c r="B45" s="3" t="s">
        <v>386</v>
      </c>
      <c r="C45" s="3" t="s">
        <v>387</v>
      </c>
      <c r="D45" s="3" t="s">
        <v>228</v>
      </c>
      <c r="E45" s="4">
        <v>4877</v>
      </c>
      <c r="F45" s="5">
        <v>28.915732999999999</v>
      </c>
      <c r="G45" s="6">
        <v>1.069112E-2</v>
      </c>
      <c r="H45" s="109"/>
    </row>
    <row r="46" spans="1:8" ht="29.1" customHeight="1" x14ac:dyDescent="0.2">
      <c r="A46" s="100">
        <v>40</v>
      </c>
      <c r="B46" s="3" t="s">
        <v>448</v>
      </c>
      <c r="C46" s="3" t="s">
        <v>449</v>
      </c>
      <c r="D46" s="3" t="s">
        <v>221</v>
      </c>
      <c r="E46" s="4">
        <v>1489</v>
      </c>
      <c r="F46" s="5">
        <v>28.867242999999998</v>
      </c>
      <c r="G46" s="6">
        <v>1.0673190000000001E-2</v>
      </c>
      <c r="H46" s="109"/>
    </row>
    <row r="47" spans="1:8" ht="29.1" customHeight="1" x14ac:dyDescent="0.2">
      <c r="A47" s="100">
        <v>41</v>
      </c>
      <c r="B47" s="3" t="s">
        <v>466</v>
      </c>
      <c r="C47" s="3" t="s">
        <v>467</v>
      </c>
      <c r="D47" s="3" t="s">
        <v>468</v>
      </c>
      <c r="E47" s="4">
        <v>6786</v>
      </c>
      <c r="F47" s="5">
        <v>28.745495999999999</v>
      </c>
      <c r="G47" s="6">
        <v>1.0628179999999999E-2</v>
      </c>
      <c r="H47" s="109"/>
    </row>
    <row r="48" spans="1:8" ht="29.1" customHeight="1" x14ac:dyDescent="0.2">
      <c r="A48" s="100">
        <v>42</v>
      </c>
      <c r="B48" s="3" t="s">
        <v>452</v>
      </c>
      <c r="C48" s="3" t="s">
        <v>453</v>
      </c>
      <c r="D48" s="3" t="s">
        <v>392</v>
      </c>
      <c r="E48" s="4">
        <v>7853</v>
      </c>
      <c r="F48" s="5">
        <v>27.760355000000001</v>
      </c>
      <c r="G48" s="6">
        <v>1.0263939999999999E-2</v>
      </c>
      <c r="H48" s="109"/>
    </row>
    <row r="49" spans="1:8" ht="29.1" customHeight="1" x14ac:dyDescent="0.2">
      <c r="A49" s="100">
        <v>43</v>
      </c>
      <c r="B49" s="3" t="s">
        <v>426</v>
      </c>
      <c r="C49" s="3" t="s">
        <v>427</v>
      </c>
      <c r="D49" s="3" t="s">
        <v>115</v>
      </c>
      <c r="E49" s="4">
        <v>2262</v>
      </c>
      <c r="F49" s="5">
        <v>26.191697999999999</v>
      </c>
      <c r="G49" s="6">
        <v>9.6839600000000001E-3</v>
      </c>
      <c r="H49" s="109"/>
    </row>
    <row r="50" spans="1:8" ht="17.100000000000001" customHeight="1" x14ac:dyDescent="0.2">
      <c r="A50" s="100">
        <v>44</v>
      </c>
      <c r="B50" s="3" t="s">
        <v>480</v>
      </c>
      <c r="C50" s="3" t="s">
        <v>481</v>
      </c>
      <c r="D50" s="3" t="s">
        <v>31</v>
      </c>
      <c r="E50" s="4">
        <v>3949</v>
      </c>
      <c r="F50" s="5">
        <v>25.301242999999999</v>
      </c>
      <c r="G50" s="6">
        <v>9.3547200000000004E-3</v>
      </c>
      <c r="H50" s="109"/>
    </row>
    <row r="51" spans="1:8" ht="29.1" customHeight="1" x14ac:dyDescent="0.2">
      <c r="A51" s="100">
        <v>45</v>
      </c>
      <c r="B51" s="3" t="s">
        <v>422</v>
      </c>
      <c r="C51" s="3" t="s">
        <v>423</v>
      </c>
      <c r="D51" s="3" t="s">
        <v>221</v>
      </c>
      <c r="E51" s="4">
        <v>536</v>
      </c>
      <c r="F51" s="5">
        <v>25.068719999999999</v>
      </c>
      <c r="G51" s="6">
        <v>9.2687499999999992E-3</v>
      </c>
      <c r="H51" s="109"/>
    </row>
    <row r="52" spans="1:8" ht="17.100000000000001" customHeight="1" x14ac:dyDescent="0.2">
      <c r="A52" s="100">
        <v>46</v>
      </c>
      <c r="B52" s="3" t="s">
        <v>450</v>
      </c>
      <c r="C52" s="3" t="s">
        <v>451</v>
      </c>
      <c r="D52" s="3" t="s">
        <v>80</v>
      </c>
      <c r="E52" s="4">
        <v>2373</v>
      </c>
      <c r="F52" s="5">
        <v>21.234790499999999</v>
      </c>
      <c r="G52" s="6">
        <v>7.8512200000000008E-3</v>
      </c>
      <c r="H52" s="109"/>
    </row>
    <row r="53" spans="1:8" ht="17.100000000000001" customHeight="1" x14ac:dyDescent="0.2">
      <c r="A53" s="100">
        <v>47</v>
      </c>
      <c r="B53" s="3" t="s">
        <v>420</v>
      </c>
      <c r="C53" s="3" t="s">
        <v>421</v>
      </c>
      <c r="D53" s="3" t="s">
        <v>22</v>
      </c>
      <c r="E53" s="4">
        <v>8871</v>
      </c>
      <c r="F53" s="5">
        <v>20.319025499999999</v>
      </c>
      <c r="G53" s="6">
        <v>7.5126300000000002E-3</v>
      </c>
      <c r="H53" s="109"/>
    </row>
    <row r="54" spans="1:8" ht="17.100000000000001" customHeight="1" x14ac:dyDescent="0.2">
      <c r="A54" s="100">
        <v>48</v>
      </c>
      <c r="B54" s="3" t="s">
        <v>428</v>
      </c>
      <c r="C54" s="3" t="s">
        <v>429</v>
      </c>
      <c r="D54" s="3" t="s">
        <v>213</v>
      </c>
      <c r="E54" s="4">
        <v>2470</v>
      </c>
      <c r="F54" s="5">
        <v>18.002594999999999</v>
      </c>
      <c r="G54" s="6">
        <v>6.6561700000000003E-3</v>
      </c>
      <c r="H54" s="109"/>
    </row>
    <row r="55" spans="1:8" ht="17.100000000000001" customHeight="1" x14ac:dyDescent="0.2">
      <c r="A55" s="100">
        <v>49</v>
      </c>
      <c r="B55" s="3" t="s">
        <v>454</v>
      </c>
      <c r="C55" s="3" t="s">
        <v>455</v>
      </c>
      <c r="D55" s="3" t="s">
        <v>31</v>
      </c>
      <c r="E55" s="4">
        <v>2121</v>
      </c>
      <c r="F55" s="5">
        <v>17.747467499999999</v>
      </c>
      <c r="G55" s="6">
        <v>6.5618400000000002E-3</v>
      </c>
      <c r="H55" s="109"/>
    </row>
    <row r="56" spans="1:8" ht="17.100000000000001" customHeight="1" x14ac:dyDescent="0.2">
      <c r="A56" s="100">
        <v>50</v>
      </c>
      <c r="B56" s="3" t="s">
        <v>123</v>
      </c>
      <c r="C56" s="3" t="s">
        <v>124</v>
      </c>
      <c r="D56" s="3" t="s">
        <v>115</v>
      </c>
      <c r="E56" s="4">
        <v>928</v>
      </c>
      <c r="F56" s="5">
        <v>17.499759999999998</v>
      </c>
      <c r="G56" s="6">
        <v>6.4702500000000003E-3</v>
      </c>
      <c r="H56" s="109"/>
    </row>
    <row r="57" spans="1:8" ht="17.100000000000001" customHeight="1" x14ac:dyDescent="0.2">
      <c r="A57" s="100">
        <v>51</v>
      </c>
      <c r="B57" s="3" t="s">
        <v>395</v>
      </c>
      <c r="C57" s="3" t="s">
        <v>396</v>
      </c>
      <c r="D57" s="3" t="s">
        <v>115</v>
      </c>
      <c r="E57" s="4">
        <v>7251</v>
      </c>
      <c r="F57" s="5">
        <v>14.193832499999999</v>
      </c>
      <c r="G57" s="6">
        <v>5.2479400000000004E-3</v>
      </c>
      <c r="H57" s="109"/>
    </row>
    <row r="58" spans="1:8" ht="17.100000000000001" customHeight="1" x14ac:dyDescent="0.2">
      <c r="A58" s="100">
        <v>52</v>
      </c>
      <c r="B58" s="3" t="s">
        <v>330</v>
      </c>
      <c r="C58" s="3" t="s">
        <v>331</v>
      </c>
      <c r="D58" s="3" t="s">
        <v>97</v>
      </c>
      <c r="E58" s="4">
        <v>21625</v>
      </c>
      <c r="F58" s="5">
        <v>13.88325</v>
      </c>
      <c r="G58" s="6">
        <v>5.1331099999999998E-3</v>
      </c>
      <c r="H58" s="109"/>
    </row>
    <row r="59" spans="1:8" ht="29.1" customHeight="1" x14ac:dyDescent="0.2">
      <c r="A59" s="100">
        <v>53</v>
      </c>
      <c r="B59" s="3" t="s">
        <v>393</v>
      </c>
      <c r="C59" s="3" t="s">
        <v>394</v>
      </c>
      <c r="D59" s="3" t="s">
        <v>191</v>
      </c>
      <c r="E59" s="4">
        <v>2505</v>
      </c>
      <c r="F59" s="5">
        <v>12.5838675</v>
      </c>
      <c r="G59" s="6">
        <v>4.6526800000000002E-3</v>
      </c>
      <c r="H59" s="109"/>
    </row>
    <row r="60" spans="1:8" ht="29.1" customHeight="1" x14ac:dyDescent="0.2">
      <c r="A60" s="100">
        <v>54</v>
      </c>
      <c r="B60" s="3" t="s">
        <v>430</v>
      </c>
      <c r="C60" s="3" t="s">
        <v>431</v>
      </c>
      <c r="D60" s="3" t="s">
        <v>188</v>
      </c>
      <c r="E60" s="4">
        <v>1926</v>
      </c>
      <c r="F60" s="5">
        <v>7.7742990000000001</v>
      </c>
      <c r="G60" s="6">
        <v>2.8744199999999999E-3</v>
      </c>
      <c r="H60" s="109"/>
    </row>
    <row r="61" spans="1:8" ht="29.1" customHeight="1" x14ac:dyDescent="0.2">
      <c r="A61" s="100">
        <v>55</v>
      </c>
      <c r="B61" s="3" t="s">
        <v>456</v>
      </c>
      <c r="C61" s="3" t="s">
        <v>457</v>
      </c>
      <c r="D61" s="3" t="s">
        <v>221</v>
      </c>
      <c r="E61" s="4">
        <v>1748</v>
      </c>
      <c r="F61" s="5">
        <v>4.4600220000000004</v>
      </c>
      <c r="G61" s="6">
        <v>1.64902E-3</v>
      </c>
      <c r="H61" s="109"/>
    </row>
    <row r="62" spans="1:8" ht="14.1" customHeight="1" x14ac:dyDescent="0.2">
      <c r="A62" s="99"/>
      <c r="B62" s="1"/>
      <c r="C62" s="2" t="s">
        <v>135</v>
      </c>
      <c r="D62" s="1"/>
      <c r="E62" s="1" t="s">
        <v>136</v>
      </c>
      <c r="F62" s="8">
        <v>2543.4766424999998</v>
      </c>
      <c r="G62" s="9">
        <v>0.94040921</v>
      </c>
      <c r="H62" s="109"/>
    </row>
    <row r="63" spans="1:8" ht="14.1" customHeight="1" x14ac:dyDescent="0.2">
      <c r="A63" s="99"/>
      <c r="B63" s="1"/>
      <c r="C63" s="10"/>
      <c r="D63" s="1"/>
      <c r="E63" s="1"/>
      <c r="F63" s="11"/>
      <c r="G63" s="11"/>
      <c r="H63" s="109"/>
    </row>
    <row r="64" spans="1:8" ht="14.1" customHeight="1" x14ac:dyDescent="0.2">
      <c r="A64" s="99"/>
      <c r="B64" s="1"/>
      <c r="C64" s="2" t="s">
        <v>137</v>
      </c>
      <c r="D64" s="1"/>
      <c r="E64" s="1"/>
      <c r="F64" s="1"/>
      <c r="G64" s="1"/>
      <c r="H64" s="109"/>
    </row>
    <row r="65" spans="1:8" ht="14.1" customHeight="1" x14ac:dyDescent="0.2">
      <c r="A65" s="99"/>
      <c r="B65" s="1"/>
      <c r="C65" s="2" t="s">
        <v>135</v>
      </c>
      <c r="D65" s="1"/>
      <c r="E65" s="1" t="s">
        <v>136</v>
      </c>
      <c r="F65" s="115">
        <v>0</v>
      </c>
      <c r="G65" s="9">
        <v>0</v>
      </c>
      <c r="H65" s="109"/>
    </row>
    <row r="66" spans="1:8" ht="14.1" customHeight="1" x14ac:dyDescent="0.2">
      <c r="A66" s="99"/>
      <c r="B66" s="1"/>
      <c r="C66" s="10"/>
      <c r="D66" s="1"/>
      <c r="E66" s="1"/>
      <c r="F66" s="11"/>
      <c r="G66" s="11"/>
      <c r="H66" s="109"/>
    </row>
    <row r="67" spans="1:8" ht="14.1" customHeight="1" x14ac:dyDescent="0.2">
      <c r="A67" s="99"/>
      <c r="B67" s="1"/>
      <c r="C67" s="2" t="s">
        <v>138</v>
      </c>
      <c r="D67" s="1"/>
      <c r="E67" s="1"/>
      <c r="F67" s="1"/>
      <c r="G67" s="1"/>
      <c r="H67" s="109"/>
    </row>
    <row r="68" spans="1:8" ht="14.1" customHeight="1" x14ac:dyDescent="0.2">
      <c r="A68" s="99"/>
      <c r="B68" s="1"/>
      <c r="C68" s="2" t="s">
        <v>135</v>
      </c>
      <c r="D68" s="1"/>
      <c r="E68" s="1" t="s">
        <v>136</v>
      </c>
      <c r="F68" s="115">
        <v>0</v>
      </c>
      <c r="G68" s="9">
        <v>0</v>
      </c>
      <c r="H68" s="109"/>
    </row>
    <row r="69" spans="1:8" ht="14.1" customHeight="1" x14ac:dyDescent="0.2">
      <c r="A69" s="99"/>
      <c r="B69" s="1"/>
      <c r="C69" s="10"/>
      <c r="D69" s="1"/>
      <c r="E69" s="1"/>
      <c r="F69" s="11"/>
      <c r="G69" s="11"/>
      <c r="H69" s="109"/>
    </row>
    <row r="70" spans="1:8" ht="14.1" customHeight="1" x14ac:dyDescent="0.2">
      <c r="A70" s="99"/>
      <c r="B70" s="1"/>
      <c r="C70" s="2" t="s">
        <v>139</v>
      </c>
      <c r="D70" s="1"/>
      <c r="E70" s="1"/>
      <c r="F70" s="1"/>
      <c r="G70" s="1"/>
      <c r="H70" s="109"/>
    </row>
    <row r="71" spans="1:8" ht="14.1" customHeight="1" x14ac:dyDescent="0.2">
      <c r="A71" s="99"/>
      <c r="B71" s="1"/>
      <c r="C71" s="2" t="s">
        <v>135</v>
      </c>
      <c r="D71" s="1"/>
      <c r="E71" s="1" t="s">
        <v>136</v>
      </c>
      <c r="F71" s="115">
        <v>0</v>
      </c>
      <c r="G71" s="9">
        <v>0</v>
      </c>
      <c r="H71" s="109"/>
    </row>
    <row r="72" spans="1:8" ht="14.1" customHeight="1" x14ac:dyDescent="0.2">
      <c r="A72" s="99"/>
      <c r="B72" s="1"/>
      <c r="C72" s="10"/>
      <c r="D72" s="1"/>
      <c r="E72" s="1"/>
      <c r="F72" s="11"/>
      <c r="G72" s="11"/>
      <c r="H72" s="109"/>
    </row>
    <row r="73" spans="1:8" ht="14.1" customHeight="1" x14ac:dyDescent="0.2">
      <c r="A73" s="99"/>
      <c r="B73" s="1"/>
      <c r="C73" s="2" t="s">
        <v>140</v>
      </c>
      <c r="D73" s="1"/>
      <c r="E73" s="1"/>
      <c r="F73" s="11"/>
      <c r="G73" s="11"/>
      <c r="H73" s="109"/>
    </row>
    <row r="74" spans="1:8" ht="14.1" customHeight="1" x14ac:dyDescent="0.2">
      <c r="A74" s="99"/>
      <c r="B74" s="1"/>
      <c r="C74" s="2" t="s">
        <v>135</v>
      </c>
      <c r="D74" s="1"/>
      <c r="E74" s="1" t="s">
        <v>136</v>
      </c>
      <c r="F74" s="115">
        <v>0</v>
      </c>
      <c r="G74" s="9">
        <v>0</v>
      </c>
      <c r="H74" s="109"/>
    </row>
    <row r="75" spans="1:8" ht="14.1" customHeight="1" x14ac:dyDescent="0.2">
      <c r="A75" s="99"/>
      <c r="B75" s="1"/>
      <c r="C75" s="10"/>
      <c r="D75" s="1"/>
      <c r="E75" s="1"/>
      <c r="F75" s="11"/>
      <c r="G75" s="11"/>
      <c r="H75" s="109"/>
    </row>
    <row r="76" spans="1:8" ht="14.1" customHeight="1" x14ac:dyDescent="0.2">
      <c r="A76" s="99"/>
      <c r="B76" s="1"/>
      <c r="C76" s="2" t="s">
        <v>141</v>
      </c>
      <c r="D76" s="1"/>
      <c r="E76" s="1"/>
      <c r="F76" s="11"/>
      <c r="G76" s="11"/>
      <c r="H76" s="109"/>
    </row>
    <row r="77" spans="1:8" ht="14.1" customHeight="1" x14ac:dyDescent="0.2">
      <c r="A77" s="99"/>
      <c r="B77" s="1"/>
      <c r="C77" s="2" t="s">
        <v>135</v>
      </c>
      <c r="D77" s="1"/>
      <c r="E77" s="1" t="s">
        <v>136</v>
      </c>
      <c r="F77" s="115">
        <v>0</v>
      </c>
      <c r="G77" s="9">
        <v>0</v>
      </c>
      <c r="H77" s="109"/>
    </row>
    <row r="78" spans="1:8" ht="14.1" customHeight="1" x14ac:dyDescent="0.2">
      <c r="A78" s="99"/>
      <c r="B78" s="1"/>
      <c r="C78" s="10"/>
      <c r="D78" s="1"/>
      <c r="E78" s="1"/>
      <c r="F78" s="11"/>
      <c r="G78" s="11"/>
      <c r="H78" s="109"/>
    </row>
    <row r="79" spans="1:8" ht="18" customHeight="1" x14ac:dyDescent="0.2">
      <c r="A79" s="99"/>
      <c r="B79" s="1"/>
      <c r="C79" s="2" t="s">
        <v>142</v>
      </c>
      <c r="D79" s="1"/>
      <c r="E79" s="1"/>
      <c r="F79" s="8">
        <v>2543.4766424999998</v>
      </c>
      <c r="G79" s="9">
        <v>0.94040921</v>
      </c>
      <c r="H79" s="109"/>
    </row>
    <row r="80" spans="1:8" ht="14.1" customHeight="1" x14ac:dyDescent="0.2">
      <c r="A80" s="99"/>
      <c r="B80" s="1"/>
      <c r="C80" s="10"/>
      <c r="D80" s="1"/>
      <c r="E80" s="1"/>
      <c r="F80" s="11"/>
      <c r="G80" s="11"/>
      <c r="H80" s="109"/>
    </row>
    <row r="81" spans="1:8" ht="14.1" customHeight="1" x14ac:dyDescent="0.2">
      <c r="A81" s="99"/>
      <c r="B81" s="1"/>
      <c r="C81" s="2" t="s">
        <v>143</v>
      </c>
      <c r="D81" s="1"/>
      <c r="E81" s="1"/>
      <c r="F81" s="11"/>
      <c r="G81" s="11"/>
      <c r="H81" s="109"/>
    </row>
    <row r="82" spans="1:8" ht="24" customHeight="1" x14ac:dyDescent="0.2">
      <c r="A82" s="99"/>
      <c r="B82" s="1"/>
      <c r="C82" s="2" t="s">
        <v>10</v>
      </c>
      <c r="D82" s="1"/>
      <c r="E82" s="1"/>
      <c r="F82" s="11"/>
      <c r="G82" s="11"/>
      <c r="H82" s="109"/>
    </row>
    <row r="83" spans="1:8" ht="14.1" customHeight="1" x14ac:dyDescent="0.2">
      <c r="A83" s="99"/>
      <c r="B83" s="1"/>
      <c r="C83" s="2" t="s">
        <v>135</v>
      </c>
      <c r="D83" s="1"/>
      <c r="E83" s="1" t="s">
        <v>136</v>
      </c>
      <c r="F83" s="115">
        <v>0</v>
      </c>
      <c r="G83" s="9">
        <v>0</v>
      </c>
      <c r="H83" s="109"/>
    </row>
    <row r="84" spans="1:8" ht="14.1" customHeight="1" x14ac:dyDescent="0.2">
      <c r="A84" s="99"/>
      <c r="B84" s="1"/>
      <c r="C84" s="10"/>
      <c r="D84" s="1"/>
      <c r="E84" s="1"/>
      <c r="F84" s="11"/>
      <c r="G84" s="11"/>
      <c r="H84" s="109"/>
    </row>
    <row r="85" spans="1:8" ht="14.1" customHeight="1" x14ac:dyDescent="0.2">
      <c r="A85" s="99"/>
      <c r="B85" s="1"/>
      <c r="C85" s="2" t="s">
        <v>144</v>
      </c>
      <c r="D85" s="1"/>
      <c r="E85" s="1"/>
      <c r="F85" s="1"/>
      <c r="G85" s="1"/>
      <c r="H85" s="109"/>
    </row>
    <row r="86" spans="1:8" ht="14.1" customHeight="1" x14ac:dyDescent="0.2">
      <c r="A86" s="99"/>
      <c r="B86" s="1"/>
      <c r="C86" s="2" t="s">
        <v>135</v>
      </c>
      <c r="D86" s="1"/>
      <c r="E86" s="1" t="s">
        <v>136</v>
      </c>
      <c r="F86" s="115">
        <v>0</v>
      </c>
      <c r="G86" s="9">
        <v>0</v>
      </c>
      <c r="H86" s="109"/>
    </row>
    <row r="87" spans="1:8" ht="14.1" customHeight="1" x14ac:dyDescent="0.2">
      <c r="A87" s="99"/>
      <c r="B87" s="1"/>
      <c r="C87" s="10"/>
      <c r="D87" s="1"/>
      <c r="E87" s="1"/>
      <c r="F87" s="11"/>
      <c r="G87" s="11"/>
      <c r="H87" s="109"/>
    </row>
    <row r="88" spans="1:8" ht="14.1" customHeight="1" x14ac:dyDescent="0.2">
      <c r="A88" s="99"/>
      <c r="B88" s="1"/>
      <c r="C88" s="2" t="s">
        <v>145</v>
      </c>
      <c r="D88" s="1"/>
      <c r="E88" s="1"/>
      <c r="F88" s="1"/>
      <c r="G88" s="1"/>
      <c r="H88" s="109"/>
    </row>
    <row r="89" spans="1:8" ht="14.1" customHeight="1" x14ac:dyDescent="0.2">
      <c r="A89" s="99"/>
      <c r="B89" s="1"/>
      <c r="C89" s="2" t="s">
        <v>135</v>
      </c>
      <c r="D89" s="1"/>
      <c r="E89" s="1" t="s">
        <v>136</v>
      </c>
      <c r="F89" s="115">
        <v>0</v>
      </c>
      <c r="G89" s="9">
        <v>0</v>
      </c>
      <c r="H89" s="109"/>
    </row>
    <row r="90" spans="1:8" ht="14.1" customHeight="1" x14ac:dyDescent="0.2">
      <c r="A90" s="99"/>
      <c r="B90" s="1"/>
      <c r="C90" s="10"/>
      <c r="D90" s="1"/>
      <c r="E90" s="1"/>
      <c r="F90" s="11"/>
      <c r="G90" s="11"/>
      <c r="H90" s="109"/>
    </row>
    <row r="91" spans="1:8" ht="14.1" customHeight="1" x14ac:dyDescent="0.2">
      <c r="A91" s="99"/>
      <c r="B91" s="1"/>
      <c r="C91" s="2" t="s">
        <v>146</v>
      </c>
      <c r="D91" s="1"/>
      <c r="E91" s="1"/>
      <c r="F91" s="11"/>
      <c r="G91" s="11"/>
      <c r="H91" s="109"/>
    </row>
    <row r="92" spans="1:8" ht="14.1" customHeight="1" x14ac:dyDescent="0.2">
      <c r="A92" s="99"/>
      <c r="B92" s="1"/>
      <c r="C92" s="2" t="s">
        <v>135</v>
      </c>
      <c r="D92" s="1"/>
      <c r="E92" s="1" t="s">
        <v>136</v>
      </c>
      <c r="F92" s="115">
        <v>0</v>
      </c>
      <c r="G92" s="9">
        <v>0</v>
      </c>
      <c r="H92" s="109"/>
    </row>
    <row r="93" spans="1:8" ht="14.1" customHeight="1" x14ac:dyDescent="0.2">
      <c r="A93" s="99"/>
      <c r="B93" s="1"/>
      <c r="C93" s="10"/>
      <c r="D93" s="1"/>
      <c r="E93" s="1"/>
      <c r="F93" s="11"/>
      <c r="G93" s="11"/>
      <c r="H93" s="109"/>
    </row>
    <row r="94" spans="1:8" ht="14.1" customHeight="1" x14ac:dyDescent="0.2">
      <c r="A94" s="99"/>
      <c r="B94" s="1"/>
      <c r="C94" s="2" t="s">
        <v>147</v>
      </c>
      <c r="D94" s="1"/>
      <c r="E94" s="1"/>
      <c r="F94" s="8">
        <v>0</v>
      </c>
      <c r="G94" s="9">
        <v>0</v>
      </c>
      <c r="H94" s="109"/>
    </row>
    <row r="95" spans="1:8" ht="14.1" customHeight="1" x14ac:dyDescent="0.2">
      <c r="A95" s="99"/>
      <c r="B95" s="1"/>
      <c r="C95" s="10"/>
      <c r="D95" s="1"/>
      <c r="E95" s="1"/>
      <c r="F95" s="11"/>
      <c r="G95" s="11"/>
      <c r="H95" s="109"/>
    </row>
    <row r="96" spans="1:8" ht="14.1" customHeight="1" x14ac:dyDescent="0.2">
      <c r="A96" s="99"/>
      <c r="B96" s="1"/>
      <c r="C96" s="2" t="s">
        <v>148</v>
      </c>
      <c r="D96" s="1"/>
      <c r="E96" s="1"/>
      <c r="F96" s="11"/>
      <c r="G96" s="11"/>
      <c r="H96" s="109"/>
    </row>
    <row r="97" spans="1:8" ht="14.1" customHeight="1" x14ac:dyDescent="0.2">
      <c r="A97" s="99"/>
      <c r="B97" s="1"/>
      <c r="C97" s="2" t="s">
        <v>149</v>
      </c>
      <c r="D97" s="1"/>
      <c r="E97" s="1"/>
      <c r="F97" s="11"/>
      <c r="G97" s="11"/>
      <c r="H97" s="109"/>
    </row>
    <row r="98" spans="1:8" ht="14.1" customHeight="1" x14ac:dyDescent="0.2">
      <c r="A98" s="99"/>
      <c r="B98" s="1"/>
      <c r="C98" s="2" t="s">
        <v>135</v>
      </c>
      <c r="D98" s="1"/>
      <c r="E98" s="1" t="s">
        <v>136</v>
      </c>
      <c r="F98" s="115">
        <v>0</v>
      </c>
      <c r="G98" s="9">
        <v>0</v>
      </c>
      <c r="H98" s="109"/>
    </row>
    <row r="99" spans="1:8" ht="14.1" customHeight="1" x14ac:dyDescent="0.2">
      <c r="A99" s="99"/>
      <c r="B99" s="1"/>
      <c r="C99" s="10"/>
      <c r="D99" s="1"/>
      <c r="E99" s="1"/>
      <c r="F99" s="11"/>
      <c r="G99" s="11"/>
      <c r="H99" s="109"/>
    </row>
    <row r="100" spans="1:8" ht="14.1" customHeight="1" x14ac:dyDescent="0.2">
      <c r="A100" s="99"/>
      <c r="B100" s="1"/>
      <c r="C100" s="2" t="s">
        <v>150</v>
      </c>
      <c r="D100" s="1"/>
      <c r="E100" s="1"/>
      <c r="F100" s="11"/>
      <c r="G100" s="11"/>
      <c r="H100" s="109"/>
    </row>
    <row r="101" spans="1:8" ht="14.1" customHeight="1" x14ac:dyDescent="0.2">
      <c r="A101" s="99"/>
      <c r="B101" s="1"/>
      <c r="C101" s="2" t="s">
        <v>135</v>
      </c>
      <c r="D101" s="1"/>
      <c r="E101" s="1" t="s">
        <v>136</v>
      </c>
      <c r="F101" s="115">
        <v>0</v>
      </c>
      <c r="G101" s="9">
        <v>0</v>
      </c>
      <c r="H101" s="109"/>
    </row>
    <row r="102" spans="1:8" ht="14.1" customHeight="1" x14ac:dyDescent="0.2">
      <c r="A102" s="99"/>
      <c r="B102" s="1"/>
      <c r="C102" s="10"/>
      <c r="D102" s="1"/>
      <c r="E102" s="1"/>
      <c r="F102" s="11"/>
      <c r="G102" s="11"/>
      <c r="H102" s="109"/>
    </row>
    <row r="103" spans="1:8" ht="14.1" customHeight="1" x14ac:dyDescent="0.2">
      <c r="A103" s="99"/>
      <c r="B103" s="1"/>
      <c r="C103" s="2" t="s">
        <v>151</v>
      </c>
      <c r="D103" s="1"/>
      <c r="E103" s="1"/>
      <c r="F103" s="11"/>
      <c r="G103" s="11"/>
      <c r="H103" s="109"/>
    </row>
    <row r="104" spans="1:8" ht="14.1" customHeight="1" x14ac:dyDescent="0.2">
      <c r="A104" s="99"/>
      <c r="B104" s="1"/>
      <c r="C104" s="2" t="s">
        <v>135</v>
      </c>
      <c r="D104" s="1"/>
      <c r="E104" s="1" t="s">
        <v>136</v>
      </c>
      <c r="F104" s="115">
        <v>0</v>
      </c>
      <c r="G104" s="9">
        <v>0</v>
      </c>
      <c r="H104" s="109"/>
    </row>
    <row r="105" spans="1:8" ht="14.1" customHeight="1" x14ac:dyDescent="0.2">
      <c r="A105" s="99"/>
      <c r="B105" s="1"/>
      <c r="C105" s="10"/>
      <c r="D105" s="1"/>
      <c r="E105" s="1"/>
      <c r="F105" s="11"/>
      <c r="G105" s="11"/>
      <c r="H105" s="109"/>
    </row>
    <row r="106" spans="1:8" ht="14.1" customHeight="1" x14ac:dyDescent="0.2">
      <c r="A106" s="99"/>
      <c r="B106" s="1"/>
      <c r="C106" s="2" t="s">
        <v>152</v>
      </c>
      <c r="D106" s="1"/>
      <c r="E106" s="1"/>
      <c r="F106" s="11"/>
      <c r="G106" s="11"/>
      <c r="H106" s="109"/>
    </row>
    <row r="107" spans="1:8" ht="17.100000000000001" customHeight="1" x14ac:dyDescent="0.2">
      <c r="A107" s="100">
        <v>1</v>
      </c>
      <c r="B107" s="3"/>
      <c r="C107" s="3" t="s">
        <v>153</v>
      </c>
      <c r="D107" s="3"/>
      <c r="E107" s="7"/>
      <c r="F107" s="5">
        <v>158.58535699999999</v>
      </c>
      <c r="G107" s="6">
        <v>5.8634360000000003E-2</v>
      </c>
      <c r="H107" s="109">
        <v>6.6015165706411798</v>
      </c>
    </row>
    <row r="108" spans="1:8" ht="14.1" customHeight="1" x14ac:dyDescent="0.2">
      <c r="A108" s="99"/>
      <c r="B108" s="1"/>
      <c r="C108" s="2" t="s">
        <v>135</v>
      </c>
      <c r="D108" s="1"/>
      <c r="E108" s="1" t="s">
        <v>136</v>
      </c>
      <c r="F108" s="8">
        <v>158.58535699999999</v>
      </c>
      <c r="G108" s="9">
        <v>5.8634360000000003E-2</v>
      </c>
      <c r="H108" s="109"/>
    </row>
    <row r="109" spans="1:8" ht="14.1" customHeight="1" x14ac:dyDescent="0.2">
      <c r="A109" s="99"/>
      <c r="B109" s="1"/>
      <c r="C109" s="10"/>
      <c r="D109" s="1"/>
      <c r="E109" s="1"/>
      <c r="F109" s="11"/>
      <c r="G109" s="11"/>
      <c r="H109" s="109"/>
    </row>
    <row r="110" spans="1:8" ht="14.1" customHeight="1" x14ac:dyDescent="0.2">
      <c r="A110" s="99"/>
      <c r="B110" s="1"/>
      <c r="C110" s="2" t="s">
        <v>154</v>
      </c>
      <c r="D110" s="1"/>
      <c r="E110" s="1"/>
      <c r="F110" s="8">
        <v>158.58535699999999</v>
      </c>
      <c r="G110" s="9">
        <v>5.8634360000000003E-2</v>
      </c>
      <c r="H110" s="109"/>
    </row>
    <row r="111" spans="1:8" ht="14.1" customHeight="1" x14ac:dyDescent="0.2">
      <c r="A111" s="99"/>
      <c r="B111" s="1"/>
      <c r="C111" s="11"/>
      <c r="D111" s="1"/>
      <c r="E111" s="1"/>
      <c r="F111" s="1"/>
      <c r="G111" s="1"/>
      <c r="H111" s="109"/>
    </row>
    <row r="112" spans="1:8" ht="14.1" customHeight="1" x14ac:dyDescent="0.2">
      <c r="A112" s="99"/>
      <c r="B112" s="1"/>
      <c r="C112" s="2" t="s">
        <v>155</v>
      </c>
      <c r="D112" s="1"/>
      <c r="E112" s="1"/>
      <c r="F112" s="1"/>
      <c r="G112" s="1"/>
      <c r="H112" s="109"/>
    </row>
    <row r="113" spans="1:8" ht="14.1" customHeight="1" x14ac:dyDescent="0.2">
      <c r="A113" s="99"/>
      <c r="B113" s="1"/>
      <c r="C113" s="2" t="s">
        <v>156</v>
      </c>
      <c r="D113" s="1"/>
      <c r="E113" s="1"/>
      <c r="F113" s="1"/>
      <c r="G113" s="1"/>
      <c r="H113" s="109"/>
    </row>
    <row r="114" spans="1:8" ht="14.1" customHeight="1" x14ac:dyDescent="0.2">
      <c r="A114" s="99"/>
      <c r="B114" s="1"/>
      <c r="C114" s="2" t="s">
        <v>135</v>
      </c>
      <c r="D114" s="1"/>
      <c r="E114" s="1" t="s">
        <v>136</v>
      </c>
      <c r="F114" s="115">
        <v>0</v>
      </c>
      <c r="G114" s="9">
        <v>0</v>
      </c>
      <c r="H114" s="109"/>
    </row>
    <row r="115" spans="1:8" ht="14.1" customHeight="1" x14ac:dyDescent="0.2">
      <c r="A115" s="99"/>
      <c r="B115" s="1"/>
      <c r="C115" s="10"/>
      <c r="D115" s="1"/>
      <c r="E115" s="1"/>
      <c r="F115" s="11"/>
      <c r="G115" s="11"/>
      <c r="H115" s="109"/>
    </row>
    <row r="116" spans="1:8" ht="14.1" customHeight="1" x14ac:dyDescent="0.2">
      <c r="A116" s="99"/>
      <c r="B116" s="1"/>
      <c r="C116" s="2" t="s">
        <v>157</v>
      </c>
      <c r="D116" s="1"/>
      <c r="E116" s="1"/>
      <c r="F116" s="1"/>
      <c r="G116" s="1"/>
      <c r="H116" s="109"/>
    </row>
    <row r="117" spans="1:8" ht="14.1" customHeight="1" x14ac:dyDescent="0.2">
      <c r="A117" s="99"/>
      <c r="B117" s="1"/>
      <c r="C117" s="2" t="s">
        <v>158</v>
      </c>
      <c r="D117" s="1"/>
      <c r="E117" s="1"/>
      <c r="F117" s="1"/>
      <c r="G117" s="1"/>
      <c r="H117" s="109"/>
    </row>
    <row r="118" spans="1:8" ht="14.1" customHeight="1" x14ac:dyDescent="0.2">
      <c r="A118" s="99"/>
      <c r="B118" s="1"/>
      <c r="C118" s="2" t="s">
        <v>135</v>
      </c>
      <c r="D118" s="1"/>
      <c r="E118" s="1" t="s">
        <v>136</v>
      </c>
      <c r="F118" s="115">
        <v>0</v>
      </c>
      <c r="G118" s="9">
        <v>0</v>
      </c>
      <c r="H118" s="109"/>
    </row>
    <row r="119" spans="1:8" ht="14.1" customHeight="1" x14ac:dyDescent="0.2">
      <c r="A119" s="99"/>
      <c r="B119" s="1"/>
      <c r="C119" s="10"/>
      <c r="D119" s="1"/>
      <c r="E119" s="1"/>
      <c r="F119" s="11"/>
      <c r="G119" s="11"/>
      <c r="H119" s="109"/>
    </row>
    <row r="120" spans="1:8" ht="24" customHeight="1" x14ac:dyDescent="0.2">
      <c r="A120" s="99"/>
      <c r="B120" s="1"/>
      <c r="C120" s="2" t="s">
        <v>159</v>
      </c>
      <c r="D120" s="1"/>
      <c r="E120" s="1"/>
      <c r="F120" s="11"/>
      <c r="G120" s="11"/>
      <c r="H120" s="109"/>
    </row>
    <row r="121" spans="1:8" ht="14.1" customHeight="1" x14ac:dyDescent="0.2">
      <c r="A121" s="99"/>
      <c r="B121" s="1"/>
      <c r="C121" s="2" t="s">
        <v>135</v>
      </c>
      <c r="D121" s="1"/>
      <c r="E121" s="1" t="s">
        <v>136</v>
      </c>
      <c r="F121" s="115">
        <v>0</v>
      </c>
      <c r="G121" s="9">
        <v>0</v>
      </c>
      <c r="H121" s="109"/>
    </row>
    <row r="122" spans="1:8" ht="14.1" customHeight="1" x14ac:dyDescent="0.2">
      <c r="A122" s="99"/>
      <c r="B122" s="1"/>
      <c r="C122" s="10"/>
      <c r="D122" s="1"/>
      <c r="E122" s="1"/>
      <c r="F122" s="11"/>
      <c r="G122" s="11"/>
      <c r="H122" s="109"/>
    </row>
    <row r="123" spans="1:8" ht="14.1" customHeight="1" x14ac:dyDescent="0.2">
      <c r="A123" s="99"/>
      <c r="B123" s="3"/>
      <c r="C123" s="3"/>
      <c r="D123" s="2"/>
      <c r="E123" s="1"/>
      <c r="F123" s="3"/>
      <c r="G123" s="7"/>
      <c r="H123" s="109"/>
    </row>
    <row r="124" spans="1:8" ht="18" customHeight="1" x14ac:dyDescent="0.2">
      <c r="A124" s="101"/>
      <c r="B124" s="3"/>
      <c r="C124" s="3" t="s">
        <v>160</v>
      </c>
      <c r="D124" s="3"/>
      <c r="E124" s="7"/>
      <c r="F124" s="5">
        <v>2.58692017</v>
      </c>
      <c r="G124" s="6">
        <v>9.5646999999999995E-4</v>
      </c>
      <c r="H124" s="109"/>
    </row>
    <row r="125" spans="1:8" ht="14.1" customHeight="1" x14ac:dyDescent="0.2">
      <c r="A125" s="102"/>
      <c r="B125" s="10"/>
      <c r="C125" s="2" t="s">
        <v>161</v>
      </c>
      <c r="D125" s="11"/>
      <c r="E125" s="11"/>
      <c r="F125" s="8">
        <v>2704.6489196699999</v>
      </c>
      <c r="G125" s="12">
        <v>1.00000004</v>
      </c>
      <c r="H125" s="109"/>
    </row>
    <row r="126" spans="1:8" ht="14.1" customHeight="1" x14ac:dyDescent="0.2">
      <c r="A126" s="13"/>
      <c r="B126" s="13"/>
      <c r="C126" s="13"/>
      <c r="D126" s="14"/>
      <c r="E126" s="14"/>
      <c r="F126" s="14"/>
      <c r="G126" s="14"/>
    </row>
    <row r="127" spans="1:8" ht="14.1" customHeight="1" x14ac:dyDescent="0.2">
      <c r="A127" s="15"/>
      <c r="B127" s="15"/>
      <c r="C127" s="15"/>
      <c r="D127" s="17"/>
      <c r="E127" s="17"/>
      <c r="F127" s="17"/>
      <c r="G127" s="17"/>
    </row>
    <row r="128" spans="1:8" ht="14.1" customHeight="1" x14ac:dyDescent="0.2">
      <c r="A128" s="15"/>
      <c r="B128" s="194" t="s">
        <v>163</v>
      </c>
      <c r="C128" s="195"/>
      <c r="D128" s="196"/>
      <c r="E128" s="18"/>
      <c r="F128" s="17"/>
      <c r="G128" s="17"/>
    </row>
    <row r="129" spans="1:7" ht="29.1" customHeight="1" x14ac:dyDescent="0.2">
      <c r="A129" s="15"/>
      <c r="B129" s="191" t="s">
        <v>164</v>
      </c>
      <c r="C129" s="192"/>
      <c r="D129" s="2" t="s">
        <v>165</v>
      </c>
      <c r="E129" s="18"/>
      <c r="F129" s="17"/>
      <c r="G129" s="17"/>
    </row>
    <row r="130" spans="1:7" ht="17.100000000000001" customHeight="1" x14ac:dyDescent="0.2">
      <c r="A130" s="15"/>
      <c r="B130" s="191" t="s">
        <v>166</v>
      </c>
      <c r="C130" s="192"/>
      <c r="D130" s="2" t="s">
        <v>165</v>
      </c>
      <c r="E130" s="18"/>
      <c r="F130" s="17"/>
      <c r="G130" s="17"/>
    </row>
    <row r="131" spans="1:7" ht="17.100000000000001" customHeight="1" x14ac:dyDescent="0.2">
      <c r="A131" s="15"/>
      <c r="B131" s="191" t="s">
        <v>167</v>
      </c>
      <c r="C131" s="192"/>
      <c r="D131" s="11" t="s">
        <v>136</v>
      </c>
      <c r="E131" s="18"/>
      <c r="F131" s="17"/>
      <c r="G131" s="17"/>
    </row>
    <row r="132" spans="1:7" ht="24" customHeight="1" x14ac:dyDescent="0.2">
      <c r="A132" s="19"/>
      <c r="B132" s="20" t="s">
        <v>136</v>
      </c>
      <c r="C132" s="20" t="s">
        <v>168</v>
      </c>
      <c r="D132" s="20" t="s">
        <v>169</v>
      </c>
      <c r="E132" s="19"/>
      <c r="F132" s="19"/>
      <c r="G132" s="19"/>
    </row>
    <row r="133" spans="1:7" ht="18" customHeight="1" x14ac:dyDescent="0.2">
      <c r="A133" s="19"/>
      <c r="B133" s="21" t="s">
        <v>170</v>
      </c>
      <c r="C133" s="20" t="s">
        <v>171</v>
      </c>
      <c r="D133" s="20" t="s">
        <v>172</v>
      </c>
      <c r="E133" s="19"/>
      <c r="F133" s="19"/>
      <c r="G133" s="19"/>
    </row>
    <row r="134" spans="1:7" ht="17.100000000000001" customHeight="1" x14ac:dyDescent="0.2">
      <c r="A134" s="19"/>
      <c r="B134" s="3" t="s">
        <v>173</v>
      </c>
      <c r="C134" s="22">
        <v>16.564299999999999</v>
      </c>
      <c r="D134" s="22">
        <v>16.477699999999999</v>
      </c>
      <c r="E134" s="19"/>
      <c r="F134" s="16"/>
      <c r="G134" s="23"/>
    </row>
    <row r="135" spans="1:7" ht="17.100000000000001" customHeight="1" x14ac:dyDescent="0.2">
      <c r="A135" s="19"/>
      <c r="B135" s="3" t="s">
        <v>994</v>
      </c>
      <c r="C135" s="22">
        <v>16.564299999999999</v>
      </c>
      <c r="D135" s="22">
        <v>16.477599999999999</v>
      </c>
      <c r="E135" s="19"/>
      <c r="F135" s="16"/>
      <c r="G135" s="23"/>
    </row>
    <row r="136" spans="1:7" ht="17.100000000000001" customHeight="1" x14ac:dyDescent="0.2">
      <c r="A136" s="19"/>
      <c r="B136" s="3" t="s">
        <v>174</v>
      </c>
      <c r="C136" s="22">
        <v>16.198499999999999</v>
      </c>
      <c r="D136" s="22">
        <v>16.1114</v>
      </c>
      <c r="E136" s="19"/>
      <c r="F136" s="16"/>
      <c r="G136" s="23"/>
    </row>
    <row r="137" spans="1:7" ht="17.100000000000001" customHeight="1" x14ac:dyDescent="0.2">
      <c r="A137" s="19"/>
      <c r="B137" s="3" t="s">
        <v>995</v>
      </c>
      <c r="C137" s="22">
        <v>16.198499999999999</v>
      </c>
      <c r="D137" s="22">
        <v>16.111499999999999</v>
      </c>
      <c r="E137" s="19"/>
      <c r="F137" s="16"/>
      <c r="G137" s="23"/>
    </row>
    <row r="138" spans="1:7" ht="14.1" customHeight="1" x14ac:dyDescent="0.2">
      <c r="A138" s="19"/>
      <c r="B138" s="19"/>
      <c r="C138" s="19"/>
      <c r="D138" s="19"/>
      <c r="E138" s="19"/>
      <c r="F138" s="19"/>
      <c r="G138" s="19"/>
    </row>
    <row r="139" spans="1:7" ht="17.100000000000001" customHeight="1" x14ac:dyDescent="0.2">
      <c r="A139" s="19"/>
      <c r="B139" s="191" t="s">
        <v>1044</v>
      </c>
      <c r="C139" s="192"/>
      <c r="D139" s="2" t="s">
        <v>165</v>
      </c>
      <c r="E139" s="19"/>
      <c r="F139" s="19"/>
      <c r="G139" s="19"/>
    </row>
    <row r="140" spans="1:7" ht="18" customHeight="1" x14ac:dyDescent="0.2">
      <c r="A140" s="19"/>
      <c r="B140" s="24"/>
      <c r="C140" s="24"/>
      <c r="D140" s="24"/>
      <c r="E140" s="19"/>
      <c r="F140" s="19"/>
      <c r="G140" s="19"/>
    </row>
    <row r="141" spans="1:7" ht="29.1" customHeight="1" x14ac:dyDescent="0.2">
      <c r="A141" s="19"/>
      <c r="B141" s="191" t="s">
        <v>175</v>
      </c>
      <c r="C141" s="192"/>
      <c r="D141" s="2" t="s">
        <v>165</v>
      </c>
      <c r="E141" s="25"/>
      <c r="F141" s="19"/>
      <c r="G141" s="19"/>
    </row>
    <row r="142" spans="1:7" ht="29.1" customHeight="1" x14ac:dyDescent="0.2">
      <c r="A142" s="19"/>
      <c r="B142" s="191" t="s">
        <v>176</v>
      </c>
      <c r="C142" s="192"/>
      <c r="D142" s="2" t="s">
        <v>165</v>
      </c>
      <c r="E142" s="25"/>
      <c r="F142" s="19"/>
      <c r="G142" s="19"/>
    </row>
    <row r="143" spans="1:7" ht="17.100000000000001" customHeight="1" x14ac:dyDescent="0.2">
      <c r="A143" s="19"/>
      <c r="B143" s="191" t="s">
        <v>177</v>
      </c>
      <c r="C143" s="192"/>
      <c r="D143" s="2" t="s">
        <v>165</v>
      </c>
      <c r="E143" s="25"/>
      <c r="F143" s="19"/>
      <c r="G143" s="19"/>
    </row>
    <row r="144" spans="1:7" ht="17.100000000000001" customHeight="1" x14ac:dyDescent="0.2">
      <c r="A144" s="19"/>
      <c r="B144" s="191" t="s">
        <v>178</v>
      </c>
      <c r="C144" s="192"/>
      <c r="D144" s="26">
        <v>0.12060901912315961</v>
      </c>
      <c r="E144" s="19"/>
      <c r="F144" s="16"/>
      <c r="G144" s="23"/>
    </row>
    <row r="145" spans="1:14" ht="14.1" customHeight="1" x14ac:dyDescent="0.2">
      <c r="A145" s="24"/>
      <c r="B145" s="24"/>
      <c r="C145" s="24"/>
      <c r="D145" s="24"/>
      <c r="E145" s="24"/>
      <c r="F145" s="24"/>
      <c r="G145" s="24"/>
    </row>
    <row r="154" spans="1:14" x14ac:dyDescent="0.2">
      <c r="J154" s="170"/>
      <c r="K154" s="170"/>
      <c r="L154" s="170"/>
      <c r="M154" s="170"/>
      <c r="N154" s="170"/>
    </row>
  </sheetData>
  <mergeCells count="13">
    <mergeCell ref="J2:N2"/>
    <mergeCell ref="B130:C130"/>
    <mergeCell ref="B131:C131"/>
    <mergeCell ref="B128:D128"/>
    <mergeCell ref="B129:C129"/>
    <mergeCell ref="A1:H1"/>
    <mergeCell ref="A2:H2"/>
    <mergeCell ref="A3:H3"/>
    <mergeCell ref="B143:C143"/>
    <mergeCell ref="B144:C144"/>
    <mergeCell ref="B139:C139"/>
    <mergeCell ref="B141:C141"/>
    <mergeCell ref="B142:C142"/>
  </mergeCells>
  <hyperlinks>
    <hyperlink ref="I1" location="Index!B20" display="Index" xr:uid="{B0F6A409-35C1-4716-A3F3-497A512569ED}"/>
  </hyperlinks>
  <pageMargins left="5.000000074505806E-2" right="5.000000074505806E-2" top="0.30000001192092896" bottom="0.20000000298023224" header="0" footer="0"/>
  <pageSetup paperSize="9" orientation="landscape"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N158"/>
  <sheetViews>
    <sheetView showGridLines="0" workbookViewId="0">
      <selection sqref="A1:H1"/>
    </sheetView>
  </sheetViews>
  <sheetFormatPr defaultRowHeight="12.75" x14ac:dyDescent="0.2"/>
  <cols>
    <col min="1" max="1" width="7.570312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7" t="s">
        <v>0</v>
      </c>
      <c r="B1" s="187"/>
      <c r="C1" s="187"/>
      <c r="D1" s="187"/>
      <c r="E1" s="187"/>
      <c r="F1" s="187"/>
      <c r="G1" s="187"/>
      <c r="H1" s="187"/>
      <c r="I1" s="167" t="s">
        <v>1055</v>
      </c>
    </row>
    <row r="2" spans="1:14" ht="17.100000000000001" customHeight="1" x14ac:dyDescent="0.2">
      <c r="A2" s="188" t="s">
        <v>498</v>
      </c>
      <c r="B2" s="189"/>
      <c r="C2" s="189"/>
      <c r="D2" s="189"/>
      <c r="E2" s="189"/>
      <c r="F2" s="189"/>
      <c r="G2" s="189"/>
      <c r="H2" s="190"/>
      <c r="J2" s="186" t="s">
        <v>1056</v>
      </c>
      <c r="K2" s="186"/>
      <c r="L2" s="186"/>
      <c r="M2" s="186"/>
      <c r="N2" s="186"/>
    </row>
    <row r="3" spans="1:14" ht="21" customHeight="1" x14ac:dyDescent="0.2">
      <c r="A3" s="187" t="s">
        <v>1052</v>
      </c>
      <c r="B3" s="187"/>
      <c r="C3" s="187"/>
      <c r="D3" s="187"/>
      <c r="E3" s="187"/>
      <c r="F3" s="187"/>
      <c r="G3" s="187"/>
      <c r="H3" s="187"/>
    </row>
    <row r="4" spans="1:14" ht="30" x14ac:dyDescent="0.2">
      <c r="A4" s="163" t="s">
        <v>2</v>
      </c>
      <c r="B4" s="164" t="s">
        <v>3</v>
      </c>
      <c r="C4" s="164" t="s">
        <v>4</v>
      </c>
      <c r="D4" s="164" t="s">
        <v>5</v>
      </c>
      <c r="E4" s="164" t="s">
        <v>6</v>
      </c>
      <c r="F4" s="164" t="s">
        <v>7</v>
      </c>
      <c r="G4" s="164" t="s">
        <v>8</v>
      </c>
      <c r="H4" s="120" t="s">
        <v>881</v>
      </c>
      <c r="I4" s="165"/>
      <c r="J4" s="165"/>
      <c r="K4" s="165"/>
      <c r="L4" s="165"/>
      <c r="M4" s="165"/>
      <c r="N4" s="165"/>
    </row>
    <row r="5" spans="1:14" ht="14.1" customHeight="1" x14ac:dyDescent="0.2">
      <c r="A5" s="99"/>
      <c r="B5" s="1"/>
      <c r="C5" s="2" t="s">
        <v>9</v>
      </c>
      <c r="D5" s="1"/>
      <c r="E5" s="1"/>
      <c r="F5" s="1"/>
      <c r="G5" s="1"/>
      <c r="H5" s="109"/>
    </row>
    <row r="6" spans="1:14" ht="24" customHeight="1" x14ac:dyDescent="0.2">
      <c r="A6" s="99"/>
      <c r="B6" s="1"/>
      <c r="C6" s="2" t="s">
        <v>10</v>
      </c>
      <c r="D6" s="1"/>
      <c r="E6" s="1"/>
      <c r="F6" s="1"/>
      <c r="G6" s="1"/>
      <c r="H6" s="109"/>
    </row>
    <row r="7" spans="1:14" ht="17.100000000000001" customHeight="1" x14ac:dyDescent="0.2">
      <c r="A7" s="100">
        <v>1</v>
      </c>
      <c r="B7" s="3" t="s">
        <v>371</v>
      </c>
      <c r="C7" s="3" t="s">
        <v>372</v>
      </c>
      <c r="D7" s="3" t="s">
        <v>22</v>
      </c>
      <c r="E7" s="4">
        <v>218556</v>
      </c>
      <c r="F7" s="5">
        <v>156.26754</v>
      </c>
      <c r="G7" s="6">
        <v>4.929033E-2</v>
      </c>
      <c r="H7" s="109"/>
    </row>
    <row r="8" spans="1:14" ht="17.100000000000001" customHeight="1" x14ac:dyDescent="0.2">
      <c r="A8" s="100">
        <v>2</v>
      </c>
      <c r="B8" s="3" t="s">
        <v>72</v>
      </c>
      <c r="C8" s="3" t="s">
        <v>73</v>
      </c>
      <c r="D8" s="3" t="s">
        <v>31</v>
      </c>
      <c r="E8" s="4">
        <v>7058</v>
      </c>
      <c r="F8" s="5">
        <v>114.710145</v>
      </c>
      <c r="G8" s="6">
        <v>3.6182180000000001E-2</v>
      </c>
      <c r="H8" s="109"/>
    </row>
    <row r="9" spans="1:14" ht="17.100000000000001" customHeight="1" x14ac:dyDescent="0.2">
      <c r="A9" s="100">
        <v>3</v>
      </c>
      <c r="B9" s="3" t="s">
        <v>29</v>
      </c>
      <c r="C9" s="3" t="s">
        <v>30</v>
      </c>
      <c r="D9" s="3" t="s">
        <v>31</v>
      </c>
      <c r="E9" s="4">
        <v>5959</v>
      </c>
      <c r="F9" s="5">
        <v>114.1535835</v>
      </c>
      <c r="G9" s="6">
        <v>3.6006629999999998E-2</v>
      </c>
      <c r="H9" s="109"/>
    </row>
    <row r="10" spans="1:14" ht="17.100000000000001" customHeight="1" x14ac:dyDescent="0.2">
      <c r="A10" s="100">
        <v>4</v>
      </c>
      <c r="B10" s="3" t="s">
        <v>408</v>
      </c>
      <c r="C10" s="3" t="s">
        <v>409</v>
      </c>
      <c r="D10" s="3" t="s">
        <v>115</v>
      </c>
      <c r="E10" s="4">
        <v>5611</v>
      </c>
      <c r="F10" s="5">
        <v>113.41233750000001</v>
      </c>
      <c r="G10" s="6">
        <v>3.5772829999999999E-2</v>
      </c>
      <c r="H10" s="109"/>
    </row>
    <row r="11" spans="1:14" ht="17.100000000000001" customHeight="1" x14ac:dyDescent="0.2">
      <c r="A11" s="100">
        <v>5</v>
      </c>
      <c r="B11" s="3" t="s">
        <v>184</v>
      </c>
      <c r="C11" s="3" t="s">
        <v>185</v>
      </c>
      <c r="D11" s="3" t="s">
        <v>996</v>
      </c>
      <c r="E11" s="4">
        <v>1979</v>
      </c>
      <c r="F11" s="5">
        <v>94.855448999999993</v>
      </c>
      <c r="G11" s="6">
        <v>2.9919560000000001E-2</v>
      </c>
      <c r="H11" s="109"/>
    </row>
    <row r="12" spans="1:14" ht="17.100000000000001" customHeight="1" x14ac:dyDescent="0.2">
      <c r="A12" s="100">
        <v>6</v>
      </c>
      <c r="B12" s="3" t="s">
        <v>400</v>
      </c>
      <c r="C12" s="3" t="s">
        <v>401</v>
      </c>
      <c r="D12" s="3" t="s">
        <v>210</v>
      </c>
      <c r="E12" s="4">
        <v>32339</v>
      </c>
      <c r="F12" s="5">
        <v>90.322827000000004</v>
      </c>
      <c r="G12" s="6">
        <v>2.848987E-2</v>
      </c>
      <c r="H12" s="109"/>
    </row>
    <row r="13" spans="1:14" ht="17.100000000000001" customHeight="1" x14ac:dyDescent="0.2">
      <c r="A13" s="100">
        <v>7</v>
      </c>
      <c r="B13" s="3" t="s">
        <v>305</v>
      </c>
      <c r="C13" s="3" t="s">
        <v>306</v>
      </c>
      <c r="D13" s="3" t="s">
        <v>242</v>
      </c>
      <c r="E13" s="4">
        <v>5927</v>
      </c>
      <c r="F13" s="5">
        <v>89.983714000000006</v>
      </c>
      <c r="G13" s="6">
        <v>2.8382910000000001E-2</v>
      </c>
      <c r="H13" s="109"/>
    </row>
    <row r="14" spans="1:14" ht="29.1" customHeight="1" x14ac:dyDescent="0.2">
      <c r="A14" s="100">
        <v>8</v>
      </c>
      <c r="B14" s="3" t="s">
        <v>186</v>
      </c>
      <c r="C14" s="3" t="s">
        <v>187</v>
      </c>
      <c r="D14" s="3" t="s">
        <v>188</v>
      </c>
      <c r="E14" s="4">
        <v>2136</v>
      </c>
      <c r="F14" s="5">
        <v>88.176215999999997</v>
      </c>
      <c r="G14" s="6">
        <v>2.7812779999999999E-2</v>
      </c>
      <c r="H14" s="109"/>
      <c r="J14" s="169" t="s">
        <v>1066</v>
      </c>
    </row>
    <row r="15" spans="1:14" ht="17.100000000000001" customHeight="1" x14ac:dyDescent="0.2">
      <c r="A15" s="100">
        <v>9</v>
      </c>
      <c r="B15" s="3" t="s">
        <v>416</v>
      </c>
      <c r="C15" s="3" t="s">
        <v>417</v>
      </c>
      <c r="D15" s="3" t="s">
        <v>115</v>
      </c>
      <c r="E15" s="4">
        <v>16978</v>
      </c>
      <c r="F15" s="5">
        <v>85.849256999999994</v>
      </c>
      <c r="G15" s="6">
        <v>2.70788E-2</v>
      </c>
      <c r="H15" s="109"/>
    </row>
    <row r="16" spans="1:14" ht="17.100000000000001" customHeight="1" x14ac:dyDescent="0.2">
      <c r="A16" s="100">
        <v>10</v>
      </c>
      <c r="B16" s="3" t="s">
        <v>95</v>
      </c>
      <c r="C16" s="3" t="s">
        <v>96</v>
      </c>
      <c r="D16" s="3" t="s">
        <v>97</v>
      </c>
      <c r="E16" s="4">
        <v>17357</v>
      </c>
      <c r="F16" s="5">
        <v>84.641410500000006</v>
      </c>
      <c r="G16" s="6">
        <v>2.6697820000000001E-2</v>
      </c>
      <c r="H16" s="109"/>
    </row>
    <row r="17" spans="1:8" ht="17.100000000000001" customHeight="1" x14ac:dyDescent="0.2">
      <c r="A17" s="100">
        <v>11</v>
      </c>
      <c r="B17" s="3" t="s">
        <v>318</v>
      </c>
      <c r="C17" s="3" t="s">
        <v>319</v>
      </c>
      <c r="D17" s="3" t="s">
        <v>235</v>
      </c>
      <c r="E17" s="4">
        <v>6371</v>
      </c>
      <c r="F17" s="5">
        <v>78.930318999999997</v>
      </c>
      <c r="G17" s="6">
        <v>2.4896410000000001E-2</v>
      </c>
      <c r="H17" s="109"/>
    </row>
    <row r="18" spans="1:8" ht="17.100000000000001" customHeight="1" x14ac:dyDescent="0.2">
      <c r="A18" s="100">
        <v>12</v>
      </c>
      <c r="B18" s="3" t="s">
        <v>461</v>
      </c>
      <c r="C18" s="3" t="s">
        <v>462</v>
      </c>
      <c r="D18" s="3" t="s">
        <v>996</v>
      </c>
      <c r="E18" s="4">
        <v>9455</v>
      </c>
      <c r="F18" s="5">
        <v>78.443407500000006</v>
      </c>
      <c r="G18" s="6">
        <v>2.474283E-2</v>
      </c>
      <c r="H18" s="109"/>
    </row>
    <row r="19" spans="1:8" ht="17.100000000000001" customHeight="1" x14ac:dyDescent="0.2">
      <c r="A19" s="100">
        <v>13</v>
      </c>
      <c r="B19" s="3" t="s">
        <v>113</v>
      </c>
      <c r="C19" s="3" t="s">
        <v>114</v>
      </c>
      <c r="D19" s="3" t="s">
        <v>115</v>
      </c>
      <c r="E19" s="4">
        <v>27826</v>
      </c>
      <c r="F19" s="5">
        <v>78.038016999999996</v>
      </c>
      <c r="G19" s="6">
        <v>2.4614960000000002E-2</v>
      </c>
      <c r="H19" s="109"/>
    </row>
    <row r="20" spans="1:8" ht="17.100000000000001" customHeight="1" x14ac:dyDescent="0.2">
      <c r="A20" s="100">
        <v>14</v>
      </c>
      <c r="B20" s="3" t="s">
        <v>404</v>
      </c>
      <c r="C20" s="3" t="s">
        <v>405</v>
      </c>
      <c r="D20" s="3" t="s">
        <v>31</v>
      </c>
      <c r="E20" s="4">
        <v>9335</v>
      </c>
      <c r="F20" s="5">
        <v>77.555179999999993</v>
      </c>
      <c r="G20" s="6">
        <v>2.4462660000000001E-2</v>
      </c>
      <c r="H20" s="109"/>
    </row>
    <row r="21" spans="1:8" ht="29.1" customHeight="1" x14ac:dyDescent="0.2">
      <c r="A21" s="100">
        <v>15</v>
      </c>
      <c r="B21" s="3" t="s">
        <v>204</v>
      </c>
      <c r="C21" s="3" t="s">
        <v>205</v>
      </c>
      <c r="D21" s="3" t="s">
        <v>115</v>
      </c>
      <c r="E21" s="4">
        <v>23570</v>
      </c>
      <c r="F21" s="5">
        <v>71.617445000000004</v>
      </c>
      <c r="G21" s="6">
        <v>2.2589769999999999E-2</v>
      </c>
      <c r="H21" s="109"/>
    </row>
    <row r="22" spans="1:8" ht="17.100000000000001" customHeight="1" x14ac:dyDescent="0.2">
      <c r="A22" s="100">
        <v>16</v>
      </c>
      <c r="B22" s="3" t="s">
        <v>384</v>
      </c>
      <c r="C22" s="3" t="s">
        <v>385</v>
      </c>
      <c r="D22" s="3" t="s">
        <v>334</v>
      </c>
      <c r="E22" s="4">
        <v>4750</v>
      </c>
      <c r="F22" s="5">
        <v>66.625874999999994</v>
      </c>
      <c r="G22" s="6">
        <v>2.1015309999999999E-2</v>
      </c>
      <c r="H22" s="109"/>
    </row>
    <row r="23" spans="1:8" ht="29.1" customHeight="1" x14ac:dyDescent="0.2">
      <c r="A23" s="100">
        <v>17</v>
      </c>
      <c r="B23" s="3" t="s">
        <v>412</v>
      </c>
      <c r="C23" s="3" t="s">
        <v>413</v>
      </c>
      <c r="D23" s="3" t="s">
        <v>221</v>
      </c>
      <c r="E23" s="4">
        <v>17769</v>
      </c>
      <c r="F23" s="5">
        <v>63.799594499999998</v>
      </c>
      <c r="G23" s="6">
        <v>2.012384E-2</v>
      </c>
      <c r="H23" s="109"/>
    </row>
    <row r="24" spans="1:8" ht="17.100000000000001" customHeight="1" x14ac:dyDescent="0.2">
      <c r="A24" s="100">
        <v>18</v>
      </c>
      <c r="B24" s="3" t="s">
        <v>402</v>
      </c>
      <c r="C24" s="3" t="s">
        <v>403</v>
      </c>
      <c r="D24" s="3" t="s">
        <v>120</v>
      </c>
      <c r="E24" s="4">
        <v>11039</v>
      </c>
      <c r="F24" s="5">
        <v>63.496327999999998</v>
      </c>
      <c r="G24" s="6">
        <v>2.002818E-2</v>
      </c>
      <c r="H24" s="109"/>
    </row>
    <row r="25" spans="1:8" ht="17.100000000000001" customHeight="1" x14ac:dyDescent="0.2">
      <c r="A25" s="100">
        <v>19</v>
      </c>
      <c r="B25" s="3" t="s">
        <v>332</v>
      </c>
      <c r="C25" s="3" t="s">
        <v>333</v>
      </c>
      <c r="D25" s="3" t="s">
        <v>334</v>
      </c>
      <c r="E25" s="4">
        <v>6199</v>
      </c>
      <c r="F25" s="5">
        <v>63.201904499999998</v>
      </c>
      <c r="G25" s="6">
        <v>1.9935319999999999E-2</v>
      </c>
      <c r="H25" s="109"/>
    </row>
    <row r="26" spans="1:8" ht="29.1" customHeight="1" x14ac:dyDescent="0.2">
      <c r="A26" s="100">
        <v>20</v>
      </c>
      <c r="B26" s="3" t="s">
        <v>87</v>
      </c>
      <c r="C26" s="3" t="s">
        <v>88</v>
      </c>
      <c r="D26" s="3" t="s">
        <v>25</v>
      </c>
      <c r="E26" s="4">
        <v>2267</v>
      </c>
      <c r="F26" s="5">
        <v>62.673482</v>
      </c>
      <c r="G26" s="6">
        <v>1.9768640000000001E-2</v>
      </c>
      <c r="H26" s="109"/>
    </row>
    <row r="27" spans="1:8" ht="17.100000000000001" customHeight="1" x14ac:dyDescent="0.2">
      <c r="A27" s="100">
        <v>21</v>
      </c>
      <c r="B27" s="3" t="s">
        <v>410</v>
      </c>
      <c r="C27" s="3" t="s">
        <v>411</v>
      </c>
      <c r="D27" s="3" t="s">
        <v>235</v>
      </c>
      <c r="E27" s="4">
        <v>9506</v>
      </c>
      <c r="F27" s="5">
        <v>61.665422</v>
      </c>
      <c r="G27" s="6">
        <v>1.945067E-2</v>
      </c>
      <c r="H27" s="109"/>
    </row>
    <row r="28" spans="1:8" ht="17.100000000000001" customHeight="1" x14ac:dyDescent="0.2">
      <c r="A28" s="100">
        <v>22</v>
      </c>
      <c r="B28" s="3" t="s">
        <v>471</v>
      </c>
      <c r="C28" s="3" t="s">
        <v>472</v>
      </c>
      <c r="D28" s="3" t="s">
        <v>235</v>
      </c>
      <c r="E28" s="4">
        <v>32152</v>
      </c>
      <c r="F28" s="5">
        <v>60.413608000000004</v>
      </c>
      <c r="G28" s="6">
        <v>1.9055820000000001E-2</v>
      </c>
      <c r="H28" s="109"/>
    </row>
    <row r="29" spans="1:8" ht="17.100000000000001" customHeight="1" x14ac:dyDescent="0.2">
      <c r="A29" s="100">
        <v>23</v>
      </c>
      <c r="B29" s="3" t="s">
        <v>433</v>
      </c>
      <c r="C29" s="3" t="s">
        <v>434</v>
      </c>
      <c r="D29" s="3" t="s">
        <v>997</v>
      </c>
      <c r="E29" s="4">
        <v>6153</v>
      </c>
      <c r="F29" s="5">
        <v>58.102778999999998</v>
      </c>
      <c r="G29" s="6">
        <v>1.832694E-2</v>
      </c>
      <c r="H29" s="109"/>
    </row>
    <row r="30" spans="1:8" ht="29.1" customHeight="1" x14ac:dyDescent="0.2">
      <c r="A30" s="100">
        <v>24</v>
      </c>
      <c r="B30" s="3" t="s">
        <v>379</v>
      </c>
      <c r="C30" s="3" t="s">
        <v>380</v>
      </c>
      <c r="D30" s="3" t="s">
        <v>62</v>
      </c>
      <c r="E30" s="4">
        <v>2903</v>
      </c>
      <c r="F30" s="5">
        <v>58.087578499999999</v>
      </c>
      <c r="G30" s="6">
        <v>1.8322140000000001E-2</v>
      </c>
      <c r="H30" s="109"/>
    </row>
    <row r="31" spans="1:8" ht="17.100000000000001" customHeight="1" x14ac:dyDescent="0.2">
      <c r="A31" s="100">
        <v>25</v>
      </c>
      <c r="B31" s="3" t="s">
        <v>446</v>
      </c>
      <c r="C31" s="3" t="s">
        <v>447</v>
      </c>
      <c r="D31" s="3" t="s">
        <v>13</v>
      </c>
      <c r="E31" s="4">
        <v>10323</v>
      </c>
      <c r="F31" s="5">
        <v>54.7119</v>
      </c>
      <c r="G31" s="6">
        <v>1.7257379999999999E-2</v>
      </c>
      <c r="H31" s="109"/>
    </row>
    <row r="32" spans="1:8" ht="29.1" customHeight="1" x14ac:dyDescent="0.2">
      <c r="A32" s="100">
        <v>26</v>
      </c>
      <c r="B32" s="3" t="s">
        <v>406</v>
      </c>
      <c r="C32" s="3" t="s">
        <v>407</v>
      </c>
      <c r="D32" s="3" t="s">
        <v>52</v>
      </c>
      <c r="E32" s="4">
        <v>3200</v>
      </c>
      <c r="F32" s="5">
        <v>54.299199999999999</v>
      </c>
      <c r="G32" s="6">
        <v>1.7127199999999999E-2</v>
      </c>
      <c r="H32" s="109"/>
    </row>
    <row r="33" spans="1:8" ht="17.100000000000001" customHeight="1" x14ac:dyDescent="0.2">
      <c r="A33" s="100">
        <v>27</v>
      </c>
      <c r="B33" s="3" t="s">
        <v>424</v>
      </c>
      <c r="C33" s="3" t="s">
        <v>425</v>
      </c>
      <c r="D33" s="3" t="s">
        <v>253</v>
      </c>
      <c r="E33" s="4">
        <v>37340</v>
      </c>
      <c r="F33" s="5">
        <v>53.526890000000002</v>
      </c>
      <c r="G33" s="6">
        <v>1.6883599999999999E-2</v>
      </c>
      <c r="H33" s="109"/>
    </row>
    <row r="34" spans="1:8" ht="29.1" customHeight="1" x14ac:dyDescent="0.2">
      <c r="A34" s="100">
        <v>28</v>
      </c>
      <c r="B34" s="3" t="s">
        <v>443</v>
      </c>
      <c r="C34" s="3" t="s">
        <v>444</v>
      </c>
      <c r="D34" s="3" t="s">
        <v>445</v>
      </c>
      <c r="E34" s="4">
        <v>9296</v>
      </c>
      <c r="F34" s="5">
        <v>50.844472000000003</v>
      </c>
      <c r="G34" s="6">
        <v>1.60375E-2</v>
      </c>
      <c r="H34" s="109"/>
    </row>
    <row r="35" spans="1:8" ht="17.100000000000001" customHeight="1" x14ac:dyDescent="0.2">
      <c r="A35" s="100">
        <v>29</v>
      </c>
      <c r="B35" s="3" t="s">
        <v>441</v>
      </c>
      <c r="C35" s="3" t="s">
        <v>442</v>
      </c>
      <c r="D35" s="3" t="s">
        <v>120</v>
      </c>
      <c r="E35" s="4">
        <v>62770</v>
      </c>
      <c r="F35" s="5">
        <v>47.705199999999998</v>
      </c>
      <c r="G35" s="6">
        <v>1.50473E-2</v>
      </c>
      <c r="H35" s="109"/>
    </row>
    <row r="36" spans="1:8" ht="29.1" customHeight="1" x14ac:dyDescent="0.2">
      <c r="A36" s="100">
        <v>30</v>
      </c>
      <c r="B36" s="3" t="s">
        <v>256</v>
      </c>
      <c r="C36" s="3" t="s">
        <v>257</v>
      </c>
      <c r="D36" s="3" t="s">
        <v>221</v>
      </c>
      <c r="E36" s="4">
        <v>14944</v>
      </c>
      <c r="F36" s="5">
        <v>46.976464</v>
      </c>
      <c r="G36" s="6">
        <v>1.4817439999999999E-2</v>
      </c>
      <c r="H36" s="109"/>
    </row>
    <row r="37" spans="1:8" ht="17.100000000000001" customHeight="1" x14ac:dyDescent="0.2">
      <c r="A37" s="100">
        <v>31</v>
      </c>
      <c r="B37" s="3" t="s">
        <v>375</v>
      </c>
      <c r="C37" s="3" t="s">
        <v>376</v>
      </c>
      <c r="D37" s="3" t="s">
        <v>120</v>
      </c>
      <c r="E37" s="4">
        <v>6413</v>
      </c>
      <c r="F37" s="5">
        <v>46.471804499999998</v>
      </c>
      <c r="G37" s="6">
        <v>1.4658259999999999E-2</v>
      </c>
      <c r="H37" s="109"/>
    </row>
    <row r="38" spans="1:8" ht="17.100000000000001" customHeight="1" x14ac:dyDescent="0.2">
      <c r="A38" s="100">
        <v>32</v>
      </c>
      <c r="B38" s="3" t="s">
        <v>388</v>
      </c>
      <c r="C38" s="3" t="s">
        <v>389</v>
      </c>
      <c r="D38" s="3" t="s">
        <v>115</v>
      </c>
      <c r="E38" s="4">
        <v>11129</v>
      </c>
      <c r="F38" s="5">
        <v>45.550997000000002</v>
      </c>
      <c r="G38" s="6">
        <v>1.436782E-2</v>
      </c>
      <c r="H38" s="109"/>
    </row>
    <row r="39" spans="1:8" ht="17.100000000000001" customHeight="1" x14ac:dyDescent="0.2">
      <c r="A39" s="100">
        <v>33</v>
      </c>
      <c r="B39" s="3" t="s">
        <v>435</v>
      </c>
      <c r="C39" s="3" t="s">
        <v>436</v>
      </c>
      <c r="D39" s="3" t="s">
        <v>47</v>
      </c>
      <c r="E39" s="4">
        <v>12793</v>
      </c>
      <c r="F39" s="5">
        <v>44.046298999999998</v>
      </c>
      <c r="G39" s="6">
        <v>1.38932E-2</v>
      </c>
      <c r="H39" s="109"/>
    </row>
    <row r="40" spans="1:8" ht="29.1" customHeight="1" x14ac:dyDescent="0.2">
      <c r="A40" s="100">
        <v>34</v>
      </c>
      <c r="B40" s="3" t="s">
        <v>381</v>
      </c>
      <c r="C40" s="3" t="s">
        <v>382</v>
      </c>
      <c r="D40" s="3" t="s">
        <v>383</v>
      </c>
      <c r="E40" s="4">
        <v>39723</v>
      </c>
      <c r="F40" s="5">
        <v>39.325769999999999</v>
      </c>
      <c r="G40" s="6">
        <v>1.240424E-2</v>
      </c>
      <c r="H40" s="109"/>
    </row>
    <row r="41" spans="1:8" ht="17.100000000000001" customHeight="1" x14ac:dyDescent="0.2">
      <c r="A41" s="100">
        <v>35</v>
      </c>
      <c r="B41" s="3" t="s">
        <v>373</v>
      </c>
      <c r="C41" s="3" t="s">
        <v>374</v>
      </c>
      <c r="D41" s="3" t="s">
        <v>997</v>
      </c>
      <c r="E41" s="4">
        <v>3655</v>
      </c>
      <c r="F41" s="5">
        <v>37.432682499999999</v>
      </c>
      <c r="G41" s="6">
        <v>1.1807120000000001E-2</v>
      </c>
      <c r="H41" s="109"/>
    </row>
    <row r="42" spans="1:8" ht="17.100000000000001" customHeight="1" x14ac:dyDescent="0.2">
      <c r="A42" s="100">
        <v>36</v>
      </c>
      <c r="B42" s="3" t="s">
        <v>377</v>
      </c>
      <c r="C42" s="3" t="s">
        <v>378</v>
      </c>
      <c r="D42" s="3" t="s">
        <v>13</v>
      </c>
      <c r="E42" s="4">
        <v>48779</v>
      </c>
      <c r="F42" s="5">
        <v>36.3647445</v>
      </c>
      <c r="G42" s="6">
        <v>1.1470269999999999E-2</v>
      </c>
      <c r="H42" s="109"/>
    </row>
    <row r="43" spans="1:8" ht="29.1" customHeight="1" x14ac:dyDescent="0.2">
      <c r="A43" s="100">
        <v>37</v>
      </c>
      <c r="B43" s="3" t="s">
        <v>448</v>
      </c>
      <c r="C43" s="3" t="s">
        <v>449</v>
      </c>
      <c r="D43" s="3" t="s">
        <v>221</v>
      </c>
      <c r="E43" s="4">
        <v>1825</v>
      </c>
      <c r="F43" s="5">
        <v>35.381275000000002</v>
      </c>
      <c r="G43" s="6">
        <v>1.1160059999999999E-2</v>
      </c>
      <c r="H43" s="109"/>
    </row>
    <row r="44" spans="1:8" ht="29.1" customHeight="1" x14ac:dyDescent="0.2">
      <c r="A44" s="100">
        <v>38</v>
      </c>
      <c r="B44" s="3" t="s">
        <v>390</v>
      </c>
      <c r="C44" s="3" t="s">
        <v>391</v>
      </c>
      <c r="D44" s="3" t="s">
        <v>392</v>
      </c>
      <c r="E44" s="4">
        <v>9760</v>
      </c>
      <c r="F44" s="5">
        <v>34.999360000000003</v>
      </c>
      <c r="G44" s="6">
        <v>1.103959E-2</v>
      </c>
      <c r="H44" s="109"/>
    </row>
    <row r="45" spans="1:8" ht="17.100000000000001" customHeight="1" x14ac:dyDescent="0.2">
      <c r="A45" s="100">
        <v>39</v>
      </c>
      <c r="B45" s="3" t="s">
        <v>231</v>
      </c>
      <c r="C45" s="3" t="s">
        <v>232</v>
      </c>
      <c r="D45" s="3" t="s">
        <v>80</v>
      </c>
      <c r="E45" s="4">
        <v>707</v>
      </c>
      <c r="F45" s="5">
        <v>34.298690999999998</v>
      </c>
      <c r="G45" s="6">
        <v>1.0818589999999999E-2</v>
      </c>
      <c r="H45" s="109"/>
    </row>
    <row r="46" spans="1:8" ht="29.1" customHeight="1" x14ac:dyDescent="0.2">
      <c r="A46" s="100">
        <v>40</v>
      </c>
      <c r="B46" s="3" t="s">
        <v>463</v>
      </c>
      <c r="C46" s="3" t="s">
        <v>464</v>
      </c>
      <c r="D46" s="3" t="s">
        <v>188</v>
      </c>
      <c r="E46" s="4">
        <v>5263</v>
      </c>
      <c r="F46" s="5">
        <v>33.954244500000001</v>
      </c>
      <c r="G46" s="6">
        <v>1.0709939999999999E-2</v>
      </c>
      <c r="H46" s="109"/>
    </row>
    <row r="47" spans="1:8" ht="17.100000000000001" customHeight="1" x14ac:dyDescent="0.2">
      <c r="A47" s="100">
        <v>41</v>
      </c>
      <c r="B47" s="3" t="s">
        <v>450</v>
      </c>
      <c r="C47" s="3" t="s">
        <v>451</v>
      </c>
      <c r="D47" s="3" t="s">
        <v>80</v>
      </c>
      <c r="E47" s="4">
        <v>3628</v>
      </c>
      <c r="F47" s="5">
        <v>32.465158000000002</v>
      </c>
      <c r="G47" s="6">
        <v>1.0240249999999999E-2</v>
      </c>
      <c r="H47" s="109"/>
    </row>
    <row r="48" spans="1:8" ht="29.1" customHeight="1" x14ac:dyDescent="0.2">
      <c r="A48" s="100">
        <v>42</v>
      </c>
      <c r="B48" s="3" t="s">
        <v>466</v>
      </c>
      <c r="C48" s="3" t="s">
        <v>467</v>
      </c>
      <c r="D48" s="3" t="s">
        <v>468</v>
      </c>
      <c r="E48" s="4">
        <v>7328</v>
      </c>
      <c r="F48" s="5">
        <v>31.041408000000001</v>
      </c>
      <c r="G48" s="6">
        <v>9.7911600000000001E-3</v>
      </c>
      <c r="H48" s="109"/>
    </row>
    <row r="49" spans="1:8" ht="29.1" customHeight="1" x14ac:dyDescent="0.2">
      <c r="A49" s="100">
        <v>43</v>
      </c>
      <c r="B49" s="3" t="s">
        <v>494</v>
      </c>
      <c r="C49" s="3" t="s">
        <v>495</v>
      </c>
      <c r="D49" s="3" t="s">
        <v>52</v>
      </c>
      <c r="E49" s="4">
        <v>11833</v>
      </c>
      <c r="F49" s="5">
        <v>30.801299</v>
      </c>
      <c r="G49" s="6">
        <v>9.7154300000000006E-3</v>
      </c>
      <c r="H49" s="109"/>
    </row>
    <row r="50" spans="1:8" ht="17.100000000000001" customHeight="1" x14ac:dyDescent="0.2">
      <c r="A50" s="100">
        <v>44</v>
      </c>
      <c r="B50" s="3" t="s">
        <v>480</v>
      </c>
      <c r="C50" s="3" t="s">
        <v>481</v>
      </c>
      <c r="D50" s="3" t="s">
        <v>31</v>
      </c>
      <c r="E50" s="4">
        <v>4646</v>
      </c>
      <c r="F50" s="5">
        <v>29.766922000000001</v>
      </c>
      <c r="G50" s="6">
        <v>9.3891600000000006E-3</v>
      </c>
      <c r="H50" s="109"/>
    </row>
    <row r="51" spans="1:8" ht="29.1" customHeight="1" x14ac:dyDescent="0.2">
      <c r="A51" s="100">
        <v>45</v>
      </c>
      <c r="B51" s="3" t="s">
        <v>393</v>
      </c>
      <c r="C51" s="3" t="s">
        <v>394</v>
      </c>
      <c r="D51" s="3" t="s">
        <v>191</v>
      </c>
      <c r="E51" s="4">
        <v>5842</v>
      </c>
      <c r="F51" s="5">
        <v>29.347287000000001</v>
      </c>
      <c r="G51" s="6">
        <v>9.2568000000000008E-3</v>
      </c>
      <c r="H51" s="109"/>
    </row>
    <row r="52" spans="1:8" ht="29.1" customHeight="1" x14ac:dyDescent="0.2">
      <c r="A52" s="100">
        <v>46</v>
      </c>
      <c r="B52" s="3" t="s">
        <v>452</v>
      </c>
      <c r="C52" s="3" t="s">
        <v>453</v>
      </c>
      <c r="D52" s="3" t="s">
        <v>392</v>
      </c>
      <c r="E52" s="4">
        <v>8218</v>
      </c>
      <c r="F52" s="5">
        <v>29.050630000000002</v>
      </c>
      <c r="G52" s="6">
        <v>9.1632299999999996E-3</v>
      </c>
      <c r="H52" s="109"/>
    </row>
    <row r="53" spans="1:8" ht="29.1" customHeight="1" x14ac:dyDescent="0.2">
      <c r="A53" s="100">
        <v>47</v>
      </c>
      <c r="B53" s="3" t="s">
        <v>426</v>
      </c>
      <c r="C53" s="3" t="s">
        <v>427</v>
      </c>
      <c r="D53" s="3" t="s">
        <v>115</v>
      </c>
      <c r="E53" s="4">
        <v>2285</v>
      </c>
      <c r="F53" s="5">
        <v>26.458015</v>
      </c>
      <c r="G53" s="6">
        <v>8.3454600000000007E-3</v>
      </c>
      <c r="H53" s="109"/>
    </row>
    <row r="54" spans="1:8" ht="29.1" customHeight="1" x14ac:dyDescent="0.2">
      <c r="A54" s="100">
        <v>48</v>
      </c>
      <c r="B54" s="3" t="s">
        <v>422</v>
      </c>
      <c r="C54" s="3" t="s">
        <v>423</v>
      </c>
      <c r="D54" s="3" t="s">
        <v>221</v>
      </c>
      <c r="E54" s="4">
        <v>546</v>
      </c>
      <c r="F54" s="5">
        <v>25.53642</v>
      </c>
      <c r="G54" s="6">
        <v>8.0547699999999993E-3</v>
      </c>
      <c r="H54" s="109"/>
    </row>
    <row r="55" spans="1:8" ht="17.100000000000001" customHeight="1" x14ac:dyDescent="0.2">
      <c r="A55" s="100">
        <v>49</v>
      </c>
      <c r="B55" s="3" t="s">
        <v>395</v>
      </c>
      <c r="C55" s="3" t="s">
        <v>396</v>
      </c>
      <c r="D55" s="3" t="s">
        <v>115</v>
      </c>
      <c r="E55" s="4">
        <v>12795</v>
      </c>
      <c r="F55" s="5">
        <v>25.046212499999999</v>
      </c>
      <c r="G55" s="6">
        <v>7.9001399999999999E-3</v>
      </c>
      <c r="H55" s="109"/>
    </row>
    <row r="56" spans="1:8" ht="17.100000000000001" customHeight="1" x14ac:dyDescent="0.2">
      <c r="A56" s="100">
        <v>50</v>
      </c>
      <c r="B56" s="3" t="s">
        <v>420</v>
      </c>
      <c r="C56" s="3" t="s">
        <v>421</v>
      </c>
      <c r="D56" s="3" t="s">
        <v>22</v>
      </c>
      <c r="E56" s="4">
        <v>9321</v>
      </c>
      <c r="F56" s="5">
        <v>21.349750499999999</v>
      </c>
      <c r="G56" s="6">
        <v>6.7342000000000001E-3</v>
      </c>
      <c r="H56" s="109"/>
    </row>
    <row r="57" spans="1:8" ht="17.100000000000001" customHeight="1" x14ac:dyDescent="0.2">
      <c r="A57" s="100">
        <v>51</v>
      </c>
      <c r="B57" s="3" t="s">
        <v>454</v>
      </c>
      <c r="C57" s="3" t="s">
        <v>455</v>
      </c>
      <c r="D57" s="3" t="s">
        <v>31</v>
      </c>
      <c r="E57" s="4">
        <v>2302</v>
      </c>
      <c r="F57" s="5">
        <v>19.261984999999999</v>
      </c>
      <c r="G57" s="6">
        <v>6.07567E-3</v>
      </c>
      <c r="H57" s="109"/>
    </row>
    <row r="58" spans="1:8" ht="17.100000000000001" customHeight="1" x14ac:dyDescent="0.2">
      <c r="A58" s="100">
        <v>52</v>
      </c>
      <c r="B58" s="3" t="s">
        <v>123</v>
      </c>
      <c r="C58" s="3" t="s">
        <v>124</v>
      </c>
      <c r="D58" s="3" t="s">
        <v>115</v>
      </c>
      <c r="E58" s="4">
        <v>975</v>
      </c>
      <c r="F58" s="5">
        <v>18.386062500000001</v>
      </c>
      <c r="G58" s="6">
        <v>5.7993799999999998E-3</v>
      </c>
      <c r="H58" s="109"/>
    </row>
    <row r="59" spans="1:8" ht="17.100000000000001" customHeight="1" x14ac:dyDescent="0.2">
      <c r="A59" s="100">
        <v>53</v>
      </c>
      <c r="B59" s="3" t="s">
        <v>330</v>
      </c>
      <c r="C59" s="3" t="s">
        <v>331</v>
      </c>
      <c r="D59" s="3" t="s">
        <v>97</v>
      </c>
      <c r="E59" s="4">
        <v>22625</v>
      </c>
      <c r="F59" s="5">
        <v>14.52525</v>
      </c>
      <c r="G59" s="6">
        <v>4.58159E-3</v>
      </c>
      <c r="H59" s="109"/>
    </row>
    <row r="60" spans="1:8" ht="29.1" customHeight="1" x14ac:dyDescent="0.2">
      <c r="A60" s="100">
        <v>54</v>
      </c>
      <c r="B60" s="3" t="s">
        <v>430</v>
      </c>
      <c r="C60" s="3" t="s">
        <v>431</v>
      </c>
      <c r="D60" s="3" t="s">
        <v>188</v>
      </c>
      <c r="E60" s="4">
        <v>1792</v>
      </c>
      <c r="F60" s="5">
        <v>7.2334079999999998</v>
      </c>
      <c r="G60" s="6">
        <v>2.2815800000000001E-3</v>
      </c>
      <c r="H60" s="109"/>
    </row>
    <row r="61" spans="1:8" ht="29.1" customHeight="1" x14ac:dyDescent="0.2">
      <c r="A61" s="100">
        <v>55</v>
      </c>
      <c r="B61" s="3" t="s">
        <v>456</v>
      </c>
      <c r="C61" s="3" t="s">
        <v>457</v>
      </c>
      <c r="D61" s="3" t="s">
        <v>221</v>
      </c>
      <c r="E61" s="4">
        <v>1809</v>
      </c>
      <c r="F61" s="5">
        <v>4.6156635000000001</v>
      </c>
      <c r="G61" s="6">
        <v>1.45589E-3</v>
      </c>
      <c r="H61" s="109"/>
    </row>
    <row r="62" spans="1:8" ht="14.1" customHeight="1" x14ac:dyDescent="0.2">
      <c r="A62" s="99"/>
      <c r="B62" s="1"/>
      <c r="C62" s="2" t="s">
        <v>135</v>
      </c>
      <c r="D62" s="1"/>
      <c r="E62" s="1" t="s">
        <v>136</v>
      </c>
      <c r="F62" s="8">
        <v>3015.7988845</v>
      </c>
      <c r="G62" s="9">
        <v>0.95125141999999996</v>
      </c>
      <c r="H62" s="109"/>
    </row>
    <row r="63" spans="1:8" ht="14.1" customHeight="1" x14ac:dyDescent="0.2">
      <c r="A63" s="99"/>
      <c r="B63" s="1"/>
      <c r="C63" s="10"/>
      <c r="D63" s="1"/>
      <c r="E63" s="1"/>
      <c r="F63" s="11"/>
      <c r="G63" s="11"/>
      <c r="H63" s="109"/>
    </row>
    <row r="64" spans="1:8" ht="14.1" customHeight="1" x14ac:dyDescent="0.2">
      <c r="A64" s="99"/>
      <c r="B64" s="1"/>
      <c r="C64" s="2" t="s">
        <v>137</v>
      </c>
      <c r="D64" s="1"/>
      <c r="E64" s="1"/>
      <c r="F64" s="1"/>
      <c r="G64" s="1"/>
      <c r="H64" s="109"/>
    </row>
    <row r="65" spans="1:8" ht="14.1" customHeight="1" x14ac:dyDescent="0.2">
      <c r="A65" s="99"/>
      <c r="B65" s="1"/>
      <c r="C65" s="2" t="s">
        <v>135</v>
      </c>
      <c r="D65" s="1"/>
      <c r="E65" s="1" t="s">
        <v>136</v>
      </c>
      <c r="F65" s="115">
        <v>0</v>
      </c>
      <c r="G65" s="9">
        <v>0</v>
      </c>
      <c r="H65" s="109"/>
    </row>
    <row r="66" spans="1:8" ht="14.1" customHeight="1" x14ac:dyDescent="0.2">
      <c r="A66" s="99"/>
      <c r="B66" s="1"/>
      <c r="C66" s="10"/>
      <c r="D66" s="1"/>
      <c r="E66" s="1"/>
      <c r="F66" s="11"/>
      <c r="G66" s="11"/>
      <c r="H66" s="109"/>
    </row>
    <row r="67" spans="1:8" ht="14.1" customHeight="1" x14ac:dyDescent="0.2">
      <c r="A67" s="99"/>
      <c r="B67" s="1"/>
      <c r="C67" s="2" t="s">
        <v>138</v>
      </c>
      <c r="D67" s="1"/>
      <c r="E67" s="1"/>
      <c r="F67" s="1"/>
      <c r="G67" s="1"/>
      <c r="H67" s="109"/>
    </row>
    <row r="68" spans="1:8" ht="14.1" customHeight="1" x14ac:dyDescent="0.2">
      <c r="A68" s="99"/>
      <c r="B68" s="1"/>
      <c r="C68" s="2" t="s">
        <v>135</v>
      </c>
      <c r="D68" s="1"/>
      <c r="E68" s="1" t="s">
        <v>136</v>
      </c>
      <c r="F68" s="115">
        <v>0</v>
      </c>
      <c r="G68" s="9">
        <v>0</v>
      </c>
      <c r="H68" s="109"/>
    </row>
    <row r="69" spans="1:8" ht="14.1" customHeight="1" x14ac:dyDescent="0.2">
      <c r="A69" s="99"/>
      <c r="B69" s="1"/>
      <c r="C69" s="10"/>
      <c r="D69" s="1"/>
      <c r="E69" s="1"/>
      <c r="F69" s="11"/>
      <c r="G69" s="11"/>
      <c r="H69" s="109"/>
    </row>
    <row r="70" spans="1:8" ht="14.1" customHeight="1" x14ac:dyDescent="0.2">
      <c r="A70" s="99"/>
      <c r="B70" s="1"/>
      <c r="C70" s="2" t="s">
        <v>139</v>
      </c>
      <c r="D70" s="1"/>
      <c r="E70" s="1"/>
      <c r="F70" s="1"/>
      <c r="G70" s="1"/>
      <c r="H70" s="109"/>
    </row>
    <row r="71" spans="1:8" ht="14.1" customHeight="1" x14ac:dyDescent="0.2">
      <c r="A71" s="99"/>
      <c r="B71" s="1"/>
      <c r="C71" s="2" t="s">
        <v>135</v>
      </c>
      <c r="D71" s="1"/>
      <c r="E71" s="1" t="s">
        <v>136</v>
      </c>
      <c r="F71" s="115">
        <v>0</v>
      </c>
      <c r="G71" s="9">
        <v>0</v>
      </c>
      <c r="H71" s="109"/>
    </row>
    <row r="72" spans="1:8" ht="14.1" customHeight="1" x14ac:dyDescent="0.2">
      <c r="A72" s="99"/>
      <c r="B72" s="1"/>
      <c r="C72" s="10"/>
      <c r="D72" s="1"/>
      <c r="E72" s="1"/>
      <c r="F72" s="11"/>
      <c r="G72" s="11"/>
      <c r="H72" s="109"/>
    </row>
    <row r="73" spans="1:8" ht="14.1" customHeight="1" x14ac:dyDescent="0.2">
      <c r="A73" s="99"/>
      <c r="B73" s="1"/>
      <c r="C73" s="2" t="s">
        <v>140</v>
      </c>
      <c r="D73" s="1"/>
      <c r="E73" s="1"/>
      <c r="F73" s="11"/>
      <c r="G73" s="11"/>
      <c r="H73" s="109"/>
    </row>
    <row r="74" spans="1:8" ht="14.1" customHeight="1" x14ac:dyDescent="0.2">
      <c r="A74" s="99"/>
      <c r="B74" s="1"/>
      <c r="C74" s="2" t="s">
        <v>135</v>
      </c>
      <c r="D74" s="1"/>
      <c r="E74" s="1" t="s">
        <v>136</v>
      </c>
      <c r="F74" s="115">
        <v>0</v>
      </c>
      <c r="G74" s="9">
        <v>0</v>
      </c>
      <c r="H74" s="109"/>
    </row>
    <row r="75" spans="1:8" ht="14.1" customHeight="1" x14ac:dyDescent="0.2">
      <c r="A75" s="99"/>
      <c r="B75" s="1"/>
      <c r="C75" s="10"/>
      <c r="D75" s="1"/>
      <c r="E75" s="1"/>
      <c r="F75" s="11"/>
      <c r="G75" s="11"/>
      <c r="H75" s="109"/>
    </row>
    <row r="76" spans="1:8" ht="14.1" customHeight="1" x14ac:dyDescent="0.2">
      <c r="A76" s="99"/>
      <c r="B76" s="1"/>
      <c r="C76" s="2" t="s">
        <v>141</v>
      </c>
      <c r="D76" s="1"/>
      <c r="E76" s="1"/>
      <c r="F76" s="11"/>
      <c r="G76" s="11"/>
      <c r="H76" s="109"/>
    </row>
    <row r="77" spans="1:8" ht="14.1" customHeight="1" x14ac:dyDescent="0.2">
      <c r="A77" s="99"/>
      <c r="B77" s="1"/>
      <c r="C77" s="2" t="s">
        <v>135</v>
      </c>
      <c r="D77" s="1"/>
      <c r="E77" s="1" t="s">
        <v>136</v>
      </c>
      <c r="F77" s="115">
        <v>0</v>
      </c>
      <c r="G77" s="9">
        <v>0</v>
      </c>
      <c r="H77" s="109"/>
    </row>
    <row r="78" spans="1:8" ht="14.1" customHeight="1" x14ac:dyDescent="0.2">
      <c r="A78" s="99"/>
      <c r="B78" s="1"/>
      <c r="C78" s="10"/>
      <c r="D78" s="1"/>
      <c r="E78" s="1"/>
      <c r="F78" s="11"/>
      <c r="G78" s="11"/>
      <c r="H78" s="109"/>
    </row>
    <row r="79" spans="1:8" ht="18" customHeight="1" x14ac:dyDescent="0.2">
      <c r="A79" s="99"/>
      <c r="B79" s="1"/>
      <c r="C79" s="2" t="s">
        <v>142</v>
      </c>
      <c r="D79" s="1"/>
      <c r="E79" s="1"/>
      <c r="F79" s="8">
        <v>3015.7988845</v>
      </c>
      <c r="G79" s="9">
        <v>0.95125141999999996</v>
      </c>
      <c r="H79" s="109"/>
    </row>
    <row r="80" spans="1:8" ht="14.1" customHeight="1" x14ac:dyDescent="0.2">
      <c r="A80" s="99"/>
      <c r="B80" s="1"/>
      <c r="C80" s="10"/>
      <c r="D80" s="1"/>
      <c r="E80" s="1"/>
      <c r="F80" s="11"/>
      <c r="G80" s="11"/>
      <c r="H80" s="109"/>
    </row>
    <row r="81" spans="1:8" ht="14.1" customHeight="1" x14ac:dyDescent="0.2">
      <c r="A81" s="99"/>
      <c r="B81" s="1"/>
      <c r="C81" s="2" t="s">
        <v>143</v>
      </c>
      <c r="D81" s="1"/>
      <c r="E81" s="1"/>
      <c r="F81" s="11"/>
      <c r="G81" s="11"/>
      <c r="H81" s="109"/>
    </row>
    <row r="82" spans="1:8" ht="24" customHeight="1" x14ac:dyDescent="0.2">
      <c r="A82" s="99"/>
      <c r="B82" s="1"/>
      <c r="C82" s="2" t="s">
        <v>10</v>
      </c>
      <c r="D82" s="1"/>
      <c r="E82" s="1"/>
      <c r="F82" s="11"/>
      <c r="G82" s="11"/>
      <c r="H82" s="109"/>
    </row>
    <row r="83" spans="1:8" ht="14.1" customHeight="1" x14ac:dyDescent="0.2">
      <c r="A83" s="99"/>
      <c r="B83" s="1"/>
      <c r="C83" s="2" t="s">
        <v>135</v>
      </c>
      <c r="D83" s="1"/>
      <c r="E83" s="1" t="s">
        <v>136</v>
      </c>
      <c r="F83" s="115">
        <v>0</v>
      </c>
      <c r="G83" s="9">
        <v>0</v>
      </c>
      <c r="H83" s="109"/>
    </row>
    <row r="84" spans="1:8" ht="14.1" customHeight="1" x14ac:dyDescent="0.2">
      <c r="A84" s="99"/>
      <c r="B84" s="1"/>
      <c r="C84" s="10"/>
      <c r="D84" s="1"/>
      <c r="E84" s="1"/>
      <c r="F84" s="11"/>
      <c r="G84" s="11"/>
      <c r="H84" s="109"/>
    </row>
    <row r="85" spans="1:8" ht="14.1" customHeight="1" x14ac:dyDescent="0.2">
      <c r="A85" s="99"/>
      <c r="B85" s="1"/>
      <c r="C85" s="2" t="s">
        <v>144</v>
      </c>
      <c r="D85" s="1"/>
      <c r="E85" s="1"/>
      <c r="F85" s="1"/>
      <c r="G85" s="1"/>
      <c r="H85" s="109"/>
    </row>
    <row r="86" spans="1:8" ht="14.1" customHeight="1" x14ac:dyDescent="0.2">
      <c r="A86" s="99"/>
      <c r="B86" s="1"/>
      <c r="C86" s="2" t="s">
        <v>135</v>
      </c>
      <c r="D86" s="1"/>
      <c r="E86" s="1" t="s">
        <v>136</v>
      </c>
      <c r="F86" s="115">
        <v>0</v>
      </c>
      <c r="G86" s="9">
        <v>0</v>
      </c>
      <c r="H86" s="109"/>
    </row>
    <row r="87" spans="1:8" ht="14.1" customHeight="1" x14ac:dyDescent="0.2">
      <c r="A87" s="99"/>
      <c r="B87" s="1"/>
      <c r="C87" s="10"/>
      <c r="D87" s="1"/>
      <c r="E87" s="1"/>
      <c r="F87" s="11"/>
      <c r="G87" s="11"/>
      <c r="H87" s="109"/>
    </row>
    <row r="88" spans="1:8" ht="14.1" customHeight="1" x14ac:dyDescent="0.2">
      <c r="A88" s="99"/>
      <c r="B88" s="1"/>
      <c r="C88" s="2" t="s">
        <v>145</v>
      </c>
      <c r="D88" s="1"/>
      <c r="E88" s="1"/>
      <c r="F88" s="1"/>
      <c r="G88" s="1"/>
      <c r="H88" s="109"/>
    </row>
    <row r="89" spans="1:8" ht="14.1" customHeight="1" x14ac:dyDescent="0.2">
      <c r="A89" s="99"/>
      <c r="B89" s="1"/>
      <c r="C89" s="2" t="s">
        <v>135</v>
      </c>
      <c r="D89" s="1"/>
      <c r="E89" s="1" t="s">
        <v>136</v>
      </c>
      <c r="F89" s="115">
        <v>0</v>
      </c>
      <c r="G89" s="9">
        <v>0</v>
      </c>
      <c r="H89" s="109"/>
    </row>
    <row r="90" spans="1:8" ht="14.1" customHeight="1" x14ac:dyDescent="0.2">
      <c r="A90" s="99"/>
      <c r="B90" s="1"/>
      <c r="C90" s="10"/>
      <c r="D90" s="1"/>
      <c r="E90" s="1"/>
      <c r="F90" s="11"/>
      <c r="G90" s="11"/>
      <c r="H90" s="109"/>
    </row>
    <row r="91" spans="1:8" ht="14.1" customHeight="1" x14ac:dyDescent="0.2">
      <c r="A91" s="99"/>
      <c r="B91" s="1"/>
      <c r="C91" s="2" t="s">
        <v>146</v>
      </c>
      <c r="D91" s="1"/>
      <c r="E91" s="1"/>
      <c r="F91" s="11"/>
      <c r="G91" s="11"/>
      <c r="H91" s="109"/>
    </row>
    <row r="92" spans="1:8" ht="14.1" customHeight="1" x14ac:dyDescent="0.2">
      <c r="A92" s="99"/>
      <c r="B92" s="1"/>
      <c r="C92" s="2" t="s">
        <v>135</v>
      </c>
      <c r="D92" s="1"/>
      <c r="E92" s="1" t="s">
        <v>136</v>
      </c>
      <c r="F92" s="115">
        <v>0</v>
      </c>
      <c r="G92" s="9">
        <v>0</v>
      </c>
      <c r="H92" s="109"/>
    </row>
    <row r="93" spans="1:8" ht="14.1" customHeight="1" x14ac:dyDescent="0.2">
      <c r="A93" s="99"/>
      <c r="B93" s="1"/>
      <c r="C93" s="10"/>
      <c r="D93" s="1"/>
      <c r="E93" s="1"/>
      <c r="F93" s="11"/>
      <c r="G93" s="11"/>
      <c r="H93" s="109"/>
    </row>
    <row r="94" spans="1:8" ht="14.1" customHeight="1" x14ac:dyDescent="0.2">
      <c r="A94" s="99"/>
      <c r="B94" s="1"/>
      <c r="C94" s="2" t="s">
        <v>147</v>
      </c>
      <c r="D94" s="1"/>
      <c r="E94" s="1"/>
      <c r="F94" s="8">
        <v>0</v>
      </c>
      <c r="G94" s="9">
        <v>0</v>
      </c>
      <c r="H94" s="109"/>
    </row>
    <row r="95" spans="1:8" ht="14.1" customHeight="1" x14ac:dyDescent="0.2">
      <c r="A95" s="99"/>
      <c r="B95" s="1"/>
      <c r="C95" s="10"/>
      <c r="D95" s="1"/>
      <c r="E95" s="1"/>
      <c r="F95" s="11"/>
      <c r="G95" s="11"/>
      <c r="H95" s="109"/>
    </row>
    <row r="96" spans="1:8" ht="14.1" customHeight="1" x14ac:dyDescent="0.2">
      <c r="A96" s="99"/>
      <c r="B96" s="1"/>
      <c r="C96" s="2" t="s">
        <v>148</v>
      </c>
      <c r="D96" s="1"/>
      <c r="E96" s="1"/>
      <c r="F96" s="11"/>
      <c r="G96" s="11"/>
      <c r="H96" s="109"/>
    </row>
    <row r="97" spans="1:8" ht="14.1" customHeight="1" x14ac:dyDescent="0.2">
      <c r="A97" s="99"/>
      <c r="B97" s="1"/>
      <c r="C97" s="2" t="s">
        <v>149</v>
      </c>
      <c r="D97" s="1"/>
      <c r="E97" s="1"/>
      <c r="F97" s="11"/>
      <c r="G97" s="11"/>
      <c r="H97" s="109"/>
    </row>
    <row r="98" spans="1:8" ht="14.1" customHeight="1" x14ac:dyDescent="0.2">
      <c r="A98" s="99"/>
      <c r="B98" s="1"/>
      <c r="C98" s="2" t="s">
        <v>135</v>
      </c>
      <c r="D98" s="1"/>
      <c r="E98" s="1" t="s">
        <v>136</v>
      </c>
      <c r="F98" s="115">
        <v>0</v>
      </c>
      <c r="G98" s="9">
        <v>0</v>
      </c>
      <c r="H98" s="109"/>
    </row>
    <row r="99" spans="1:8" ht="14.1" customHeight="1" x14ac:dyDescent="0.2">
      <c r="A99" s="99"/>
      <c r="B99" s="1"/>
      <c r="C99" s="10"/>
      <c r="D99" s="1"/>
      <c r="E99" s="1"/>
      <c r="F99" s="11"/>
      <c r="G99" s="11"/>
      <c r="H99" s="109"/>
    </row>
    <row r="100" spans="1:8" ht="14.1" customHeight="1" x14ac:dyDescent="0.2">
      <c r="A100" s="99"/>
      <c r="B100" s="1"/>
      <c r="C100" s="2" t="s">
        <v>150</v>
      </c>
      <c r="D100" s="1"/>
      <c r="E100" s="1"/>
      <c r="F100" s="11"/>
      <c r="G100" s="11"/>
      <c r="H100" s="109"/>
    </row>
    <row r="101" spans="1:8" ht="14.1" customHeight="1" x14ac:dyDescent="0.2">
      <c r="A101" s="99"/>
      <c r="B101" s="1"/>
      <c r="C101" s="2" t="s">
        <v>135</v>
      </c>
      <c r="D101" s="1"/>
      <c r="E101" s="1" t="s">
        <v>136</v>
      </c>
      <c r="F101" s="115">
        <v>0</v>
      </c>
      <c r="G101" s="9">
        <v>0</v>
      </c>
      <c r="H101" s="109"/>
    </row>
    <row r="102" spans="1:8" ht="14.1" customHeight="1" x14ac:dyDescent="0.2">
      <c r="A102" s="99"/>
      <c r="B102" s="1"/>
      <c r="C102" s="10"/>
      <c r="D102" s="1"/>
      <c r="E102" s="1"/>
      <c r="F102" s="11"/>
      <c r="G102" s="11"/>
      <c r="H102" s="109"/>
    </row>
    <row r="103" spans="1:8" ht="14.1" customHeight="1" x14ac:dyDescent="0.2">
      <c r="A103" s="99"/>
      <c r="B103" s="1"/>
      <c r="C103" s="2" t="s">
        <v>151</v>
      </c>
      <c r="D103" s="1"/>
      <c r="E103" s="1"/>
      <c r="F103" s="11"/>
      <c r="G103" s="11"/>
      <c r="H103" s="109"/>
    </row>
    <row r="104" spans="1:8" ht="14.1" customHeight="1" x14ac:dyDescent="0.2">
      <c r="A104" s="99"/>
      <c r="B104" s="1"/>
      <c r="C104" s="2" t="s">
        <v>135</v>
      </c>
      <c r="D104" s="1"/>
      <c r="E104" s="1" t="s">
        <v>136</v>
      </c>
      <c r="F104" s="115">
        <v>0</v>
      </c>
      <c r="G104" s="9">
        <v>0</v>
      </c>
      <c r="H104" s="109"/>
    </row>
    <row r="105" spans="1:8" ht="14.1" customHeight="1" x14ac:dyDescent="0.2">
      <c r="A105" s="99"/>
      <c r="B105" s="1"/>
      <c r="C105" s="10"/>
      <c r="D105" s="1"/>
      <c r="E105" s="1"/>
      <c r="F105" s="11"/>
      <c r="G105" s="11"/>
      <c r="H105" s="109"/>
    </row>
    <row r="106" spans="1:8" ht="14.1" customHeight="1" x14ac:dyDescent="0.2">
      <c r="A106" s="99"/>
      <c r="B106" s="1"/>
      <c r="C106" s="2" t="s">
        <v>152</v>
      </c>
      <c r="D106" s="1"/>
      <c r="E106" s="1"/>
      <c r="F106" s="11"/>
      <c r="G106" s="11"/>
      <c r="H106" s="109"/>
    </row>
    <row r="107" spans="1:8" ht="17.100000000000001" customHeight="1" x14ac:dyDescent="0.2">
      <c r="A107" s="100">
        <v>1</v>
      </c>
      <c r="B107" s="3"/>
      <c r="C107" s="3" t="s">
        <v>153</v>
      </c>
      <c r="D107" s="3"/>
      <c r="E107" s="7"/>
      <c r="F107" s="5">
        <v>155.02793400100001</v>
      </c>
      <c r="G107" s="6">
        <v>4.8899329999999998E-2</v>
      </c>
      <c r="H107" s="109">
        <v>6.6015165706411798</v>
      </c>
    </row>
    <row r="108" spans="1:8" ht="14.1" customHeight="1" x14ac:dyDescent="0.2">
      <c r="A108" s="99"/>
      <c r="B108" s="1"/>
      <c r="C108" s="2" t="s">
        <v>135</v>
      </c>
      <c r="D108" s="1"/>
      <c r="E108" s="1" t="s">
        <v>136</v>
      </c>
      <c r="F108" s="8">
        <v>155.02793400100001</v>
      </c>
      <c r="G108" s="9">
        <v>4.8899329999999998E-2</v>
      </c>
      <c r="H108" s="109"/>
    </row>
    <row r="109" spans="1:8" ht="14.1" customHeight="1" x14ac:dyDescent="0.2">
      <c r="A109" s="99"/>
      <c r="B109" s="1"/>
      <c r="C109" s="10"/>
      <c r="D109" s="1"/>
      <c r="E109" s="1"/>
      <c r="F109" s="11"/>
      <c r="G109" s="11"/>
      <c r="H109" s="109"/>
    </row>
    <row r="110" spans="1:8" ht="14.1" customHeight="1" x14ac:dyDescent="0.2">
      <c r="A110" s="99"/>
      <c r="B110" s="1"/>
      <c r="C110" s="2" t="s">
        <v>154</v>
      </c>
      <c r="D110" s="1"/>
      <c r="E110" s="1"/>
      <c r="F110" s="8">
        <v>155.02793400100001</v>
      </c>
      <c r="G110" s="9">
        <v>4.8899329999999998E-2</v>
      </c>
      <c r="H110" s="109"/>
    </row>
    <row r="111" spans="1:8" ht="14.1" customHeight="1" x14ac:dyDescent="0.2">
      <c r="A111" s="99"/>
      <c r="B111" s="1"/>
      <c r="C111" s="11"/>
      <c r="D111" s="1"/>
      <c r="E111" s="1"/>
      <c r="F111" s="1"/>
      <c r="G111" s="1"/>
      <c r="H111" s="109"/>
    </row>
    <row r="112" spans="1:8" ht="14.1" customHeight="1" x14ac:dyDescent="0.2">
      <c r="A112" s="99"/>
      <c r="B112" s="1"/>
      <c r="C112" s="2" t="s">
        <v>155</v>
      </c>
      <c r="D112" s="1"/>
      <c r="E112" s="1"/>
      <c r="F112" s="1"/>
      <c r="G112" s="1"/>
      <c r="H112" s="109"/>
    </row>
    <row r="113" spans="1:8" ht="14.1" customHeight="1" x14ac:dyDescent="0.2">
      <c r="A113" s="99"/>
      <c r="B113" s="1"/>
      <c r="C113" s="2" t="s">
        <v>156</v>
      </c>
      <c r="D113" s="1"/>
      <c r="E113" s="1"/>
      <c r="F113" s="1"/>
      <c r="G113" s="1"/>
      <c r="H113" s="109"/>
    </row>
    <row r="114" spans="1:8" ht="14.1" customHeight="1" x14ac:dyDescent="0.2">
      <c r="A114" s="99"/>
      <c r="B114" s="1"/>
      <c r="C114" s="2" t="s">
        <v>135</v>
      </c>
      <c r="D114" s="1"/>
      <c r="E114" s="1" t="s">
        <v>136</v>
      </c>
      <c r="F114" s="115">
        <v>0</v>
      </c>
      <c r="G114" s="9">
        <v>0</v>
      </c>
      <c r="H114" s="109"/>
    </row>
    <row r="115" spans="1:8" ht="14.1" customHeight="1" x14ac:dyDescent="0.2">
      <c r="A115" s="99"/>
      <c r="B115" s="1"/>
      <c r="C115" s="10"/>
      <c r="D115" s="1"/>
      <c r="E115" s="1"/>
      <c r="F115" s="11"/>
      <c r="G115" s="11"/>
      <c r="H115" s="109"/>
    </row>
    <row r="116" spans="1:8" ht="14.1" customHeight="1" x14ac:dyDescent="0.2">
      <c r="A116" s="99"/>
      <c r="B116" s="1"/>
      <c r="C116" s="2" t="s">
        <v>157</v>
      </c>
      <c r="D116" s="1"/>
      <c r="E116" s="1"/>
      <c r="F116" s="1"/>
      <c r="G116" s="1"/>
      <c r="H116" s="109"/>
    </row>
    <row r="117" spans="1:8" ht="14.1" customHeight="1" x14ac:dyDescent="0.2">
      <c r="A117" s="99"/>
      <c r="B117" s="1"/>
      <c r="C117" s="2" t="s">
        <v>158</v>
      </c>
      <c r="D117" s="1"/>
      <c r="E117" s="1"/>
      <c r="F117" s="1"/>
      <c r="G117" s="1"/>
      <c r="H117" s="109"/>
    </row>
    <row r="118" spans="1:8" ht="14.1" customHeight="1" x14ac:dyDescent="0.2">
      <c r="A118" s="99"/>
      <c r="B118" s="1"/>
      <c r="C118" s="2" t="s">
        <v>135</v>
      </c>
      <c r="D118" s="1"/>
      <c r="E118" s="1" t="s">
        <v>136</v>
      </c>
      <c r="F118" s="115">
        <v>0</v>
      </c>
      <c r="G118" s="9">
        <v>0</v>
      </c>
      <c r="H118" s="109"/>
    </row>
    <row r="119" spans="1:8" ht="14.1" customHeight="1" x14ac:dyDescent="0.2">
      <c r="A119" s="99"/>
      <c r="B119" s="1"/>
      <c r="C119" s="10"/>
      <c r="D119" s="1"/>
      <c r="E119" s="1"/>
      <c r="F119" s="11"/>
      <c r="G119" s="11"/>
      <c r="H119" s="109"/>
    </row>
    <row r="120" spans="1:8" ht="24" customHeight="1" x14ac:dyDescent="0.2">
      <c r="A120" s="99"/>
      <c r="B120" s="1"/>
      <c r="C120" s="2" t="s">
        <v>159</v>
      </c>
      <c r="D120" s="1"/>
      <c r="E120" s="1"/>
      <c r="F120" s="11"/>
      <c r="G120" s="11"/>
      <c r="H120" s="109"/>
    </row>
    <row r="121" spans="1:8" ht="14.1" customHeight="1" x14ac:dyDescent="0.2">
      <c r="A121" s="99"/>
      <c r="B121" s="1"/>
      <c r="C121" s="2" t="s">
        <v>135</v>
      </c>
      <c r="D121" s="1"/>
      <c r="E121" s="1" t="s">
        <v>136</v>
      </c>
      <c r="F121" s="115">
        <v>0</v>
      </c>
      <c r="G121" s="9">
        <v>0</v>
      </c>
      <c r="H121" s="109"/>
    </row>
    <row r="122" spans="1:8" ht="14.1" customHeight="1" x14ac:dyDescent="0.2">
      <c r="A122" s="99"/>
      <c r="B122" s="1"/>
      <c r="C122" s="10"/>
      <c r="D122" s="1"/>
      <c r="E122" s="1"/>
      <c r="F122" s="11"/>
      <c r="G122" s="11"/>
      <c r="H122" s="109"/>
    </row>
    <row r="123" spans="1:8" ht="14.1" customHeight="1" x14ac:dyDescent="0.2">
      <c r="A123" s="99"/>
      <c r="B123" s="3"/>
      <c r="C123" s="3"/>
      <c r="D123" s="2"/>
      <c r="E123" s="1"/>
      <c r="F123" s="3"/>
      <c r="G123" s="7"/>
      <c r="H123" s="109"/>
    </row>
    <row r="124" spans="1:8" ht="18" customHeight="1" x14ac:dyDescent="0.2">
      <c r="A124" s="101"/>
      <c r="B124" s="3"/>
      <c r="C124" s="3" t="s">
        <v>160</v>
      </c>
      <c r="D124" s="3"/>
      <c r="E124" s="7"/>
      <c r="F124" s="5">
        <v>-0.47786951999999999</v>
      </c>
      <c r="G124" s="6">
        <v>-1.5072999999999999E-4</v>
      </c>
      <c r="H124" s="109"/>
    </row>
    <row r="125" spans="1:8" ht="14.1" customHeight="1" x14ac:dyDescent="0.2">
      <c r="A125" s="102"/>
      <c r="B125" s="10"/>
      <c r="C125" s="2" t="s">
        <v>161</v>
      </c>
      <c r="D125" s="11"/>
      <c r="E125" s="11"/>
      <c r="F125" s="8">
        <v>3170.3489489809999</v>
      </c>
      <c r="G125" s="12">
        <v>1.0000000200000001</v>
      </c>
      <c r="H125" s="109"/>
    </row>
    <row r="126" spans="1:8" ht="14.1" customHeight="1" x14ac:dyDescent="0.2">
      <c r="A126" s="13"/>
      <c r="B126" s="13"/>
      <c r="C126" s="13"/>
      <c r="D126" s="14"/>
      <c r="E126" s="14"/>
      <c r="F126" s="14"/>
      <c r="G126" s="14"/>
    </row>
    <row r="127" spans="1:8" ht="14.1" customHeight="1" x14ac:dyDescent="0.2">
      <c r="A127" s="15"/>
      <c r="B127" s="15"/>
      <c r="C127" s="15"/>
      <c r="D127" s="17"/>
      <c r="E127" s="17"/>
      <c r="F127" s="17"/>
      <c r="G127" s="17"/>
    </row>
    <row r="128" spans="1:8" ht="14.1" customHeight="1" x14ac:dyDescent="0.2">
      <c r="A128" s="15"/>
      <c r="B128" s="194" t="s">
        <v>163</v>
      </c>
      <c r="C128" s="195"/>
      <c r="D128" s="196"/>
      <c r="E128" s="18"/>
      <c r="F128" s="17"/>
      <c r="G128" s="17"/>
    </row>
    <row r="129" spans="1:7" ht="29.1" customHeight="1" x14ac:dyDescent="0.2">
      <c r="A129" s="15"/>
      <c r="B129" s="191" t="s">
        <v>164</v>
      </c>
      <c r="C129" s="192"/>
      <c r="D129" s="2" t="s">
        <v>165</v>
      </c>
      <c r="E129" s="18"/>
      <c r="F129" s="17"/>
      <c r="G129" s="17"/>
    </row>
    <row r="130" spans="1:7" ht="17.100000000000001" customHeight="1" x14ac:dyDescent="0.2">
      <c r="A130" s="15"/>
      <c r="B130" s="191" t="s">
        <v>166</v>
      </c>
      <c r="C130" s="192"/>
      <c r="D130" s="2" t="s">
        <v>165</v>
      </c>
      <c r="E130" s="18"/>
      <c r="F130" s="17"/>
      <c r="G130" s="17"/>
    </row>
    <row r="131" spans="1:7" ht="17.100000000000001" customHeight="1" x14ac:dyDescent="0.2">
      <c r="A131" s="15"/>
      <c r="B131" s="191" t="s">
        <v>167</v>
      </c>
      <c r="C131" s="192"/>
      <c r="D131" s="11" t="s">
        <v>136</v>
      </c>
      <c r="E131" s="18"/>
      <c r="F131" s="17"/>
      <c r="G131" s="17"/>
    </row>
    <row r="132" spans="1:7" ht="24" customHeight="1" x14ac:dyDescent="0.2">
      <c r="A132" s="19"/>
      <c r="B132" s="20" t="s">
        <v>136</v>
      </c>
      <c r="C132" s="20" t="s">
        <v>168</v>
      </c>
      <c r="D132" s="20" t="s">
        <v>169</v>
      </c>
      <c r="E132" s="19"/>
      <c r="F132" s="19"/>
      <c r="G132" s="19"/>
    </row>
    <row r="133" spans="1:7" ht="18" customHeight="1" x14ac:dyDescent="0.2">
      <c r="A133" s="19"/>
      <c r="B133" s="21" t="s">
        <v>170</v>
      </c>
      <c r="C133" s="20" t="s">
        <v>171</v>
      </c>
      <c r="D133" s="20" t="s">
        <v>172</v>
      </c>
      <c r="E133" s="19"/>
      <c r="F133" s="19"/>
      <c r="G133" s="19"/>
    </row>
    <row r="134" spans="1:7" ht="17.100000000000001" customHeight="1" x14ac:dyDescent="0.2">
      <c r="A134" s="19"/>
      <c r="B134" s="3" t="s">
        <v>173</v>
      </c>
      <c r="C134" s="22">
        <v>15.9945</v>
      </c>
      <c r="D134" s="22">
        <v>15.9985</v>
      </c>
      <c r="E134" s="19"/>
      <c r="F134" s="16"/>
      <c r="G134" s="23"/>
    </row>
    <row r="135" spans="1:7" ht="17.100000000000001" customHeight="1" x14ac:dyDescent="0.2">
      <c r="A135" s="19"/>
      <c r="B135" s="3" t="s">
        <v>994</v>
      </c>
      <c r="C135" s="22">
        <v>15.9945</v>
      </c>
      <c r="D135" s="22">
        <v>15.9985</v>
      </c>
      <c r="E135" s="19"/>
      <c r="F135" s="16"/>
      <c r="G135" s="23"/>
    </row>
    <row r="136" spans="1:7" ht="17.100000000000001" customHeight="1" x14ac:dyDescent="0.2">
      <c r="A136" s="19"/>
      <c r="B136" s="3" t="s">
        <v>174</v>
      </c>
      <c r="C136" s="22">
        <v>15.3565</v>
      </c>
      <c r="D136" s="22">
        <v>15.3582</v>
      </c>
      <c r="E136" s="19"/>
      <c r="F136" s="16"/>
      <c r="G136" s="23"/>
    </row>
    <row r="137" spans="1:7" ht="17.100000000000001" customHeight="1" x14ac:dyDescent="0.2">
      <c r="A137" s="19"/>
      <c r="B137" s="3" t="s">
        <v>995</v>
      </c>
      <c r="C137" s="22">
        <v>15.3565</v>
      </c>
      <c r="D137" s="22">
        <v>15.3582</v>
      </c>
      <c r="E137" s="19"/>
      <c r="F137" s="16"/>
      <c r="G137" s="23"/>
    </row>
    <row r="138" spans="1:7" ht="14.1" customHeight="1" x14ac:dyDescent="0.2">
      <c r="A138" s="19"/>
      <c r="B138" s="19"/>
      <c r="C138" s="19"/>
      <c r="D138" s="19"/>
      <c r="E138" s="19"/>
      <c r="F138" s="19"/>
      <c r="G138" s="19"/>
    </row>
    <row r="139" spans="1:7" ht="17.100000000000001" customHeight="1" x14ac:dyDescent="0.2">
      <c r="A139" s="19"/>
      <c r="B139" s="191" t="s">
        <v>1044</v>
      </c>
      <c r="C139" s="192"/>
      <c r="D139" s="2" t="s">
        <v>165</v>
      </c>
      <c r="E139" s="19"/>
      <c r="F139" s="19"/>
      <c r="G139" s="19"/>
    </row>
    <row r="140" spans="1:7" ht="18" customHeight="1" x14ac:dyDescent="0.2">
      <c r="A140" s="19"/>
      <c r="B140" s="24"/>
      <c r="C140" s="24"/>
      <c r="D140" s="24"/>
      <c r="E140" s="19"/>
      <c r="F140" s="19"/>
      <c r="G140" s="19"/>
    </row>
    <row r="141" spans="1:7" ht="29.1" customHeight="1" x14ac:dyDescent="0.2">
      <c r="A141" s="19"/>
      <c r="B141" s="191" t="s">
        <v>175</v>
      </c>
      <c r="C141" s="192"/>
      <c r="D141" s="2" t="s">
        <v>165</v>
      </c>
      <c r="E141" s="25"/>
      <c r="F141" s="19"/>
      <c r="G141" s="19"/>
    </row>
    <row r="142" spans="1:7" ht="29.1" customHeight="1" x14ac:dyDescent="0.2">
      <c r="A142" s="19"/>
      <c r="B142" s="191" t="s">
        <v>176</v>
      </c>
      <c r="C142" s="192"/>
      <c r="D142" s="2" t="s">
        <v>165</v>
      </c>
      <c r="E142" s="25"/>
      <c r="F142" s="19"/>
      <c r="G142" s="19"/>
    </row>
    <row r="143" spans="1:7" ht="17.100000000000001" customHeight="1" x14ac:dyDescent="0.2">
      <c r="A143" s="19"/>
      <c r="B143" s="191" t="s">
        <v>177</v>
      </c>
      <c r="C143" s="192"/>
      <c r="D143" s="2" t="s">
        <v>165</v>
      </c>
      <c r="E143" s="25"/>
      <c r="F143" s="19"/>
      <c r="G143" s="19"/>
    </row>
    <row r="144" spans="1:7" ht="17.100000000000001" customHeight="1" x14ac:dyDescent="0.2">
      <c r="A144" s="19"/>
      <c r="B144" s="191" t="s">
        <v>178</v>
      </c>
      <c r="C144" s="192"/>
      <c r="D144" s="26">
        <v>0.12489960626045978</v>
      </c>
      <c r="E144" s="19"/>
      <c r="F144" s="16"/>
      <c r="G144" s="23"/>
    </row>
    <row r="145" spans="1:14" ht="14.1" customHeight="1" x14ac:dyDescent="0.2">
      <c r="A145" s="24"/>
      <c r="B145" s="24"/>
      <c r="C145" s="24"/>
      <c r="D145" s="24"/>
      <c r="E145" s="24"/>
      <c r="F145" s="24"/>
      <c r="G145" s="24"/>
    </row>
    <row r="158" spans="1:14" x14ac:dyDescent="0.2">
      <c r="J158" s="170"/>
      <c r="K158" s="170"/>
      <c r="L158" s="170"/>
      <c r="M158" s="170"/>
      <c r="N158" s="170"/>
    </row>
  </sheetData>
  <mergeCells count="13">
    <mergeCell ref="J2:N2"/>
    <mergeCell ref="B130:C130"/>
    <mergeCell ref="B131:C131"/>
    <mergeCell ref="B128:D128"/>
    <mergeCell ref="B129:C129"/>
    <mergeCell ref="A1:H1"/>
    <mergeCell ref="A2:H2"/>
    <mergeCell ref="A3:H3"/>
    <mergeCell ref="B143:C143"/>
    <mergeCell ref="B144:C144"/>
    <mergeCell ref="B139:C139"/>
    <mergeCell ref="B141:C141"/>
    <mergeCell ref="B142:C142"/>
  </mergeCells>
  <hyperlinks>
    <hyperlink ref="I1" location="Index!B21" display="Index" xr:uid="{AFA504D3-DA1D-43C6-BB04-37D92BA7D809}"/>
  </hyperlinks>
  <pageMargins left="5.000000074505806E-2" right="5.000000074505806E-2" top="0.30000001192092896" bottom="0.20000000298023224" header="0" footer="0"/>
  <pageSetup paperSize="9" orientation="landscape"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N163"/>
  <sheetViews>
    <sheetView showGridLines="0" workbookViewId="0">
      <selection sqref="A1:H1"/>
    </sheetView>
  </sheetViews>
  <sheetFormatPr defaultRowHeight="12.75" x14ac:dyDescent="0.2"/>
  <cols>
    <col min="1" max="1" width="5.85546875" bestFit="1"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7" t="s">
        <v>0</v>
      </c>
      <c r="B1" s="187"/>
      <c r="C1" s="187"/>
      <c r="D1" s="187"/>
      <c r="E1" s="187"/>
      <c r="F1" s="187"/>
      <c r="G1" s="187"/>
      <c r="H1" s="187"/>
      <c r="I1" s="167" t="s">
        <v>1055</v>
      </c>
    </row>
    <row r="2" spans="1:14" ht="17.100000000000001" customHeight="1" x14ac:dyDescent="0.2">
      <c r="A2" s="188" t="s">
        <v>499</v>
      </c>
      <c r="B2" s="189"/>
      <c r="C2" s="189"/>
      <c r="D2" s="189"/>
      <c r="E2" s="189"/>
      <c r="F2" s="189"/>
      <c r="G2" s="189"/>
      <c r="H2" s="190"/>
      <c r="J2" s="186" t="s">
        <v>1056</v>
      </c>
      <c r="K2" s="186"/>
      <c r="L2" s="186"/>
      <c r="M2" s="186"/>
      <c r="N2" s="186"/>
    </row>
    <row r="3" spans="1:14" ht="21" customHeight="1" x14ac:dyDescent="0.2">
      <c r="A3" s="187" t="s">
        <v>1052</v>
      </c>
      <c r="B3" s="187"/>
      <c r="C3" s="187"/>
      <c r="D3" s="187"/>
      <c r="E3" s="187"/>
      <c r="F3" s="187"/>
      <c r="G3" s="187"/>
      <c r="H3" s="187"/>
    </row>
    <row r="4" spans="1:14" ht="30" x14ac:dyDescent="0.2">
      <c r="A4" s="163" t="s">
        <v>2</v>
      </c>
      <c r="B4" s="164" t="s">
        <v>3</v>
      </c>
      <c r="C4" s="164" t="s">
        <v>4</v>
      </c>
      <c r="D4" s="164" t="s">
        <v>5</v>
      </c>
      <c r="E4" s="164" t="s">
        <v>6</v>
      </c>
      <c r="F4" s="164" t="s">
        <v>7</v>
      </c>
      <c r="G4" s="164" t="s">
        <v>8</v>
      </c>
      <c r="H4" s="120" t="s">
        <v>881</v>
      </c>
      <c r="I4" s="165"/>
      <c r="J4" s="165"/>
      <c r="K4" s="165"/>
      <c r="L4" s="165"/>
      <c r="M4" s="165"/>
      <c r="N4" s="165"/>
    </row>
    <row r="5" spans="1:14" ht="14.1" customHeight="1" x14ac:dyDescent="0.2">
      <c r="A5" s="99"/>
      <c r="B5" s="1"/>
      <c r="C5" s="2" t="s">
        <v>9</v>
      </c>
      <c r="D5" s="1"/>
      <c r="E5" s="1"/>
      <c r="F5" s="1"/>
      <c r="G5" s="1"/>
      <c r="H5" s="109"/>
    </row>
    <row r="6" spans="1:14" ht="24" customHeight="1" x14ac:dyDescent="0.2">
      <c r="A6" s="99"/>
      <c r="B6" s="1"/>
      <c r="C6" s="2" t="s">
        <v>10</v>
      </c>
      <c r="D6" s="1"/>
      <c r="E6" s="1"/>
      <c r="F6" s="1"/>
      <c r="G6" s="1"/>
      <c r="H6" s="109"/>
    </row>
    <row r="7" spans="1:14" ht="17.100000000000001" customHeight="1" x14ac:dyDescent="0.2">
      <c r="A7" s="100">
        <v>1</v>
      </c>
      <c r="B7" s="3" t="s">
        <v>29</v>
      </c>
      <c r="C7" s="3" t="s">
        <v>30</v>
      </c>
      <c r="D7" s="3" t="s">
        <v>31</v>
      </c>
      <c r="E7" s="4">
        <v>362000</v>
      </c>
      <c r="F7" s="5">
        <v>6934.6530000000002</v>
      </c>
      <c r="G7" s="6">
        <v>3.5341160000000003E-2</v>
      </c>
      <c r="H7" s="109"/>
    </row>
    <row r="8" spans="1:14" ht="17.100000000000001" customHeight="1" x14ac:dyDescent="0.2">
      <c r="A8" s="100">
        <v>2</v>
      </c>
      <c r="B8" s="3" t="s">
        <v>402</v>
      </c>
      <c r="C8" s="3" t="s">
        <v>403</v>
      </c>
      <c r="D8" s="3" t="s">
        <v>120</v>
      </c>
      <c r="E8" s="4">
        <v>1087000</v>
      </c>
      <c r="F8" s="5">
        <v>6252.424</v>
      </c>
      <c r="G8" s="6">
        <v>3.186431E-2</v>
      </c>
      <c r="H8" s="109"/>
    </row>
    <row r="9" spans="1:14" ht="17.100000000000001" customHeight="1" x14ac:dyDescent="0.2">
      <c r="A9" s="100">
        <v>3</v>
      </c>
      <c r="B9" s="3" t="s">
        <v>461</v>
      </c>
      <c r="C9" s="3" t="s">
        <v>462</v>
      </c>
      <c r="D9" s="3" t="s">
        <v>996</v>
      </c>
      <c r="E9" s="4">
        <v>690451</v>
      </c>
      <c r="F9" s="5">
        <v>5728.3267214999996</v>
      </c>
      <c r="G9" s="6">
        <v>2.9193340000000002E-2</v>
      </c>
      <c r="H9" s="109"/>
    </row>
    <row r="10" spans="1:14" ht="17.100000000000001" customHeight="1" x14ac:dyDescent="0.2">
      <c r="A10" s="100">
        <v>4</v>
      </c>
      <c r="B10" s="3" t="s">
        <v>500</v>
      </c>
      <c r="C10" s="3" t="s">
        <v>501</v>
      </c>
      <c r="D10" s="3" t="s">
        <v>196</v>
      </c>
      <c r="E10" s="4">
        <v>475000</v>
      </c>
      <c r="F10" s="5">
        <v>5515.2250000000004</v>
      </c>
      <c r="G10" s="6">
        <v>2.810731E-2</v>
      </c>
      <c r="H10" s="109"/>
    </row>
    <row r="11" spans="1:14" ht="17.100000000000001" customHeight="1" x14ac:dyDescent="0.2">
      <c r="A11" s="100">
        <v>5</v>
      </c>
      <c r="B11" s="3" t="s">
        <v>410</v>
      </c>
      <c r="C11" s="3" t="s">
        <v>411</v>
      </c>
      <c r="D11" s="3" t="s">
        <v>235</v>
      </c>
      <c r="E11" s="4">
        <v>824354</v>
      </c>
      <c r="F11" s="5">
        <v>5347.584398</v>
      </c>
      <c r="G11" s="6">
        <v>2.725296E-2</v>
      </c>
      <c r="H11" s="109"/>
    </row>
    <row r="12" spans="1:14" ht="17.100000000000001" customHeight="1" x14ac:dyDescent="0.2">
      <c r="A12" s="100">
        <v>6</v>
      </c>
      <c r="B12" s="3" t="s">
        <v>72</v>
      </c>
      <c r="C12" s="3" t="s">
        <v>73</v>
      </c>
      <c r="D12" s="3" t="s">
        <v>31</v>
      </c>
      <c r="E12" s="4">
        <v>327000</v>
      </c>
      <c r="F12" s="5">
        <v>5314.5675000000001</v>
      </c>
      <c r="G12" s="6">
        <v>2.70847E-2</v>
      </c>
      <c r="H12" s="109"/>
    </row>
    <row r="13" spans="1:14" ht="17.100000000000001" customHeight="1" x14ac:dyDescent="0.2">
      <c r="A13" s="100">
        <v>7</v>
      </c>
      <c r="B13" s="3" t="s">
        <v>45</v>
      </c>
      <c r="C13" s="3" t="s">
        <v>46</v>
      </c>
      <c r="D13" s="3" t="s">
        <v>47</v>
      </c>
      <c r="E13" s="4">
        <v>3440000</v>
      </c>
      <c r="F13" s="5">
        <v>5005.2</v>
      </c>
      <c r="G13" s="6">
        <v>2.5508059999999999E-2</v>
      </c>
      <c r="H13" s="109"/>
      <c r="J13" s="169" t="s">
        <v>1067</v>
      </c>
    </row>
    <row r="14" spans="1:14" ht="17.100000000000001" customHeight="1" x14ac:dyDescent="0.2">
      <c r="A14" s="100">
        <v>8</v>
      </c>
      <c r="B14" s="3" t="s">
        <v>32</v>
      </c>
      <c r="C14" s="3" t="s">
        <v>33</v>
      </c>
      <c r="D14" s="3" t="s">
        <v>22</v>
      </c>
      <c r="E14" s="4">
        <v>803001</v>
      </c>
      <c r="F14" s="5">
        <v>4198.0892279999998</v>
      </c>
      <c r="G14" s="6">
        <v>2.1394779999999999E-2</v>
      </c>
      <c r="H14" s="109"/>
    </row>
    <row r="15" spans="1:14" ht="17.100000000000001" customHeight="1" x14ac:dyDescent="0.2">
      <c r="A15" s="100">
        <v>9</v>
      </c>
      <c r="B15" s="3" t="s">
        <v>408</v>
      </c>
      <c r="C15" s="3" t="s">
        <v>409</v>
      </c>
      <c r="D15" s="3" t="s">
        <v>115</v>
      </c>
      <c r="E15" s="4">
        <v>201924</v>
      </c>
      <c r="F15" s="5">
        <v>4081.3888499999998</v>
      </c>
      <c r="G15" s="6">
        <v>2.0800030000000001E-2</v>
      </c>
      <c r="H15" s="109"/>
    </row>
    <row r="16" spans="1:14" ht="17.100000000000001" customHeight="1" x14ac:dyDescent="0.2">
      <c r="A16" s="100">
        <v>10</v>
      </c>
      <c r="B16" s="3" t="s">
        <v>502</v>
      </c>
      <c r="C16" s="3" t="s">
        <v>503</v>
      </c>
      <c r="D16" s="3" t="s">
        <v>334</v>
      </c>
      <c r="E16" s="4">
        <v>90000</v>
      </c>
      <c r="F16" s="5">
        <v>4008.645</v>
      </c>
      <c r="G16" s="6">
        <v>2.0429309999999999E-2</v>
      </c>
      <c r="H16" s="109"/>
    </row>
    <row r="17" spans="1:10" ht="17.100000000000001" customHeight="1" x14ac:dyDescent="0.2">
      <c r="A17" s="100">
        <v>11</v>
      </c>
      <c r="B17" s="3" t="s">
        <v>20</v>
      </c>
      <c r="C17" s="3" t="s">
        <v>21</v>
      </c>
      <c r="D17" s="3" t="s">
        <v>22</v>
      </c>
      <c r="E17" s="4">
        <v>464000</v>
      </c>
      <c r="F17" s="5">
        <v>3966.5039999999999</v>
      </c>
      <c r="G17" s="6">
        <v>2.0214550000000001E-2</v>
      </c>
      <c r="H17" s="109"/>
    </row>
    <row r="18" spans="1:10" ht="17.100000000000001" customHeight="1" x14ac:dyDescent="0.2">
      <c r="A18" s="100">
        <v>12</v>
      </c>
      <c r="B18" s="3" t="s">
        <v>384</v>
      </c>
      <c r="C18" s="3" t="s">
        <v>385</v>
      </c>
      <c r="D18" s="3" t="s">
        <v>334</v>
      </c>
      <c r="E18" s="4">
        <v>263347</v>
      </c>
      <c r="F18" s="5">
        <v>3693.8366955000001</v>
      </c>
      <c r="G18" s="6">
        <v>1.882495E-2</v>
      </c>
      <c r="H18" s="109"/>
    </row>
    <row r="19" spans="1:10" ht="17.100000000000001" customHeight="1" x14ac:dyDescent="0.2">
      <c r="A19" s="100">
        <v>13</v>
      </c>
      <c r="B19" s="3" t="s">
        <v>439</v>
      </c>
      <c r="C19" s="3" t="s">
        <v>440</v>
      </c>
      <c r="D19" s="3" t="s">
        <v>31</v>
      </c>
      <c r="E19" s="4">
        <v>365000</v>
      </c>
      <c r="F19" s="5">
        <v>3572.9850000000001</v>
      </c>
      <c r="G19" s="6">
        <v>1.8209050000000001E-2</v>
      </c>
      <c r="H19" s="109"/>
    </row>
    <row r="20" spans="1:10" ht="17.100000000000001" customHeight="1" x14ac:dyDescent="0.2">
      <c r="A20" s="100">
        <v>14</v>
      </c>
      <c r="B20" s="3" t="s">
        <v>433</v>
      </c>
      <c r="C20" s="3" t="s">
        <v>434</v>
      </c>
      <c r="D20" s="3" t="s">
        <v>997</v>
      </c>
      <c r="E20" s="4">
        <v>372000</v>
      </c>
      <c r="F20" s="5">
        <v>3512.7959999999998</v>
      </c>
      <c r="G20" s="6">
        <v>1.7902310000000001E-2</v>
      </c>
      <c r="H20" s="109"/>
    </row>
    <row r="21" spans="1:10" ht="17.100000000000001" customHeight="1" x14ac:dyDescent="0.2">
      <c r="A21" s="100">
        <v>15</v>
      </c>
      <c r="B21" s="3" t="s">
        <v>480</v>
      </c>
      <c r="C21" s="3" t="s">
        <v>481</v>
      </c>
      <c r="D21" s="3" t="s">
        <v>31</v>
      </c>
      <c r="E21" s="4">
        <v>539799</v>
      </c>
      <c r="F21" s="5">
        <v>3458.492193</v>
      </c>
      <c r="G21" s="6">
        <v>1.7625559999999998E-2</v>
      </c>
      <c r="H21" s="109"/>
    </row>
    <row r="22" spans="1:10" ht="17.100000000000001" customHeight="1" x14ac:dyDescent="0.2">
      <c r="A22" s="100">
        <v>16</v>
      </c>
      <c r="B22" s="3" t="s">
        <v>95</v>
      </c>
      <c r="C22" s="3" t="s">
        <v>96</v>
      </c>
      <c r="D22" s="3" t="s">
        <v>97</v>
      </c>
      <c r="E22" s="4">
        <v>698780</v>
      </c>
      <c r="F22" s="5">
        <v>3407.6006699999998</v>
      </c>
      <c r="G22" s="6">
        <v>1.7366199999999998E-2</v>
      </c>
      <c r="H22" s="109"/>
      <c r="J22" s="169" t="s">
        <v>1068</v>
      </c>
    </row>
    <row r="23" spans="1:10" ht="29.1" customHeight="1" x14ac:dyDescent="0.2">
      <c r="A23" s="100">
        <v>17</v>
      </c>
      <c r="B23" s="3" t="s">
        <v>504</v>
      </c>
      <c r="C23" s="3" t="s">
        <v>505</v>
      </c>
      <c r="D23" s="3" t="s">
        <v>188</v>
      </c>
      <c r="E23" s="4">
        <v>265529</v>
      </c>
      <c r="F23" s="5">
        <v>3362.3937270000001</v>
      </c>
      <c r="G23" s="6">
        <v>1.7135810000000001E-2</v>
      </c>
      <c r="H23" s="109"/>
    </row>
    <row r="24" spans="1:10" ht="17.100000000000001" customHeight="1" x14ac:dyDescent="0.2">
      <c r="A24" s="100">
        <v>18</v>
      </c>
      <c r="B24" s="3" t="s">
        <v>63</v>
      </c>
      <c r="C24" s="3" t="s">
        <v>64</v>
      </c>
      <c r="D24" s="3" t="s">
        <v>36</v>
      </c>
      <c r="E24" s="4">
        <v>1041244</v>
      </c>
      <c r="F24" s="5">
        <v>3306.4703220000001</v>
      </c>
      <c r="G24" s="6">
        <v>1.6850810000000001E-2</v>
      </c>
      <c r="H24" s="109"/>
    </row>
    <row r="25" spans="1:10" ht="17.100000000000001" customHeight="1" x14ac:dyDescent="0.2">
      <c r="A25" s="100">
        <v>19</v>
      </c>
      <c r="B25" s="3" t="s">
        <v>338</v>
      </c>
      <c r="C25" s="3" t="s">
        <v>339</v>
      </c>
      <c r="D25" s="3" t="s">
        <v>22</v>
      </c>
      <c r="E25" s="4">
        <v>1164369</v>
      </c>
      <c r="F25" s="5">
        <v>3254.9935395000002</v>
      </c>
      <c r="G25" s="6">
        <v>1.6588470000000001E-2</v>
      </c>
      <c r="H25" s="109"/>
    </row>
    <row r="26" spans="1:10" ht="29.1" customHeight="1" x14ac:dyDescent="0.2">
      <c r="A26" s="100">
        <v>20</v>
      </c>
      <c r="B26" s="3" t="s">
        <v>506</v>
      </c>
      <c r="C26" s="3" t="s">
        <v>507</v>
      </c>
      <c r="D26" s="3" t="s">
        <v>221</v>
      </c>
      <c r="E26" s="4">
        <v>504084</v>
      </c>
      <c r="F26" s="5">
        <v>3070.6276859999998</v>
      </c>
      <c r="G26" s="6">
        <v>1.564888E-2</v>
      </c>
      <c r="H26" s="109"/>
    </row>
    <row r="27" spans="1:10" ht="29.1" customHeight="1" x14ac:dyDescent="0.2">
      <c r="A27" s="100">
        <v>21</v>
      </c>
      <c r="B27" s="3" t="s">
        <v>448</v>
      </c>
      <c r="C27" s="3" t="s">
        <v>449</v>
      </c>
      <c r="D27" s="3" t="s">
        <v>221</v>
      </c>
      <c r="E27" s="4">
        <v>157039</v>
      </c>
      <c r="F27" s="5">
        <v>3044.515093</v>
      </c>
      <c r="G27" s="6">
        <v>1.55158E-2</v>
      </c>
      <c r="H27" s="109"/>
    </row>
    <row r="28" spans="1:10" ht="17.100000000000001" customHeight="1" x14ac:dyDescent="0.2">
      <c r="A28" s="100">
        <v>22</v>
      </c>
      <c r="B28" s="3" t="s">
        <v>245</v>
      </c>
      <c r="C28" s="3" t="s">
        <v>246</v>
      </c>
      <c r="D28" s="3" t="s">
        <v>120</v>
      </c>
      <c r="E28" s="4">
        <v>496749</v>
      </c>
      <c r="F28" s="5">
        <v>2856.0583754999998</v>
      </c>
      <c r="G28" s="6">
        <v>1.455537E-2</v>
      </c>
      <c r="H28" s="109"/>
    </row>
    <row r="29" spans="1:10" ht="17.100000000000001" customHeight="1" x14ac:dyDescent="0.2">
      <c r="A29" s="100">
        <v>23</v>
      </c>
      <c r="B29" s="3" t="s">
        <v>508</v>
      </c>
      <c r="C29" s="3" t="s">
        <v>509</v>
      </c>
      <c r="D29" s="3" t="s">
        <v>334</v>
      </c>
      <c r="E29" s="4">
        <v>415235</v>
      </c>
      <c r="F29" s="5">
        <v>2717.5054574999999</v>
      </c>
      <c r="G29" s="6">
        <v>1.384926E-2</v>
      </c>
      <c r="H29" s="109"/>
    </row>
    <row r="30" spans="1:10" ht="17.100000000000001" customHeight="1" x14ac:dyDescent="0.2">
      <c r="A30" s="100">
        <v>24</v>
      </c>
      <c r="B30" s="3" t="s">
        <v>510</v>
      </c>
      <c r="C30" s="3" t="s">
        <v>511</v>
      </c>
      <c r="D30" s="3" t="s">
        <v>334</v>
      </c>
      <c r="E30" s="4">
        <v>120000</v>
      </c>
      <c r="F30" s="5">
        <v>2712.06</v>
      </c>
      <c r="G30" s="6">
        <v>1.382151E-2</v>
      </c>
      <c r="H30" s="109"/>
    </row>
    <row r="31" spans="1:10" ht="29.1" customHeight="1" x14ac:dyDescent="0.2">
      <c r="A31" s="100">
        <v>25</v>
      </c>
      <c r="B31" s="3" t="s">
        <v>186</v>
      </c>
      <c r="C31" s="3" t="s">
        <v>187</v>
      </c>
      <c r="D31" s="3" t="s">
        <v>188</v>
      </c>
      <c r="E31" s="4">
        <v>65000</v>
      </c>
      <c r="F31" s="5">
        <v>2683.2649999999999</v>
      </c>
      <c r="G31" s="6">
        <v>1.3674759999999999E-2</v>
      </c>
      <c r="H31" s="109"/>
    </row>
    <row r="32" spans="1:10" ht="17.100000000000001" customHeight="1" x14ac:dyDescent="0.2">
      <c r="A32" s="100">
        <v>26</v>
      </c>
      <c r="B32" s="3" t="s">
        <v>113</v>
      </c>
      <c r="C32" s="3" t="s">
        <v>114</v>
      </c>
      <c r="D32" s="3" t="s">
        <v>115</v>
      </c>
      <c r="E32" s="4">
        <v>950000</v>
      </c>
      <c r="F32" s="5">
        <v>2664.2750000000001</v>
      </c>
      <c r="G32" s="6">
        <v>1.357798E-2</v>
      </c>
      <c r="H32" s="109"/>
    </row>
    <row r="33" spans="1:8" ht="17.100000000000001" customHeight="1" x14ac:dyDescent="0.2">
      <c r="A33" s="100">
        <v>27</v>
      </c>
      <c r="B33" s="3" t="s">
        <v>305</v>
      </c>
      <c r="C33" s="3" t="s">
        <v>306</v>
      </c>
      <c r="D33" s="3" t="s">
        <v>242</v>
      </c>
      <c r="E33" s="4">
        <v>174945</v>
      </c>
      <c r="F33" s="5">
        <v>2656.0149900000001</v>
      </c>
      <c r="G33" s="6">
        <v>1.353588E-2</v>
      </c>
      <c r="H33" s="109"/>
    </row>
    <row r="34" spans="1:8" ht="29.1" customHeight="1" x14ac:dyDescent="0.2">
      <c r="A34" s="100">
        <v>28</v>
      </c>
      <c r="B34" s="3" t="s">
        <v>512</v>
      </c>
      <c r="C34" s="3" t="s">
        <v>513</v>
      </c>
      <c r="D34" s="3" t="s">
        <v>221</v>
      </c>
      <c r="E34" s="4">
        <v>550000</v>
      </c>
      <c r="F34" s="5">
        <v>2639.7249999999999</v>
      </c>
      <c r="G34" s="6">
        <v>1.3452860000000001E-2</v>
      </c>
      <c r="H34" s="109"/>
    </row>
    <row r="35" spans="1:8" ht="17.100000000000001" customHeight="1" x14ac:dyDescent="0.2">
      <c r="A35" s="100">
        <v>29</v>
      </c>
      <c r="B35" s="3" t="s">
        <v>102</v>
      </c>
      <c r="C35" s="3" t="s">
        <v>103</v>
      </c>
      <c r="D35" s="3" t="s">
        <v>47</v>
      </c>
      <c r="E35" s="4">
        <v>208000</v>
      </c>
      <c r="F35" s="5">
        <v>2587.4160000000002</v>
      </c>
      <c r="G35" s="6">
        <v>1.318628E-2</v>
      </c>
      <c r="H35" s="109"/>
    </row>
    <row r="36" spans="1:8" ht="17.100000000000001" customHeight="1" x14ac:dyDescent="0.2">
      <c r="A36" s="100">
        <v>30</v>
      </c>
      <c r="B36" s="3" t="s">
        <v>262</v>
      </c>
      <c r="C36" s="3" t="s">
        <v>263</v>
      </c>
      <c r="D36" s="3" t="s">
        <v>115</v>
      </c>
      <c r="E36" s="4">
        <v>314377</v>
      </c>
      <c r="F36" s="5">
        <v>2580.8779814999998</v>
      </c>
      <c r="G36" s="6">
        <v>1.315296E-2</v>
      </c>
      <c r="H36" s="109"/>
    </row>
    <row r="37" spans="1:8" ht="17.100000000000001" customHeight="1" x14ac:dyDescent="0.2">
      <c r="A37" s="100">
        <v>31</v>
      </c>
      <c r="B37" s="3" t="s">
        <v>514</v>
      </c>
      <c r="C37" s="3" t="s">
        <v>1000</v>
      </c>
      <c r="D37" s="3" t="s">
        <v>71</v>
      </c>
      <c r="E37" s="4">
        <v>1138715</v>
      </c>
      <c r="F37" s="5">
        <v>2503.4649275000002</v>
      </c>
      <c r="G37" s="6">
        <v>1.2758439999999999E-2</v>
      </c>
      <c r="H37" s="109"/>
    </row>
    <row r="38" spans="1:8" ht="17.100000000000001" customHeight="1" x14ac:dyDescent="0.2">
      <c r="A38" s="100">
        <v>32</v>
      </c>
      <c r="B38" s="3" t="s">
        <v>515</v>
      </c>
      <c r="C38" s="3" t="s">
        <v>516</v>
      </c>
      <c r="D38" s="3" t="s">
        <v>115</v>
      </c>
      <c r="E38" s="4">
        <v>884000</v>
      </c>
      <c r="F38" s="5">
        <v>2416.8560000000002</v>
      </c>
      <c r="G38" s="6">
        <v>1.231705E-2</v>
      </c>
      <c r="H38" s="109"/>
    </row>
    <row r="39" spans="1:8" ht="17.100000000000001" customHeight="1" x14ac:dyDescent="0.2">
      <c r="A39" s="100">
        <v>33</v>
      </c>
      <c r="B39" s="3" t="s">
        <v>517</v>
      </c>
      <c r="C39" s="3" t="s">
        <v>518</v>
      </c>
      <c r="D39" s="3" t="s">
        <v>996</v>
      </c>
      <c r="E39" s="4">
        <v>206000</v>
      </c>
      <c r="F39" s="5">
        <v>2363.0259999999998</v>
      </c>
      <c r="G39" s="6">
        <v>1.204272E-2</v>
      </c>
      <c r="H39" s="109"/>
    </row>
    <row r="40" spans="1:8" ht="17.100000000000001" customHeight="1" x14ac:dyDescent="0.2">
      <c r="A40" s="100">
        <v>34</v>
      </c>
      <c r="B40" s="3" t="s">
        <v>420</v>
      </c>
      <c r="C40" s="3" t="s">
        <v>421</v>
      </c>
      <c r="D40" s="3" t="s">
        <v>22</v>
      </c>
      <c r="E40" s="4">
        <v>1016082</v>
      </c>
      <c r="F40" s="5">
        <v>2327.3358210000001</v>
      </c>
      <c r="G40" s="6">
        <v>1.1860829999999999E-2</v>
      </c>
      <c r="H40" s="109"/>
    </row>
    <row r="41" spans="1:8" ht="29.1" customHeight="1" x14ac:dyDescent="0.2">
      <c r="A41" s="100">
        <v>35</v>
      </c>
      <c r="B41" s="3" t="s">
        <v>486</v>
      </c>
      <c r="C41" s="3" t="s">
        <v>487</v>
      </c>
      <c r="D41" s="3" t="s">
        <v>25</v>
      </c>
      <c r="E41" s="4">
        <v>252888</v>
      </c>
      <c r="F41" s="5">
        <v>2201.2635959999998</v>
      </c>
      <c r="G41" s="6">
        <v>1.121833E-2</v>
      </c>
      <c r="H41" s="109"/>
    </row>
    <row r="42" spans="1:8" ht="17.100000000000001" customHeight="1" x14ac:dyDescent="0.2">
      <c r="A42" s="100">
        <v>36</v>
      </c>
      <c r="B42" s="3" t="s">
        <v>192</v>
      </c>
      <c r="C42" s="3" t="s">
        <v>193</v>
      </c>
      <c r="D42" s="3" t="s">
        <v>80</v>
      </c>
      <c r="E42" s="4">
        <v>78756</v>
      </c>
      <c r="F42" s="5">
        <v>2182.9588079999999</v>
      </c>
      <c r="G42" s="6">
        <v>1.1125039999999999E-2</v>
      </c>
      <c r="H42" s="109"/>
    </row>
    <row r="43" spans="1:8" ht="17.100000000000001" customHeight="1" x14ac:dyDescent="0.2">
      <c r="A43" s="100">
        <v>37</v>
      </c>
      <c r="B43" s="3" t="s">
        <v>197</v>
      </c>
      <c r="C43" s="3" t="s">
        <v>198</v>
      </c>
      <c r="D43" s="3" t="s">
        <v>22</v>
      </c>
      <c r="E43" s="4">
        <v>258000</v>
      </c>
      <c r="F43" s="5">
        <v>2177.7779999999998</v>
      </c>
      <c r="G43" s="6">
        <v>1.109864E-2</v>
      </c>
      <c r="H43" s="109"/>
    </row>
    <row r="44" spans="1:8" ht="17.100000000000001" customHeight="1" x14ac:dyDescent="0.2">
      <c r="A44" s="100">
        <v>38</v>
      </c>
      <c r="B44" s="3" t="s">
        <v>519</v>
      </c>
      <c r="C44" s="3" t="s">
        <v>520</v>
      </c>
      <c r="D44" s="3" t="s">
        <v>115</v>
      </c>
      <c r="E44" s="4">
        <v>33002</v>
      </c>
      <c r="F44" s="5">
        <v>2149.453262</v>
      </c>
      <c r="G44" s="6">
        <v>1.095429E-2</v>
      </c>
      <c r="H44" s="109"/>
    </row>
    <row r="45" spans="1:8" ht="29.1" customHeight="1" x14ac:dyDescent="0.2">
      <c r="A45" s="100">
        <v>39</v>
      </c>
      <c r="B45" s="3" t="s">
        <v>87</v>
      </c>
      <c r="C45" s="3" t="s">
        <v>88</v>
      </c>
      <c r="D45" s="3" t="s">
        <v>25</v>
      </c>
      <c r="E45" s="4">
        <v>74011</v>
      </c>
      <c r="F45" s="5">
        <v>2046.1081059999999</v>
      </c>
      <c r="G45" s="6">
        <v>1.042761E-2</v>
      </c>
      <c r="H45" s="109"/>
    </row>
    <row r="46" spans="1:8" ht="17.100000000000001" customHeight="1" x14ac:dyDescent="0.2">
      <c r="A46" s="100">
        <v>40</v>
      </c>
      <c r="B46" s="3" t="s">
        <v>373</v>
      </c>
      <c r="C46" s="3" t="s">
        <v>374</v>
      </c>
      <c r="D46" s="3" t="s">
        <v>997</v>
      </c>
      <c r="E46" s="4">
        <v>199000</v>
      </c>
      <c r="F46" s="5">
        <v>2038.0585000000001</v>
      </c>
      <c r="G46" s="6">
        <v>1.0386579999999999E-2</v>
      </c>
      <c r="H46" s="109"/>
    </row>
    <row r="47" spans="1:8" ht="29.1" customHeight="1" x14ac:dyDescent="0.2">
      <c r="A47" s="100">
        <v>41</v>
      </c>
      <c r="B47" s="3" t="s">
        <v>295</v>
      </c>
      <c r="C47" s="3" t="s">
        <v>296</v>
      </c>
      <c r="D47" s="3" t="s">
        <v>120</v>
      </c>
      <c r="E47" s="4">
        <v>78090</v>
      </c>
      <c r="F47" s="5">
        <v>2037.719505</v>
      </c>
      <c r="G47" s="6">
        <v>1.0384859999999999E-2</v>
      </c>
      <c r="H47" s="109"/>
    </row>
    <row r="48" spans="1:8" ht="17.100000000000001" customHeight="1" x14ac:dyDescent="0.2">
      <c r="A48" s="100">
        <v>42</v>
      </c>
      <c r="B48" s="3" t="s">
        <v>521</v>
      </c>
      <c r="C48" s="3" t="s">
        <v>896</v>
      </c>
      <c r="D48" s="3" t="s">
        <v>120</v>
      </c>
      <c r="E48" s="4">
        <v>757823</v>
      </c>
      <c r="F48" s="5">
        <v>2006.7153040000001</v>
      </c>
      <c r="G48" s="6">
        <v>1.0226849999999999E-2</v>
      </c>
      <c r="H48" s="109"/>
    </row>
    <row r="49" spans="1:8" ht="17.100000000000001" customHeight="1" x14ac:dyDescent="0.2">
      <c r="A49" s="100">
        <v>43</v>
      </c>
      <c r="B49" s="3" t="s">
        <v>104</v>
      </c>
      <c r="C49" s="3" t="s">
        <v>105</v>
      </c>
      <c r="D49" s="3" t="s">
        <v>80</v>
      </c>
      <c r="E49" s="4">
        <v>440335</v>
      </c>
      <c r="F49" s="5">
        <v>1973.1411350000001</v>
      </c>
      <c r="G49" s="6">
        <v>1.0055740000000001E-2</v>
      </c>
      <c r="H49" s="109"/>
    </row>
    <row r="50" spans="1:8" ht="17.100000000000001" customHeight="1" x14ac:dyDescent="0.2">
      <c r="A50" s="100">
        <v>44</v>
      </c>
      <c r="B50" s="3" t="s">
        <v>342</v>
      </c>
      <c r="C50" s="3" t="s">
        <v>343</v>
      </c>
      <c r="D50" s="3" t="s">
        <v>31</v>
      </c>
      <c r="E50" s="4">
        <v>205000</v>
      </c>
      <c r="F50" s="5">
        <v>1959.1849999999999</v>
      </c>
      <c r="G50" s="6">
        <v>9.9846199999999996E-3</v>
      </c>
      <c r="H50" s="109"/>
    </row>
    <row r="51" spans="1:8" ht="29.1" customHeight="1" x14ac:dyDescent="0.2">
      <c r="A51" s="100">
        <v>45</v>
      </c>
      <c r="B51" s="3" t="s">
        <v>422</v>
      </c>
      <c r="C51" s="3" t="s">
        <v>423</v>
      </c>
      <c r="D51" s="3" t="s">
        <v>221</v>
      </c>
      <c r="E51" s="4">
        <v>40215</v>
      </c>
      <c r="F51" s="5">
        <v>1880.85555</v>
      </c>
      <c r="G51" s="6">
        <v>9.5854300000000007E-3</v>
      </c>
      <c r="H51" s="109"/>
    </row>
    <row r="52" spans="1:8" ht="17.100000000000001" customHeight="1" x14ac:dyDescent="0.2">
      <c r="A52" s="100">
        <v>46</v>
      </c>
      <c r="B52" s="3" t="s">
        <v>522</v>
      </c>
      <c r="C52" s="3" t="s">
        <v>523</v>
      </c>
      <c r="D52" s="3" t="s">
        <v>115</v>
      </c>
      <c r="E52" s="4">
        <v>143771</v>
      </c>
      <c r="F52" s="5">
        <v>1863.9910150000001</v>
      </c>
      <c r="G52" s="6">
        <v>9.4994799999999994E-3</v>
      </c>
      <c r="H52" s="109"/>
    </row>
    <row r="53" spans="1:8" ht="17.100000000000001" customHeight="1" x14ac:dyDescent="0.2">
      <c r="A53" s="100">
        <v>47</v>
      </c>
      <c r="B53" s="3" t="s">
        <v>524</v>
      </c>
      <c r="C53" s="3" t="s">
        <v>525</v>
      </c>
      <c r="D53" s="3" t="s">
        <v>210</v>
      </c>
      <c r="E53" s="4">
        <v>94501</v>
      </c>
      <c r="F53" s="5">
        <v>1819.4750035</v>
      </c>
      <c r="G53" s="6">
        <v>9.2726100000000006E-3</v>
      </c>
      <c r="H53" s="109"/>
    </row>
    <row r="54" spans="1:8" ht="17.100000000000001" customHeight="1" x14ac:dyDescent="0.2">
      <c r="A54" s="100">
        <v>48</v>
      </c>
      <c r="B54" s="3" t="s">
        <v>526</v>
      </c>
      <c r="C54" s="3" t="s">
        <v>527</v>
      </c>
      <c r="D54" s="3" t="s">
        <v>334</v>
      </c>
      <c r="E54" s="4">
        <v>209888</v>
      </c>
      <c r="F54" s="5">
        <v>1767.2569599999999</v>
      </c>
      <c r="G54" s="6">
        <v>9.0064900000000007E-3</v>
      </c>
      <c r="H54" s="109"/>
    </row>
    <row r="55" spans="1:8" ht="17.100000000000001" customHeight="1" x14ac:dyDescent="0.2">
      <c r="A55" s="100">
        <v>49</v>
      </c>
      <c r="B55" s="3" t="s">
        <v>233</v>
      </c>
      <c r="C55" s="3" t="s">
        <v>234</v>
      </c>
      <c r="D55" s="3" t="s">
        <v>235</v>
      </c>
      <c r="E55" s="4">
        <v>400000</v>
      </c>
      <c r="F55" s="5">
        <v>1763.4</v>
      </c>
      <c r="G55" s="6">
        <v>8.9868399999999994E-3</v>
      </c>
      <c r="H55" s="109"/>
    </row>
    <row r="56" spans="1:8" ht="17.100000000000001" customHeight="1" x14ac:dyDescent="0.2">
      <c r="A56" s="100">
        <v>50</v>
      </c>
      <c r="B56" s="3" t="s">
        <v>264</v>
      </c>
      <c r="C56" s="3" t="s">
        <v>265</v>
      </c>
      <c r="D56" s="3" t="s">
        <v>996</v>
      </c>
      <c r="E56" s="4">
        <v>37200</v>
      </c>
      <c r="F56" s="5">
        <v>1756.6025999999999</v>
      </c>
      <c r="G56" s="6">
        <v>8.9522000000000004E-3</v>
      </c>
      <c r="H56" s="109"/>
    </row>
    <row r="57" spans="1:8" ht="17.100000000000001" customHeight="1" x14ac:dyDescent="0.2">
      <c r="A57" s="100">
        <v>51</v>
      </c>
      <c r="B57" s="3" t="s">
        <v>346</v>
      </c>
      <c r="C57" s="3" t="s">
        <v>347</v>
      </c>
      <c r="D57" s="3" t="s">
        <v>120</v>
      </c>
      <c r="E57" s="4">
        <v>28000</v>
      </c>
      <c r="F57" s="5">
        <v>1711.3879999999999</v>
      </c>
      <c r="G57" s="6">
        <v>8.7217700000000002E-3</v>
      </c>
      <c r="H57" s="109"/>
    </row>
    <row r="58" spans="1:8" ht="17.100000000000001" customHeight="1" x14ac:dyDescent="0.2">
      <c r="A58" s="100">
        <v>52</v>
      </c>
      <c r="B58" s="3" t="s">
        <v>528</v>
      </c>
      <c r="C58" s="3" t="s">
        <v>529</v>
      </c>
      <c r="D58" s="3" t="s">
        <v>71</v>
      </c>
      <c r="E58" s="4">
        <v>137975</v>
      </c>
      <c r="F58" s="5">
        <v>1667.6348375</v>
      </c>
      <c r="G58" s="6">
        <v>8.4987900000000009E-3</v>
      </c>
      <c r="H58" s="109"/>
    </row>
    <row r="59" spans="1:8" ht="17.100000000000001" customHeight="1" x14ac:dyDescent="0.2">
      <c r="A59" s="100">
        <v>53</v>
      </c>
      <c r="B59" s="3" t="s">
        <v>48</v>
      </c>
      <c r="C59" s="3" t="s">
        <v>49</v>
      </c>
      <c r="D59" s="3" t="s">
        <v>13</v>
      </c>
      <c r="E59" s="4">
        <v>607033</v>
      </c>
      <c r="F59" s="5">
        <v>1661.4493210000001</v>
      </c>
      <c r="G59" s="6">
        <v>8.4672700000000007E-3</v>
      </c>
      <c r="H59" s="109"/>
    </row>
    <row r="60" spans="1:8" ht="17.100000000000001" customHeight="1" x14ac:dyDescent="0.2">
      <c r="A60" s="100">
        <v>54</v>
      </c>
      <c r="B60" s="3" t="s">
        <v>65</v>
      </c>
      <c r="C60" s="3" t="s">
        <v>66</v>
      </c>
      <c r="D60" s="3" t="s">
        <v>13</v>
      </c>
      <c r="E60" s="4">
        <v>634000</v>
      </c>
      <c r="F60" s="5">
        <v>1623.357</v>
      </c>
      <c r="G60" s="6">
        <v>8.27314E-3</v>
      </c>
      <c r="H60" s="109"/>
    </row>
    <row r="61" spans="1:8" ht="29.1" customHeight="1" x14ac:dyDescent="0.2">
      <c r="A61" s="100">
        <v>55</v>
      </c>
      <c r="B61" s="3" t="s">
        <v>530</v>
      </c>
      <c r="C61" s="3" t="s">
        <v>531</v>
      </c>
      <c r="D61" s="3" t="s">
        <v>445</v>
      </c>
      <c r="E61" s="4">
        <v>450000</v>
      </c>
      <c r="F61" s="5">
        <v>1606.7249999999999</v>
      </c>
      <c r="G61" s="6">
        <v>8.1883700000000004E-3</v>
      </c>
      <c r="H61" s="109"/>
    </row>
    <row r="62" spans="1:8" ht="17.100000000000001" customHeight="1" x14ac:dyDescent="0.2">
      <c r="A62" s="100">
        <v>56</v>
      </c>
      <c r="B62" s="3" t="s">
        <v>532</v>
      </c>
      <c r="C62" s="3" t="s">
        <v>533</v>
      </c>
      <c r="D62" s="3" t="s">
        <v>334</v>
      </c>
      <c r="E62" s="4">
        <v>160942</v>
      </c>
      <c r="F62" s="5">
        <v>1592.360148</v>
      </c>
      <c r="G62" s="6">
        <v>8.1151699999999997E-3</v>
      </c>
      <c r="H62" s="109"/>
    </row>
    <row r="63" spans="1:8" ht="17.100000000000001" customHeight="1" x14ac:dyDescent="0.2">
      <c r="A63" s="100">
        <v>57</v>
      </c>
      <c r="B63" s="3" t="s">
        <v>416</v>
      </c>
      <c r="C63" s="3" t="s">
        <v>417</v>
      </c>
      <c r="D63" s="3" t="s">
        <v>115</v>
      </c>
      <c r="E63" s="4">
        <v>312601</v>
      </c>
      <c r="F63" s="5">
        <v>1580.6669565</v>
      </c>
      <c r="G63" s="6">
        <v>8.0555699999999997E-3</v>
      </c>
      <c r="H63" s="109"/>
    </row>
    <row r="64" spans="1:8" ht="17.100000000000001" customHeight="1" x14ac:dyDescent="0.2">
      <c r="A64" s="100">
        <v>58</v>
      </c>
      <c r="B64" s="3" t="s">
        <v>352</v>
      </c>
      <c r="C64" s="3" t="s">
        <v>353</v>
      </c>
      <c r="D64" s="3" t="s">
        <v>57</v>
      </c>
      <c r="E64" s="4">
        <v>98055</v>
      </c>
      <c r="F64" s="5">
        <v>1548.8767800000001</v>
      </c>
      <c r="G64" s="6">
        <v>7.8935600000000009E-3</v>
      </c>
      <c r="H64" s="109"/>
    </row>
    <row r="65" spans="1:8" ht="17.100000000000001" customHeight="1" x14ac:dyDescent="0.2">
      <c r="A65" s="100">
        <v>59</v>
      </c>
      <c r="B65" s="3" t="s">
        <v>454</v>
      </c>
      <c r="C65" s="3" t="s">
        <v>455</v>
      </c>
      <c r="D65" s="3" t="s">
        <v>31</v>
      </c>
      <c r="E65" s="4">
        <v>174450</v>
      </c>
      <c r="F65" s="5">
        <v>1459.7103750000001</v>
      </c>
      <c r="G65" s="6">
        <v>7.4391400000000003E-3</v>
      </c>
      <c r="H65" s="109"/>
    </row>
    <row r="66" spans="1:8" ht="29.1" customHeight="1" x14ac:dyDescent="0.2">
      <c r="A66" s="100">
        <v>60</v>
      </c>
      <c r="B66" s="3" t="s">
        <v>406</v>
      </c>
      <c r="C66" s="3" t="s">
        <v>407</v>
      </c>
      <c r="D66" s="3" t="s">
        <v>52</v>
      </c>
      <c r="E66" s="4">
        <v>86000</v>
      </c>
      <c r="F66" s="5">
        <v>1459.2909999999999</v>
      </c>
      <c r="G66" s="6">
        <v>7.437E-3</v>
      </c>
      <c r="H66" s="109"/>
    </row>
    <row r="67" spans="1:8" ht="17.100000000000001" customHeight="1" x14ac:dyDescent="0.2">
      <c r="A67" s="100">
        <v>61</v>
      </c>
      <c r="B67" s="3" t="s">
        <v>290</v>
      </c>
      <c r="C67" s="3" t="s">
        <v>291</v>
      </c>
      <c r="D67" s="3" t="s">
        <v>115</v>
      </c>
      <c r="E67" s="4">
        <v>50000</v>
      </c>
      <c r="F67" s="5">
        <v>1445.325</v>
      </c>
      <c r="G67" s="6">
        <v>7.3658300000000003E-3</v>
      </c>
      <c r="H67" s="109"/>
    </row>
    <row r="68" spans="1:8" ht="17.100000000000001" customHeight="1" x14ac:dyDescent="0.2">
      <c r="A68" s="100">
        <v>62</v>
      </c>
      <c r="B68" s="3" t="s">
        <v>123</v>
      </c>
      <c r="C68" s="3" t="s">
        <v>124</v>
      </c>
      <c r="D68" s="3" t="s">
        <v>115</v>
      </c>
      <c r="E68" s="4">
        <v>75170</v>
      </c>
      <c r="F68" s="5">
        <v>1417.5182749999999</v>
      </c>
      <c r="G68" s="6">
        <v>7.2241199999999997E-3</v>
      </c>
      <c r="H68" s="109"/>
    </row>
    <row r="69" spans="1:8" ht="17.100000000000001" customHeight="1" x14ac:dyDescent="0.2">
      <c r="A69" s="100">
        <v>63</v>
      </c>
      <c r="B69" s="3" t="s">
        <v>534</v>
      </c>
      <c r="C69" s="3" t="s">
        <v>535</v>
      </c>
      <c r="D69" s="3" t="s">
        <v>80</v>
      </c>
      <c r="E69" s="4">
        <v>491636</v>
      </c>
      <c r="F69" s="5">
        <v>1381.251342</v>
      </c>
      <c r="G69" s="6">
        <v>7.0392900000000001E-3</v>
      </c>
      <c r="H69" s="109"/>
    </row>
    <row r="70" spans="1:8" ht="17.100000000000001" customHeight="1" x14ac:dyDescent="0.2">
      <c r="A70" s="100">
        <v>64</v>
      </c>
      <c r="B70" s="3" t="s">
        <v>536</v>
      </c>
      <c r="C70" s="3" t="s">
        <v>537</v>
      </c>
      <c r="D70" s="3" t="s">
        <v>996</v>
      </c>
      <c r="E70" s="4">
        <v>498569</v>
      </c>
      <c r="F70" s="5">
        <v>1372.3111725000001</v>
      </c>
      <c r="G70" s="6">
        <v>6.9937300000000001E-3</v>
      </c>
      <c r="H70" s="109"/>
    </row>
    <row r="71" spans="1:8" ht="17.100000000000001" customHeight="1" x14ac:dyDescent="0.2">
      <c r="A71" s="100">
        <v>65</v>
      </c>
      <c r="B71" s="3" t="s">
        <v>538</v>
      </c>
      <c r="C71" s="3" t="s">
        <v>539</v>
      </c>
      <c r="D71" s="3" t="s">
        <v>115</v>
      </c>
      <c r="E71" s="4">
        <v>192900</v>
      </c>
      <c r="F71" s="5">
        <v>1230.702</v>
      </c>
      <c r="G71" s="6">
        <v>6.2720400000000004E-3</v>
      </c>
      <c r="H71" s="109"/>
    </row>
    <row r="72" spans="1:8" ht="17.100000000000001" customHeight="1" x14ac:dyDescent="0.2">
      <c r="A72" s="100">
        <v>66</v>
      </c>
      <c r="B72" s="3" t="s">
        <v>288</v>
      </c>
      <c r="C72" s="3" t="s">
        <v>289</v>
      </c>
      <c r="D72" s="3" t="s">
        <v>228</v>
      </c>
      <c r="E72" s="4">
        <v>200000</v>
      </c>
      <c r="F72" s="5">
        <v>1151.0999999999999</v>
      </c>
      <c r="G72" s="6">
        <v>5.8663700000000001E-3</v>
      </c>
      <c r="H72" s="109"/>
    </row>
    <row r="73" spans="1:8" ht="17.100000000000001" customHeight="1" x14ac:dyDescent="0.2">
      <c r="A73" s="100">
        <v>67</v>
      </c>
      <c r="B73" s="3" t="s">
        <v>540</v>
      </c>
      <c r="C73" s="3" t="s">
        <v>541</v>
      </c>
      <c r="D73" s="3" t="s">
        <v>203</v>
      </c>
      <c r="E73" s="4">
        <v>120000</v>
      </c>
      <c r="F73" s="5">
        <v>1100.4000000000001</v>
      </c>
      <c r="G73" s="6">
        <v>5.6079800000000003E-3</v>
      </c>
      <c r="H73" s="109"/>
    </row>
    <row r="74" spans="1:8" ht="17.100000000000001" customHeight="1" x14ac:dyDescent="0.2">
      <c r="A74" s="100">
        <v>68</v>
      </c>
      <c r="B74" s="3" t="s">
        <v>184</v>
      </c>
      <c r="C74" s="3" t="s">
        <v>185</v>
      </c>
      <c r="D74" s="3" t="s">
        <v>996</v>
      </c>
      <c r="E74" s="4">
        <v>22000</v>
      </c>
      <c r="F74" s="5">
        <v>1054.482</v>
      </c>
      <c r="G74" s="6">
        <v>5.3739699999999996E-3</v>
      </c>
      <c r="H74" s="109"/>
    </row>
    <row r="75" spans="1:8" ht="17.100000000000001" customHeight="1" x14ac:dyDescent="0.2">
      <c r="A75" s="100">
        <v>69</v>
      </c>
      <c r="B75" s="3" t="s">
        <v>542</v>
      </c>
      <c r="C75" s="3" t="s">
        <v>543</v>
      </c>
      <c r="D75" s="3" t="s">
        <v>203</v>
      </c>
      <c r="E75" s="4">
        <v>43906</v>
      </c>
      <c r="F75" s="5">
        <v>528.49652200000003</v>
      </c>
      <c r="G75" s="6">
        <v>2.69338E-3</v>
      </c>
      <c r="H75" s="109"/>
    </row>
    <row r="76" spans="1:8" ht="17.100000000000001" customHeight="1" x14ac:dyDescent="0.2">
      <c r="A76" s="100">
        <v>70</v>
      </c>
      <c r="B76" s="3" t="s">
        <v>130</v>
      </c>
      <c r="C76" s="3" t="s">
        <v>131</v>
      </c>
      <c r="D76" s="3" t="s">
        <v>120</v>
      </c>
      <c r="E76" s="4">
        <v>208000</v>
      </c>
      <c r="F76" s="5">
        <v>470.72480000000002</v>
      </c>
      <c r="G76" s="6">
        <v>2.3989599999999999E-3</v>
      </c>
      <c r="H76" s="109"/>
    </row>
    <row r="77" spans="1:8" ht="17.100000000000001" customHeight="1" x14ac:dyDescent="0.2">
      <c r="A77" s="100">
        <v>71</v>
      </c>
      <c r="B77" s="3" t="s">
        <v>270</v>
      </c>
      <c r="C77" s="3" t="s">
        <v>901</v>
      </c>
      <c r="D77" s="3" t="s">
        <v>235</v>
      </c>
      <c r="E77" s="4">
        <v>102200</v>
      </c>
      <c r="F77" s="5">
        <v>374.76740000000001</v>
      </c>
      <c r="G77" s="6">
        <v>1.90993E-3</v>
      </c>
      <c r="H77" s="109"/>
    </row>
    <row r="78" spans="1:8" ht="14.1" customHeight="1" x14ac:dyDescent="0.2">
      <c r="A78" s="99"/>
      <c r="B78" s="1"/>
      <c r="C78" s="2" t="s">
        <v>135</v>
      </c>
      <c r="D78" s="1"/>
      <c r="E78" s="1" t="s">
        <v>136</v>
      </c>
      <c r="F78" s="8">
        <v>182807.69945049999</v>
      </c>
      <c r="G78" s="9">
        <v>0.93164524000000026</v>
      </c>
      <c r="H78" s="109"/>
    </row>
    <row r="79" spans="1:8" ht="14.1" customHeight="1" x14ac:dyDescent="0.2">
      <c r="A79" s="99"/>
      <c r="B79" s="1"/>
      <c r="C79" s="10"/>
      <c r="D79" s="1"/>
      <c r="E79" s="1"/>
      <c r="F79" s="11"/>
      <c r="G79" s="11"/>
      <c r="H79" s="109"/>
    </row>
    <row r="80" spans="1:8" ht="14.1" customHeight="1" x14ac:dyDescent="0.2">
      <c r="A80" s="99"/>
      <c r="B80" s="1"/>
      <c r="C80" s="2" t="s">
        <v>137</v>
      </c>
      <c r="D80" s="1"/>
      <c r="E80" s="1"/>
      <c r="F80" s="1"/>
      <c r="G80" s="1"/>
      <c r="H80" s="109"/>
    </row>
    <row r="81" spans="1:8" ht="14.1" customHeight="1" x14ac:dyDescent="0.2">
      <c r="A81" s="99"/>
      <c r="B81" s="1"/>
      <c r="C81" s="2" t="s">
        <v>135</v>
      </c>
      <c r="D81" s="1"/>
      <c r="E81" s="1" t="s">
        <v>136</v>
      </c>
      <c r="F81" s="115">
        <v>0</v>
      </c>
      <c r="G81" s="9">
        <v>0</v>
      </c>
      <c r="H81" s="109"/>
    </row>
    <row r="82" spans="1:8" ht="14.1" customHeight="1" x14ac:dyDescent="0.2">
      <c r="A82" s="99"/>
      <c r="B82" s="1"/>
      <c r="C82" s="10"/>
      <c r="D82" s="1"/>
      <c r="E82" s="1"/>
      <c r="F82" s="11"/>
      <c r="G82" s="11"/>
      <c r="H82" s="109"/>
    </row>
    <row r="83" spans="1:8" ht="14.1" customHeight="1" x14ac:dyDescent="0.2">
      <c r="A83" s="99"/>
      <c r="B83" s="1"/>
      <c r="C83" s="2" t="s">
        <v>138</v>
      </c>
      <c r="D83" s="1"/>
      <c r="E83" s="1"/>
      <c r="F83" s="1"/>
      <c r="G83" s="1"/>
      <c r="H83" s="109"/>
    </row>
    <row r="84" spans="1:8" ht="17.100000000000001" customHeight="1" x14ac:dyDescent="0.2">
      <c r="A84" s="100">
        <v>1</v>
      </c>
      <c r="B84" s="3" t="s">
        <v>132</v>
      </c>
      <c r="C84" s="3" t="s">
        <v>914</v>
      </c>
      <c r="D84" s="3" t="s">
        <v>133</v>
      </c>
      <c r="E84" s="4">
        <v>375961</v>
      </c>
      <c r="F84" s="5">
        <v>7.5190000000000003E-6</v>
      </c>
      <c r="G84" s="7" t="s">
        <v>134</v>
      </c>
      <c r="H84" s="109"/>
    </row>
    <row r="85" spans="1:8" ht="14.1" customHeight="1" x14ac:dyDescent="0.2">
      <c r="A85" s="99"/>
      <c r="B85" s="1"/>
      <c r="C85" s="2" t="s">
        <v>135</v>
      </c>
      <c r="D85" s="1"/>
      <c r="E85" s="1" t="s">
        <v>136</v>
      </c>
      <c r="F85" s="8">
        <v>7.5190000000000003E-6</v>
      </c>
      <c r="G85" s="9">
        <v>0</v>
      </c>
      <c r="H85" s="109"/>
    </row>
    <row r="86" spans="1:8" ht="14.1" customHeight="1" x14ac:dyDescent="0.2">
      <c r="A86" s="99"/>
      <c r="B86" s="1"/>
      <c r="C86" s="10"/>
      <c r="D86" s="1"/>
      <c r="E86" s="1"/>
      <c r="F86" s="11"/>
      <c r="G86" s="11"/>
      <c r="H86" s="109"/>
    </row>
    <row r="87" spans="1:8" ht="14.1" customHeight="1" x14ac:dyDescent="0.2">
      <c r="A87" s="99"/>
      <c r="B87" s="1"/>
      <c r="C87" s="2" t="s">
        <v>139</v>
      </c>
      <c r="D87" s="1"/>
      <c r="E87" s="1"/>
      <c r="F87" s="1"/>
      <c r="G87" s="1"/>
      <c r="H87" s="109"/>
    </row>
    <row r="88" spans="1:8" ht="14.1" customHeight="1" x14ac:dyDescent="0.2">
      <c r="A88" s="99"/>
      <c r="B88" s="1"/>
      <c r="C88" s="2" t="s">
        <v>135</v>
      </c>
      <c r="D88" s="1"/>
      <c r="E88" s="1" t="s">
        <v>136</v>
      </c>
      <c r="F88" s="115">
        <v>0</v>
      </c>
      <c r="G88" s="9">
        <v>0</v>
      </c>
      <c r="H88" s="109"/>
    </row>
    <row r="89" spans="1:8" ht="14.1" customHeight="1" x14ac:dyDescent="0.2">
      <c r="A89" s="99"/>
      <c r="B89" s="1"/>
      <c r="C89" s="10"/>
      <c r="D89" s="1"/>
      <c r="E89" s="1"/>
      <c r="F89" s="11"/>
      <c r="G89" s="11"/>
      <c r="H89" s="109"/>
    </row>
    <row r="90" spans="1:8" ht="14.1" customHeight="1" x14ac:dyDescent="0.2">
      <c r="A90" s="99"/>
      <c r="B90" s="1"/>
      <c r="C90" s="2" t="s">
        <v>140</v>
      </c>
      <c r="D90" s="1"/>
      <c r="E90" s="1"/>
      <c r="F90" s="11"/>
      <c r="G90" s="11"/>
      <c r="H90" s="109"/>
    </row>
    <row r="91" spans="1:8" ht="14.1" customHeight="1" x14ac:dyDescent="0.2">
      <c r="A91" s="99"/>
      <c r="B91" s="1"/>
      <c r="C91" s="2" t="s">
        <v>135</v>
      </c>
      <c r="D91" s="1"/>
      <c r="E91" s="1" t="s">
        <v>136</v>
      </c>
      <c r="F91" s="115">
        <v>0</v>
      </c>
      <c r="G91" s="9">
        <v>0</v>
      </c>
      <c r="H91" s="109"/>
    </row>
    <row r="92" spans="1:8" ht="14.1" customHeight="1" x14ac:dyDescent="0.2">
      <c r="A92" s="99"/>
      <c r="B92" s="1"/>
      <c r="C92" s="10"/>
      <c r="D92" s="1"/>
      <c r="E92" s="1"/>
      <c r="F92" s="11"/>
      <c r="G92" s="11"/>
      <c r="H92" s="109"/>
    </row>
    <row r="93" spans="1:8" ht="14.1" customHeight="1" x14ac:dyDescent="0.2">
      <c r="A93" s="99"/>
      <c r="B93" s="1"/>
      <c r="C93" s="2" t="s">
        <v>141</v>
      </c>
      <c r="D93" s="1"/>
      <c r="E93" s="1"/>
      <c r="F93" s="11"/>
      <c r="G93" s="11"/>
      <c r="H93" s="109"/>
    </row>
    <row r="94" spans="1:8" ht="14.1" customHeight="1" x14ac:dyDescent="0.2">
      <c r="A94" s="99"/>
      <c r="B94" s="1"/>
      <c r="C94" s="2" t="s">
        <v>135</v>
      </c>
      <c r="D94" s="1"/>
      <c r="E94" s="1" t="s">
        <v>136</v>
      </c>
      <c r="F94" s="115">
        <v>0</v>
      </c>
      <c r="G94" s="9">
        <v>0</v>
      </c>
      <c r="H94" s="109"/>
    </row>
    <row r="95" spans="1:8" ht="14.1" customHeight="1" x14ac:dyDescent="0.2">
      <c r="A95" s="99"/>
      <c r="B95" s="1"/>
      <c r="C95" s="10"/>
      <c r="D95" s="1"/>
      <c r="E95" s="1"/>
      <c r="F95" s="11"/>
      <c r="G95" s="11"/>
      <c r="H95" s="109"/>
    </row>
    <row r="96" spans="1:8" ht="18" customHeight="1" x14ac:dyDescent="0.2">
      <c r="A96" s="99"/>
      <c r="B96" s="1"/>
      <c r="C96" s="2" t="s">
        <v>142</v>
      </c>
      <c r="D96" s="1"/>
      <c r="E96" s="1"/>
      <c r="F96" s="8">
        <v>182807.69945801899</v>
      </c>
      <c r="G96" s="9">
        <v>0.93164524000000004</v>
      </c>
      <c r="H96" s="109"/>
    </row>
    <row r="97" spans="1:8" ht="14.1" customHeight="1" x14ac:dyDescent="0.2">
      <c r="A97" s="99"/>
      <c r="B97" s="1"/>
      <c r="C97" s="10"/>
      <c r="D97" s="1"/>
      <c r="E97" s="1"/>
      <c r="F97" s="11"/>
      <c r="G97" s="11"/>
      <c r="H97" s="109"/>
    </row>
    <row r="98" spans="1:8" ht="14.1" customHeight="1" x14ac:dyDescent="0.2">
      <c r="A98" s="99"/>
      <c r="B98" s="1"/>
      <c r="C98" s="2" t="s">
        <v>143</v>
      </c>
      <c r="D98" s="1"/>
      <c r="E98" s="1"/>
      <c r="F98" s="11"/>
      <c r="G98" s="11"/>
      <c r="H98" s="109"/>
    </row>
    <row r="99" spans="1:8" ht="24" customHeight="1" x14ac:dyDescent="0.2">
      <c r="A99" s="99"/>
      <c r="B99" s="1"/>
      <c r="C99" s="2" t="s">
        <v>10</v>
      </c>
      <c r="D99" s="1"/>
      <c r="E99" s="1"/>
      <c r="F99" s="11"/>
      <c r="G99" s="11"/>
      <c r="H99" s="109"/>
    </row>
    <row r="100" spans="1:8" ht="14.1" customHeight="1" x14ac:dyDescent="0.2">
      <c r="A100" s="99"/>
      <c r="B100" s="1"/>
      <c r="C100" s="2" t="s">
        <v>135</v>
      </c>
      <c r="D100" s="1"/>
      <c r="E100" s="1" t="s">
        <v>136</v>
      </c>
      <c r="F100" s="115">
        <v>0</v>
      </c>
      <c r="G100" s="9">
        <v>0</v>
      </c>
      <c r="H100" s="109"/>
    </row>
    <row r="101" spans="1:8" ht="14.1" customHeight="1" x14ac:dyDescent="0.2">
      <c r="A101" s="99"/>
      <c r="B101" s="1"/>
      <c r="C101" s="10"/>
      <c r="D101" s="1"/>
      <c r="E101" s="1"/>
      <c r="F101" s="11"/>
      <c r="G101" s="11"/>
      <c r="H101" s="109"/>
    </row>
    <row r="102" spans="1:8" ht="14.1" customHeight="1" x14ac:dyDescent="0.2">
      <c r="A102" s="99"/>
      <c r="B102" s="1"/>
      <c r="C102" s="2" t="s">
        <v>144</v>
      </c>
      <c r="D102" s="1"/>
      <c r="E102" s="1"/>
      <c r="F102" s="1"/>
      <c r="G102" s="1"/>
      <c r="H102" s="109"/>
    </row>
    <row r="103" spans="1:8" ht="14.1" customHeight="1" x14ac:dyDescent="0.2">
      <c r="A103" s="99"/>
      <c r="B103" s="1"/>
      <c r="C103" s="2" t="s">
        <v>135</v>
      </c>
      <c r="D103" s="1"/>
      <c r="E103" s="1" t="s">
        <v>136</v>
      </c>
      <c r="F103" s="115">
        <v>0</v>
      </c>
      <c r="G103" s="9">
        <v>0</v>
      </c>
      <c r="H103" s="109"/>
    </row>
    <row r="104" spans="1:8" ht="14.1" customHeight="1" x14ac:dyDescent="0.2">
      <c r="A104" s="99"/>
      <c r="B104" s="1"/>
      <c r="C104" s="10"/>
      <c r="D104" s="1"/>
      <c r="E104" s="1"/>
      <c r="F104" s="11"/>
      <c r="G104" s="11"/>
      <c r="H104" s="109"/>
    </row>
    <row r="105" spans="1:8" ht="14.1" customHeight="1" x14ac:dyDescent="0.2">
      <c r="A105" s="99"/>
      <c r="B105" s="1"/>
      <c r="C105" s="2" t="s">
        <v>145</v>
      </c>
      <c r="D105" s="1"/>
      <c r="E105" s="1"/>
      <c r="F105" s="1"/>
      <c r="G105" s="1"/>
      <c r="H105" s="109"/>
    </row>
    <row r="106" spans="1:8" ht="14.1" customHeight="1" x14ac:dyDescent="0.2">
      <c r="A106" s="99"/>
      <c r="B106" s="1"/>
      <c r="C106" s="2" t="s">
        <v>135</v>
      </c>
      <c r="D106" s="1"/>
      <c r="E106" s="1" t="s">
        <v>136</v>
      </c>
      <c r="F106" s="115">
        <v>0</v>
      </c>
      <c r="G106" s="9">
        <v>0</v>
      </c>
      <c r="H106" s="109"/>
    </row>
    <row r="107" spans="1:8" ht="14.1" customHeight="1" x14ac:dyDescent="0.2">
      <c r="A107" s="99"/>
      <c r="B107" s="1"/>
      <c r="C107" s="10"/>
      <c r="D107" s="1"/>
      <c r="E107" s="1"/>
      <c r="F107" s="11"/>
      <c r="G107" s="11"/>
      <c r="H107" s="109"/>
    </row>
    <row r="108" spans="1:8" ht="14.1" customHeight="1" x14ac:dyDescent="0.2">
      <c r="A108" s="99"/>
      <c r="B108" s="1"/>
      <c r="C108" s="2" t="s">
        <v>146</v>
      </c>
      <c r="D108" s="1"/>
      <c r="E108" s="1"/>
      <c r="F108" s="11"/>
      <c r="G108" s="11"/>
      <c r="H108" s="109"/>
    </row>
    <row r="109" spans="1:8" ht="14.1" customHeight="1" x14ac:dyDescent="0.2">
      <c r="A109" s="99"/>
      <c r="B109" s="1"/>
      <c r="C109" s="2" t="s">
        <v>135</v>
      </c>
      <c r="D109" s="1"/>
      <c r="E109" s="1" t="s">
        <v>136</v>
      </c>
      <c r="F109" s="115">
        <v>0</v>
      </c>
      <c r="G109" s="9">
        <v>0</v>
      </c>
      <c r="H109" s="109"/>
    </row>
    <row r="110" spans="1:8" ht="14.1" customHeight="1" x14ac:dyDescent="0.2">
      <c r="A110" s="99"/>
      <c r="B110" s="1"/>
      <c r="C110" s="10"/>
      <c r="D110" s="1"/>
      <c r="E110" s="1"/>
      <c r="F110" s="11"/>
      <c r="G110" s="11"/>
      <c r="H110" s="109"/>
    </row>
    <row r="111" spans="1:8" ht="14.1" customHeight="1" x14ac:dyDescent="0.2">
      <c r="A111" s="99"/>
      <c r="B111" s="1"/>
      <c r="C111" s="2" t="s">
        <v>147</v>
      </c>
      <c r="D111" s="1"/>
      <c r="E111" s="1"/>
      <c r="F111" s="8">
        <v>0</v>
      </c>
      <c r="G111" s="9">
        <v>0</v>
      </c>
      <c r="H111" s="109"/>
    </row>
    <row r="112" spans="1:8" ht="14.1" customHeight="1" x14ac:dyDescent="0.2">
      <c r="A112" s="99"/>
      <c r="B112" s="1"/>
      <c r="C112" s="10"/>
      <c r="D112" s="1"/>
      <c r="E112" s="1"/>
      <c r="F112" s="11"/>
      <c r="G112" s="11"/>
      <c r="H112" s="109"/>
    </row>
    <row r="113" spans="1:8" ht="14.1" customHeight="1" x14ac:dyDescent="0.2">
      <c r="A113" s="99"/>
      <c r="B113" s="1"/>
      <c r="C113" s="2" t="s">
        <v>148</v>
      </c>
      <c r="D113" s="1"/>
      <c r="E113" s="1"/>
      <c r="F113" s="11"/>
      <c r="G113" s="11"/>
      <c r="H113" s="109"/>
    </row>
    <row r="114" spans="1:8" ht="14.1" customHeight="1" x14ac:dyDescent="0.2">
      <c r="A114" s="99"/>
      <c r="B114" s="1"/>
      <c r="C114" s="2" t="s">
        <v>149</v>
      </c>
      <c r="D114" s="1"/>
      <c r="E114" s="1"/>
      <c r="F114" s="11"/>
      <c r="G114" s="11"/>
      <c r="H114" s="109"/>
    </row>
    <row r="115" spans="1:8" ht="14.1" customHeight="1" x14ac:dyDescent="0.2">
      <c r="A115" s="99"/>
      <c r="B115" s="1"/>
      <c r="C115" s="2" t="s">
        <v>135</v>
      </c>
      <c r="D115" s="1"/>
      <c r="E115" s="1" t="s">
        <v>136</v>
      </c>
      <c r="F115" s="115">
        <v>0</v>
      </c>
      <c r="G115" s="9">
        <v>0</v>
      </c>
      <c r="H115" s="109"/>
    </row>
    <row r="116" spans="1:8" ht="14.1" customHeight="1" x14ac:dyDescent="0.2">
      <c r="A116" s="99"/>
      <c r="B116" s="1"/>
      <c r="C116" s="10"/>
      <c r="D116" s="1"/>
      <c r="E116" s="1"/>
      <c r="F116" s="11"/>
      <c r="G116" s="11"/>
      <c r="H116" s="109"/>
    </row>
    <row r="117" spans="1:8" ht="14.1" customHeight="1" x14ac:dyDescent="0.2">
      <c r="A117" s="99"/>
      <c r="B117" s="1"/>
      <c r="C117" s="2" t="s">
        <v>150</v>
      </c>
      <c r="D117" s="1"/>
      <c r="E117" s="1"/>
      <c r="F117" s="11"/>
      <c r="G117" s="11"/>
      <c r="H117" s="109"/>
    </row>
    <row r="118" spans="1:8" ht="14.1" customHeight="1" x14ac:dyDescent="0.2">
      <c r="A118" s="99"/>
      <c r="B118" s="1"/>
      <c r="C118" s="2" t="s">
        <v>135</v>
      </c>
      <c r="D118" s="1"/>
      <c r="E118" s="1" t="s">
        <v>136</v>
      </c>
      <c r="F118" s="115">
        <v>0</v>
      </c>
      <c r="G118" s="9">
        <v>0</v>
      </c>
      <c r="H118" s="109"/>
    </row>
    <row r="119" spans="1:8" ht="14.1" customHeight="1" x14ac:dyDescent="0.2">
      <c r="A119" s="99"/>
      <c r="B119" s="1"/>
      <c r="C119" s="10"/>
      <c r="D119" s="1"/>
      <c r="E119" s="1"/>
      <c r="F119" s="11"/>
      <c r="G119" s="11"/>
      <c r="H119" s="109"/>
    </row>
    <row r="120" spans="1:8" ht="14.1" customHeight="1" x14ac:dyDescent="0.2">
      <c r="A120" s="99"/>
      <c r="B120" s="1"/>
      <c r="C120" s="2" t="s">
        <v>151</v>
      </c>
      <c r="D120" s="1"/>
      <c r="E120" s="1"/>
      <c r="F120" s="11"/>
      <c r="G120" s="11"/>
      <c r="H120" s="109"/>
    </row>
    <row r="121" spans="1:8" ht="14.1" customHeight="1" x14ac:dyDescent="0.2">
      <c r="A121" s="99"/>
      <c r="B121" s="1"/>
      <c r="C121" s="2" t="s">
        <v>135</v>
      </c>
      <c r="D121" s="1"/>
      <c r="E121" s="1" t="s">
        <v>136</v>
      </c>
      <c r="F121" s="115">
        <v>0</v>
      </c>
      <c r="G121" s="9">
        <v>0</v>
      </c>
      <c r="H121" s="109"/>
    </row>
    <row r="122" spans="1:8" ht="14.1" customHeight="1" x14ac:dyDescent="0.2">
      <c r="A122" s="99"/>
      <c r="B122" s="1"/>
      <c r="C122" s="10"/>
      <c r="D122" s="1"/>
      <c r="E122" s="1"/>
      <c r="F122" s="11"/>
      <c r="G122" s="11"/>
      <c r="H122" s="109"/>
    </row>
    <row r="123" spans="1:8" ht="14.1" customHeight="1" x14ac:dyDescent="0.2">
      <c r="A123" s="99"/>
      <c r="B123" s="1"/>
      <c r="C123" s="2" t="s">
        <v>152</v>
      </c>
      <c r="D123" s="1"/>
      <c r="E123" s="1"/>
      <c r="F123" s="11"/>
      <c r="G123" s="11"/>
      <c r="H123" s="109"/>
    </row>
    <row r="124" spans="1:8" ht="17.100000000000001" customHeight="1" x14ac:dyDescent="0.2">
      <c r="A124" s="100">
        <v>1</v>
      </c>
      <c r="B124" s="3"/>
      <c r="C124" s="3" t="s">
        <v>153</v>
      </c>
      <c r="D124" s="3"/>
      <c r="E124" s="7"/>
      <c r="F124" s="5">
        <v>13425.115517050001</v>
      </c>
      <c r="G124" s="6">
        <v>6.8418590000000001E-2</v>
      </c>
      <c r="H124" s="109">
        <v>6.6015165706411798</v>
      </c>
    </row>
    <row r="125" spans="1:8" ht="14.1" customHeight="1" x14ac:dyDescent="0.2">
      <c r="A125" s="99"/>
      <c r="B125" s="1"/>
      <c r="C125" s="2" t="s">
        <v>135</v>
      </c>
      <c r="D125" s="1"/>
      <c r="E125" s="1" t="s">
        <v>136</v>
      </c>
      <c r="F125" s="8">
        <v>13425.115517050001</v>
      </c>
      <c r="G125" s="9">
        <v>6.8418590000000001E-2</v>
      </c>
      <c r="H125" s="109"/>
    </row>
    <row r="126" spans="1:8" ht="14.1" customHeight="1" x14ac:dyDescent="0.2">
      <c r="A126" s="99"/>
      <c r="B126" s="1"/>
      <c r="C126" s="10"/>
      <c r="D126" s="1"/>
      <c r="E126" s="1"/>
      <c r="F126" s="11"/>
      <c r="G126" s="11"/>
      <c r="H126" s="109"/>
    </row>
    <row r="127" spans="1:8" ht="14.1" customHeight="1" x14ac:dyDescent="0.2">
      <c r="A127" s="99"/>
      <c r="B127" s="1"/>
      <c r="C127" s="2" t="s">
        <v>154</v>
      </c>
      <c r="D127" s="1"/>
      <c r="E127" s="1"/>
      <c r="F127" s="8">
        <v>13425.115517050001</v>
      </c>
      <c r="G127" s="9">
        <v>6.8418590000000001E-2</v>
      </c>
      <c r="H127" s="109"/>
    </row>
    <row r="128" spans="1:8" ht="14.1" customHeight="1" x14ac:dyDescent="0.2">
      <c r="A128" s="99"/>
      <c r="B128" s="1"/>
      <c r="C128" s="11"/>
      <c r="D128" s="1"/>
      <c r="E128" s="1"/>
      <c r="F128" s="1"/>
      <c r="G128" s="1"/>
      <c r="H128" s="109"/>
    </row>
    <row r="129" spans="1:8" ht="14.1" customHeight="1" x14ac:dyDescent="0.2">
      <c r="A129" s="99"/>
      <c r="B129" s="1"/>
      <c r="C129" s="2" t="s">
        <v>155</v>
      </c>
      <c r="D129" s="1"/>
      <c r="E129" s="1"/>
      <c r="F129" s="1"/>
      <c r="G129" s="1"/>
      <c r="H129" s="109"/>
    </row>
    <row r="130" spans="1:8" ht="14.1" customHeight="1" x14ac:dyDescent="0.2">
      <c r="A130" s="99"/>
      <c r="B130" s="1"/>
      <c r="C130" s="2" t="s">
        <v>156</v>
      </c>
      <c r="D130" s="1"/>
      <c r="E130" s="1"/>
      <c r="F130" s="1"/>
      <c r="G130" s="1"/>
      <c r="H130" s="109"/>
    </row>
    <row r="131" spans="1:8" ht="14.1" customHeight="1" x14ac:dyDescent="0.2">
      <c r="A131" s="99"/>
      <c r="B131" s="1"/>
      <c r="C131" s="2" t="s">
        <v>135</v>
      </c>
      <c r="D131" s="1"/>
      <c r="E131" s="1" t="s">
        <v>136</v>
      </c>
      <c r="F131" s="115">
        <v>0</v>
      </c>
      <c r="G131" s="9">
        <v>0</v>
      </c>
      <c r="H131" s="109"/>
    </row>
    <row r="132" spans="1:8" ht="14.1" customHeight="1" x14ac:dyDescent="0.2">
      <c r="A132" s="99"/>
      <c r="B132" s="1"/>
      <c r="C132" s="10"/>
      <c r="D132" s="1"/>
      <c r="E132" s="1"/>
      <c r="F132" s="11"/>
      <c r="G132" s="11"/>
      <c r="H132" s="109"/>
    </row>
    <row r="133" spans="1:8" ht="14.1" customHeight="1" x14ac:dyDescent="0.2">
      <c r="A133" s="99"/>
      <c r="B133" s="1"/>
      <c r="C133" s="2" t="s">
        <v>157</v>
      </c>
      <c r="D133" s="1"/>
      <c r="E133" s="1"/>
      <c r="F133" s="1"/>
      <c r="G133" s="1"/>
      <c r="H133" s="109"/>
    </row>
    <row r="134" spans="1:8" ht="14.1" customHeight="1" x14ac:dyDescent="0.2">
      <c r="A134" s="99"/>
      <c r="B134" s="1"/>
      <c r="C134" s="2" t="s">
        <v>158</v>
      </c>
      <c r="D134" s="1"/>
      <c r="E134" s="1"/>
      <c r="F134" s="1"/>
      <c r="G134" s="1"/>
      <c r="H134" s="109"/>
    </row>
    <row r="135" spans="1:8" ht="14.1" customHeight="1" x14ac:dyDescent="0.2">
      <c r="A135" s="99"/>
      <c r="B135" s="1"/>
      <c r="C135" s="2" t="s">
        <v>135</v>
      </c>
      <c r="D135" s="1"/>
      <c r="E135" s="1" t="s">
        <v>136</v>
      </c>
      <c r="F135" s="115">
        <v>0</v>
      </c>
      <c r="G135" s="9">
        <v>0</v>
      </c>
      <c r="H135" s="109"/>
    </row>
    <row r="136" spans="1:8" ht="14.1" customHeight="1" x14ac:dyDescent="0.2">
      <c r="A136" s="99"/>
      <c r="B136" s="1"/>
      <c r="C136" s="10"/>
      <c r="D136" s="1"/>
      <c r="E136" s="1"/>
      <c r="F136" s="11"/>
      <c r="G136" s="11"/>
      <c r="H136" s="109"/>
    </row>
    <row r="137" spans="1:8" ht="24" customHeight="1" x14ac:dyDescent="0.2">
      <c r="A137" s="99"/>
      <c r="B137" s="1"/>
      <c r="C137" s="2" t="s">
        <v>159</v>
      </c>
      <c r="D137" s="1"/>
      <c r="E137" s="1"/>
      <c r="F137" s="11"/>
      <c r="G137" s="11"/>
      <c r="H137" s="109"/>
    </row>
    <row r="138" spans="1:8" ht="14.1" customHeight="1" x14ac:dyDescent="0.2">
      <c r="A138" s="99"/>
      <c r="B138" s="1"/>
      <c r="C138" s="2" t="s">
        <v>135</v>
      </c>
      <c r="D138" s="1"/>
      <c r="E138" s="1" t="s">
        <v>136</v>
      </c>
      <c r="F138" s="115">
        <v>0</v>
      </c>
      <c r="G138" s="9">
        <v>0</v>
      </c>
      <c r="H138" s="109"/>
    </row>
    <row r="139" spans="1:8" ht="14.1" customHeight="1" x14ac:dyDescent="0.2">
      <c r="A139" s="99"/>
      <c r="B139" s="1"/>
      <c r="C139" s="10"/>
      <c r="D139" s="1"/>
      <c r="E139" s="1"/>
      <c r="F139" s="11"/>
      <c r="G139" s="11"/>
      <c r="H139" s="109"/>
    </row>
    <row r="140" spans="1:8" ht="14.1" customHeight="1" x14ac:dyDescent="0.2">
      <c r="A140" s="99"/>
      <c r="B140" s="3"/>
      <c r="C140" s="3"/>
      <c r="D140" s="2"/>
      <c r="E140" s="1"/>
      <c r="F140" s="3"/>
      <c r="G140" s="7"/>
      <c r="H140" s="109"/>
    </row>
    <row r="141" spans="1:8" ht="18" customHeight="1" x14ac:dyDescent="0.2">
      <c r="A141" s="101"/>
      <c r="B141" s="3"/>
      <c r="C141" s="3" t="s">
        <v>160</v>
      </c>
      <c r="D141" s="3"/>
      <c r="E141" s="7"/>
      <c r="F141" s="5">
        <v>-12.517453720000001</v>
      </c>
      <c r="G141" s="6">
        <v>-6.3789999999999997E-5</v>
      </c>
      <c r="H141" s="109"/>
    </row>
    <row r="142" spans="1:8" ht="14.1" customHeight="1" x14ac:dyDescent="0.2">
      <c r="A142" s="102"/>
      <c r="B142" s="10"/>
      <c r="C142" s="2" t="s">
        <v>161</v>
      </c>
      <c r="D142" s="11"/>
      <c r="E142" s="11"/>
      <c r="F142" s="8">
        <v>196220.29752134901</v>
      </c>
      <c r="G142" s="12">
        <v>1.00000004</v>
      </c>
      <c r="H142" s="109"/>
    </row>
    <row r="143" spans="1:8" ht="14.1" customHeight="1" x14ac:dyDescent="0.2">
      <c r="A143" s="13"/>
      <c r="B143" s="13"/>
      <c r="C143" s="13"/>
      <c r="D143" s="14"/>
      <c r="E143" s="14"/>
      <c r="F143" s="14"/>
      <c r="G143" s="14"/>
    </row>
    <row r="144" spans="1:8" ht="17.100000000000001" customHeight="1" x14ac:dyDescent="0.2">
      <c r="A144" s="15"/>
      <c r="B144" s="193" t="s">
        <v>162</v>
      </c>
      <c r="C144" s="193"/>
      <c r="D144" s="193"/>
      <c r="E144" s="193"/>
      <c r="F144" s="193"/>
      <c r="G144" s="17"/>
    </row>
    <row r="145" spans="1:14" ht="14.1" customHeight="1" x14ac:dyDescent="0.2">
      <c r="A145" s="15"/>
      <c r="B145" s="15"/>
      <c r="C145" s="15"/>
      <c r="D145" s="17"/>
      <c r="E145" s="17"/>
      <c r="F145" s="17"/>
      <c r="G145" s="17"/>
    </row>
    <row r="146" spans="1:14" ht="14.1" customHeight="1" x14ac:dyDescent="0.2">
      <c r="A146" s="15"/>
      <c r="B146" s="194" t="s">
        <v>163</v>
      </c>
      <c r="C146" s="195"/>
      <c r="D146" s="196"/>
      <c r="E146" s="18"/>
      <c r="F146" s="17"/>
      <c r="G146" s="17"/>
    </row>
    <row r="147" spans="1:14" ht="29.1" customHeight="1" x14ac:dyDescent="0.2">
      <c r="A147" s="15"/>
      <c r="B147" s="191" t="s">
        <v>164</v>
      </c>
      <c r="C147" s="192"/>
      <c r="D147" s="2" t="s">
        <v>165</v>
      </c>
      <c r="E147" s="18"/>
      <c r="F147" s="17"/>
      <c r="G147" s="17"/>
    </row>
    <row r="148" spans="1:14" ht="17.100000000000001" customHeight="1" x14ac:dyDescent="0.2">
      <c r="A148" s="15"/>
      <c r="B148" s="191" t="s">
        <v>915</v>
      </c>
      <c r="C148" s="192"/>
      <c r="D148" s="2" t="s">
        <v>916</v>
      </c>
      <c r="E148" s="18"/>
      <c r="F148" s="17"/>
      <c r="G148" s="17"/>
    </row>
    <row r="149" spans="1:14" ht="17.100000000000001" customHeight="1" x14ac:dyDescent="0.2">
      <c r="A149" s="15"/>
      <c r="B149" s="191" t="s">
        <v>167</v>
      </c>
      <c r="C149" s="192"/>
      <c r="D149" s="11" t="s">
        <v>136</v>
      </c>
      <c r="E149" s="18"/>
      <c r="F149" s="17"/>
      <c r="G149" s="17"/>
    </row>
    <row r="150" spans="1:14" ht="24" customHeight="1" x14ac:dyDescent="0.2">
      <c r="A150" s="19"/>
      <c r="B150" s="20" t="s">
        <v>136</v>
      </c>
      <c r="C150" s="20" t="s">
        <v>168</v>
      </c>
      <c r="D150" s="20" t="s">
        <v>169</v>
      </c>
      <c r="E150" s="19"/>
      <c r="F150" s="19"/>
      <c r="G150" s="19"/>
    </row>
    <row r="151" spans="1:14" ht="18" customHeight="1" x14ac:dyDescent="0.2">
      <c r="A151" s="19"/>
      <c r="B151" s="21" t="s">
        <v>170</v>
      </c>
      <c r="C151" s="20" t="s">
        <v>171</v>
      </c>
      <c r="D151" s="20" t="s">
        <v>172</v>
      </c>
      <c r="E151" s="19"/>
      <c r="F151" s="19"/>
      <c r="G151" s="19"/>
    </row>
    <row r="152" spans="1:14" ht="17.100000000000001" customHeight="1" x14ac:dyDescent="0.2">
      <c r="A152" s="19"/>
      <c r="B152" s="3" t="s">
        <v>173</v>
      </c>
      <c r="C152" s="22">
        <v>160.20570000000001</v>
      </c>
      <c r="D152" s="22">
        <v>157.3108</v>
      </c>
      <c r="E152" s="19"/>
      <c r="F152" s="16"/>
      <c r="G152" s="23"/>
    </row>
    <row r="153" spans="1:14" ht="17.100000000000001" customHeight="1" x14ac:dyDescent="0.2">
      <c r="A153" s="19"/>
      <c r="B153" s="3" t="s">
        <v>994</v>
      </c>
      <c r="C153" s="22">
        <v>26.132000000000001</v>
      </c>
      <c r="D153" s="22">
        <v>25.659800000000001</v>
      </c>
      <c r="E153" s="19"/>
      <c r="F153" s="16"/>
      <c r="G153" s="23"/>
    </row>
    <row r="154" spans="1:14" ht="17.100000000000001" customHeight="1" x14ac:dyDescent="0.2">
      <c r="A154" s="19"/>
      <c r="B154" s="3" t="s">
        <v>174</v>
      </c>
      <c r="C154" s="22">
        <v>148.6841</v>
      </c>
      <c r="D154" s="22">
        <v>145.8724</v>
      </c>
      <c r="E154" s="19"/>
      <c r="F154" s="16"/>
      <c r="G154" s="23"/>
    </row>
    <row r="155" spans="1:14" ht="17.100000000000001" customHeight="1" x14ac:dyDescent="0.2">
      <c r="A155" s="19"/>
      <c r="B155" s="3" t="s">
        <v>995</v>
      </c>
      <c r="C155" s="22">
        <v>23.603200000000001</v>
      </c>
      <c r="D155" s="22">
        <v>23.1568</v>
      </c>
      <c r="E155" s="19"/>
      <c r="F155" s="16"/>
      <c r="G155" s="23"/>
    </row>
    <row r="156" spans="1:14" ht="14.1" customHeight="1" x14ac:dyDescent="0.2">
      <c r="A156" s="19"/>
      <c r="B156" s="19"/>
      <c r="C156" s="19"/>
      <c r="D156" s="19"/>
      <c r="E156" s="19"/>
      <c r="F156" s="19"/>
      <c r="G156" s="19"/>
    </row>
    <row r="157" spans="1:14" ht="17.100000000000001" customHeight="1" x14ac:dyDescent="0.2">
      <c r="A157" s="19"/>
      <c r="B157" s="191" t="s">
        <v>1044</v>
      </c>
      <c r="C157" s="192"/>
      <c r="D157" s="2" t="s">
        <v>165</v>
      </c>
      <c r="E157" s="19"/>
      <c r="F157" s="19"/>
      <c r="G157" s="19"/>
      <c r="J157" s="170"/>
      <c r="K157" s="170"/>
      <c r="L157" s="170"/>
      <c r="M157" s="170"/>
      <c r="N157" s="170"/>
    </row>
    <row r="158" spans="1:14" ht="18" customHeight="1" x14ac:dyDescent="0.2">
      <c r="A158" s="19"/>
      <c r="B158" s="24"/>
      <c r="C158" s="24"/>
      <c r="D158" s="24"/>
      <c r="E158" s="19"/>
      <c r="F158" s="19"/>
      <c r="G158" s="19"/>
    </row>
    <row r="159" spans="1:14" ht="29.1" customHeight="1" x14ac:dyDescent="0.2">
      <c r="A159" s="19"/>
      <c r="B159" s="191" t="s">
        <v>175</v>
      </c>
      <c r="C159" s="192"/>
      <c r="D159" s="2" t="s">
        <v>165</v>
      </c>
      <c r="E159" s="25"/>
      <c r="F159" s="19"/>
      <c r="G159" s="19"/>
    </row>
    <row r="160" spans="1:14" ht="29.1" customHeight="1" x14ac:dyDescent="0.2">
      <c r="A160" s="19"/>
      <c r="B160" s="191" t="s">
        <v>176</v>
      </c>
      <c r="C160" s="192"/>
      <c r="D160" s="2" t="s">
        <v>165</v>
      </c>
      <c r="E160" s="25"/>
      <c r="F160" s="19"/>
      <c r="G160" s="19"/>
    </row>
    <row r="161" spans="1:7" ht="17.100000000000001" customHeight="1" x14ac:dyDescent="0.2">
      <c r="A161" s="19"/>
      <c r="B161" s="191" t="s">
        <v>177</v>
      </c>
      <c r="C161" s="192"/>
      <c r="D161" s="2" t="s">
        <v>165</v>
      </c>
      <c r="E161" s="25"/>
      <c r="F161" s="19"/>
      <c r="G161" s="19"/>
    </row>
    <row r="162" spans="1:7" ht="17.100000000000001" customHeight="1" x14ac:dyDescent="0.2">
      <c r="A162" s="19"/>
      <c r="B162" s="191" t="s">
        <v>178</v>
      </c>
      <c r="C162" s="192"/>
      <c r="D162" s="26">
        <v>0.26206984418905227</v>
      </c>
      <c r="E162" s="19"/>
      <c r="F162" s="16"/>
      <c r="G162" s="23"/>
    </row>
    <row r="163" spans="1:7" ht="14.1" customHeight="1" x14ac:dyDescent="0.2">
      <c r="A163" s="24"/>
      <c r="B163" s="24"/>
      <c r="C163" s="24"/>
      <c r="D163" s="24"/>
      <c r="E163" s="24"/>
      <c r="F163" s="24"/>
      <c r="G163" s="24"/>
    </row>
  </sheetData>
  <mergeCells count="14">
    <mergeCell ref="J2:N2"/>
    <mergeCell ref="A1:H1"/>
    <mergeCell ref="A2:H2"/>
    <mergeCell ref="A3:H3"/>
    <mergeCell ref="B161:C161"/>
    <mergeCell ref="B144:F144"/>
    <mergeCell ref="B146:D146"/>
    <mergeCell ref="B147:C147"/>
    <mergeCell ref="B162:C162"/>
    <mergeCell ref="B157:C157"/>
    <mergeCell ref="B159:C159"/>
    <mergeCell ref="B160:C160"/>
    <mergeCell ref="B148:C148"/>
    <mergeCell ref="B149:C149"/>
  </mergeCells>
  <hyperlinks>
    <hyperlink ref="I1" location="Index!B22" display="Index" xr:uid="{D2E24596-1E20-44E5-A707-9EFF4C38336B}"/>
  </hyperlinks>
  <pageMargins left="5.000000074505806E-2" right="5.000000074505806E-2" top="0.30000001192092896" bottom="0.20000000298023224" header="0" footer="0"/>
  <pageSetup paperSize="9" orientation="landscape"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O217"/>
  <sheetViews>
    <sheetView showGridLines="0" workbookViewId="0">
      <selection sqref="A1:I1"/>
    </sheetView>
  </sheetViews>
  <sheetFormatPr defaultRowHeight="12.75" x14ac:dyDescent="0.2"/>
  <cols>
    <col min="1" max="1" width="5.85546875" bestFit="1" customWidth="1"/>
    <col min="2" max="2" width="20.5703125" customWidth="1"/>
    <col min="3" max="3" width="37.140625" customWidth="1"/>
    <col min="4" max="4" width="17.85546875" customWidth="1"/>
    <col min="5" max="6" width="19.140625" customWidth="1"/>
    <col min="7" max="7" width="16.42578125" customWidth="1"/>
    <col min="8" max="8" width="5.85546875" customWidth="1"/>
    <col min="9" max="10" width="7.140625" customWidth="1"/>
    <col min="11" max="11" width="16.7109375" bestFit="1" customWidth="1"/>
  </cols>
  <sheetData>
    <row r="1" spans="1:15" ht="18" customHeight="1" x14ac:dyDescent="0.2">
      <c r="A1" s="187" t="s">
        <v>0</v>
      </c>
      <c r="B1" s="187"/>
      <c r="C1" s="187"/>
      <c r="D1" s="187"/>
      <c r="E1" s="187"/>
      <c r="F1" s="187"/>
      <c r="G1" s="187"/>
      <c r="H1" s="187"/>
      <c r="I1" s="187"/>
      <c r="J1" s="167" t="s">
        <v>1055</v>
      </c>
      <c r="K1" s="111"/>
      <c r="L1" s="111"/>
      <c r="M1" s="111"/>
      <c r="N1" s="111"/>
      <c r="O1" s="111"/>
    </row>
    <row r="2" spans="1:15" ht="17.100000000000001" customHeight="1" x14ac:dyDescent="0.2">
      <c r="A2" s="187" t="s">
        <v>544</v>
      </c>
      <c r="B2" s="215"/>
      <c r="C2" s="215"/>
      <c r="D2" s="215"/>
      <c r="E2" s="215"/>
      <c r="F2" s="215"/>
      <c r="G2" s="215"/>
      <c r="H2" s="215"/>
      <c r="I2" s="215"/>
      <c r="K2" s="186" t="s">
        <v>1056</v>
      </c>
      <c r="L2" s="186"/>
      <c r="M2" s="186"/>
      <c r="N2" s="186"/>
      <c r="O2" s="186"/>
    </row>
    <row r="3" spans="1:15" ht="21" customHeight="1" x14ac:dyDescent="0.2">
      <c r="A3" s="187" t="s">
        <v>1052</v>
      </c>
      <c r="B3" s="187"/>
      <c r="C3" s="187"/>
      <c r="D3" s="187"/>
      <c r="E3" s="187"/>
      <c r="F3" s="187"/>
      <c r="G3" s="187"/>
      <c r="H3" s="187"/>
      <c r="I3" s="187"/>
      <c r="K3" s="111"/>
      <c r="L3" s="111"/>
      <c r="M3" s="111"/>
      <c r="N3" s="111"/>
      <c r="O3" s="111"/>
    </row>
    <row r="4" spans="1:15" s="165" customFormat="1" ht="45" x14ac:dyDescent="0.2">
      <c r="A4" s="163" t="s">
        <v>2</v>
      </c>
      <c r="B4" s="164" t="s">
        <v>3</v>
      </c>
      <c r="C4" s="164" t="s">
        <v>4</v>
      </c>
      <c r="D4" s="164" t="s">
        <v>5</v>
      </c>
      <c r="E4" s="164" t="s">
        <v>6</v>
      </c>
      <c r="F4" s="164" t="s">
        <v>7</v>
      </c>
      <c r="G4" s="164" t="s">
        <v>8</v>
      </c>
      <c r="H4" s="120" t="s">
        <v>881</v>
      </c>
      <c r="I4" s="162" t="s">
        <v>1043</v>
      </c>
      <c r="K4" s="171"/>
      <c r="L4" s="171"/>
      <c r="M4" s="171"/>
      <c r="N4" s="171"/>
      <c r="O4" s="171"/>
    </row>
    <row r="5" spans="1:15" ht="14.1" customHeight="1" x14ac:dyDescent="0.2">
      <c r="A5" s="99"/>
      <c r="B5" s="1"/>
      <c r="C5" s="2" t="s">
        <v>9</v>
      </c>
      <c r="D5" s="1"/>
      <c r="E5" s="1"/>
      <c r="F5" s="1"/>
      <c r="G5" s="1"/>
      <c r="H5" s="109"/>
      <c r="I5" s="109"/>
      <c r="K5" s="111"/>
      <c r="L5" s="111"/>
      <c r="M5" s="111"/>
      <c r="N5" s="111"/>
      <c r="O5" s="111"/>
    </row>
    <row r="6" spans="1:15" ht="24" customHeight="1" x14ac:dyDescent="0.2">
      <c r="A6" s="99"/>
      <c r="B6" s="1"/>
      <c r="C6" s="2" t="s">
        <v>10</v>
      </c>
      <c r="D6" s="1"/>
      <c r="E6" s="1"/>
      <c r="F6" s="1"/>
      <c r="G6" s="1"/>
      <c r="H6" s="109"/>
      <c r="I6" s="109"/>
      <c r="K6" s="111"/>
      <c r="L6" s="111"/>
      <c r="M6" s="111"/>
      <c r="N6" s="111"/>
      <c r="O6" s="111"/>
    </row>
    <row r="7" spans="1:15" ht="17.100000000000001" customHeight="1" x14ac:dyDescent="0.2">
      <c r="A7" s="100">
        <v>1</v>
      </c>
      <c r="B7" s="3" t="s">
        <v>20</v>
      </c>
      <c r="C7" s="3" t="s">
        <v>21</v>
      </c>
      <c r="D7" s="3" t="s">
        <v>22</v>
      </c>
      <c r="E7" s="4">
        <v>2100000</v>
      </c>
      <c r="F7" s="5">
        <v>17951.849999999999</v>
      </c>
      <c r="G7" s="6">
        <v>6.0212300000000003E-2</v>
      </c>
      <c r="H7" s="109"/>
      <c r="I7" s="109"/>
      <c r="K7" s="111"/>
      <c r="L7" s="111"/>
      <c r="M7" s="111"/>
      <c r="N7" s="111"/>
      <c r="O7" s="111"/>
    </row>
    <row r="8" spans="1:15" ht="17.100000000000001" customHeight="1" x14ac:dyDescent="0.2">
      <c r="A8" s="100">
        <v>2</v>
      </c>
      <c r="B8" s="3" t="s">
        <v>297</v>
      </c>
      <c r="C8" s="3" t="s">
        <v>298</v>
      </c>
      <c r="D8" s="3" t="s">
        <v>22</v>
      </c>
      <c r="E8" s="4">
        <v>1050000</v>
      </c>
      <c r="F8" s="5">
        <v>16795.8</v>
      </c>
      <c r="G8" s="6">
        <v>5.6334790000000003E-2</v>
      </c>
      <c r="H8" s="109"/>
      <c r="I8" s="109"/>
      <c r="K8" s="111"/>
      <c r="L8" s="111"/>
      <c r="M8" s="111"/>
      <c r="N8" s="111"/>
      <c r="O8" s="111"/>
    </row>
    <row r="9" spans="1:15" ht="17.100000000000001" customHeight="1" x14ac:dyDescent="0.2">
      <c r="A9" s="100">
        <v>3</v>
      </c>
      <c r="B9" s="3" t="s">
        <v>293</v>
      </c>
      <c r="C9" s="3" t="s">
        <v>294</v>
      </c>
      <c r="D9" s="3" t="s">
        <v>996</v>
      </c>
      <c r="E9" s="4">
        <v>1050000</v>
      </c>
      <c r="F9" s="5">
        <v>15619.275</v>
      </c>
      <c r="G9" s="6">
        <v>5.2388610000000002E-2</v>
      </c>
      <c r="H9" s="109"/>
      <c r="I9" s="109"/>
      <c r="K9" s="111"/>
      <c r="L9" s="111"/>
      <c r="M9" s="111"/>
      <c r="N9" s="111"/>
      <c r="O9" s="111"/>
    </row>
    <row r="10" spans="1:15" ht="17.100000000000001" customHeight="1" x14ac:dyDescent="0.2">
      <c r="A10" s="100">
        <v>4</v>
      </c>
      <c r="B10" s="3" t="s">
        <v>17</v>
      </c>
      <c r="C10" s="3" t="s">
        <v>18</v>
      </c>
      <c r="D10" s="3" t="s">
        <v>19</v>
      </c>
      <c r="E10" s="4">
        <v>600000</v>
      </c>
      <c r="F10" s="5">
        <v>13935.3</v>
      </c>
      <c r="G10" s="6">
        <v>4.674039E-2</v>
      </c>
      <c r="H10" s="109"/>
      <c r="I10" s="109"/>
      <c r="K10" s="111"/>
      <c r="L10" s="111"/>
      <c r="M10" s="111"/>
      <c r="N10" s="111"/>
      <c r="O10" s="111"/>
    </row>
    <row r="11" spans="1:15" ht="17.100000000000001" customHeight="1" x14ac:dyDescent="0.2">
      <c r="A11" s="100">
        <v>5</v>
      </c>
      <c r="B11" s="3" t="s">
        <v>32</v>
      </c>
      <c r="C11" s="3" t="s">
        <v>33</v>
      </c>
      <c r="D11" s="3" t="s">
        <v>22</v>
      </c>
      <c r="E11" s="4">
        <v>1600000</v>
      </c>
      <c r="F11" s="5">
        <v>8364.7999999999993</v>
      </c>
      <c r="G11" s="6">
        <v>2.8056379999999999E-2</v>
      </c>
      <c r="H11" s="109"/>
      <c r="I11" s="109"/>
      <c r="K11" s="111"/>
      <c r="L11" s="111"/>
      <c r="M11" s="111"/>
      <c r="N11" s="111"/>
      <c r="O11" s="111"/>
    </row>
    <row r="12" spans="1:15" ht="17.100000000000001" customHeight="1" x14ac:dyDescent="0.2">
      <c r="A12" s="100">
        <v>6</v>
      </c>
      <c r="B12" s="3" t="s">
        <v>11</v>
      </c>
      <c r="C12" s="3" t="s">
        <v>12</v>
      </c>
      <c r="D12" s="3" t="s">
        <v>13</v>
      </c>
      <c r="E12" s="4">
        <v>385000</v>
      </c>
      <c r="F12" s="5">
        <v>8120.2275</v>
      </c>
      <c r="G12" s="6">
        <v>2.7236059999999999E-2</v>
      </c>
      <c r="H12" s="109"/>
      <c r="I12" s="109"/>
      <c r="K12" s="169" t="s">
        <v>1069</v>
      </c>
      <c r="L12" s="111"/>
      <c r="M12" s="111"/>
      <c r="N12" s="111"/>
      <c r="O12" s="111"/>
    </row>
    <row r="13" spans="1:15" ht="29.1" customHeight="1" x14ac:dyDescent="0.2">
      <c r="A13" s="100">
        <v>7</v>
      </c>
      <c r="B13" s="3" t="s">
        <v>295</v>
      </c>
      <c r="C13" s="3" t="s">
        <v>296</v>
      </c>
      <c r="D13" s="3" t="s">
        <v>120</v>
      </c>
      <c r="E13" s="4">
        <v>300000</v>
      </c>
      <c r="F13" s="5">
        <v>7828.35</v>
      </c>
      <c r="G13" s="6">
        <v>2.625707E-2</v>
      </c>
      <c r="H13" s="109"/>
      <c r="I13" s="109"/>
      <c r="K13" s="111"/>
      <c r="L13" s="111"/>
      <c r="M13" s="111"/>
      <c r="N13" s="111"/>
      <c r="O13" s="111"/>
    </row>
    <row r="14" spans="1:15" ht="17.100000000000001" customHeight="1" x14ac:dyDescent="0.2">
      <c r="A14" s="100">
        <v>8</v>
      </c>
      <c r="B14" s="3" t="s">
        <v>14</v>
      </c>
      <c r="C14" s="3" t="s">
        <v>15</v>
      </c>
      <c r="D14" s="3" t="s">
        <v>16</v>
      </c>
      <c r="E14" s="4">
        <v>1000000</v>
      </c>
      <c r="F14" s="5">
        <v>7422.5</v>
      </c>
      <c r="G14" s="6">
        <v>2.4895810000000001E-2</v>
      </c>
      <c r="H14" s="109"/>
      <c r="I14" s="109"/>
      <c r="K14" s="111"/>
      <c r="L14" s="111"/>
      <c r="M14" s="111"/>
      <c r="N14" s="111"/>
      <c r="O14" s="111"/>
    </row>
    <row r="15" spans="1:15" ht="29.1" customHeight="1" x14ac:dyDescent="0.2">
      <c r="A15" s="100">
        <v>9</v>
      </c>
      <c r="B15" s="3" t="s">
        <v>303</v>
      </c>
      <c r="C15" s="3" t="s">
        <v>304</v>
      </c>
      <c r="D15" s="3" t="s">
        <v>221</v>
      </c>
      <c r="E15" s="4">
        <v>750000</v>
      </c>
      <c r="F15" s="5">
        <v>7174.5</v>
      </c>
      <c r="G15" s="6">
        <v>2.406399E-2</v>
      </c>
      <c r="H15" s="109"/>
      <c r="I15" s="109"/>
      <c r="K15" s="111"/>
      <c r="L15" s="111"/>
      <c r="M15" s="111"/>
      <c r="N15" s="111"/>
      <c r="O15" s="111"/>
    </row>
    <row r="16" spans="1:15" ht="17.100000000000001" customHeight="1" x14ac:dyDescent="0.2">
      <c r="A16" s="100">
        <v>10</v>
      </c>
      <c r="B16" s="3" t="s">
        <v>194</v>
      </c>
      <c r="C16" s="3" t="s">
        <v>195</v>
      </c>
      <c r="D16" s="3" t="s">
        <v>196</v>
      </c>
      <c r="E16" s="4">
        <v>550000</v>
      </c>
      <c r="F16" s="5">
        <v>7154.125</v>
      </c>
      <c r="G16" s="6">
        <v>2.399565E-2</v>
      </c>
      <c r="H16" s="109"/>
      <c r="I16" s="109"/>
      <c r="K16" s="111"/>
      <c r="L16" s="111"/>
      <c r="M16" s="111"/>
      <c r="N16" s="111"/>
      <c r="O16" s="111"/>
    </row>
    <row r="17" spans="1:15" ht="17.100000000000001" customHeight="1" x14ac:dyDescent="0.2">
      <c r="A17" s="100">
        <v>11</v>
      </c>
      <c r="B17" s="3" t="s">
        <v>197</v>
      </c>
      <c r="C17" s="3" t="s">
        <v>198</v>
      </c>
      <c r="D17" s="3" t="s">
        <v>22</v>
      </c>
      <c r="E17" s="4">
        <v>760000</v>
      </c>
      <c r="F17" s="5">
        <v>6415.16</v>
      </c>
      <c r="G17" s="6">
        <v>2.1517089999999999E-2</v>
      </c>
      <c r="H17" s="109"/>
      <c r="I17" s="109"/>
      <c r="K17" s="111"/>
      <c r="L17" s="111"/>
      <c r="M17" s="111"/>
      <c r="N17" s="111"/>
      <c r="O17" s="111"/>
    </row>
    <row r="18" spans="1:15" ht="17.100000000000001" customHeight="1" x14ac:dyDescent="0.2">
      <c r="A18" s="100">
        <v>12</v>
      </c>
      <c r="B18" s="3" t="s">
        <v>307</v>
      </c>
      <c r="C18" s="3" t="s">
        <v>308</v>
      </c>
      <c r="D18" s="3" t="s">
        <v>309</v>
      </c>
      <c r="E18" s="4">
        <v>190000</v>
      </c>
      <c r="F18" s="5">
        <v>4675.2349999999997</v>
      </c>
      <c r="G18" s="6">
        <v>1.5681210000000001E-2</v>
      </c>
      <c r="H18" s="109"/>
      <c r="I18" s="109"/>
      <c r="K18" s="111"/>
      <c r="L18" s="111"/>
      <c r="M18" s="111"/>
      <c r="N18" s="111"/>
      <c r="O18" s="111"/>
    </row>
    <row r="19" spans="1:15" ht="17.100000000000001" customHeight="1" x14ac:dyDescent="0.2">
      <c r="A19" s="100">
        <v>13</v>
      </c>
      <c r="B19" s="3" t="s">
        <v>545</v>
      </c>
      <c r="C19" s="3" t="s">
        <v>546</v>
      </c>
      <c r="D19" s="3" t="s">
        <v>196</v>
      </c>
      <c r="E19" s="4">
        <v>560000</v>
      </c>
      <c r="F19" s="5">
        <v>4147.3599999999997</v>
      </c>
      <c r="G19" s="6">
        <v>1.391066E-2</v>
      </c>
      <c r="H19" s="109"/>
      <c r="I19" s="109"/>
      <c r="K19" s="111"/>
      <c r="L19" s="111"/>
      <c r="M19" s="111"/>
      <c r="N19" s="111"/>
      <c r="O19" s="111"/>
    </row>
    <row r="20" spans="1:15" ht="17.100000000000001" customHeight="1" x14ac:dyDescent="0.2">
      <c r="A20" s="100">
        <v>14</v>
      </c>
      <c r="B20" s="3" t="s">
        <v>301</v>
      </c>
      <c r="C20" s="3" t="s">
        <v>302</v>
      </c>
      <c r="D20" s="3" t="s">
        <v>216</v>
      </c>
      <c r="E20" s="4">
        <v>332500</v>
      </c>
      <c r="F20" s="5">
        <v>3727.3249999999998</v>
      </c>
      <c r="G20" s="6">
        <v>1.250182E-2</v>
      </c>
      <c r="H20" s="109"/>
      <c r="I20" s="109"/>
      <c r="K20" s="111"/>
      <c r="L20" s="111"/>
      <c r="M20" s="111"/>
      <c r="N20" s="111"/>
      <c r="O20" s="111"/>
    </row>
    <row r="21" spans="1:15" ht="17.100000000000001" customHeight="1" x14ac:dyDescent="0.2">
      <c r="A21" s="100">
        <v>15</v>
      </c>
      <c r="B21" s="3" t="s">
        <v>78</v>
      </c>
      <c r="C21" s="3" t="s">
        <v>79</v>
      </c>
      <c r="D21" s="3" t="s">
        <v>80</v>
      </c>
      <c r="E21" s="4">
        <v>125000</v>
      </c>
      <c r="F21" s="5">
        <v>3727.3125</v>
      </c>
      <c r="G21" s="6">
        <v>1.2501780000000001E-2</v>
      </c>
      <c r="H21" s="109"/>
      <c r="I21" s="109"/>
      <c r="K21" s="111"/>
      <c r="L21" s="111"/>
      <c r="M21" s="111"/>
      <c r="N21" s="111"/>
      <c r="O21" s="111"/>
    </row>
    <row r="22" spans="1:15" ht="17.100000000000001" customHeight="1" x14ac:dyDescent="0.2">
      <c r="A22" s="100">
        <v>16</v>
      </c>
      <c r="B22" s="3" t="s">
        <v>375</v>
      </c>
      <c r="C22" s="3" t="s">
        <v>376</v>
      </c>
      <c r="D22" s="3" t="s">
        <v>120</v>
      </c>
      <c r="E22" s="4">
        <v>500363</v>
      </c>
      <c r="F22" s="5">
        <v>3625.8804795000001</v>
      </c>
      <c r="G22" s="6">
        <v>1.216157E-2</v>
      </c>
      <c r="H22" s="109"/>
      <c r="I22" s="109"/>
      <c r="K22" s="111"/>
      <c r="L22" s="111"/>
      <c r="M22" s="111"/>
      <c r="N22" s="111"/>
      <c r="O22" s="111"/>
    </row>
    <row r="23" spans="1:15" ht="17.100000000000001" customHeight="1" x14ac:dyDescent="0.2">
      <c r="A23" s="100">
        <v>17</v>
      </c>
      <c r="B23" s="3" t="s">
        <v>69</v>
      </c>
      <c r="C23" s="3" t="s">
        <v>70</v>
      </c>
      <c r="D23" s="3" t="s">
        <v>71</v>
      </c>
      <c r="E23" s="4">
        <v>42000</v>
      </c>
      <c r="F23" s="5">
        <v>3622.2269999999999</v>
      </c>
      <c r="G23" s="6">
        <v>1.214931E-2</v>
      </c>
      <c r="H23" s="109"/>
      <c r="I23" s="109"/>
      <c r="K23" s="111"/>
      <c r="L23" s="111"/>
      <c r="M23" s="111"/>
      <c r="N23" s="111"/>
      <c r="O23" s="111"/>
    </row>
    <row r="24" spans="1:15" ht="17.100000000000001" customHeight="1" x14ac:dyDescent="0.2">
      <c r="A24" s="100">
        <v>18</v>
      </c>
      <c r="B24" s="3" t="s">
        <v>344</v>
      </c>
      <c r="C24" s="3" t="s">
        <v>345</v>
      </c>
      <c r="D24" s="3" t="s">
        <v>120</v>
      </c>
      <c r="E24" s="4">
        <v>250000</v>
      </c>
      <c r="F24" s="5">
        <v>3337.25</v>
      </c>
      <c r="G24" s="6">
        <v>1.1193470000000001E-2</v>
      </c>
      <c r="H24" s="109"/>
      <c r="I24" s="109"/>
      <c r="K24" s="111"/>
      <c r="L24" s="111"/>
      <c r="M24" s="111"/>
      <c r="N24" s="111"/>
      <c r="O24" s="111"/>
    </row>
    <row r="25" spans="1:15" ht="17.100000000000001" customHeight="1" x14ac:dyDescent="0.2">
      <c r="A25" s="100">
        <v>19</v>
      </c>
      <c r="B25" s="3" t="s">
        <v>299</v>
      </c>
      <c r="C25" s="3" t="s">
        <v>300</v>
      </c>
      <c r="D25" s="3" t="s">
        <v>996</v>
      </c>
      <c r="E25" s="4">
        <v>100000</v>
      </c>
      <c r="F25" s="5">
        <v>3312.85</v>
      </c>
      <c r="G25" s="6">
        <v>1.1111630000000001E-2</v>
      </c>
      <c r="H25" s="109"/>
      <c r="I25" s="109"/>
      <c r="K25" s="111"/>
      <c r="L25" s="111"/>
      <c r="M25" s="111"/>
      <c r="N25" s="111"/>
      <c r="O25" s="111"/>
    </row>
    <row r="26" spans="1:15" ht="17.100000000000001" customHeight="1" x14ac:dyDescent="0.2">
      <c r="A26" s="100">
        <v>20</v>
      </c>
      <c r="B26" s="3" t="s">
        <v>410</v>
      </c>
      <c r="C26" s="3" t="s">
        <v>411</v>
      </c>
      <c r="D26" s="3" t="s">
        <v>235</v>
      </c>
      <c r="E26" s="4">
        <v>500000</v>
      </c>
      <c r="F26" s="5">
        <v>3243.5</v>
      </c>
      <c r="G26" s="6">
        <v>1.087902E-2</v>
      </c>
      <c r="H26" s="109"/>
      <c r="I26" s="109"/>
      <c r="K26" s="111"/>
      <c r="L26" s="111"/>
      <c r="M26" s="111"/>
      <c r="N26" s="111"/>
      <c r="O26" s="111"/>
    </row>
    <row r="27" spans="1:15" ht="17.100000000000001" customHeight="1" x14ac:dyDescent="0.2">
      <c r="A27" s="100">
        <v>21</v>
      </c>
      <c r="B27" s="3" t="s">
        <v>547</v>
      </c>
      <c r="C27" s="3" t="s">
        <v>548</v>
      </c>
      <c r="D27" s="3" t="s">
        <v>277</v>
      </c>
      <c r="E27" s="4">
        <v>350000</v>
      </c>
      <c r="F27" s="5">
        <v>3231.55</v>
      </c>
      <c r="G27" s="6">
        <v>1.083894E-2</v>
      </c>
      <c r="H27" s="109"/>
      <c r="I27" s="109"/>
      <c r="K27" s="111"/>
      <c r="L27" s="111"/>
      <c r="M27" s="111"/>
      <c r="N27" s="111"/>
      <c r="O27" s="111"/>
    </row>
    <row r="28" spans="1:15" ht="29.1" customHeight="1" x14ac:dyDescent="0.2">
      <c r="A28" s="100">
        <v>22</v>
      </c>
      <c r="B28" s="3" t="s">
        <v>484</v>
      </c>
      <c r="C28" s="3" t="s">
        <v>485</v>
      </c>
      <c r="D28" s="3" t="s">
        <v>221</v>
      </c>
      <c r="E28" s="4">
        <v>330000</v>
      </c>
      <c r="F28" s="5">
        <v>2991.12</v>
      </c>
      <c r="G28" s="6">
        <v>1.003252E-2</v>
      </c>
      <c r="H28" s="109"/>
      <c r="I28" s="109"/>
      <c r="K28" s="111"/>
      <c r="L28" s="111"/>
      <c r="M28" s="111"/>
      <c r="N28" s="111"/>
      <c r="O28" s="111"/>
    </row>
    <row r="29" spans="1:15" ht="17.100000000000001" customHeight="1" x14ac:dyDescent="0.2">
      <c r="A29" s="100">
        <v>23</v>
      </c>
      <c r="B29" s="3" t="s">
        <v>549</v>
      </c>
      <c r="C29" s="3" t="s">
        <v>550</v>
      </c>
      <c r="D29" s="3" t="s">
        <v>71</v>
      </c>
      <c r="E29" s="4">
        <v>90000</v>
      </c>
      <c r="F29" s="5">
        <v>2795.31</v>
      </c>
      <c r="G29" s="6">
        <v>9.3757500000000004E-3</v>
      </c>
      <c r="H29" s="109"/>
      <c r="I29" s="109"/>
    </row>
    <row r="30" spans="1:15" ht="17.100000000000001" customHeight="1" x14ac:dyDescent="0.2">
      <c r="A30" s="100">
        <v>24</v>
      </c>
      <c r="B30" s="3" t="s">
        <v>45</v>
      </c>
      <c r="C30" s="3" t="s">
        <v>46</v>
      </c>
      <c r="D30" s="3" t="s">
        <v>47</v>
      </c>
      <c r="E30" s="4">
        <v>1875000</v>
      </c>
      <c r="F30" s="5">
        <v>2728.125</v>
      </c>
      <c r="G30" s="6">
        <v>9.1503999999999995E-3</v>
      </c>
      <c r="H30" s="109"/>
      <c r="I30" s="109"/>
    </row>
    <row r="31" spans="1:15" ht="29.1" customHeight="1" x14ac:dyDescent="0.2">
      <c r="A31" s="100">
        <v>25</v>
      </c>
      <c r="B31" s="3" t="s">
        <v>23</v>
      </c>
      <c r="C31" s="3" t="s">
        <v>24</v>
      </c>
      <c r="D31" s="3" t="s">
        <v>25</v>
      </c>
      <c r="E31" s="4">
        <v>37000</v>
      </c>
      <c r="F31" s="5">
        <v>2686.681</v>
      </c>
      <c r="G31" s="6">
        <v>9.0113999999999993E-3</v>
      </c>
      <c r="H31" s="109"/>
      <c r="I31" s="109"/>
    </row>
    <row r="32" spans="1:15" ht="29.1" customHeight="1" x14ac:dyDescent="0.2">
      <c r="A32" s="100">
        <v>26</v>
      </c>
      <c r="B32" s="3" t="s">
        <v>258</v>
      </c>
      <c r="C32" s="3" t="s">
        <v>259</v>
      </c>
      <c r="D32" s="3" t="s">
        <v>191</v>
      </c>
      <c r="E32" s="4">
        <v>85000</v>
      </c>
      <c r="F32" s="5">
        <v>2634.6174999999998</v>
      </c>
      <c r="G32" s="6">
        <v>8.8367700000000007E-3</v>
      </c>
      <c r="H32" s="109"/>
      <c r="I32" s="109"/>
    </row>
    <row r="33" spans="1:9" ht="17.100000000000001" customHeight="1" x14ac:dyDescent="0.2">
      <c r="A33" s="100">
        <v>27</v>
      </c>
      <c r="B33" s="3" t="s">
        <v>224</v>
      </c>
      <c r="C33" s="3" t="s">
        <v>225</v>
      </c>
      <c r="D33" s="3" t="s">
        <v>196</v>
      </c>
      <c r="E33" s="4">
        <v>176400</v>
      </c>
      <c r="F33" s="5">
        <v>2552.3316</v>
      </c>
      <c r="G33" s="6">
        <v>8.5607800000000005E-3</v>
      </c>
      <c r="H33" s="109"/>
      <c r="I33" s="109"/>
    </row>
    <row r="34" spans="1:9" ht="17.100000000000001" customHeight="1" x14ac:dyDescent="0.2">
      <c r="A34" s="100">
        <v>28</v>
      </c>
      <c r="B34" s="3" t="s">
        <v>310</v>
      </c>
      <c r="C34" s="3" t="s">
        <v>311</v>
      </c>
      <c r="D34" s="3" t="s">
        <v>71</v>
      </c>
      <c r="E34" s="4">
        <v>200000</v>
      </c>
      <c r="F34" s="5">
        <v>2539.1999999999998</v>
      </c>
      <c r="G34" s="6">
        <v>8.5167300000000001E-3</v>
      </c>
      <c r="H34" s="109"/>
      <c r="I34" s="109"/>
    </row>
    <row r="35" spans="1:9" ht="17.100000000000001" customHeight="1" x14ac:dyDescent="0.2">
      <c r="A35" s="100">
        <v>29</v>
      </c>
      <c r="B35" s="3" t="s">
        <v>328</v>
      </c>
      <c r="C35" s="3" t="s">
        <v>329</v>
      </c>
      <c r="D35" s="3" t="s">
        <v>22</v>
      </c>
      <c r="E35" s="4">
        <v>225000</v>
      </c>
      <c r="F35" s="5">
        <v>2424.8249999999998</v>
      </c>
      <c r="G35" s="6">
        <v>8.1331100000000007E-3</v>
      </c>
      <c r="H35" s="109"/>
      <c r="I35" s="109"/>
    </row>
    <row r="36" spans="1:9" ht="17.100000000000001" customHeight="1" x14ac:dyDescent="0.2">
      <c r="A36" s="100">
        <v>30</v>
      </c>
      <c r="B36" s="3" t="s">
        <v>182</v>
      </c>
      <c r="C36" s="3" t="s">
        <v>183</v>
      </c>
      <c r="D36" s="3" t="s">
        <v>120</v>
      </c>
      <c r="E36" s="4">
        <v>200000</v>
      </c>
      <c r="F36" s="5">
        <v>2406.6999999999998</v>
      </c>
      <c r="G36" s="6">
        <v>8.0723099999999992E-3</v>
      </c>
      <c r="H36" s="109"/>
      <c r="I36" s="109"/>
    </row>
    <row r="37" spans="1:9" ht="29.1" customHeight="1" x14ac:dyDescent="0.2">
      <c r="A37" s="100">
        <v>31</v>
      </c>
      <c r="B37" s="3" t="s">
        <v>219</v>
      </c>
      <c r="C37" s="3" t="s">
        <v>220</v>
      </c>
      <c r="D37" s="3" t="s">
        <v>221</v>
      </c>
      <c r="E37" s="4">
        <v>507400</v>
      </c>
      <c r="F37" s="5">
        <v>2363.4692</v>
      </c>
      <c r="G37" s="6">
        <v>7.9273099999999999E-3</v>
      </c>
      <c r="H37" s="109"/>
      <c r="I37" s="109"/>
    </row>
    <row r="38" spans="1:9" ht="29.1" customHeight="1" x14ac:dyDescent="0.2">
      <c r="A38" s="100">
        <v>32</v>
      </c>
      <c r="B38" s="3" t="s">
        <v>204</v>
      </c>
      <c r="C38" s="3" t="s">
        <v>205</v>
      </c>
      <c r="D38" s="3" t="s">
        <v>115</v>
      </c>
      <c r="E38" s="4">
        <v>775000</v>
      </c>
      <c r="F38" s="5">
        <v>2354.8375000000001</v>
      </c>
      <c r="G38" s="6">
        <v>7.8983600000000001E-3</v>
      </c>
      <c r="H38" s="109"/>
      <c r="I38" s="109"/>
    </row>
    <row r="39" spans="1:9" ht="29.1" customHeight="1" x14ac:dyDescent="0.2">
      <c r="A39" s="100">
        <v>33</v>
      </c>
      <c r="B39" s="3" t="s">
        <v>551</v>
      </c>
      <c r="C39" s="3" t="s">
        <v>552</v>
      </c>
      <c r="D39" s="3" t="s">
        <v>277</v>
      </c>
      <c r="E39" s="4">
        <v>16500</v>
      </c>
      <c r="F39" s="5">
        <v>2272.2727500000001</v>
      </c>
      <c r="G39" s="6">
        <v>7.6214300000000002E-3</v>
      </c>
      <c r="H39" s="109"/>
      <c r="I39" s="109"/>
    </row>
    <row r="40" spans="1:9" ht="17.100000000000001" customHeight="1" x14ac:dyDescent="0.2">
      <c r="A40" s="100">
        <v>34</v>
      </c>
      <c r="B40" s="3" t="s">
        <v>243</v>
      </c>
      <c r="C40" s="3" t="s">
        <v>244</v>
      </c>
      <c r="D40" s="3" t="s">
        <v>31</v>
      </c>
      <c r="E40" s="4">
        <v>115000</v>
      </c>
      <c r="F40" s="5">
        <v>2171.7750000000001</v>
      </c>
      <c r="G40" s="6">
        <v>7.2843500000000002E-3</v>
      </c>
      <c r="H40" s="109"/>
      <c r="I40" s="109"/>
    </row>
    <row r="41" spans="1:9" ht="29.1" customHeight="1" x14ac:dyDescent="0.2">
      <c r="A41" s="100">
        <v>35</v>
      </c>
      <c r="B41" s="3" t="s">
        <v>189</v>
      </c>
      <c r="C41" s="3" t="s">
        <v>190</v>
      </c>
      <c r="D41" s="3" t="s">
        <v>191</v>
      </c>
      <c r="E41" s="4">
        <v>230000</v>
      </c>
      <c r="F41" s="5">
        <v>2066.665</v>
      </c>
      <c r="G41" s="6">
        <v>6.9318000000000001E-3</v>
      </c>
      <c r="H41" s="109"/>
      <c r="I41" s="109"/>
    </row>
    <row r="42" spans="1:9" ht="17.100000000000001" customHeight="1" x14ac:dyDescent="0.2">
      <c r="A42" s="100">
        <v>36</v>
      </c>
      <c r="B42" s="3" t="s">
        <v>26</v>
      </c>
      <c r="C42" s="3" t="s">
        <v>27</v>
      </c>
      <c r="D42" s="3" t="s">
        <v>28</v>
      </c>
      <c r="E42" s="4">
        <v>1200000</v>
      </c>
      <c r="F42" s="5">
        <v>2046</v>
      </c>
      <c r="G42" s="6">
        <v>6.8624899999999997E-3</v>
      </c>
      <c r="H42" s="109"/>
      <c r="I42" s="109"/>
    </row>
    <row r="43" spans="1:9" ht="29.1" customHeight="1" x14ac:dyDescent="0.2">
      <c r="A43" s="100">
        <v>37</v>
      </c>
      <c r="B43" s="3" t="s">
        <v>268</v>
      </c>
      <c r="C43" s="3" t="s">
        <v>269</v>
      </c>
      <c r="D43" s="3" t="s">
        <v>221</v>
      </c>
      <c r="E43" s="4">
        <v>151887</v>
      </c>
      <c r="F43" s="5">
        <v>2001.9466035</v>
      </c>
      <c r="G43" s="6">
        <v>6.7147300000000004E-3</v>
      </c>
      <c r="H43" s="109"/>
      <c r="I43" s="109"/>
    </row>
    <row r="44" spans="1:9" ht="17.100000000000001" customHeight="1" x14ac:dyDescent="0.2">
      <c r="A44" s="100">
        <v>38</v>
      </c>
      <c r="B44" s="3" t="s">
        <v>316</v>
      </c>
      <c r="C44" s="3" t="s">
        <v>317</v>
      </c>
      <c r="D44" s="3" t="s">
        <v>996</v>
      </c>
      <c r="E44" s="4">
        <v>455339</v>
      </c>
      <c r="F44" s="5">
        <v>1762.3895995</v>
      </c>
      <c r="G44" s="6">
        <v>5.91123E-3</v>
      </c>
      <c r="H44" s="109"/>
      <c r="I44" s="109"/>
    </row>
    <row r="45" spans="1:9" ht="17.100000000000001" customHeight="1" x14ac:dyDescent="0.2">
      <c r="A45" s="100">
        <v>39</v>
      </c>
      <c r="B45" s="3" t="s">
        <v>251</v>
      </c>
      <c r="C45" s="3" t="s">
        <v>252</v>
      </c>
      <c r="D45" s="3" t="s">
        <v>253</v>
      </c>
      <c r="E45" s="4">
        <v>171533</v>
      </c>
      <c r="F45" s="5">
        <v>1543.968533</v>
      </c>
      <c r="G45" s="6">
        <v>5.17863E-3</v>
      </c>
      <c r="H45" s="109"/>
      <c r="I45" s="109"/>
    </row>
    <row r="46" spans="1:9" ht="17.100000000000001" customHeight="1" x14ac:dyDescent="0.2">
      <c r="A46" s="100">
        <v>40</v>
      </c>
      <c r="B46" s="3" t="s">
        <v>106</v>
      </c>
      <c r="C46" s="3" t="s">
        <v>107</v>
      </c>
      <c r="D46" s="3" t="s">
        <v>108</v>
      </c>
      <c r="E46" s="4">
        <v>370000</v>
      </c>
      <c r="F46" s="5">
        <v>1477.04</v>
      </c>
      <c r="G46" s="6">
        <v>4.9541400000000001E-3</v>
      </c>
      <c r="H46" s="109"/>
      <c r="I46" s="109"/>
    </row>
    <row r="47" spans="1:9" ht="29.1" customHeight="1" x14ac:dyDescent="0.2">
      <c r="A47" s="100">
        <v>41</v>
      </c>
      <c r="B47" s="3" t="s">
        <v>488</v>
      </c>
      <c r="C47" s="3" t="s">
        <v>489</v>
      </c>
      <c r="D47" s="3" t="s">
        <v>445</v>
      </c>
      <c r="E47" s="4">
        <v>200000</v>
      </c>
      <c r="F47" s="5">
        <v>1430.6</v>
      </c>
      <c r="G47" s="6">
        <v>4.7983799999999997E-3</v>
      </c>
      <c r="H47" s="109"/>
      <c r="I47" s="109"/>
    </row>
    <row r="48" spans="1:9" ht="17.100000000000001" customHeight="1" x14ac:dyDescent="0.2">
      <c r="A48" s="100">
        <v>42</v>
      </c>
      <c r="B48" s="3" t="s">
        <v>338</v>
      </c>
      <c r="C48" s="3" t="s">
        <v>339</v>
      </c>
      <c r="D48" s="3" t="s">
        <v>22</v>
      </c>
      <c r="E48" s="4">
        <v>489500</v>
      </c>
      <c r="F48" s="5">
        <v>1368.39725</v>
      </c>
      <c r="G48" s="6">
        <v>4.5897400000000001E-3</v>
      </c>
      <c r="H48" s="109"/>
      <c r="I48" s="109"/>
    </row>
    <row r="49" spans="1:9" ht="17.100000000000001" customHeight="1" x14ac:dyDescent="0.2">
      <c r="A49" s="100">
        <v>43</v>
      </c>
      <c r="B49" s="3" t="s">
        <v>264</v>
      </c>
      <c r="C49" s="3" t="s">
        <v>265</v>
      </c>
      <c r="D49" s="3" t="s">
        <v>996</v>
      </c>
      <c r="E49" s="4">
        <v>24000</v>
      </c>
      <c r="F49" s="5">
        <v>1133.2919999999999</v>
      </c>
      <c r="G49" s="6">
        <v>3.8011799999999999E-3</v>
      </c>
      <c r="H49" s="109"/>
      <c r="I49" s="109"/>
    </row>
    <row r="50" spans="1:9" ht="17.100000000000001" customHeight="1" x14ac:dyDescent="0.2">
      <c r="A50" s="100">
        <v>44</v>
      </c>
      <c r="B50" s="3" t="s">
        <v>348</v>
      </c>
      <c r="C50" s="3" t="s">
        <v>349</v>
      </c>
      <c r="D50" s="3" t="s">
        <v>71</v>
      </c>
      <c r="E50" s="4">
        <v>250000</v>
      </c>
      <c r="F50" s="5">
        <v>1051.75</v>
      </c>
      <c r="G50" s="6">
        <v>3.5276800000000001E-3</v>
      </c>
      <c r="H50" s="109"/>
      <c r="I50" s="109"/>
    </row>
    <row r="51" spans="1:9" ht="17.100000000000001" customHeight="1" x14ac:dyDescent="0.2">
      <c r="A51" s="100">
        <v>45</v>
      </c>
      <c r="B51" s="3" t="s">
        <v>324</v>
      </c>
      <c r="C51" s="3" t="s">
        <v>325</v>
      </c>
      <c r="D51" s="3" t="s">
        <v>22</v>
      </c>
      <c r="E51" s="4">
        <v>60010</v>
      </c>
      <c r="F51" s="5">
        <v>1037.722925</v>
      </c>
      <c r="G51" s="6">
        <v>3.4806300000000002E-3</v>
      </c>
      <c r="H51" s="109"/>
      <c r="I51" s="109"/>
    </row>
    <row r="52" spans="1:9" ht="17.100000000000001" customHeight="1" x14ac:dyDescent="0.2">
      <c r="A52" s="100">
        <v>46</v>
      </c>
      <c r="B52" s="3" t="s">
        <v>245</v>
      </c>
      <c r="C52" s="3" t="s">
        <v>246</v>
      </c>
      <c r="D52" s="3" t="s">
        <v>120</v>
      </c>
      <c r="E52" s="4">
        <v>180000</v>
      </c>
      <c r="F52" s="5">
        <v>1034.9100000000001</v>
      </c>
      <c r="G52" s="6">
        <v>3.4711899999999999E-3</v>
      </c>
      <c r="H52" s="109"/>
      <c r="I52" s="109"/>
    </row>
    <row r="53" spans="1:9" ht="17.100000000000001" customHeight="1" x14ac:dyDescent="0.2">
      <c r="A53" s="100">
        <v>47</v>
      </c>
      <c r="B53" s="3" t="s">
        <v>102</v>
      </c>
      <c r="C53" s="3" t="s">
        <v>103</v>
      </c>
      <c r="D53" s="3" t="s">
        <v>47</v>
      </c>
      <c r="E53" s="4">
        <v>80000</v>
      </c>
      <c r="F53" s="5">
        <v>995.16</v>
      </c>
      <c r="G53" s="6">
        <v>3.3378700000000002E-3</v>
      </c>
      <c r="H53" s="109"/>
      <c r="I53" s="109"/>
    </row>
    <row r="54" spans="1:9" ht="17.100000000000001" customHeight="1" x14ac:dyDescent="0.2">
      <c r="A54" s="100">
        <v>48</v>
      </c>
      <c r="B54" s="3" t="s">
        <v>43</v>
      </c>
      <c r="C54" s="3" t="s">
        <v>44</v>
      </c>
      <c r="D54" s="3" t="s">
        <v>31</v>
      </c>
      <c r="E54" s="4">
        <v>30000</v>
      </c>
      <c r="F54" s="5">
        <v>924.40499999999997</v>
      </c>
      <c r="G54" s="6">
        <v>3.1005500000000001E-3</v>
      </c>
      <c r="H54" s="109"/>
      <c r="I54" s="109"/>
    </row>
    <row r="55" spans="1:9" ht="17.100000000000001" customHeight="1" x14ac:dyDescent="0.2">
      <c r="A55" s="100">
        <v>49</v>
      </c>
      <c r="B55" s="3" t="s">
        <v>340</v>
      </c>
      <c r="C55" s="3" t="s">
        <v>341</v>
      </c>
      <c r="D55" s="3" t="s">
        <v>235</v>
      </c>
      <c r="E55" s="4">
        <v>270000</v>
      </c>
      <c r="F55" s="5">
        <v>839.02499999999998</v>
      </c>
      <c r="G55" s="6">
        <v>2.81417E-3</v>
      </c>
      <c r="H55" s="109"/>
      <c r="I55" s="109"/>
    </row>
    <row r="56" spans="1:9" ht="17.100000000000001" customHeight="1" x14ac:dyDescent="0.2">
      <c r="A56" s="100">
        <v>50</v>
      </c>
      <c r="B56" s="3" t="s">
        <v>266</v>
      </c>
      <c r="C56" s="3" t="s">
        <v>267</v>
      </c>
      <c r="D56" s="3" t="s">
        <v>80</v>
      </c>
      <c r="E56" s="4">
        <v>160000</v>
      </c>
      <c r="F56" s="5">
        <v>810.96</v>
      </c>
      <c r="G56" s="6">
        <v>2.72004E-3</v>
      </c>
      <c r="H56" s="109"/>
      <c r="I56" s="109"/>
    </row>
    <row r="57" spans="1:9" ht="29.1" customHeight="1" x14ac:dyDescent="0.2">
      <c r="A57" s="100">
        <v>51</v>
      </c>
      <c r="B57" s="3" t="s">
        <v>127</v>
      </c>
      <c r="C57" s="3" t="s">
        <v>128</v>
      </c>
      <c r="D57" s="3" t="s">
        <v>129</v>
      </c>
      <c r="E57" s="4">
        <v>97208</v>
      </c>
      <c r="F57" s="5">
        <v>575.90879600000005</v>
      </c>
      <c r="G57" s="6">
        <v>1.93166E-3</v>
      </c>
      <c r="H57" s="109"/>
      <c r="I57" s="109"/>
    </row>
    <row r="58" spans="1:9" ht="17.100000000000001" customHeight="1" x14ac:dyDescent="0.2">
      <c r="A58" s="100">
        <v>52</v>
      </c>
      <c r="B58" s="3" t="s">
        <v>217</v>
      </c>
      <c r="C58" s="3" t="s">
        <v>218</v>
      </c>
      <c r="D58" s="3" t="s">
        <v>115</v>
      </c>
      <c r="E58" s="4">
        <v>200000</v>
      </c>
      <c r="F58" s="5">
        <v>227.3</v>
      </c>
      <c r="G58" s="6">
        <v>7.6239000000000005E-4</v>
      </c>
      <c r="H58" s="109"/>
      <c r="I58" s="109"/>
    </row>
    <row r="59" spans="1:9" ht="17.100000000000001" customHeight="1" x14ac:dyDescent="0.2">
      <c r="A59" s="100">
        <v>53</v>
      </c>
      <c r="B59" s="3" t="s">
        <v>130</v>
      </c>
      <c r="C59" s="3" t="s">
        <v>131</v>
      </c>
      <c r="D59" s="3" t="s">
        <v>120</v>
      </c>
      <c r="E59" s="4">
        <v>80000</v>
      </c>
      <c r="F59" s="5">
        <v>181.048</v>
      </c>
      <c r="G59" s="6">
        <v>6.0725000000000004E-4</v>
      </c>
      <c r="H59" s="109"/>
      <c r="I59" s="109"/>
    </row>
    <row r="60" spans="1:9" ht="14.1" customHeight="1" x14ac:dyDescent="0.2">
      <c r="A60" s="99"/>
      <c r="B60" s="1"/>
      <c r="C60" s="2" t="s">
        <v>135</v>
      </c>
      <c r="D60" s="1"/>
      <c r="E60" s="1" t="s">
        <v>136</v>
      </c>
      <c r="F60" s="8">
        <v>208862.13073650002</v>
      </c>
      <c r="G60" s="9">
        <v>0.70054452000000011</v>
      </c>
      <c r="H60" s="109"/>
      <c r="I60" s="109"/>
    </row>
    <row r="61" spans="1:9" ht="14.1" customHeight="1" x14ac:dyDescent="0.2">
      <c r="A61" s="99"/>
      <c r="B61" s="1"/>
      <c r="C61" s="10"/>
      <c r="D61" s="1"/>
      <c r="E61" s="1"/>
      <c r="F61" s="11"/>
      <c r="G61" s="11"/>
      <c r="H61" s="109"/>
      <c r="I61" s="109"/>
    </row>
    <row r="62" spans="1:9" ht="14.1" customHeight="1" x14ac:dyDescent="0.2">
      <c r="A62" s="99"/>
      <c r="B62" s="1"/>
      <c r="C62" s="2" t="s">
        <v>137</v>
      </c>
      <c r="D62" s="1"/>
      <c r="E62" s="1"/>
      <c r="F62" s="1"/>
      <c r="G62" s="1"/>
      <c r="H62" s="109"/>
      <c r="I62" s="109"/>
    </row>
    <row r="63" spans="1:9" ht="14.1" customHeight="1" x14ac:dyDescent="0.2">
      <c r="A63" s="99"/>
      <c r="B63" s="1"/>
      <c r="C63" s="2" t="s">
        <v>135</v>
      </c>
      <c r="D63" s="1"/>
      <c r="E63" s="1" t="s">
        <v>136</v>
      </c>
      <c r="F63" s="115">
        <v>0</v>
      </c>
      <c r="G63" s="9">
        <v>0</v>
      </c>
      <c r="H63" s="109"/>
      <c r="I63" s="109"/>
    </row>
    <row r="64" spans="1:9" ht="14.1" customHeight="1" x14ac:dyDescent="0.2">
      <c r="A64" s="99"/>
      <c r="B64" s="1"/>
      <c r="C64" s="10"/>
      <c r="D64" s="1"/>
      <c r="E64" s="1"/>
      <c r="F64" s="11"/>
      <c r="G64" s="11"/>
      <c r="H64" s="109"/>
      <c r="I64" s="109"/>
    </row>
    <row r="65" spans="1:9" ht="14.1" customHeight="1" x14ac:dyDescent="0.2">
      <c r="A65" s="99"/>
      <c r="B65" s="1"/>
      <c r="C65" s="2" t="s">
        <v>138</v>
      </c>
      <c r="D65" s="1"/>
      <c r="E65" s="1"/>
      <c r="F65" s="1"/>
      <c r="G65" s="1"/>
      <c r="H65" s="109"/>
      <c r="I65" s="109"/>
    </row>
    <row r="66" spans="1:9" ht="26.1" customHeight="1" x14ac:dyDescent="0.2">
      <c r="A66" s="100">
        <v>1</v>
      </c>
      <c r="B66" s="3" t="s">
        <v>553</v>
      </c>
      <c r="C66" s="107" t="s">
        <v>923</v>
      </c>
      <c r="D66" s="3" t="s">
        <v>924</v>
      </c>
      <c r="E66" s="4">
        <v>30579</v>
      </c>
      <c r="F66" s="5">
        <v>1.6176291</v>
      </c>
      <c r="G66" s="6" t="s">
        <v>134</v>
      </c>
      <c r="H66" s="109"/>
      <c r="I66" s="109"/>
    </row>
    <row r="67" spans="1:9" ht="14.1" customHeight="1" x14ac:dyDescent="0.2">
      <c r="A67" s="99"/>
      <c r="B67" s="1"/>
      <c r="C67" s="2" t="s">
        <v>135</v>
      </c>
      <c r="D67" s="1"/>
      <c r="E67" s="1" t="s">
        <v>136</v>
      </c>
      <c r="F67" s="8">
        <v>1.6176291</v>
      </c>
      <c r="G67" s="9">
        <v>5.4299999999999997E-6</v>
      </c>
      <c r="H67" s="109"/>
      <c r="I67" s="109"/>
    </row>
    <row r="68" spans="1:9" ht="14.1" customHeight="1" x14ac:dyDescent="0.2">
      <c r="A68" s="99"/>
      <c r="B68" s="1"/>
      <c r="C68" s="10"/>
      <c r="D68" s="1"/>
      <c r="E68" s="1"/>
      <c r="F68" s="11"/>
      <c r="G68" s="11"/>
      <c r="H68" s="109"/>
      <c r="I68" s="109"/>
    </row>
    <row r="69" spans="1:9" ht="14.1" customHeight="1" x14ac:dyDescent="0.2">
      <c r="A69" s="99"/>
      <c r="B69" s="1"/>
      <c r="C69" s="2" t="s">
        <v>139</v>
      </c>
      <c r="D69" s="1"/>
      <c r="E69" s="1"/>
      <c r="F69" s="1"/>
      <c r="G69" s="1"/>
      <c r="H69" s="109"/>
      <c r="I69" s="109"/>
    </row>
    <row r="70" spans="1:9" ht="14.1" customHeight="1" x14ac:dyDescent="0.2">
      <c r="A70" s="99"/>
      <c r="B70" s="1"/>
      <c r="C70" s="2" t="s">
        <v>135</v>
      </c>
      <c r="D70" s="1"/>
      <c r="E70" s="1" t="s">
        <v>136</v>
      </c>
      <c r="F70" s="115">
        <v>0</v>
      </c>
      <c r="G70" s="9">
        <v>0</v>
      </c>
      <c r="H70" s="109"/>
      <c r="I70" s="109"/>
    </row>
    <row r="71" spans="1:9" ht="14.1" customHeight="1" x14ac:dyDescent="0.2">
      <c r="A71" s="99"/>
      <c r="B71" s="1"/>
      <c r="C71" s="10"/>
      <c r="D71" s="1"/>
      <c r="E71" s="1"/>
      <c r="F71" s="11"/>
      <c r="G71" s="11"/>
      <c r="H71" s="109"/>
      <c r="I71" s="109"/>
    </row>
    <row r="72" spans="1:9" ht="14.1" customHeight="1" x14ac:dyDescent="0.2">
      <c r="A72" s="99"/>
      <c r="B72" s="1"/>
      <c r="C72" s="2" t="s">
        <v>140</v>
      </c>
      <c r="D72" s="1"/>
      <c r="E72" s="1"/>
      <c r="F72" s="11"/>
      <c r="G72" s="11"/>
      <c r="H72" s="109"/>
      <c r="I72" s="109"/>
    </row>
    <row r="73" spans="1:9" ht="14.1" customHeight="1" x14ac:dyDescent="0.2">
      <c r="A73" s="99"/>
      <c r="B73" s="1"/>
      <c r="C73" s="2" t="s">
        <v>135</v>
      </c>
      <c r="D73" s="1"/>
      <c r="E73" s="1" t="s">
        <v>136</v>
      </c>
      <c r="F73" s="115">
        <v>0</v>
      </c>
      <c r="G73" s="9">
        <v>0</v>
      </c>
      <c r="H73" s="109"/>
      <c r="I73" s="109"/>
    </row>
    <row r="74" spans="1:9" ht="14.1" customHeight="1" x14ac:dyDescent="0.2">
      <c r="A74" s="99"/>
      <c r="B74" s="1"/>
      <c r="C74" s="10"/>
      <c r="D74" s="1"/>
      <c r="E74" s="1"/>
      <c r="F74" s="11"/>
      <c r="G74" s="11"/>
      <c r="H74" s="109"/>
      <c r="I74" s="109"/>
    </row>
    <row r="75" spans="1:9" ht="14.1" customHeight="1" x14ac:dyDescent="0.2">
      <c r="A75" s="99"/>
      <c r="B75" s="1"/>
      <c r="C75" s="2" t="s">
        <v>141</v>
      </c>
      <c r="D75" s="1"/>
      <c r="E75" s="1"/>
      <c r="F75" s="11"/>
      <c r="G75" s="11"/>
      <c r="H75" s="109"/>
      <c r="I75" s="109"/>
    </row>
    <row r="76" spans="1:9" ht="14.1" customHeight="1" x14ac:dyDescent="0.2">
      <c r="A76" s="99"/>
      <c r="B76" s="1"/>
      <c r="C76" s="2" t="s">
        <v>135</v>
      </c>
      <c r="D76" s="1"/>
      <c r="E76" s="1" t="s">
        <v>136</v>
      </c>
      <c r="F76" s="115">
        <v>0</v>
      </c>
      <c r="G76" s="9">
        <v>0</v>
      </c>
      <c r="H76" s="109"/>
      <c r="I76" s="109"/>
    </row>
    <row r="77" spans="1:9" ht="14.1" customHeight="1" x14ac:dyDescent="0.2">
      <c r="A77" s="99"/>
      <c r="B77" s="1"/>
      <c r="C77" s="10"/>
      <c r="D77" s="1"/>
      <c r="E77" s="1"/>
      <c r="F77" s="11"/>
      <c r="G77" s="11"/>
      <c r="H77" s="109"/>
      <c r="I77" s="109"/>
    </row>
    <row r="78" spans="1:9" ht="18" customHeight="1" x14ac:dyDescent="0.2">
      <c r="A78" s="99"/>
      <c r="B78" s="1"/>
      <c r="C78" s="2" t="s">
        <v>142</v>
      </c>
      <c r="D78" s="1"/>
      <c r="E78" s="1"/>
      <c r="F78" s="8">
        <v>208863.74836560001</v>
      </c>
      <c r="G78" s="9">
        <v>0.70054994999999998</v>
      </c>
      <c r="H78" s="109"/>
      <c r="I78" s="109"/>
    </row>
    <row r="79" spans="1:9" ht="14.1" customHeight="1" x14ac:dyDescent="0.2">
      <c r="A79" s="99"/>
      <c r="B79" s="1"/>
      <c r="C79" s="10"/>
      <c r="D79" s="1"/>
      <c r="E79" s="1"/>
      <c r="F79" s="11"/>
      <c r="G79" s="11"/>
      <c r="H79" s="109"/>
      <c r="I79" s="109"/>
    </row>
    <row r="80" spans="1:9" ht="14.1" customHeight="1" x14ac:dyDescent="0.2">
      <c r="A80" s="99"/>
      <c r="B80" s="1"/>
      <c r="C80" s="2" t="s">
        <v>143</v>
      </c>
      <c r="D80" s="1"/>
      <c r="E80" s="1"/>
      <c r="F80" s="11"/>
      <c r="G80" s="11"/>
      <c r="H80" s="109"/>
      <c r="I80" s="109"/>
    </row>
    <row r="81" spans="1:10" ht="24" customHeight="1" x14ac:dyDescent="0.2">
      <c r="A81" s="99"/>
      <c r="B81" s="1"/>
      <c r="C81" s="2" t="s">
        <v>10</v>
      </c>
      <c r="D81" s="1"/>
      <c r="E81" s="1"/>
      <c r="F81" s="11"/>
      <c r="G81" s="11"/>
      <c r="H81" s="109"/>
      <c r="I81" s="109"/>
    </row>
    <row r="82" spans="1:10" ht="29.1" customHeight="1" x14ac:dyDescent="0.2">
      <c r="A82" s="100">
        <v>1</v>
      </c>
      <c r="B82" s="3" t="s">
        <v>554</v>
      </c>
      <c r="C82" s="3" t="s">
        <v>555</v>
      </c>
      <c r="D82" s="3" t="s">
        <v>556</v>
      </c>
      <c r="E82" s="4">
        <v>250</v>
      </c>
      <c r="F82" s="5">
        <v>2495.2399999999998</v>
      </c>
      <c r="G82" s="6">
        <v>8.3692899999999997E-3</v>
      </c>
      <c r="H82" s="109">
        <v>7.6849999999999996</v>
      </c>
      <c r="I82" s="109"/>
    </row>
    <row r="83" spans="1:10" ht="29.1" customHeight="1" x14ac:dyDescent="0.2">
      <c r="A83" s="100">
        <v>2</v>
      </c>
      <c r="B83" s="3" t="s">
        <v>557</v>
      </c>
      <c r="C83" s="3" t="s">
        <v>558</v>
      </c>
      <c r="D83" s="3" t="s">
        <v>559</v>
      </c>
      <c r="E83" s="4">
        <v>2500</v>
      </c>
      <c r="F83" s="5">
        <v>2486.4375</v>
      </c>
      <c r="G83" s="6">
        <v>8.3397599999999999E-3</v>
      </c>
      <c r="H83" s="109">
        <v>7.7842000000000002</v>
      </c>
      <c r="I83" s="109"/>
    </row>
    <row r="84" spans="1:10" ht="17.100000000000001" customHeight="1" x14ac:dyDescent="0.2">
      <c r="A84" s="100">
        <v>3</v>
      </c>
      <c r="B84" s="3" t="s">
        <v>560</v>
      </c>
      <c r="C84" s="3" t="s">
        <v>561</v>
      </c>
      <c r="D84" s="3" t="s">
        <v>556</v>
      </c>
      <c r="E84" s="4">
        <v>250</v>
      </c>
      <c r="F84" s="5">
        <v>2437.35</v>
      </c>
      <c r="G84" s="6">
        <v>8.1751199999999993E-3</v>
      </c>
      <c r="H84" s="109">
        <v>7.7967000000000004</v>
      </c>
      <c r="I84" s="109"/>
    </row>
    <row r="85" spans="1:10" ht="17.100000000000001" customHeight="1" x14ac:dyDescent="0.2">
      <c r="A85" s="100">
        <v>4</v>
      </c>
      <c r="B85" s="3" t="s">
        <v>562</v>
      </c>
      <c r="C85" s="3" t="s">
        <v>563</v>
      </c>
      <c r="D85" s="3" t="s">
        <v>556</v>
      </c>
      <c r="E85" s="4">
        <v>200</v>
      </c>
      <c r="F85" s="5">
        <v>2014.7919999999999</v>
      </c>
      <c r="G85" s="6">
        <v>6.7578100000000004E-3</v>
      </c>
      <c r="H85" s="109">
        <v>7.8449999999999998</v>
      </c>
      <c r="I85" s="109"/>
    </row>
    <row r="86" spans="1:10" ht="29.1" customHeight="1" x14ac:dyDescent="0.2">
      <c r="A86" s="100">
        <v>5</v>
      </c>
      <c r="B86" s="3" t="s">
        <v>564</v>
      </c>
      <c r="C86" s="3" t="s">
        <v>565</v>
      </c>
      <c r="D86" s="3" t="s">
        <v>556</v>
      </c>
      <c r="E86" s="4">
        <v>2000</v>
      </c>
      <c r="F86" s="5">
        <v>1988.5239999999999</v>
      </c>
      <c r="G86" s="6">
        <v>6.6697099999999997E-3</v>
      </c>
      <c r="H86" s="109">
        <v>7.7549999999999999</v>
      </c>
      <c r="I86" s="109"/>
    </row>
    <row r="87" spans="1:10" ht="24.6" customHeight="1" x14ac:dyDescent="0.2">
      <c r="A87" s="100">
        <v>6</v>
      </c>
      <c r="B87" s="3" t="s">
        <v>566</v>
      </c>
      <c r="C87" s="107" t="s">
        <v>1042</v>
      </c>
      <c r="D87" s="3" t="s">
        <v>567</v>
      </c>
      <c r="E87" s="4">
        <v>150</v>
      </c>
      <c r="F87" s="5">
        <v>1501.6334999999999</v>
      </c>
      <c r="G87" s="6">
        <v>5.0366300000000003E-3</v>
      </c>
      <c r="H87" s="109">
        <v>8.5229999999999997</v>
      </c>
      <c r="I87" s="109">
        <v>8.3977581909500003</v>
      </c>
    </row>
    <row r="88" spans="1:10" ht="29.1" customHeight="1" x14ac:dyDescent="0.2">
      <c r="A88" s="100">
        <v>7</v>
      </c>
      <c r="B88" s="3" t="s">
        <v>568</v>
      </c>
      <c r="C88" s="3" t="s">
        <v>569</v>
      </c>
      <c r="D88" s="3" t="s">
        <v>556</v>
      </c>
      <c r="E88" s="4">
        <v>150</v>
      </c>
      <c r="F88" s="5">
        <v>1483.4745</v>
      </c>
      <c r="G88" s="6">
        <v>4.9757200000000003E-3</v>
      </c>
      <c r="H88" s="109">
        <v>7.9749999999999996</v>
      </c>
      <c r="I88" s="109"/>
      <c r="J88" s="172"/>
    </row>
    <row r="89" spans="1:10" ht="29.1" customHeight="1" x14ac:dyDescent="0.2">
      <c r="A89" s="100">
        <v>8</v>
      </c>
      <c r="B89" s="3" t="s">
        <v>570</v>
      </c>
      <c r="C89" s="3" t="s">
        <v>571</v>
      </c>
      <c r="D89" s="3" t="s">
        <v>559</v>
      </c>
      <c r="E89" s="4">
        <v>150</v>
      </c>
      <c r="F89" s="5">
        <v>1481.373</v>
      </c>
      <c r="G89" s="6">
        <v>4.9686699999999997E-3</v>
      </c>
      <c r="H89" s="109">
        <v>7.79</v>
      </c>
      <c r="I89" s="109"/>
    </row>
    <row r="90" spans="1:10" ht="29.1" customHeight="1" x14ac:dyDescent="0.2">
      <c r="A90" s="100">
        <v>9</v>
      </c>
      <c r="B90" s="3" t="s">
        <v>572</v>
      </c>
      <c r="C90" s="3" t="s">
        <v>573</v>
      </c>
      <c r="D90" s="3" t="s">
        <v>556</v>
      </c>
      <c r="E90" s="4">
        <v>100</v>
      </c>
      <c r="F90" s="5">
        <v>1002.359</v>
      </c>
      <c r="G90" s="6">
        <v>3.3620099999999999E-3</v>
      </c>
      <c r="H90" s="109">
        <v>7.8449999999999998</v>
      </c>
      <c r="I90" s="109"/>
    </row>
    <row r="91" spans="1:10" ht="29.1" customHeight="1" x14ac:dyDescent="0.2">
      <c r="A91" s="100">
        <v>10</v>
      </c>
      <c r="B91" s="3" t="s">
        <v>574</v>
      </c>
      <c r="C91" s="3" t="s">
        <v>575</v>
      </c>
      <c r="D91" s="3" t="s">
        <v>567</v>
      </c>
      <c r="E91" s="4">
        <v>100</v>
      </c>
      <c r="F91" s="5">
        <v>998.84100000000001</v>
      </c>
      <c r="G91" s="6">
        <v>3.3502100000000002E-3</v>
      </c>
      <c r="H91" s="109">
        <v>7.22</v>
      </c>
      <c r="I91" s="109"/>
      <c r="J91" s="172"/>
    </row>
    <row r="92" spans="1:10" ht="29.1" customHeight="1" x14ac:dyDescent="0.2">
      <c r="A92" s="100">
        <v>11</v>
      </c>
      <c r="B92" s="3" t="s">
        <v>576</v>
      </c>
      <c r="C92" s="3" t="s">
        <v>577</v>
      </c>
      <c r="D92" s="3" t="s">
        <v>559</v>
      </c>
      <c r="E92" s="4">
        <v>100</v>
      </c>
      <c r="F92" s="5">
        <v>997.80499999999995</v>
      </c>
      <c r="G92" s="6">
        <v>3.34674E-3</v>
      </c>
      <c r="H92" s="109">
        <v>7.835</v>
      </c>
      <c r="I92" s="109"/>
    </row>
    <row r="93" spans="1:10" ht="29.1" customHeight="1" x14ac:dyDescent="0.2">
      <c r="A93" s="100">
        <v>12</v>
      </c>
      <c r="B93" s="3" t="s">
        <v>578</v>
      </c>
      <c r="C93" s="3" t="s">
        <v>913</v>
      </c>
      <c r="D93" s="3" t="s">
        <v>559</v>
      </c>
      <c r="E93" s="4">
        <v>100</v>
      </c>
      <c r="F93" s="5">
        <v>997.71600000000001</v>
      </c>
      <c r="G93" s="6">
        <v>3.34644E-3</v>
      </c>
      <c r="H93" s="109">
        <v>7.7988</v>
      </c>
      <c r="I93" s="109"/>
    </row>
    <row r="94" spans="1:10" ht="29.1" customHeight="1" x14ac:dyDescent="0.2">
      <c r="A94" s="100">
        <v>13</v>
      </c>
      <c r="B94" s="3" t="s">
        <v>579</v>
      </c>
      <c r="C94" s="3" t="s">
        <v>909</v>
      </c>
      <c r="D94" s="3" t="s">
        <v>556</v>
      </c>
      <c r="E94" s="4">
        <v>100</v>
      </c>
      <c r="F94" s="5">
        <v>989.96299999999997</v>
      </c>
      <c r="G94" s="6">
        <v>3.32044E-3</v>
      </c>
      <c r="H94" s="109">
        <v>7.87</v>
      </c>
      <c r="I94" s="109"/>
    </row>
    <row r="95" spans="1:10" ht="29.1" customHeight="1" x14ac:dyDescent="0.2">
      <c r="A95" s="100">
        <v>14</v>
      </c>
      <c r="B95" s="3" t="s">
        <v>580</v>
      </c>
      <c r="C95" s="3" t="s">
        <v>581</v>
      </c>
      <c r="D95" s="3" t="s">
        <v>556</v>
      </c>
      <c r="E95" s="4">
        <v>100</v>
      </c>
      <c r="F95" s="5">
        <v>954.93399999999997</v>
      </c>
      <c r="G95" s="6">
        <v>3.20294E-3</v>
      </c>
      <c r="H95" s="109">
        <v>7.84</v>
      </c>
      <c r="I95" s="109"/>
    </row>
    <row r="96" spans="1:10" ht="17.100000000000001" customHeight="1" x14ac:dyDescent="0.2">
      <c r="A96" s="100">
        <v>15</v>
      </c>
      <c r="B96" s="3" t="s">
        <v>584</v>
      </c>
      <c r="C96" s="3" t="s">
        <v>585</v>
      </c>
      <c r="D96" s="3" t="s">
        <v>556</v>
      </c>
      <c r="E96" s="4">
        <v>50</v>
      </c>
      <c r="F96" s="5">
        <v>498.11149999999998</v>
      </c>
      <c r="G96" s="6">
        <v>1.6707200000000001E-3</v>
      </c>
      <c r="H96" s="109">
        <v>8.0150000000000006</v>
      </c>
      <c r="I96" s="109"/>
    </row>
    <row r="97" spans="1:9" ht="29.1" customHeight="1" x14ac:dyDescent="0.2">
      <c r="A97" s="100">
        <v>16</v>
      </c>
      <c r="B97" s="3" t="s">
        <v>586</v>
      </c>
      <c r="C97" s="3" t="s">
        <v>587</v>
      </c>
      <c r="D97" s="3" t="s">
        <v>567</v>
      </c>
      <c r="E97" s="4">
        <v>50</v>
      </c>
      <c r="F97" s="5">
        <v>494.05349999999999</v>
      </c>
      <c r="G97" s="6">
        <v>1.65711E-3</v>
      </c>
      <c r="H97" s="109">
        <v>7.7766999999999999</v>
      </c>
      <c r="I97" s="109"/>
    </row>
    <row r="98" spans="1:9" ht="29.1" customHeight="1" x14ac:dyDescent="0.2">
      <c r="A98" s="100">
        <v>17</v>
      </c>
      <c r="B98" s="3" t="s">
        <v>588</v>
      </c>
      <c r="C98" s="3" t="s">
        <v>589</v>
      </c>
      <c r="D98" s="3" t="s">
        <v>559</v>
      </c>
      <c r="E98" s="4">
        <v>20</v>
      </c>
      <c r="F98" s="5">
        <v>199.5994</v>
      </c>
      <c r="G98" s="6">
        <v>6.6947999999999997E-4</v>
      </c>
      <c r="H98" s="109">
        <v>7.68</v>
      </c>
      <c r="I98" s="109"/>
    </row>
    <row r="99" spans="1:9" ht="29.1" customHeight="1" x14ac:dyDescent="0.2">
      <c r="A99" s="100">
        <v>18</v>
      </c>
      <c r="B99" s="3" t="s">
        <v>590</v>
      </c>
      <c r="C99" s="3" t="s">
        <v>591</v>
      </c>
      <c r="D99" s="3" t="s">
        <v>559</v>
      </c>
      <c r="E99" s="4">
        <v>20</v>
      </c>
      <c r="F99" s="5">
        <v>193.3672</v>
      </c>
      <c r="G99" s="6">
        <v>6.4857000000000001E-4</v>
      </c>
      <c r="H99" s="109">
        <v>7.835</v>
      </c>
      <c r="I99" s="109"/>
    </row>
    <row r="100" spans="1:9" ht="14.1" customHeight="1" x14ac:dyDescent="0.2">
      <c r="A100" s="99"/>
      <c r="B100" s="1"/>
      <c r="C100" s="2" t="s">
        <v>135</v>
      </c>
      <c r="D100" s="1"/>
      <c r="E100" s="1" t="s">
        <v>136</v>
      </c>
      <c r="F100" s="8">
        <v>23215.574099999998</v>
      </c>
      <c r="G100" s="9">
        <v>7.7867370000000005E-2</v>
      </c>
      <c r="H100" s="109"/>
      <c r="I100" s="109"/>
    </row>
    <row r="101" spans="1:9" ht="14.1" customHeight="1" x14ac:dyDescent="0.2">
      <c r="A101" s="99"/>
      <c r="B101" s="1"/>
      <c r="C101" s="10"/>
      <c r="D101" s="1"/>
      <c r="E101" s="1"/>
      <c r="F101" s="11"/>
      <c r="G101" s="11"/>
      <c r="H101" s="109"/>
      <c r="I101" s="109"/>
    </row>
    <row r="102" spans="1:9" ht="14.1" customHeight="1" x14ac:dyDescent="0.2">
      <c r="A102" s="99"/>
      <c r="B102" s="1"/>
      <c r="C102" s="2" t="s">
        <v>144</v>
      </c>
      <c r="D102" s="1"/>
      <c r="E102" s="1"/>
      <c r="F102" s="1"/>
      <c r="G102" s="1"/>
      <c r="H102" s="109"/>
      <c r="I102" s="109"/>
    </row>
    <row r="103" spans="1:9" ht="17.100000000000001" customHeight="1" x14ac:dyDescent="0.2">
      <c r="A103" s="100">
        <v>1</v>
      </c>
      <c r="B103" s="3" t="s">
        <v>582</v>
      </c>
      <c r="C103" s="3" t="s">
        <v>583</v>
      </c>
      <c r="D103" s="3" t="s">
        <v>556</v>
      </c>
      <c r="E103" s="4">
        <v>50</v>
      </c>
      <c r="F103" s="5">
        <v>503.70650000000001</v>
      </c>
      <c r="G103" s="6">
        <v>1.6894799999999999E-3</v>
      </c>
      <c r="H103" s="109">
        <v>8.7174999999999994</v>
      </c>
      <c r="I103" s="109"/>
    </row>
    <row r="104" spans="1:9" ht="14.1" customHeight="1" x14ac:dyDescent="0.2">
      <c r="A104" s="99"/>
      <c r="B104" s="1"/>
      <c r="C104" s="2" t="s">
        <v>135</v>
      </c>
      <c r="D104" s="1"/>
      <c r="E104" s="1" t="s">
        <v>136</v>
      </c>
      <c r="F104" s="8">
        <v>503.70650000000001</v>
      </c>
      <c r="G104" s="9">
        <v>1.6894799999999999E-3</v>
      </c>
      <c r="H104" s="109"/>
      <c r="I104" s="109"/>
    </row>
    <row r="105" spans="1:9" ht="14.1" customHeight="1" x14ac:dyDescent="0.2">
      <c r="A105" s="99"/>
      <c r="B105" s="1"/>
      <c r="C105" s="10"/>
      <c r="D105" s="1"/>
      <c r="E105" s="1"/>
      <c r="F105" s="11"/>
      <c r="G105" s="11"/>
      <c r="H105" s="109"/>
      <c r="I105" s="109"/>
    </row>
    <row r="106" spans="1:9" ht="14.1" customHeight="1" x14ac:dyDescent="0.2">
      <c r="A106" s="99"/>
      <c r="B106" s="1"/>
      <c r="C106" s="2" t="s">
        <v>145</v>
      </c>
      <c r="D106" s="1"/>
      <c r="E106" s="1"/>
      <c r="F106" s="1"/>
      <c r="G106" s="1"/>
      <c r="H106" s="109"/>
      <c r="I106" s="109"/>
    </row>
    <row r="107" spans="1:9" ht="29.1" customHeight="1" x14ac:dyDescent="0.2">
      <c r="A107" s="100">
        <v>1</v>
      </c>
      <c r="B107" s="3" t="s">
        <v>592</v>
      </c>
      <c r="C107" s="95" t="s">
        <v>593</v>
      </c>
      <c r="D107" s="3" t="s">
        <v>594</v>
      </c>
      <c r="E107" s="4">
        <v>7500000</v>
      </c>
      <c r="F107" s="5">
        <v>7442.25</v>
      </c>
      <c r="G107" s="6">
        <v>2.496205E-2</v>
      </c>
      <c r="H107" s="109">
        <v>7.4318</v>
      </c>
      <c r="I107" s="109"/>
    </row>
    <row r="108" spans="1:9" ht="29.1" customHeight="1" x14ac:dyDescent="0.2">
      <c r="A108" s="100">
        <v>2</v>
      </c>
      <c r="B108" s="3" t="s">
        <v>595</v>
      </c>
      <c r="C108" s="95" t="s">
        <v>906</v>
      </c>
      <c r="D108" s="3" t="s">
        <v>594</v>
      </c>
      <c r="E108" s="4">
        <v>6000000</v>
      </c>
      <c r="F108" s="5">
        <v>5928.9780000000001</v>
      </c>
      <c r="G108" s="6">
        <v>1.988639E-2</v>
      </c>
      <c r="H108" s="109">
        <v>7.5688000000000004</v>
      </c>
      <c r="I108" s="109"/>
    </row>
    <row r="109" spans="1:9" ht="29.1" customHeight="1" x14ac:dyDescent="0.2">
      <c r="A109" s="100">
        <v>3</v>
      </c>
      <c r="B109" s="3" t="s">
        <v>596</v>
      </c>
      <c r="C109" s="95" t="s">
        <v>905</v>
      </c>
      <c r="D109" s="3" t="s">
        <v>594</v>
      </c>
      <c r="E109" s="4">
        <v>5000000</v>
      </c>
      <c r="F109" s="5">
        <v>4969.165</v>
      </c>
      <c r="G109" s="6">
        <v>1.6667080000000001E-2</v>
      </c>
      <c r="H109" s="109">
        <v>7.6201999999999996</v>
      </c>
      <c r="I109" s="109"/>
    </row>
    <row r="110" spans="1:9" ht="29.1" customHeight="1" x14ac:dyDescent="0.2">
      <c r="A110" s="100">
        <v>4</v>
      </c>
      <c r="B110" s="3" t="s">
        <v>597</v>
      </c>
      <c r="C110" s="3" t="s">
        <v>598</v>
      </c>
      <c r="D110" s="3" t="s">
        <v>594</v>
      </c>
      <c r="E110" s="4">
        <v>2500000</v>
      </c>
      <c r="F110" s="5">
        <v>2495.355</v>
      </c>
      <c r="G110" s="6">
        <v>8.3696699999999992E-3</v>
      </c>
      <c r="H110" s="109">
        <v>7.5624000000000002</v>
      </c>
      <c r="I110" s="109"/>
    </row>
    <row r="111" spans="1:9" ht="29.1" customHeight="1" x14ac:dyDescent="0.2">
      <c r="A111" s="100">
        <v>5</v>
      </c>
      <c r="B111" s="3" t="s">
        <v>599</v>
      </c>
      <c r="C111" s="3" t="s">
        <v>600</v>
      </c>
      <c r="D111" s="3" t="s">
        <v>594</v>
      </c>
      <c r="E111" s="4">
        <v>2500000</v>
      </c>
      <c r="F111" s="5">
        <v>2466.9475000000002</v>
      </c>
      <c r="G111" s="6">
        <v>8.2743899999999995E-3</v>
      </c>
      <c r="H111" s="109">
        <v>7.5978000000000003</v>
      </c>
      <c r="I111" s="109"/>
    </row>
    <row r="112" spans="1:9" ht="29.1" customHeight="1" x14ac:dyDescent="0.2">
      <c r="A112" s="100">
        <v>6</v>
      </c>
      <c r="B112" s="3" t="s">
        <v>601</v>
      </c>
      <c r="C112" s="95" t="s">
        <v>902</v>
      </c>
      <c r="D112" s="3" t="s">
        <v>594</v>
      </c>
      <c r="E112" s="4">
        <v>2500000</v>
      </c>
      <c r="F112" s="5">
        <v>2457.9274999999998</v>
      </c>
      <c r="G112" s="6">
        <v>8.2441400000000005E-3</v>
      </c>
      <c r="H112" s="109">
        <v>7.5814000000000004</v>
      </c>
      <c r="I112" s="109"/>
    </row>
    <row r="113" spans="1:9" ht="29.1" customHeight="1" x14ac:dyDescent="0.2">
      <c r="A113" s="100">
        <v>7</v>
      </c>
      <c r="B113" s="3" t="s">
        <v>602</v>
      </c>
      <c r="C113" s="3" t="s">
        <v>603</v>
      </c>
      <c r="D113" s="3" t="s">
        <v>594</v>
      </c>
      <c r="E113" s="4">
        <v>2000000</v>
      </c>
      <c r="F113" s="5">
        <v>1912.4</v>
      </c>
      <c r="G113" s="6">
        <v>6.4143799999999999E-3</v>
      </c>
      <c r="H113" s="109">
        <v>7.4610000000000003</v>
      </c>
      <c r="I113" s="109"/>
    </row>
    <row r="114" spans="1:9" ht="29.1" customHeight="1" x14ac:dyDescent="0.2">
      <c r="A114" s="100">
        <v>8</v>
      </c>
      <c r="B114" s="3" t="s">
        <v>604</v>
      </c>
      <c r="C114" s="3" t="s">
        <v>605</v>
      </c>
      <c r="D114" s="3" t="s">
        <v>594</v>
      </c>
      <c r="E114" s="4">
        <v>2000000</v>
      </c>
      <c r="F114" s="5">
        <v>1893.002</v>
      </c>
      <c r="G114" s="6">
        <v>6.3493200000000003E-3</v>
      </c>
      <c r="H114" s="109">
        <v>7.5505000000000004</v>
      </c>
      <c r="I114" s="109"/>
    </row>
    <row r="115" spans="1:9" s="234" customFormat="1" ht="33.75" customHeight="1" x14ac:dyDescent="0.2">
      <c r="A115" s="228">
        <v>9</v>
      </c>
      <c r="B115" s="229" t="s">
        <v>606</v>
      </c>
      <c r="C115" s="230" t="s">
        <v>903</v>
      </c>
      <c r="D115" s="229" t="s">
        <v>594</v>
      </c>
      <c r="E115" s="231">
        <v>1500000</v>
      </c>
      <c r="F115" s="232">
        <v>1479.0374999999999</v>
      </c>
      <c r="G115" s="233">
        <v>4.9608400000000002E-3</v>
      </c>
      <c r="H115" s="232">
        <v>6.908791955637132</v>
      </c>
      <c r="I115" s="232"/>
    </row>
    <row r="116" spans="1:9" ht="29.1" customHeight="1" x14ac:dyDescent="0.2">
      <c r="A116" s="100">
        <v>10</v>
      </c>
      <c r="B116" s="3" t="s">
        <v>607</v>
      </c>
      <c r="C116" s="3" t="s">
        <v>608</v>
      </c>
      <c r="D116" s="3" t="s">
        <v>594</v>
      </c>
      <c r="E116" s="4">
        <v>950000</v>
      </c>
      <c r="F116" s="5">
        <v>932.75845000000004</v>
      </c>
      <c r="G116" s="6">
        <v>3.1285699999999998E-3</v>
      </c>
      <c r="H116" s="109">
        <v>7.4790000000000001</v>
      </c>
      <c r="I116" s="109"/>
    </row>
    <row r="117" spans="1:9" ht="29.1" customHeight="1" x14ac:dyDescent="0.2">
      <c r="A117" s="100">
        <v>11</v>
      </c>
      <c r="B117" s="3" t="s">
        <v>609</v>
      </c>
      <c r="C117" s="3" t="s">
        <v>610</v>
      </c>
      <c r="D117" s="3" t="s">
        <v>594</v>
      </c>
      <c r="E117" s="4">
        <v>400000</v>
      </c>
      <c r="F117" s="5">
        <v>406.03199999999998</v>
      </c>
      <c r="G117" s="6">
        <v>1.3618700000000001E-3</v>
      </c>
      <c r="H117" s="109">
        <v>7.6483999999999996</v>
      </c>
      <c r="I117" s="109"/>
    </row>
    <row r="118" spans="1:9" ht="29.1" customHeight="1" x14ac:dyDescent="0.2">
      <c r="A118" s="100">
        <v>12</v>
      </c>
      <c r="B118" s="3" t="s">
        <v>611</v>
      </c>
      <c r="C118" s="3" t="s">
        <v>612</v>
      </c>
      <c r="D118" s="3" t="s">
        <v>594</v>
      </c>
      <c r="E118" s="4">
        <v>400000</v>
      </c>
      <c r="F118" s="5">
        <v>404.21440000000001</v>
      </c>
      <c r="G118" s="6">
        <v>1.35578E-3</v>
      </c>
      <c r="H118" s="109">
        <v>7.649</v>
      </c>
      <c r="I118" s="109"/>
    </row>
    <row r="119" spans="1:9" ht="29.1" customHeight="1" x14ac:dyDescent="0.2">
      <c r="A119" s="100">
        <v>13</v>
      </c>
      <c r="B119" s="3" t="s">
        <v>613</v>
      </c>
      <c r="C119" s="3" t="s">
        <v>614</v>
      </c>
      <c r="D119" s="3" t="s">
        <v>594</v>
      </c>
      <c r="E119" s="4">
        <v>400000</v>
      </c>
      <c r="F119" s="5">
        <v>403.99079999999998</v>
      </c>
      <c r="G119" s="6">
        <v>1.3550299999999999E-3</v>
      </c>
      <c r="H119" s="109">
        <v>7.6355000000000004</v>
      </c>
      <c r="I119" s="109"/>
    </row>
    <row r="120" spans="1:9" ht="14.1" customHeight="1" x14ac:dyDescent="0.2">
      <c r="A120" s="99"/>
      <c r="B120" s="1"/>
      <c r="C120" s="2" t="s">
        <v>135</v>
      </c>
      <c r="D120" s="1"/>
      <c r="E120" s="1" t="s">
        <v>136</v>
      </c>
      <c r="F120" s="8">
        <v>33192.058149999997</v>
      </c>
      <c r="G120" s="9">
        <v>0.11132951000000001</v>
      </c>
      <c r="H120" s="109"/>
      <c r="I120" s="109"/>
    </row>
    <row r="121" spans="1:9" ht="14.1" customHeight="1" x14ac:dyDescent="0.2">
      <c r="A121" s="99"/>
      <c r="B121" s="1"/>
      <c r="C121" s="10"/>
      <c r="D121" s="1"/>
      <c r="E121" s="1"/>
      <c r="F121" s="11"/>
      <c r="G121" s="11"/>
      <c r="H121" s="109"/>
      <c r="I121" s="109"/>
    </row>
    <row r="122" spans="1:9" ht="14.1" customHeight="1" x14ac:dyDescent="0.2">
      <c r="A122" s="99"/>
      <c r="B122" s="1"/>
      <c r="C122" s="2" t="s">
        <v>146</v>
      </c>
      <c r="D122" s="1"/>
      <c r="E122" s="1"/>
      <c r="F122" s="11"/>
      <c r="G122" s="11"/>
      <c r="H122" s="109"/>
      <c r="I122" s="109"/>
    </row>
    <row r="123" spans="1:9" ht="14.1" customHeight="1" x14ac:dyDescent="0.2">
      <c r="A123" s="99"/>
      <c r="B123" s="1"/>
      <c r="C123" s="2" t="s">
        <v>135</v>
      </c>
      <c r="D123" s="1"/>
      <c r="E123" s="1" t="s">
        <v>136</v>
      </c>
      <c r="F123" s="115">
        <v>0</v>
      </c>
      <c r="G123" s="9">
        <v>0</v>
      </c>
      <c r="H123" s="109"/>
      <c r="I123" s="109"/>
    </row>
    <row r="124" spans="1:9" ht="14.1" customHeight="1" x14ac:dyDescent="0.2">
      <c r="A124" s="99"/>
      <c r="B124" s="1"/>
      <c r="C124" s="10"/>
      <c r="D124" s="1"/>
      <c r="E124" s="1"/>
      <c r="F124" s="11"/>
      <c r="G124" s="11"/>
      <c r="H124" s="109"/>
      <c r="I124" s="109"/>
    </row>
    <row r="125" spans="1:9" ht="14.1" customHeight="1" x14ac:dyDescent="0.2">
      <c r="A125" s="99"/>
      <c r="B125" s="1"/>
      <c r="C125" s="2" t="s">
        <v>147</v>
      </c>
      <c r="D125" s="1"/>
      <c r="E125" s="1"/>
      <c r="F125" s="8">
        <v>56911.338750000003</v>
      </c>
      <c r="G125" s="9">
        <v>0.19088636</v>
      </c>
      <c r="H125" s="109"/>
      <c r="I125" s="109"/>
    </row>
    <row r="126" spans="1:9" ht="14.1" customHeight="1" x14ac:dyDescent="0.2">
      <c r="A126" s="99"/>
      <c r="B126" s="1"/>
      <c r="C126" s="10"/>
      <c r="D126" s="1"/>
      <c r="E126" s="1"/>
      <c r="F126" s="11"/>
      <c r="G126" s="11"/>
      <c r="H126" s="109"/>
      <c r="I126" s="109"/>
    </row>
    <row r="127" spans="1:9" ht="14.1" customHeight="1" x14ac:dyDescent="0.2">
      <c r="A127" s="99"/>
      <c r="B127" s="1"/>
      <c r="C127" s="2" t="s">
        <v>148</v>
      </c>
      <c r="D127" s="1"/>
      <c r="E127" s="1"/>
      <c r="F127" s="11"/>
      <c r="G127" s="11"/>
      <c r="H127" s="109"/>
      <c r="I127" s="109"/>
    </row>
    <row r="128" spans="1:9" ht="14.1" customHeight="1" x14ac:dyDescent="0.2">
      <c r="A128" s="99"/>
      <c r="B128" s="1"/>
      <c r="C128" s="2" t="s">
        <v>149</v>
      </c>
      <c r="D128" s="1"/>
      <c r="E128" s="1"/>
      <c r="F128" s="11"/>
      <c r="G128" s="11"/>
      <c r="H128" s="109"/>
      <c r="I128" s="109"/>
    </row>
    <row r="129" spans="1:9" ht="17.100000000000001" customHeight="1" x14ac:dyDescent="0.2">
      <c r="A129" s="100">
        <v>1</v>
      </c>
      <c r="B129" s="3" t="s">
        <v>615</v>
      </c>
      <c r="C129" s="3" t="s">
        <v>907</v>
      </c>
      <c r="D129" s="3" t="s">
        <v>616</v>
      </c>
      <c r="E129" s="4">
        <v>500</v>
      </c>
      <c r="F129" s="5">
        <v>2467.0275000000001</v>
      </c>
      <c r="G129" s="6">
        <v>8.2746599999999997E-3</v>
      </c>
      <c r="H129" s="109">
        <v>7.5050999999999997</v>
      </c>
      <c r="I129" s="109"/>
    </row>
    <row r="130" spans="1:9" ht="17.100000000000001" customHeight="1" x14ac:dyDescent="0.2">
      <c r="A130" s="100">
        <v>2</v>
      </c>
      <c r="B130" s="3" t="s">
        <v>617</v>
      </c>
      <c r="C130" s="3" t="s">
        <v>908</v>
      </c>
      <c r="D130" s="3" t="s">
        <v>616</v>
      </c>
      <c r="E130" s="4">
        <v>500</v>
      </c>
      <c r="F130" s="5">
        <v>2414.2624999999998</v>
      </c>
      <c r="G130" s="6">
        <v>8.0976799999999995E-3</v>
      </c>
      <c r="H130" s="109">
        <v>7.67</v>
      </c>
      <c r="I130" s="109"/>
    </row>
    <row r="131" spans="1:9" ht="17.100000000000001" customHeight="1" x14ac:dyDescent="0.2">
      <c r="A131" s="100">
        <v>3</v>
      </c>
      <c r="B131" s="3" t="s">
        <v>618</v>
      </c>
      <c r="C131" s="3" t="s">
        <v>619</v>
      </c>
      <c r="D131" s="3" t="s">
        <v>620</v>
      </c>
      <c r="E131" s="4">
        <v>500</v>
      </c>
      <c r="F131" s="5">
        <v>2413.4475000000002</v>
      </c>
      <c r="G131" s="6">
        <v>8.0949500000000001E-3</v>
      </c>
      <c r="H131" s="109">
        <v>7.7</v>
      </c>
      <c r="I131" s="109"/>
    </row>
    <row r="132" spans="1:9" ht="29.1" customHeight="1" x14ac:dyDescent="0.2">
      <c r="A132" s="100">
        <v>4</v>
      </c>
      <c r="B132" s="3" t="s">
        <v>621</v>
      </c>
      <c r="C132" s="95" t="s">
        <v>910</v>
      </c>
      <c r="D132" s="3" t="s">
        <v>620</v>
      </c>
      <c r="E132" s="4">
        <v>500</v>
      </c>
      <c r="F132" s="5">
        <v>2406</v>
      </c>
      <c r="G132" s="6">
        <v>8.0699699999999992E-3</v>
      </c>
      <c r="H132" s="109">
        <v>7.75</v>
      </c>
      <c r="I132" s="109"/>
    </row>
    <row r="133" spans="1:9" ht="17.100000000000001" customHeight="1" x14ac:dyDescent="0.2">
      <c r="A133" s="100">
        <v>5</v>
      </c>
      <c r="B133" s="3" t="s">
        <v>622</v>
      </c>
      <c r="C133" s="3" t="s">
        <v>623</v>
      </c>
      <c r="D133" s="3" t="s">
        <v>616</v>
      </c>
      <c r="E133" s="4">
        <v>500</v>
      </c>
      <c r="F133" s="5">
        <v>2401.69</v>
      </c>
      <c r="G133" s="6">
        <v>8.0555100000000001E-3</v>
      </c>
      <c r="H133" s="109">
        <v>7.6619000000000002</v>
      </c>
      <c r="I133" s="109"/>
    </row>
    <row r="134" spans="1:9" ht="14.1" customHeight="1" x14ac:dyDescent="0.2">
      <c r="A134" s="99"/>
      <c r="B134" s="1"/>
      <c r="C134" s="2" t="s">
        <v>135</v>
      </c>
      <c r="D134" s="1"/>
      <c r="E134" s="1" t="s">
        <v>136</v>
      </c>
      <c r="F134" s="8">
        <v>12102.4275</v>
      </c>
      <c r="G134" s="9">
        <v>4.059277E-2</v>
      </c>
      <c r="H134" s="109"/>
      <c r="I134" s="109"/>
    </row>
    <row r="135" spans="1:9" ht="14.1" customHeight="1" x14ac:dyDescent="0.2">
      <c r="A135" s="99"/>
      <c r="B135" s="1"/>
      <c r="C135" s="10"/>
      <c r="D135" s="1"/>
      <c r="E135" s="1"/>
      <c r="F135" s="11"/>
      <c r="G135" s="11"/>
      <c r="H135" s="109"/>
      <c r="I135" s="109"/>
    </row>
    <row r="136" spans="1:9" ht="14.1" customHeight="1" x14ac:dyDescent="0.2">
      <c r="A136" s="99"/>
      <c r="B136" s="1"/>
      <c r="C136" s="2" t="s">
        <v>150</v>
      </c>
      <c r="D136" s="1"/>
      <c r="E136" s="1"/>
      <c r="F136" s="11"/>
      <c r="G136" s="11"/>
      <c r="H136" s="109"/>
      <c r="I136" s="109"/>
    </row>
    <row r="137" spans="1:9" ht="29.1" customHeight="1" x14ac:dyDescent="0.2">
      <c r="A137" s="100">
        <v>1</v>
      </c>
      <c r="B137" s="3" t="s">
        <v>624</v>
      </c>
      <c r="C137" s="3" t="s">
        <v>625</v>
      </c>
      <c r="D137" s="3" t="s">
        <v>620</v>
      </c>
      <c r="E137" s="4">
        <v>500</v>
      </c>
      <c r="F137" s="5">
        <v>2379.8125</v>
      </c>
      <c r="G137" s="6">
        <v>7.9821300000000005E-3</v>
      </c>
      <c r="H137" s="109">
        <v>7.98</v>
      </c>
      <c r="I137" s="109"/>
    </row>
    <row r="138" spans="1:9" ht="29.1" customHeight="1" x14ac:dyDescent="0.2">
      <c r="A138" s="100">
        <v>2</v>
      </c>
      <c r="B138" s="3" t="s">
        <v>626</v>
      </c>
      <c r="C138" s="3" t="s">
        <v>627</v>
      </c>
      <c r="D138" s="3" t="s">
        <v>620</v>
      </c>
      <c r="E138" s="4">
        <v>500</v>
      </c>
      <c r="F138" s="5">
        <v>2331.375</v>
      </c>
      <c r="G138" s="6">
        <v>7.8196700000000008E-3</v>
      </c>
      <c r="H138" s="109">
        <v>8</v>
      </c>
      <c r="I138" s="109"/>
    </row>
    <row r="139" spans="1:9" ht="14.1" customHeight="1" x14ac:dyDescent="0.2">
      <c r="A139" s="99"/>
      <c r="B139" s="1"/>
      <c r="C139" s="2" t="s">
        <v>135</v>
      </c>
      <c r="D139" s="1"/>
      <c r="E139" s="1" t="s">
        <v>136</v>
      </c>
      <c r="F139" s="8">
        <v>4711.1875</v>
      </c>
      <c r="G139" s="9">
        <v>1.5801800000000001E-2</v>
      </c>
      <c r="H139" s="109"/>
      <c r="I139" s="109"/>
    </row>
    <row r="140" spans="1:9" ht="14.1" customHeight="1" x14ac:dyDescent="0.2">
      <c r="A140" s="99"/>
      <c r="B140" s="1"/>
      <c r="C140" s="10"/>
      <c r="D140" s="1"/>
      <c r="E140" s="1"/>
      <c r="F140" s="11"/>
      <c r="G140" s="11"/>
      <c r="H140" s="109"/>
      <c r="I140" s="109"/>
    </row>
    <row r="141" spans="1:9" ht="14.1" customHeight="1" x14ac:dyDescent="0.2">
      <c r="A141" s="99"/>
      <c r="B141" s="1"/>
      <c r="C141" s="2" t="s">
        <v>151</v>
      </c>
      <c r="D141" s="1"/>
      <c r="E141" s="1"/>
      <c r="F141" s="11"/>
      <c r="G141" s="11"/>
      <c r="H141" s="109"/>
      <c r="I141" s="109"/>
    </row>
    <row r="142" spans="1:9" ht="14.1" customHeight="1" x14ac:dyDescent="0.2">
      <c r="A142" s="99"/>
      <c r="B142" s="1"/>
      <c r="C142" s="2" t="s">
        <v>135</v>
      </c>
      <c r="D142" s="1"/>
      <c r="E142" s="1" t="s">
        <v>136</v>
      </c>
      <c r="F142" s="115">
        <v>0</v>
      </c>
      <c r="G142" s="9">
        <v>0</v>
      </c>
      <c r="H142" s="109"/>
      <c r="I142" s="109"/>
    </row>
    <row r="143" spans="1:9" ht="14.1" customHeight="1" x14ac:dyDescent="0.2">
      <c r="A143" s="99"/>
      <c r="B143" s="1"/>
      <c r="C143" s="10"/>
      <c r="D143" s="1"/>
      <c r="E143" s="1"/>
      <c r="F143" s="11"/>
      <c r="G143" s="11"/>
      <c r="H143" s="109"/>
      <c r="I143" s="109"/>
    </row>
    <row r="144" spans="1:9" ht="14.1" customHeight="1" x14ac:dyDescent="0.2">
      <c r="A144" s="99"/>
      <c r="B144" s="1"/>
      <c r="C144" s="2" t="s">
        <v>152</v>
      </c>
      <c r="D144" s="1"/>
      <c r="E144" s="1"/>
      <c r="F144" s="11"/>
      <c r="G144" s="11"/>
      <c r="H144" s="109"/>
      <c r="I144" s="109"/>
    </row>
    <row r="145" spans="1:9" ht="17.100000000000001" customHeight="1" x14ac:dyDescent="0.2">
      <c r="A145" s="100">
        <v>1</v>
      </c>
      <c r="B145" s="3"/>
      <c r="C145" s="3" t="s">
        <v>153</v>
      </c>
      <c r="D145" s="3"/>
      <c r="E145" s="7"/>
      <c r="F145" s="5">
        <v>14497.210034068001</v>
      </c>
      <c r="G145" s="6">
        <v>4.8625090000000003E-2</v>
      </c>
      <c r="H145" s="109">
        <v>6.6015165706411798</v>
      </c>
      <c r="I145" s="109"/>
    </row>
    <row r="146" spans="1:9" ht="14.1" customHeight="1" x14ac:dyDescent="0.2">
      <c r="A146" s="99"/>
      <c r="B146" s="1"/>
      <c r="C146" s="2" t="s">
        <v>135</v>
      </c>
      <c r="D146" s="1"/>
      <c r="E146" s="1" t="s">
        <v>136</v>
      </c>
      <c r="F146" s="8">
        <v>14497.210034068001</v>
      </c>
      <c r="G146" s="9">
        <v>4.8625090000000003E-2</v>
      </c>
      <c r="H146" s="109"/>
      <c r="I146" s="109"/>
    </row>
    <row r="147" spans="1:9" ht="14.1" customHeight="1" x14ac:dyDescent="0.2">
      <c r="A147" s="99"/>
      <c r="B147" s="1"/>
      <c r="C147" s="10"/>
      <c r="D147" s="1"/>
      <c r="E147" s="1"/>
      <c r="F147" s="11"/>
      <c r="G147" s="11"/>
      <c r="H147" s="109"/>
      <c r="I147" s="109"/>
    </row>
    <row r="148" spans="1:9" ht="14.1" customHeight="1" x14ac:dyDescent="0.2">
      <c r="A148" s="99"/>
      <c r="B148" s="1"/>
      <c r="C148" s="2" t="s">
        <v>154</v>
      </c>
      <c r="D148" s="1"/>
      <c r="E148" s="1"/>
      <c r="F148" s="8">
        <v>31310.825034067999</v>
      </c>
      <c r="G148" s="9">
        <v>0.10501966</v>
      </c>
      <c r="H148" s="109"/>
      <c r="I148" s="109"/>
    </row>
    <row r="149" spans="1:9" ht="14.1" customHeight="1" x14ac:dyDescent="0.2">
      <c r="A149" s="99"/>
      <c r="B149" s="1"/>
      <c r="C149" s="11"/>
      <c r="D149" s="1"/>
      <c r="E149" s="1"/>
      <c r="F149" s="1"/>
      <c r="G149" s="1"/>
      <c r="H149" s="109"/>
      <c r="I149" s="109"/>
    </row>
    <row r="150" spans="1:9" ht="14.1" customHeight="1" x14ac:dyDescent="0.2">
      <c r="A150" s="99"/>
      <c r="B150" s="1"/>
      <c r="C150" s="2" t="s">
        <v>155</v>
      </c>
      <c r="D150" s="1"/>
      <c r="E150" s="1"/>
      <c r="F150" s="1"/>
      <c r="G150" s="1"/>
      <c r="H150" s="109"/>
      <c r="I150" s="109"/>
    </row>
    <row r="151" spans="1:9" ht="14.1" customHeight="1" x14ac:dyDescent="0.2">
      <c r="A151" s="99"/>
      <c r="B151" s="1"/>
      <c r="C151" s="2" t="s">
        <v>156</v>
      </c>
      <c r="D151" s="1"/>
      <c r="E151" s="1"/>
      <c r="F151" s="1"/>
      <c r="G151" s="1"/>
      <c r="H151" s="109"/>
      <c r="I151" s="109"/>
    </row>
    <row r="152" spans="1:9" ht="14.1" customHeight="1" x14ac:dyDescent="0.2">
      <c r="A152" s="99"/>
      <c r="B152" s="1"/>
      <c r="C152" s="2" t="s">
        <v>135</v>
      </c>
      <c r="D152" s="1"/>
      <c r="E152" s="1" t="s">
        <v>136</v>
      </c>
      <c r="F152" s="115">
        <v>0</v>
      </c>
      <c r="G152" s="9">
        <v>0</v>
      </c>
      <c r="H152" s="109"/>
      <c r="I152" s="109"/>
    </row>
    <row r="153" spans="1:9" ht="14.1" customHeight="1" x14ac:dyDescent="0.2">
      <c r="A153" s="99"/>
      <c r="B153" s="1"/>
      <c r="C153" s="10"/>
      <c r="D153" s="1"/>
      <c r="E153" s="1"/>
      <c r="F153" s="11"/>
      <c r="G153" s="11"/>
      <c r="H153" s="109"/>
      <c r="I153" s="109"/>
    </row>
    <row r="154" spans="1:9" ht="14.1" customHeight="1" x14ac:dyDescent="0.2">
      <c r="A154" s="99"/>
      <c r="B154" s="1"/>
      <c r="C154" s="2" t="s">
        <v>157</v>
      </c>
      <c r="D154" s="1"/>
      <c r="E154" s="1"/>
      <c r="F154" s="1"/>
      <c r="G154" s="1"/>
      <c r="H154" s="109"/>
      <c r="I154" s="109"/>
    </row>
    <row r="155" spans="1:9" ht="14.1" customHeight="1" x14ac:dyDescent="0.2">
      <c r="A155" s="99"/>
      <c r="B155" s="1"/>
      <c r="C155" s="2" t="s">
        <v>158</v>
      </c>
      <c r="D155" s="1"/>
      <c r="E155" s="1"/>
      <c r="F155" s="1"/>
      <c r="G155" s="1"/>
      <c r="H155" s="109"/>
      <c r="I155" s="109"/>
    </row>
    <row r="156" spans="1:9" ht="14.1" customHeight="1" x14ac:dyDescent="0.2">
      <c r="A156" s="99"/>
      <c r="B156" s="1"/>
      <c r="C156" s="2" t="s">
        <v>135</v>
      </c>
      <c r="D156" s="1"/>
      <c r="E156" s="1" t="s">
        <v>136</v>
      </c>
      <c r="F156" s="115">
        <v>0</v>
      </c>
      <c r="G156" s="9">
        <v>0</v>
      </c>
      <c r="H156" s="109"/>
      <c r="I156" s="109"/>
    </row>
    <row r="157" spans="1:9" ht="14.1" customHeight="1" x14ac:dyDescent="0.2">
      <c r="A157" s="99"/>
      <c r="B157" s="1"/>
      <c r="C157" s="10"/>
      <c r="D157" s="1"/>
      <c r="E157" s="1"/>
      <c r="F157" s="11"/>
      <c r="G157" s="11"/>
      <c r="H157" s="109"/>
      <c r="I157" s="109"/>
    </row>
    <row r="158" spans="1:9" ht="24" customHeight="1" x14ac:dyDescent="0.2">
      <c r="A158" s="99"/>
      <c r="B158" s="1"/>
      <c r="C158" s="2" t="s">
        <v>159</v>
      </c>
      <c r="D158" s="1"/>
      <c r="E158" s="1"/>
      <c r="F158" s="11"/>
      <c r="G158" s="11"/>
      <c r="H158" s="109"/>
      <c r="I158" s="109"/>
    </row>
    <row r="159" spans="1:9" ht="14.1" customHeight="1" x14ac:dyDescent="0.2">
      <c r="A159" s="99"/>
      <c r="B159" s="1"/>
      <c r="C159" s="2" t="s">
        <v>135</v>
      </c>
      <c r="D159" s="1"/>
      <c r="E159" s="1" t="s">
        <v>136</v>
      </c>
      <c r="F159" s="115">
        <v>0</v>
      </c>
      <c r="G159" s="9">
        <v>0</v>
      </c>
      <c r="H159" s="109"/>
      <c r="I159" s="109"/>
    </row>
    <row r="160" spans="1:9" ht="14.1" customHeight="1" x14ac:dyDescent="0.2">
      <c r="A160" s="99"/>
      <c r="B160" s="1"/>
      <c r="C160" s="10"/>
      <c r="D160" s="1"/>
      <c r="E160" s="1"/>
      <c r="F160" s="11"/>
      <c r="G160" s="11"/>
      <c r="H160" s="109"/>
      <c r="I160" s="109"/>
    </row>
    <row r="161" spans="1:9" ht="14.1" customHeight="1" x14ac:dyDescent="0.2">
      <c r="A161" s="99"/>
      <c r="B161" s="3"/>
      <c r="C161" s="3"/>
      <c r="D161" s="2"/>
      <c r="E161" s="1"/>
      <c r="F161" s="3"/>
      <c r="G161" s="7"/>
      <c r="H161" s="109"/>
      <c r="I161" s="109"/>
    </row>
    <row r="162" spans="1:9" ht="18" customHeight="1" x14ac:dyDescent="0.2">
      <c r="A162" s="101"/>
      <c r="B162" s="3"/>
      <c r="C162" s="3" t="s">
        <v>933</v>
      </c>
      <c r="D162" s="3"/>
      <c r="E162" s="7"/>
      <c r="F162" s="5">
        <v>1056.65060569</v>
      </c>
      <c r="G162" s="6">
        <v>3.5441100000000001E-3</v>
      </c>
      <c r="H162" s="109"/>
      <c r="I162" s="109"/>
    </row>
    <row r="163" spans="1:9" ht="14.1" customHeight="1" x14ac:dyDescent="0.2">
      <c r="A163" s="102"/>
      <c r="B163" s="10"/>
      <c r="C163" s="2" t="s">
        <v>161</v>
      </c>
      <c r="D163" s="11"/>
      <c r="E163" s="11"/>
      <c r="F163" s="8">
        <v>298142.562755358</v>
      </c>
      <c r="G163" s="12">
        <v>1.00000008</v>
      </c>
      <c r="H163" s="109"/>
      <c r="I163" s="109"/>
    </row>
    <row r="164" spans="1:9" ht="14.1" customHeight="1" x14ac:dyDescent="0.2">
      <c r="A164" s="13"/>
      <c r="B164" s="13"/>
      <c r="C164" s="13"/>
      <c r="D164" s="14"/>
      <c r="E164" s="14"/>
      <c r="F164" s="14"/>
      <c r="G164" s="14"/>
    </row>
    <row r="165" spans="1:9" ht="17.100000000000001" customHeight="1" x14ac:dyDescent="0.2">
      <c r="A165" s="15"/>
      <c r="B165" s="193" t="s">
        <v>931</v>
      </c>
      <c r="C165" s="193"/>
      <c r="D165" s="193"/>
      <c r="E165" s="193"/>
      <c r="F165" s="193"/>
      <c r="G165" s="17"/>
    </row>
    <row r="166" spans="1:9" ht="17.100000000000001" customHeight="1" x14ac:dyDescent="0.2">
      <c r="A166" s="15"/>
      <c r="B166" s="193" t="s">
        <v>932</v>
      </c>
      <c r="C166" s="193"/>
      <c r="D166" s="193"/>
      <c r="E166" s="193"/>
      <c r="F166" s="193"/>
      <c r="G166" s="17"/>
    </row>
    <row r="167" spans="1:9" ht="17.100000000000001" customHeight="1" x14ac:dyDescent="0.2">
      <c r="A167" s="15"/>
      <c r="B167" s="193" t="s">
        <v>162</v>
      </c>
      <c r="C167" s="193"/>
      <c r="D167" s="193"/>
      <c r="E167" s="193"/>
      <c r="F167" s="193"/>
      <c r="G167" s="17"/>
    </row>
    <row r="168" spans="1:9" ht="69.75" customHeight="1" x14ac:dyDescent="0.2">
      <c r="A168" s="15"/>
      <c r="B168" s="216" t="s">
        <v>904</v>
      </c>
      <c r="C168" s="216"/>
      <c r="D168" s="216"/>
      <c r="E168" s="216"/>
      <c r="F168" s="216"/>
      <c r="G168" s="17"/>
    </row>
    <row r="169" spans="1:9" ht="14.1" customHeight="1" x14ac:dyDescent="0.2">
      <c r="A169" s="15"/>
      <c r="B169" s="15"/>
      <c r="C169" s="15"/>
      <c r="D169" s="17"/>
      <c r="E169" s="17"/>
      <c r="F169" s="17"/>
      <c r="G169" s="17"/>
    </row>
    <row r="170" spans="1:9" ht="14.1" customHeight="1" x14ac:dyDescent="0.2">
      <c r="A170" s="15"/>
      <c r="B170" s="194" t="s">
        <v>163</v>
      </c>
      <c r="C170" s="195"/>
      <c r="D170" s="196"/>
      <c r="E170" s="18"/>
      <c r="F170" s="17"/>
      <c r="G170" s="17"/>
    </row>
    <row r="171" spans="1:9" ht="29.1" customHeight="1" x14ac:dyDescent="0.2">
      <c r="A171" s="15"/>
      <c r="B171" s="191" t="s">
        <v>164</v>
      </c>
      <c r="C171" s="192"/>
      <c r="D171" s="112" t="s">
        <v>1035</v>
      </c>
      <c r="E171" s="18"/>
      <c r="F171" s="17"/>
      <c r="G171" s="17"/>
    </row>
    <row r="172" spans="1:9" ht="17.100000000000001" customHeight="1" x14ac:dyDescent="0.2">
      <c r="A172" s="15"/>
      <c r="B172" s="235" t="s">
        <v>915</v>
      </c>
      <c r="C172" s="236"/>
      <c r="D172" s="112" t="s">
        <v>925</v>
      </c>
      <c r="E172" s="18"/>
      <c r="F172" s="17"/>
      <c r="G172" s="17"/>
    </row>
    <row r="173" spans="1:9" ht="17.100000000000001" customHeight="1" x14ac:dyDescent="0.2">
      <c r="A173" s="15"/>
      <c r="B173" s="191" t="s">
        <v>167</v>
      </c>
      <c r="C173" s="192"/>
      <c r="D173" s="11" t="s">
        <v>136</v>
      </c>
      <c r="E173" s="18"/>
      <c r="F173" s="17"/>
      <c r="G173" s="17"/>
    </row>
    <row r="174" spans="1:9" ht="24" customHeight="1" x14ac:dyDescent="0.2">
      <c r="A174" s="19"/>
      <c r="B174" s="20" t="s">
        <v>136</v>
      </c>
      <c r="C174" s="20" t="s">
        <v>168</v>
      </c>
      <c r="D174" s="20" t="s">
        <v>169</v>
      </c>
      <c r="E174" s="19"/>
      <c r="F174" s="19"/>
      <c r="G174" s="19"/>
    </row>
    <row r="175" spans="1:9" ht="18" customHeight="1" x14ac:dyDescent="0.2">
      <c r="A175" s="19"/>
      <c r="B175" s="21" t="s">
        <v>170</v>
      </c>
      <c r="C175" s="20" t="s">
        <v>171</v>
      </c>
      <c r="D175" s="20" t="s">
        <v>172</v>
      </c>
      <c r="E175" s="19"/>
      <c r="F175" s="19"/>
      <c r="G175" s="19"/>
    </row>
    <row r="176" spans="1:9" ht="17.100000000000001" customHeight="1" x14ac:dyDescent="0.2">
      <c r="A176" s="19"/>
      <c r="B176" s="3" t="s">
        <v>173</v>
      </c>
      <c r="C176" s="22">
        <v>125.0813</v>
      </c>
      <c r="D176" s="22">
        <v>123.2907</v>
      </c>
      <c r="E176" s="19"/>
      <c r="F176" s="16"/>
      <c r="G176" s="23"/>
    </row>
    <row r="177" spans="1:15" ht="29.1" customHeight="1" x14ac:dyDescent="0.2">
      <c r="A177" s="19"/>
      <c r="B177" s="3" t="s">
        <v>1047</v>
      </c>
      <c r="C177" s="22">
        <v>37.442100000000003</v>
      </c>
      <c r="D177" s="22">
        <v>36.564</v>
      </c>
      <c r="E177" s="19"/>
      <c r="F177" s="16"/>
      <c r="G177" s="23"/>
    </row>
    <row r="178" spans="1:15" ht="17.100000000000001" customHeight="1" x14ac:dyDescent="0.2">
      <c r="A178" s="19"/>
      <c r="B178" s="3" t="s">
        <v>174</v>
      </c>
      <c r="C178" s="22">
        <v>112.246</v>
      </c>
      <c r="D178" s="22">
        <v>110.5218</v>
      </c>
      <c r="E178" s="19"/>
      <c r="F178" s="16"/>
      <c r="G178" s="23"/>
    </row>
    <row r="179" spans="1:15" ht="29.1" customHeight="1" x14ac:dyDescent="0.2">
      <c r="A179" s="19"/>
      <c r="B179" s="3" t="s">
        <v>1049</v>
      </c>
      <c r="C179" s="22">
        <v>25.496700000000001</v>
      </c>
      <c r="D179" s="22">
        <v>24.860800000000001</v>
      </c>
      <c r="E179" s="19"/>
      <c r="F179" s="16"/>
      <c r="G179" s="23"/>
    </row>
    <row r="180" spans="1:15" ht="14.1" customHeight="1" x14ac:dyDescent="0.2">
      <c r="A180" s="19"/>
      <c r="B180" s="19"/>
      <c r="C180" s="19"/>
      <c r="D180" s="19"/>
      <c r="E180" s="19"/>
      <c r="F180" s="19"/>
      <c r="G180" s="19"/>
    </row>
    <row r="181" spans="1:15" ht="17.100000000000001" customHeight="1" x14ac:dyDescent="0.2">
      <c r="A181" s="19"/>
      <c r="B181" s="191" t="s">
        <v>1044</v>
      </c>
      <c r="C181" s="192"/>
      <c r="D181" s="2" t="s">
        <v>136</v>
      </c>
      <c r="E181" s="19"/>
      <c r="F181" s="19"/>
      <c r="G181" s="19"/>
    </row>
    <row r="182" spans="1:15" ht="18" customHeight="1" x14ac:dyDescent="0.2">
      <c r="A182" s="19"/>
      <c r="B182" s="27" t="s">
        <v>170</v>
      </c>
      <c r="C182" s="28" t="s">
        <v>628</v>
      </c>
      <c r="D182" s="28" t="s">
        <v>629</v>
      </c>
      <c r="E182" s="19"/>
      <c r="F182" s="19"/>
      <c r="G182" s="19"/>
    </row>
    <row r="183" spans="1:15" ht="29.1" customHeight="1" x14ac:dyDescent="0.2">
      <c r="A183" s="19"/>
      <c r="B183" s="229" t="s">
        <v>1047</v>
      </c>
      <c r="C183" s="29">
        <v>0.35</v>
      </c>
      <c r="D183" s="29">
        <v>0.35</v>
      </c>
      <c r="E183" s="19"/>
      <c r="F183" s="16"/>
      <c r="G183" s="23"/>
    </row>
    <row r="184" spans="1:15" ht="29.1" customHeight="1" x14ac:dyDescent="0.2">
      <c r="A184" s="19"/>
      <c r="B184" s="229" t="s">
        <v>1090</v>
      </c>
      <c r="C184" s="29">
        <v>0.25</v>
      </c>
      <c r="D184" s="29">
        <v>0.25</v>
      </c>
      <c r="E184" s="19"/>
      <c r="F184" s="16"/>
      <c r="G184" s="23"/>
    </row>
    <row r="185" spans="1:15" ht="14.1" customHeight="1" x14ac:dyDescent="0.2">
      <c r="A185" s="19"/>
      <c r="B185" s="30"/>
      <c r="C185" s="30"/>
      <c r="D185" s="31"/>
      <c r="E185" s="19"/>
      <c r="F185" s="16"/>
      <c r="G185" s="23"/>
    </row>
    <row r="186" spans="1:15" ht="29.1" customHeight="1" x14ac:dyDescent="0.2">
      <c r="A186" s="19"/>
      <c r="B186" s="191" t="s">
        <v>175</v>
      </c>
      <c r="C186" s="192"/>
      <c r="D186" s="2" t="s">
        <v>165</v>
      </c>
      <c r="E186" s="25"/>
      <c r="F186" s="19"/>
      <c r="G186" s="19"/>
    </row>
    <row r="187" spans="1:15" ht="29.1" customHeight="1" x14ac:dyDescent="0.2">
      <c r="A187" s="19"/>
      <c r="B187" s="191" t="s">
        <v>176</v>
      </c>
      <c r="C187" s="192"/>
      <c r="D187" s="2" t="s">
        <v>165</v>
      </c>
      <c r="E187" s="25"/>
      <c r="F187" s="19"/>
      <c r="G187" s="19"/>
    </row>
    <row r="188" spans="1:15" ht="17.100000000000001" customHeight="1" x14ac:dyDescent="0.2">
      <c r="A188" s="19"/>
      <c r="B188" s="191" t="s">
        <v>177</v>
      </c>
      <c r="C188" s="192"/>
      <c r="D188" s="2" t="s">
        <v>165</v>
      </c>
      <c r="E188" s="25"/>
      <c r="F188" s="19"/>
      <c r="G188" s="19"/>
    </row>
    <row r="189" spans="1:15" ht="17.100000000000001" customHeight="1" x14ac:dyDescent="0.2">
      <c r="A189" s="19"/>
      <c r="B189" s="191" t="s">
        <v>178</v>
      </c>
      <c r="C189" s="192"/>
      <c r="D189" s="26">
        <v>0.60466985191358424</v>
      </c>
      <c r="E189" s="19"/>
      <c r="F189" s="16"/>
      <c r="G189" s="23"/>
    </row>
    <row r="190" spans="1:15" ht="14.1" customHeight="1" x14ac:dyDescent="0.2">
      <c r="A190" s="24"/>
      <c r="B190" s="24"/>
      <c r="C190" s="24"/>
      <c r="D190" s="24"/>
      <c r="E190" s="24"/>
      <c r="F190" s="24"/>
      <c r="G190" s="24"/>
    </row>
    <row r="191" spans="1:15" s="121" customFormat="1" x14ac:dyDescent="0.2">
      <c r="B191" s="122" t="s">
        <v>1040</v>
      </c>
      <c r="J191"/>
      <c r="K191"/>
      <c r="L191"/>
      <c r="M191"/>
      <c r="N191"/>
      <c r="O191"/>
    </row>
    <row r="192" spans="1:15" s="121" customFormat="1" ht="38.25" x14ac:dyDescent="0.2">
      <c r="B192" s="123" t="s">
        <v>1007</v>
      </c>
      <c r="C192" s="123" t="s">
        <v>1008</v>
      </c>
      <c r="D192" s="123" t="s">
        <v>1009</v>
      </c>
      <c r="E192" s="123" t="s">
        <v>1010</v>
      </c>
      <c r="F192" s="123" t="s">
        <v>1011</v>
      </c>
      <c r="J192"/>
      <c r="K192"/>
      <c r="L192"/>
      <c r="M192"/>
      <c r="N192"/>
      <c r="O192"/>
    </row>
    <row r="193" spans="2:15" s="121" customFormat="1" ht="25.5" x14ac:dyDescent="0.2">
      <c r="B193" s="124" t="s">
        <v>1012</v>
      </c>
      <c r="C193" s="125" t="s">
        <v>1013</v>
      </c>
      <c r="D193" s="126">
        <v>0</v>
      </c>
      <c r="E193" s="127">
        <v>0</v>
      </c>
      <c r="F193" s="128">
        <v>1000</v>
      </c>
      <c r="J193"/>
      <c r="K193"/>
      <c r="L193"/>
      <c r="M193"/>
      <c r="N193"/>
      <c r="O193"/>
    </row>
    <row r="194" spans="2:15" s="121" customFormat="1" x14ac:dyDescent="0.2">
      <c r="B194" s="122"/>
      <c r="J194"/>
      <c r="K194"/>
      <c r="L194"/>
      <c r="M194"/>
      <c r="N194"/>
      <c r="O194"/>
    </row>
    <row r="195" spans="2:15" s="121" customFormat="1" ht="29.25" customHeight="1" x14ac:dyDescent="0.2">
      <c r="B195" s="129" t="s">
        <v>1014</v>
      </c>
      <c r="C195" s="129" t="s">
        <v>1015</v>
      </c>
      <c r="D195" s="211" t="s">
        <v>1016</v>
      </c>
      <c r="E195" s="212"/>
      <c r="F195" s="201" t="s">
        <v>1017</v>
      </c>
      <c r="G195" s="201"/>
      <c r="H195" s="130"/>
      <c r="I195" s="131"/>
      <c r="J195"/>
      <c r="K195"/>
      <c r="L195"/>
      <c r="M195"/>
      <c r="N195"/>
      <c r="O195"/>
    </row>
    <row r="196" spans="2:15" s="121" customFormat="1" ht="25.5" x14ac:dyDescent="0.2">
      <c r="B196" s="132" t="s">
        <v>1018</v>
      </c>
      <c r="C196" s="133" t="s">
        <v>1019</v>
      </c>
      <c r="D196" s="213">
        <v>0</v>
      </c>
      <c r="E196" s="214"/>
      <c r="F196" s="213">
        <v>0</v>
      </c>
      <c r="G196" s="214"/>
      <c r="H196" s="134"/>
      <c r="I196" s="131"/>
      <c r="J196"/>
      <c r="K196"/>
      <c r="L196"/>
      <c r="M196"/>
      <c r="N196"/>
      <c r="O196"/>
    </row>
    <row r="197" spans="2:15" s="121" customFormat="1" x14ac:dyDescent="0.2">
      <c r="B197" s="202" t="s">
        <v>1020</v>
      </c>
      <c r="C197" s="203"/>
      <c r="D197" s="203"/>
      <c r="E197" s="203"/>
      <c r="F197" s="203"/>
      <c r="G197" s="204"/>
      <c r="H197" s="134"/>
      <c r="I197" s="131"/>
      <c r="J197"/>
      <c r="K197"/>
      <c r="L197"/>
      <c r="M197"/>
      <c r="N197"/>
      <c r="O197"/>
    </row>
    <row r="198" spans="2:15" s="121" customFormat="1" x14ac:dyDescent="0.2">
      <c r="B198" s="201" t="s">
        <v>1014</v>
      </c>
      <c r="C198" s="201" t="s">
        <v>1015</v>
      </c>
      <c r="D198" s="202" t="s">
        <v>1021</v>
      </c>
      <c r="E198" s="203"/>
      <c r="F198" s="204"/>
      <c r="G198" s="132"/>
      <c r="H198" s="134"/>
      <c r="I198" s="131"/>
      <c r="J198"/>
      <c r="K198"/>
      <c r="L198"/>
      <c r="M198"/>
      <c r="N198"/>
      <c r="O198"/>
    </row>
    <row r="199" spans="2:15" s="121" customFormat="1" ht="38.25" x14ac:dyDescent="0.2">
      <c r="B199" s="201"/>
      <c r="C199" s="201"/>
      <c r="D199" s="135" t="s">
        <v>1022</v>
      </c>
      <c r="E199" s="135" t="s">
        <v>1023</v>
      </c>
      <c r="F199" s="135" t="s">
        <v>1024</v>
      </c>
      <c r="G199" s="135" t="s">
        <v>1034</v>
      </c>
      <c r="H199" s="134"/>
      <c r="I199" s="131"/>
      <c r="J199"/>
      <c r="K199"/>
      <c r="L199"/>
      <c r="M199"/>
      <c r="N199"/>
      <c r="O199"/>
    </row>
    <row r="200" spans="2:15" s="121" customFormat="1" ht="25.5" x14ac:dyDescent="0.2">
      <c r="B200" s="136" t="s">
        <v>1018</v>
      </c>
      <c r="C200" s="133" t="s">
        <v>1019</v>
      </c>
      <c r="D200" s="137">
        <v>700</v>
      </c>
      <c r="E200" s="137">
        <v>24.098357999999998</v>
      </c>
      <c r="F200" s="138">
        <v>724.09835799999996</v>
      </c>
      <c r="G200" s="139">
        <v>2.3957432849137802E-3</v>
      </c>
      <c r="H200" s="134"/>
      <c r="I200" s="131"/>
      <c r="J200"/>
      <c r="K200"/>
      <c r="L200"/>
      <c r="M200"/>
      <c r="N200"/>
      <c r="O200"/>
    </row>
    <row r="201" spans="2:15" s="121" customFormat="1" ht="27.75" customHeight="1" x14ac:dyDescent="0.2">
      <c r="B201" s="205" t="s">
        <v>1025</v>
      </c>
      <c r="C201" s="206"/>
      <c r="D201" s="206"/>
      <c r="E201" s="206"/>
      <c r="F201" s="206"/>
      <c r="G201" s="207"/>
      <c r="H201" s="134"/>
      <c r="I201" s="131"/>
      <c r="J201"/>
      <c r="K201"/>
      <c r="L201"/>
      <c r="M201"/>
      <c r="N201"/>
      <c r="O201"/>
    </row>
    <row r="203" spans="2:15" x14ac:dyDescent="0.2">
      <c r="B203" s="208" t="s">
        <v>1026</v>
      </c>
      <c r="C203" s="209"/>
      <c r="D203" s="210"/>
    </row>
    <row r="204" spans="2:15" ht="38.25" x14ac:dyDescent="0.2">
      <c r="B204" s="197" t="s">
        <v>1027</v>
      </c>
      <c r="C204" s="197"/>
      <c r="D204" s="140" t="s">
        <v>544</v>
      </c>
    </row>
    <row r="205" spans="2:15" x14ac:dyDescent="0.2">
      <c r="B205" s="197" t="s">
        <v>1028</v>
      </c>
      <c r="C205" s="197"/>
      <c r="D205" s="140"/>
      <c r="J205" s="111"/>
    </row>
    <row r="206" spans="2:15" x14ac:dyDescent="0.2">
      <c r="B206" s="198"/>
      <c r="C206" s="199"/>
      <c r="D206" s="141"/>
      <c r="J206" s="111"/>
    </row>
    <row r="207" spans="2:15" x14ac:dyDescent="0.2">
      <c r="B207" s="197" t="s">
        <v>1029</v>
      </c>
      <c r="C207" s="197"/>
      <c r="D207" s="142">
        <v>7.4643700758980618</v>
      </c>
      <c r="J207" s="111"/>
    </row>
    <row r="208" spans="2:15" x14ac:dyDescent="0.2">
      <c r="B208" s="198"/>
      <c r="C208" s="199"/>
      <c r="D208" s="141"/>
      <c r="J208" s="111"/>
    </row>
    <row r="209" spans="2:10" x14ac:dyDescent="0.2">
      <c r="B209" s="197" t="s">
        <v>1030</v>
      </c>
      <c r="C209" s="197"/>
      <c r="D209" s="142">
        <v>2.0063258177578205</v>
      </c>
      <c r="J209" s="111"/>
    </row>
    <row r="210" spans="2:10" x14ac:dyDescent="0.2">
      <c r="B210" s="197" t="s">
        <v>1031</v>
      </c>
      <c r="C210" s="197"/>
      <c r="D210" s="142">
        <v>2.6390145275174532</v>
      </c>
      <c r="J210" s="111"/>
    </row>
    <row r="211" spans="2:10" x14ac:dyDescent="0.2">
      <c r="B211" s="198"/>
      <c r="C211" s="199"/>
      <c r="D211" s="141"/>
      <c r="J211" s="111"/>
    </row>
    <row r="212" spans="2:10" x14ac:dyDescent="0.2">
      <c r="B212" s="197" t="s">
        <v>1032</v>
      </c>
      <c r="C212" s="197"/>
      <c r="D212" s="143">
        <v>44985</v>
      </c>
      <c r="J212" s="111"/>
    </row>
    <row r="213" spans="2:10" ht="12.75" customHeight="1" x14ac:dyDescent="0.2">
      <c r="B213" s="198" t="s">
        <v>1033</v>
      </c>
      <c r="C213" s="200"/>
      <c r="D213" s="199"/>
      <c r="J213" s="111"/>
    </row>
    <row r="214" spans="2:10" x14ac:dyDescent="0.2">
      <c r="J214" s="111"/>
    </row>
    <row r="215" spans="2:10" ht="15" x14ac:dyDescent="0.2">
      <c r="J215" s="173"/>
    </row>
    <row r="216" spans="2:10" ht="15" x14ac:dyDescent="0.25">
      <c r="J216" s="174"/>
    </row>
    <row r="217" spans="2:10" x14ac:dyDescent="0.2">
      <c r="J217" s="111"/>
    </row>
  </sheetData>
  <mergeCells count="37">
    <mergeCell ref="K2:O2"/>
    <mergeCell ref="B170:D170"/>
    <mergeCell ref="B181:C181"/>
    <mergeCell ref="B168:F168"/>
    <mergeCell ref="B171:C171"/>
    <mergeCell ref="B167:F167"/>
    <mergeCell ref="B166:F166"/>
    <mergeCell ref="B165:F165"/>
    <mergeCell ref="A1:I1"/>
    <mergeCell ref="A2:I2"/>
    <mergeCell ref="A3:I3"/>
    <mergeCell ref="B188:C188"/>
    <mergeCell ref="B189:C189"/>
    <mergeCell ref="B186:C186"/>
    <mergeCell ref="B187:C187"/>
    <mergeCell ref="B172:C172"/>
    <mergeCell ref="B173:C173"/>
    <mergeCell ref="D195:E195"/>
    <mergeCell ref="F195:G195"/>
    <mergeCell ref="D196:E196"/>
    <mergeCell ref="F196:G196"/>
    <mergeCell ref="B197:G197"/>
    <mergeCell ref="B198:B199"/>
    <mergeCell ref="C198:C199"/>
    <mergeCell ref="D198:F198"/>
    <mergeCell ref="B201:G201"/>
    <mergeCell ref="B203:D203"/>
    <mergeCell ref="B204:C204"/>
    <mergeCell ref="B205:C205"/>
    <mergeCell ref="B206:C206"/>
    <mergeCell ref="B207:C207"/>
    <mergeCell ref="B208:C208"/>
    <mergeCell ref="B209:C209"/>
    <mergeCell ref="B210:C210"/>
    <mergeCell ref="B211:C211"/>
    <mergeCell ref="B212:C212"/>
    <mergeCell ref="B213:D213"/>
  </mergeCells>
  <hyperlinks>
    <hyperlink ref="J1" location="Index!B23" display="Index" xr:uid="{A7940811-B683-4A0F-A9AF-588EB5F890AB}"/>
  </hyperlinks>
  <pageMargins left="5.000000074505806E-2" right="5.000000074505806E-2" top="0.30000001192092896" bottom="0.20000000298023224" header="0" footer="0"/>
  <pageSetup paperSize="9" orientation="landscape"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O160"/>
  <sheetViews>
    <sheetView showGridLines="0" workbookViewId="0">
      <selection sqref="A1:H1"/>
    </sheetView>
  </sheetViews>
  <sheetFormatPr defaultRowHeight="12.75" x14ac:dyDescent="0.2"/>
  <cols>
    <col min="1" max="1" width="5.85546875" bestFit="1" customWidth="1"/>
    <col min="2" max="2" width="22.85546875" customWidth="1"/>
    <col min="3" max="3" width="35.7109375" customWidth="1"/>
    <col min="4" max="4" width="17.85546875" customWidth="1"/>
    <col min="5" max="6" width="19.140625" customWidth="1"/>
    <col min="7" max="7" width="16.42578125" customWidth="1"/>
    <col min="8" max="8" width="11.5703125" bestFit="1" customWidth="1"/>
  </cols>
  <sheetData>
    <row r="1" spans="1:15" ht="18" customHeight="1" x14ac:dyDescent="0.2">
      <c r="A1" s="187" t="s">
        <v>0</v>
      </c>
      <c r="B1" s="187"/>
      <c r="C1" s="187"/>
      <c r="D1" s="187"/>
      <c r="E1" s="187"/>
      <c r="F1" s="187"/>
      <c r="G1" s="187"/>
      <c r="H1" s="187"/>
      <c r="I1" s="167" t="s">
        <v>1055</v>
      </c>
    </row>
    <row r="2" spans="1:15" ht="17.100000000000001" customHeight="1" x14ac:dyDescent="0.2">
      <c r="A2" s="188" t="s">
        <v>630</v>
      </c>
      <c r="B2" s="189"/>
      <c r="C2" s="189"/>
      <c r="D2" s="189"/>
      <c r="E2" s="189"/>
      <c r="F2" s="189"/>
      <c r="G2" s="189"/>
      <c r="H2" s="190"/>
      <c r="J2" s="186" t="s">
        <v>1056</v>
      </c>
      <c r="K2" s="186"/>
      <c r="L2" s="186"/>
      <c r="M2" s="186"/>
      <c r="N2" s="186"/>
    </row>
    <row r="3" spans="1:15" ht="21" customHeight="1" x14ac:dyDescent="0.2">
      <c r="A3" s="187" t="s">
        <v>1052</v>
      </c>
      <c r="B3" s="187"/>
      <c r="C3" s="187"/>
      <c r="D3" s="187"/>
      <c r="E3" s="187"/>
      <c r="F3" s="187"/>
      <c r="G3" s="187"/>
      <c r="H3" s="187"/>
    </row>
    <row r="4" spans="1:15" ht="30" x14ac:dyDescent="0.2">
      <c r="A4" s="163" t="s">
        <v>2</v>
      </c>
      <c r="B4" s="164" t="s">
        <v>3</v>
      </c>
      <c r="C4" s="164" t="s">
        <v>4</v>
      </c>
      <c r="D4" s="164" t="s">
        <v>5</v>
      </c>
      <c r="E4" s="164" t="s">
        <v>6</v>
      </c>
      <c r="F4" s="164" t="s">
        <v>7</v>
      </c>
      <c r="G4" s="164" t="s">
        <v>8</v>
      </c>
      <c r="H4" s="120" t="s">
        <v>881</v>
      </c>
      <c r="I4" s="165"/>
      <c r="J4" s="165"/>
      <c r="K4" s="165"/>
      <c r="L4" s="165"/>
      <c r="M4" s="165"/>
      <c r="N4" s="165"/>
      <c r="O4" s="165"/>
    </row>
    <row r="5" spans="1:15" ht="14.1" customHeight="1" x14ac:dyDescent="0.2">
      <c r="A5" s="99"/>
      <c r="B5" s="1"/>
      <c r="C5" s="2" t="s">
        <v>9</v>
      </c>
      <c r="D5" s="1"/>
      <c r="E5" s="1"/>
      <c r="F5" s="1"/>
      <c r="G5" s="1"/>
      <c r="H5" s="109"/>
    </row>
    <row r="6" spans="1:15" ht="24" customHeight="1" x14ac:dyDescent="0.2">
      <c r="A6" s="99"/>
      <c r="B6" s="1"/>
      <c r="C6" s="2" t="s">
        <v>10</v>
      </c>
      <c r="D6" s="1"/>
      <c r="E6" s="1"/>
      <c r="F6" s="1"/>
      <c r="G6" s="1"/>
      <c r="H6" s="109"/>
    </row>
    <row r="7" spans="1:15" ht="17.100000000000001" customHeight="1" x14ac:dyDescent="0.2">
      <c r="A7" s="100">
        <v>1</v>
      </c>
      <c r="B7" s="3" t="s">
        <v>324</v>
      </c>
      <c r="C7" s="3" t="s">
        <v>325</v>
      </c>
      <c r="D7" s="3" t="s">
        <v>22</v>
      </c>
      <c r="E7" s="4">
        <v>53600</v>
      </c>
      <c r="F7" s="5">
        <v>926.87800000000004</v>
      </c>
      <c r="G7" s="6">
        <v>8.5564290000000001E-2</v>
      </c>
      <c r="H7" s="109"/>
    </row>
    <row r="8" spans="1:15" ht="17.100000000000001" customHeight="1" x14ac:dyDescent="0.2">
      <c r="A8" s="100">
        <v>2</v>
      </c>
      <c r="B8" s="3" t="s">
        <v>20</v>
      </c>
      <c r="C8" s="3" t="s">
        <v>21</v>
      </c>
      <c r="D8" s="3" t="s">
        <v>22</v>
      </c>
      <c r="E8" s="4">
        <v>105700</v>
      </c>
      <c r="F8" s="5">
        <v>903.57645000000002</v>
      </c>
      <c r="G8" s="6">
        <v>8.3413210000000002E-2</v>
      </c>
      <c r="H8" s="109"/>
    </row>
    <row r="9" spans="1:15" ht="17.100000000000001" customHeight="1" x14ac:dyDescent="0.2">
      <c r="A9" s="100">
        <v>3</v>
      </c>
      <c r="B9" s="3" t="s">
        <v>69</v>
      </c>
      <c r="C9" s="3" t="s">
        <v>70</v>
      </c>
      <c r="D9" s="3" t="s">
        <v>71</v>
      </c>
      <c r="E9" s="4">
        <v>9000</v>
      </c>
      <c r="F9" s="5">
        <v>776.19150000000002</v>
      </c>
      <c r="G9" s="6">
        <v>7.1653739999999994E-2</v>
      </c>
      <c r="H9" s="109"/>
    </row>
    <row r="10" spans="1:15" ht="17.100000000000001" customHeight="1" x14ac:dyDescent="0.2">
      <c r="A10" s="100">
        <v>4</v>
      </c>
      <c r="B10" s="3" t="s">
        <v>92</v>
      </c>
      <c r="C10" s="3" t="s">
        <v>93</v>
      </c>
      <c r="D10" s="3" t="s">
        <v>94</v>
      </c>
      <c r="E10" s="4">
        <v>504350</v>
      </c>
      <c r="F10" s="5">
        <v>766.86417500000005</v>
      </c>
      <c r="G10" s="6">
        <v>7.0792690000000005E-2</v>
      </c>
      <c r="H10" s="109"/>
    </row>
    <row r="11" spans="1:15" ht="17.100000000000001" customHeight="1" x14ac:dyDescent="0.2">
      <c r="A11" s="100">
        <v>5</v>
      </c>
      <c r="B11" s="3" t="s">
        <v>346</v>
      </c>
      <c r="C11" s="3" t="s">
        <v>347</v>
      </c>
      <c r="D11" s="3" t="s">
        <v>120</v>
      </c>
      <c r="E11" s="4">
        <v>9375</v>
      </c>
      <c r="F11" s="5">
        <v>573.00937499999998</v>
      </c>
      <c r="G11" s="6">
        <v>5.2897079999999999E-2</v>
      </c>
      <c r="H11" s="109"/>
    </row>
    <row r="12" spans="1:15" ht="17.100000000000001" customHeight="1" x14ac:dyDescent="0.2">
      <c r="A12" s="100">
        <v>6</v>
      </c>
      <c r="B12" s="3" t="s">
        <v>17</v>
      </c>
      <c r="C12" s="3" t="s">
        <v>18</v>
      </c>
      <c r="D12" s="3" t="s">
        <v>19</v>
      </c>
      <c r="E12" s="4">
        <v>21250</v>
      </c>
      <c r="F12" s="5">
        <v>493.541875</v>
      </c>
      <c r="G12" s="6">
        <v>4.5561079999999997E-2</v>
      </c>
      <c r="H12" s="109"/>
      <c r="J12" s="169"/>
    </row>
    <row r="13" spans="1:15" ht="17.100000000000001" customHeight="1" x14ac:dyDescent="0.2">
      <c r="A13" s="100">
        <v>7</v>
      </c>
      <c r="B13" s="3" t="s">
        <v>631</v>
      </c>
      <c r="C13" s="3" t="s">
        <v>632</v>
      </c>
      <c r="D13" s="3" t="s">
        <v>97</v>
      </c>
      <c r="E13" s="4">
        <v>125400</v>
      </c>
      <c r="F13" s="5">
        <v>440.96910000000003</v>
      </c>
      <c r="G13" s="6">
        <v>4.0707849999999997E-2</v>
      </c>
      <c r="H13" s="109"/>
    </row>
    <row r="14" spans="1:15" ht="17.100000000000001" customHeight="1" x14ac:dyDescent="0.2">
      <c r="A14" s="100">
        <v>8</v>
      </c>
      <c r="B14" s="3" t="s">
        <v>14</v>
      </c>
      <c r="C14" s="3" t="s">
        <v>15</v>
      </c>
      <c r="D14" s="3" t="s">
        <v>16</v>
      </c>
      <c r="E14" s="4">
        <v>57950</v>
      </c>
      <c r="F14" s="5">
        <v>430.13387499999999</v>
      </c>
      <c r="G14" s="6">
        <v>3.9707600000000003E-2</v>
      </c>
      <c r="H14" s="109"/>
      <c r="J14" s="169" t="s">
        <v>1070</v>
      </c>
    </row>
    <row r="15" spans="1:15" ht="17.100000000000001" customHeight="1" x14ac:dyDescent="0.2">
      <c r="A15" s="100">
        <v>9</v>
      </c>
      <c r="B15" s="3" t="s">
        <v>240</v>
      </c>
      <c r="C15" s="3" t="s">
        <v>241</v>
      </c>
      <c r="D15" s="3" t="s">
        <v>242</v>
      </c>
      <c r="E15" s="4">
        <v>180000</v>
      </c>
      <c r="F15" s="5">
        <v>352.08</v>
      </c>
      <c r="G15" s="6">
        <v>3.2502089999999997E-2</v>
      </c>
      <c r="H15" s="109"/>
    </row>
    <row r="16" spans="1:15" ht="29.1" customHeight="1" x14ac:dyDescent="0.2">
      <c r="A16" s="100">
        <v>10</v>
      </c>
      <c r="B16" s="3" t="s">
        <v>127</v>
      </c>
      <c r="C16" s="3" t="s">
        <v>128</v>
      </c>
      <c r="D16" s="3" t="s">
        <v>129</v>
      </c>
      <c r="E16" s="4">
        <v>50000</v>
      </c>
      <c r="F16" s="5">
        <v>296.22500000000002</v>
      </c>
      <c r="G16" s="6">
        <v>2.7345870000000001E-2</v>
      </c>
      <c r="H16" s="109"/>
    </row>
    <row r="17" spans="1:8" ht="17.100000000000001" customHeight="1" x14ac:dyDescent="0.2">
      <c r="A17" s="100">
        <v>11</v>
      </c>
      <c r="B17" s="3" t="s">
        <v>633</v>
      </c>
      <c r="C17" s="3" t="s">
        <v>634</v>
      </c>
      <c r="D17" s="3" t="s">
        <v>115</v>
      </c>
      <c r="E17" s="4">
        <v>7000</v>
      </c>
      <c r="F17" s="5">
        <v>198.01599999999999</v>
      </c>
      <c r="G17" s="6">
        <v>1.8279750000000001E-2</v>
      </c>
      <c r="H17" s="109"/>
    </row>
    <row r="18" spans="1:8" ht="17.100000000000001" customHeight="1" x14ac:dyDescent="0.2">
      <c r="A18" s="100">
        <v>12</v>
      </c>
      <c r="B18" s="3" t="s">
        <v>635</v>
      </c>
      <c r="C18" s="3" t="s">
        <v>636</v>
      </c>
      <c r="D18" s="3" t="s">
        <v>277</v>
      </c>
      <c r="E18" s="4">
        <v>30000</v>
      </c>
      <c r="F18" s="5">
        <v>159.78</v>
      </c>
      <c r="G18" s="6">
        <v>1.4750009999999999E-2</v>
      </c>
      <c r="H18" s="109"/>
    </row>
    <row r="19" spans="1:8" ht="17.100000000000001" customHeight="1" x14ac:dyDescent="0.2">
      <c r="A19" s="100">
        <v>13</v>
      </c>
      <c r="B19" s="3" t="s">
        <v>197</v>
      </c>
      <c r="C19" s="3" t="s">
        <v>198</v>
      </c>
      <c r="D19" s="3" t="s">
        <v>22</v>
      </c>
      <c r="E19" s="4">
        <v>18000</v>
      </c>
      <c r="F19" s="5">
        <v>151.93799999999999</v>
      </c>
      <c r="G19" s="6">
        <v>1.402608E-2</v>
      </c>
      <c r="H19" s="109"/>
    </row>
    <row r="20" spans="1:8" ht="29.1" customHeight="1" x14ac:dyDescent="0.2">
      <c r="A20" s="100">
        <v>14</v>
      </c>
      <c r="B20" s="3" t="s">
        <v>125</v>
      </c>
      <c r="C20" s="3" t="s">
        <v>126</v>
      </c>
      <c r="D20" s="3" t="s">
        <v>25</v>
      </c>
      <c r="E20" s="4">
        <v>43200</v>
      </c>
      <c r="F20" s="5">
        <v>147.78720000000001</v>
      </c>
      <c r="G20" s="6">
        <v>1.3642899999999999E-2</v>
      </c>
      <c r="H20" s="109"/>
    </row>
    <row r="21" spans="1:8" ht="17.100000000000001" customHeight="1" x14ac:dyDescent="0.2">
      <c r="A21" s="100">
        <v>15</v>
      </c>
      <c r="B21" s="3" t="s">
        <v>53</v>
      </c>
      <c r="C21" s="3" t="s">
        <v>54</v>
      </c>
      <c r="D21" s="3" t="s">
        <v>36</v>
      </c>
      <c r="E21" s="4">
        <v>3575</v>
      </c>
      <c r="F21" s="5">
        <v>116.06595</v>
      </c>
      <c r="G21" s="6">
        <v>1.071457E-2</v>
      </c>
      <c r="H21" s="109"/>
    </row>
    <row r="22" spans="1:8" ht="17.100000000000001" customHeight="1" x14ac:dyDescent="0.2">
      <c r="A22" s="100">
        <v>16</v>
      </c>
      <c r="B22" s="3" t="s">
        <v>67</v>
      </c>
      <c r="C22" s="3" t="s">
        <v>68</v>
      </c>
      <c r="D22" s="3" t="s">
        <v>28</v>
      </c>
      <c r="E22" s="4">
        <v>47250</v>
      </c>
      <c r="F22" s="5">
        <v>95.704875000000001</v>
      </c>
      <c r="G22" s="6">
        <v>8.8349499999999994E-3</v>
      </c>
      <c r="H22" s="109"/>
    </row>
    <row r="23" spans="1:8" ht="17.100000000000001" customHeight="1" x14ac:dyDescent="0.2">
      <c r="A23" s="100">
        <v>17</v>
      </c>
      <c r="B23" s="3" t="s">
        <v>211</v>
      </c>
      <c r="C23" s="3" t="s">
        <v>212</v>
      </c>
      <c r="D23" s="3" t="s">
        <v>213</v>
      </c>
      <c r="E23" s="4">
        <v>10000</v>
      </c>
      <c r="F23" s="5">
        <v>54.92</v>
      </c>
      <c r="G23" s="6">
        <v>5.0699100000000004E-3</v>
      </c>
      <c r="H23" s="109"/>
    </row>
    <row r="24" spans="1:8" ht="17.100000000000001" customHeight="1" x14ac:dyDescent="0.2">
      <c r="A24" s="100">
        <v>18</v>
      </c>
      <c r="B24" s="3" t="s">
        <v>490</v>
      </c>
      <c r="C24" s="3" t="s">
        <v>491</v>
      </c>
      <c r="D24" s="3" t="s">
        <v>203</v>
      </c>
      <c r="E24" s="4">
        <v>23400</v>
      </c>
      <c r="F24" s="5">
        <v>53.7498</v>
      </c>
      <c r="G24" s="6">
        <v>4.9618900000000001E-3</v>
      </c>
      <c r="H24" s="109"/>
    </row>
    <row r="25" spans="1:8" ht="17.100000000000001" customHeight="1" x14ac:dyDescent="0.2">
      <c r="A25" s="100">
        <v>19</v>
      </c>
      <c r="B25" s="3" t="s">
        <v>316</v>
      </c>
      <c r="C25" s="3" t="s">
        <v>317</v>
      </c>
      <c r="D25" s="3" t="s">
        <v>996</v>
      </c>
      <c r="E25" s="4">
        <v>13500</v>
      </c>
      <c r="F25" s="5">
        <v>52.251750000000001</v>
      </c>
      <c r="G25" s="6">
        <v>4.8235999999999999E-3</v>
      </c>
      <c r="H25" s="109"/>
    </row>
    <row r="26" spans="1:8" ht="29.1" customHeight="1" x14ac:dyDescent="0.2">
      <c r="A26" s="100">
        <v>20</v>
      </c>
      <c r="B26" s="3" t="s">
        <v>637</v>
      </c>
      <c r="C26" s="3" t="s">
        <v>638</v>
      </c>
      <c r="D26" s="3" t="s">
        <v>221</v>
      </c>
      <c r="E26" s="4">
        <v>11000</v>
      </c>
      <c r="F26" s="5">
        <v>50.902500000000003</v>
      </c>
      <c r="G26" s="6">
        <v>4.6990399999999998E-3</v>
      </c>
      <c r="H26" s="109"/>
    </row>
    <row r="27" spans="1:8" ht="29.1" customHeight="1" x14ac:dyDescent="0.2">
      <c r="A27" s="100">
        <v>21</v>
      </c>
      <c r="B27" s="3" t="s">
        <v>219</v>
      </c>
      <c r="C27" s="3" t="s">
        <v>220</v>
      </c>
      <c r="D27" s="3" t="s">
        <v>221</v>
      </c>
      <c r="E27" s="4">
        <v>10800</v>
      </c>
      <c r="F27" s="5">
        <v>50.306399999999996</v>
      </c>
      <c r="G27" s="6">
        <v>4.6440099999999996E-3</v>
      </c>
      <c r="H27" s="109"/>
    </row>
    <row r="28" spans="1:8" ht="17.100000000000001" customHeight="1" x14ac:dyDescent="0.2">
      <c r="A28" s="100">
        <v>22</v>
      </c>
      <c r="B28" s="3" t="s">
        <v>354</v>
      </c>
      <c r="C28" s="3" t="s">
        <v>355</v>
      </c>
      <c r="D28" s="3" t="s">
        <v>115</v>
      </c>
      <c r="E28" s="4">
        <v>1875</v>
      </c>
      <c r="F28" s="5">
        <v>44.49</v>
      </c>
      <c r="G28" s="6">
        <v>4.10707E-3</v>
      </c>
      <c r="H28" s="109"/>
    </row>
    <row r="29" spans="1:8" ht="29.1" customHeight="1" x14ac:dyDescent="0.2">
      <c r="A29" s="100">
        <v>23</v>
      </c>
      <c r="B29" s="3" t="s">
        <v>295</v>
      </c>
      <c r="C29" s="3" t="s">
        <v>296</v>
      </c>
      <c r="D29" s="3" t="s">
        <v>120</v>
      </c>
      <c r="E29" s="4">
        <v>1500</v>
      </c>
      <c r="F29" s="5">
        <v>39.141750000000002</v>
      </c>
      <c r="G29" s="6">
        <v>3.61335E-3</v>
      </c>
      <c r="H29" s="109"/>
    </row>
    <row r="30" spans="1:8" ht="17.100000000000001" customHeight="1" x14ac:dyDescent="0.2">
      <c r="A30" s="100">
        <v>24</v>
      </c>
      <c r="B30" s="3" t="s">
        <v>639</v>
      </c>
      <c r="C30" s="3" t="s">
        <v>640</v>
      </c>
      <c r="D30" s="3" t="s">
        <v>120</v>
      </c>
      <c r="E30" s="4">
        <v>8924</v>
      </c>
      <c r="F30" s="5">
        <v>7.7951139999999999</v>
      </c>
      <c r="G30" s="6">
        <v>7.1960000000000004E-4</v>
      </c>
      <c r="H30" s="109"/>
    </row>
    <row r="31" spans="1:8" ht="14.1" customHeight="1" x14ac:dyDescent="0.2">
      <c r="A31" s="99"/>
      <c r="B31" s="1"/>
      <c r="C31" s="2" t="s">
        <v>135</v>
      </c>
      <c r="D31" s="1"/>
      <c r="E31" s="1" t="s">
        <v>136</v>
      </c>
      <c r="F31" s="8">
        <v>7182.3186889999997</v>
      </c>
      <c r="G31" s="9">
        <v>0.66303223</v>
      </c>
      <c r="H31" s="109"/>
    </row>
    <row r="32" spans="1:8" ht="14.1" customHeight="1" x14ac:dyDescent="0.2">
      <c r="A32" s="99"/>
      <c r="B32" s="1"/>
      <c r="C32" s="10"/>
      <c r="D32" s="1"/>
      <c r="E32" s="1"/>
      <c r="F32" s="11"/>
      <c r="G32" s="11"/>
      <c r="H32" s="109"/>
    </row>
    <row r="33" spans="1:8" ht="14.1" customHeight="1" x14ac:dyDescent="0.2">
      <c r="A33" s="99"/>
      <c r="B33" s="1"/>
      <c r="C33" s="2" t="s">
        <v>137</v>
      </c>
      <c r="D33" s="1"/>
      <c r="E33" s="1"/>
      <c r="F33" s="1"/>
      <c r="G33" s="1"/>
      <c r="H33" s="109"/>
    </row>
    <row r="34" spans="1:8" ht="14.1" customHeight="1" x14ac:dyDescent="0.2">
      <c r="A34" s="99"/>
      <c r="B34" s="1"/>
      <c r="C34" s="2" t="s">
        <v>135</v>
      </c>
      <c r="D34" s="1"/>
      <c r="E34" s="1" t="s">
        <v>136</v>
      </c>
      <c r="F34" s="115">
        <v>0</v>
      </c>
      <c r="G34" s="9">
        <v>0</v>
      </c>
      <c r="H34" s="109"/>
    </row>
    <row r="35" spans="1:8" ht="14.1" customHeight="1" x14ac:dyDescent="0.2">
      <c r="A35" s="99"/>
      <c r="B35" s="1"/>
      <c r="C35" s="10"/>
      <c r="D35" s="1"/>
      <c r="E35" s="1"/>
      <c r="F35" s="11"/>
      <c r="G35" s="11"/>
      <c r="H35" s="109"/>
    </row>
    <row r="36" spans="1:8" ht="14.1" customHeight="1" x14ac:dyDescent="0.2">
      <c r="A36" s="99"/>
      <c r="B36" s="1"/>
      <c r="C36" s="2" t="s">
        <v>138</v>
      </c>
      <c r="D36" s="1"/>
      <c r="E36" s="1"/>
      <c r="F36" s="1"/>
      <c r="G36" s="1"/>
      <c r="H36" s="109"/>
    </row>
    <row r="37" spans="1:8" ht="14.1" customHeight="1" x14ac:dyDescent="0.2">
      <c r="A37" s="99"/>
      <c r="B37" s="1"/>
      <c r="C37" s="2" t="s">
        <v>135</v>
      </c>
      <c r="D37" s="1"/>
      <c r="E37" s="1" t="s">
        <v>136</v>
      </c>
      <c r="F37" s="115">
        <v>0</v>
      </c>
      <c r="G37" s="9">
        <v>0</v>
      </c>
      <c r="H37" s="109"/>
    </row>
    <row r="38" spans="1:8" ht="14.1" customHeight="1" x14ac:dyDescent="0.2">
      <c r="A38" s="99"/>
      <c r="B38" s="1"/>
      <c r="C38" s="10"/>
      <c r="D38" s="1"/>
      <c r="E38" s="1"/>
      <c r="F38" s="11"/>
      <c r="G38" s="11"/>
      <c r="H38" s="109"/>
    </row>
    <row r="39" spans="1:8" ht="14.1" customHeight="1" x14ac:dyDescent="0.2">
      <c r="A39" s="99"/>
      <c r="B39" s="1"/>
      <c r="C39" s="2" t="s">
        <v>139</v>
      </c>
      <c r="D39" s="1"/>
      <c r="E39" s="1"/>
      <c r="F39" s="1"/>
      <c r="G39" s="1"/>
      <c r="H39" s="109"/>
    </row>
    <row r="40" spans="1:8" ht="14.1" customHeight="1" x14ac:dyDescent="0.2">
      <c r="A40" s="99"/>
      <c r="B40" s="1"/>
      <c r="C40" s="2" t="s">
        <v>135</v>
      </c>
      <c r="D40" s="1"/>
      <c r="E40" s="1" t="s">
        <v>136</v>
      </c>
      <c r="F40" s="115">
        <v>0</v>
      </c>
      <c r="G40" s="9">
        <v>0</v>
      </c>
      <c r="H40" s="109"/>
    </row>
    <row r="41" spans="1:8" ht="14.1" customHeight="1" x14ac:dyDescent="0.2">
      <c r="A41" s="99"/>
      <c r="B41" s="1"/>
      <c r="C41" s="10"/>
      <c r="D41" s="1"/>
      <c r="E41" s="1"/>
      <c r="F41" s="11"/>
      <c r="G41" s="11"/>
      <c r="H41" s="109"/>
    </row>
    <row r="42" spans="1:8" ht="14.1" customHeight="1" x14ac:dyDescent="0.2">
      <c r="A42" s="99"/>
      <c r="B42" s="1"/>
      <c r="C42" s="2" t="s">
        <v>140</v>
      </c>
      <c r="D42" s="1"/>
      <c r="E42" s="1"/>
      <c r="F42" s="11"/>
      <c r="G42" s="11"/>
      <c r="H42" s="109"/>
    </row>
    <row r="43" spans="1:8" ht="14.1" customHeight="1" x14ac:dyDescent="0.2">
      <c r="A43" s="99"/>
      <c r="B43" s="1"/>
      <c r="C43" s="2" t="s">
        <v>135</v>
      </c>
      <c r="D43" s="1"/>
      <c r="E43" s="1" t="s">
        <v>136</v>
      </c>
      <c r="F43" s="115">
        <v>0</v>
      </c>
      <c r="G43" s="9">
        <v>0</v>
      </c>
      <c r="H43" s="109"/>
    </row>
    <row r="44" spans="1:8" ht="14.1" customHeight="1" x14ac:dyDescent="0.2">
      <c r="A44" s="99"/>
      <c r="B44" s="1"/>
      <c r="C44" s="10"/>
      <c r="D44" s="1"/>
      <c r="E44" s="1"/>
      <c r="F44" s="11"/>
      <c r="G44" s="11"/>
      <c r="H44" s="109"/>
    </row>
    <row r="45" spans="1:8" ht="14.1" customHeight="1" x14ac:dyDescent="0.2">
      <c r="A45" s="99"/>
      <c r="B45" s="1"/>
      <c r="C45" s="2" t="s">
        <v>141</v>
      </c>
      <c r="D45" s="1"/>
      <c r="E45" s="1"/>
      <c r="F45" s="11"/>
      <c r="G45" s="11"/>
      <c r="H45" s="109"/>
    </row>
    <row r="46" spans="1:8" ht="17.100000000000001" customHeight="1" x14ac:dyDescent="0.2">
      <c r="A46" s="100">
        <v>1</v>
      </c>
      <c r="B46" s="3"/>
      <c r="C46" s="3" t="s">
        <v>949</v>
      </c>
      <c r="D46" s="3" t="s">
        <v>641</v>
      </c>
      <c r="E46" s="4">
        <v>-8924</v>
      </c>
      <c r="F46" s="5">
        <v>-7.8441960000000002</v>
      </c>
      <c r="G46" s="6">
        <v>-7.2413000000000002E-4</v>
      </c>
      <c r="H46" s="109"/>
    </row>
    <row r="47" spans="1:8" ht="25.5" customHeight="1" x14ac:dyDescent="0.2">
      <c r="A47" s="100">
        <v>2</v>
      </c>
      <c r="B47" s="3"/>
      <c r="C47" s="3" t="s">
        <v>950</v>
      </c>
      <c r="D47" s="3" t="s">
        <v>641</v>
      </c>
      <c r="E47" s="4">
        <v>-1500</v>
      </c>
      <c r="F47" s="5">
        <v>-39.320250000000001</v>
      </c>
      <c r="G47" s="6">
        <v>-3.6298300000000001E-3</v>
      </c>
      <c r="H47" s="109"/>
    </row>
    <row r="48" spans="1:8" ht="17.100000000000001" customHeight="1" x14ac:dyDescent="0.2">
      <c r="A48" s="100">
        <v>3</v>
      </c>
      <c r="B48" s="3"/>
      <c r="C48" s="3" t="s">
        <v>951</v>
      </c>
      <c r="D48" s="3" t="s">
        <v>641</v>
      </c>
      <c r="E48" s="4">
        <v>-1875</v>
      </c>
      <c r="F48" s="5">
        <v>-44.786250000000003</v>
      </c>
      <c r="G48" s="6">
        <v>-4.1344299999999997E-3</v>
      </c>
      <c r="H48" s="109"/>
    </row>
    <row r="49" spans="1:8" ht="17.100000000000001" customHeight="1" x14ac:dyDescent="0.2">
      <c r="A49" s="100">
        <v>4</v>
      </c>
      <c r="B49" s="3"/>
      <c r="C49" s="3" t="s">
        <v>952</v>
      </c>
      <c r="D49" s="3" t="s">
        <v>641</v>
      </c>
      <c r="E49" s="4">
        <v>-10800</v>
      </c>
      <c r="F49" s="5">
        <v>-50.511600000000001</v>
      </c>
      <c r="G49" s="6">
        <v>-4.6629499999999999E-3</v>
      </c>
      <c r="H49" s="109"/>
    </row>
    <row r="50" spans="1:8" ht="17.100000000000001" customHeight="1" x14ac:dyDescent="0.2">
      <c r="A50" s="100">
        <v>5</v>
      </c>
      <c r="B50" s="3"/>
      <c r="C50" s="3" t="s">
        <v>953</v>
      </c>
      <c r="D50" s="3" t="s">
        <v>641</v>
      </c>
      <c r="E50" s="4">
        <v>-11000</v>
      </c>
      <c r="F50" s="5">
        <v>-51.194000000000003</v>
      </c>
      <c r="G50" s="6">
        <v>-4.7259499999999996E-3</v>
      </c>
      <c r="H50" s="109"/>
    </row>
    <row r="51" spans="1:8" ht="17.100000000000001" customHeight="1" x14ac:dyDescent="0.2">
      <c r="A51" s="100">
        <v>6</v>
      </c>
      <c r="B51" s="3"/>
      <c r="C51" s="3" t="s">
        <v>954</v>
      </c>
      <c r="D51" s="3" t="s">
        <v>641</v>
      </c>
      <c r="E51" s="4">
        <v>-13500</v>
      </c>
      <c r="F51" s="5">
        <v>-52.474499999999999</v>
      </c>
      <c r="G51" s="6">
        <v>-4.8441600000000001E-3</v>
      </c>
      <c r="H51" s="109"/>
    </row>
    <row r="52" spans="1:8" ht="24.95" customHeight="1" x14ac:dyDescent="0.2">
      <c r="A52" s="100">
        <v>7</v>
      </c>
      <c r="B52" s="3"/>
      <c r="C52" s="3" t="s">
        <v>955</v>
      </c>
      <c r="D52" s="3" t="s">
        <v>641</v>
      </c>
      <c r="E52" s="4">
        <v>-23400</v>
      </c>
      <c r="F52" s="5">
        <v>-54.170999999999999</v>
      </c>
      <c r="G52" s="6">
        <v>-5.0007699999999999E-3</v>
      </c>
      <c r="H52" s="109"/>
    </row>
    <row r="53" spans="1:8" ht="17.100000000000001" customHeight="1" x14ac:dyDescent="0.2">
      <c r="A53" s="100">
        <v>8</v>
      </c>
      <c r="B53" s="3"/>
      <c r="C53" s="3" t="s">
        <v>956</v>
      </c>
      <c r="D53" s="3" t="s">
        <v>641</v>
      </c>
      <c r="E53" s="4">
        <v>-10000</v>
      </c>
      <c r="F53" s="5">
        <v>-55.29</v>
      </c>
      <c r="G53" s="6">
        <v>-5.1040700000000005E-3</v>
      </c>
      <c r="H53" s="109"/>
    </row>
    <row r="54" spans="1:8" ht="17.100000000000001" customHeight="1" x14ac:dyDescent="0.2">
      <c r="A54" s="100">
        <v>9</v>
      </c>
      <c r="B54" s="3"/>
      <c r="C54" s="3" t="s">
        <v>957</v>
      </c>
      <c r="D54" s="3" t="s">
        <v>641</v>
      </c>
      <c r="E54" s="4">
        <v>-47250</v>
      </c>
      <c r="F54" s="5">
        <v>-96.106499999999997</v>
      </c>
      <c r="G54" s="6">
        <v>-8.8720200000000013E-3</v>
      </c>
      <c r="H54" s="109"/>
    </row>
    <row r="55" spans="1:8" ht="17.100000000000001" customHeight="1" x14ac:dyDescent="0.2">
      <c r="A55" s="100">
        <v>10</v>
      </c>
      <c r="B55" s="3"/>
      <c r="C55" s="3" t="s">
        <v>958</v>
      </c>
      <c r="D55" s="3" t="s">
        <v>641</v>
      </c>
      <c r="E55" s="4">
        <v>-3575</v>
      </c>
      <c r="F55" s="5">
        <v>-116.5610875</v>
      </c>
      <c r="G55" s="6">
        <v>-1.0760280000000001E-2</v>
      </c>
      <c r="H55" s="109"/>
    </row>
    <row r="56" spans="1:8" ht="17.100000000000001" customHeight="1" x14ac:dyDescent="0.2">
      <c r="A56" s="100">
        <v>11</v>
      </c>
      <c r="B56" s="3"/>
      <c r="C56" s="3" t="s">
        <v>959</v>
      </c>
      <c r="D56" s="3" t="s">
        <v>641</v>
      </c>
      <c r="E56" s="4">
        <v>-43200</v>
      </c>
      <c r="F56" s="5">
        <v>-148.82400000000001</v>
      </c>
      <c r="G56" s="6">
        <v>-1.373861E-2</v>
      </c>
      <c r="H56" s="109"/>
    </row>
    <row r="57" spans="1:8" ht="17.100000000000001" customHeight="1" x14ac:dyDescent="0.2">
      <c r="A57" s="100">
        <v>12</v>
      </c>
      <c r="B57" s="3"/>
      <c r="C57" s="3" t="s">
        <v>960</v>
      </c>
      <c r="D57" s="3" t="s">
        <v>641</v>
      </c>
      <c r="E57" s="4">
        <v>-18000</v>
      </c>
      <c r="F57" s="5">
        <v>-152.95500000000001</v>
      </c>
      <c r="G57" s="6">
        <v>-1.4119969999999999E-2</v>
      </c>
      <c r="H57" s="109"/>
    </row>
    <row r="58" spans="1:8" ht="17.100000000000001" customHeight="1" x14ac:dyDescent="0.2">
      <c r="A58" s="100">
        <v>13</v>
      </c>
      <c r="B58" s="3"/>
      <c r="C58" s="3" t="s">
        <v>961</v>
      </c>
      <c r="D58" s="3" t="s">
        <v>641</v>
      </c>
      <c r="E58" s="4">
        <v>-30000</v>
      </c>
      <c r="F58" s="5">
        <v>-160.51499999999999</v>
      </c>
      <c r="G58" s="6">
        <v>-1.481786E-2</v>
      </c>
      <c r="H58" s="109"/>
    </row>
    <row r="59" spans="1:8" ht="17.100000000000001" customHeight="1" x14ac:dyDescent="0.2">
      <c r="A59" s="100">
        <v>14</v>
      </c>
      <c r="B59" s="3"/>
      <c r="C59" s="3" t="s">
        <v>962</v>
      </c>
      <c r="D59" s="3" t="s">
        <v>641</v>
      </c>
      <c r="E59" s="4">
        <v>-7000</v>
      </c>
      <c r="F59" s="5">
        <v>-199.44399999999999</v>
      </c>
      <c r="G59" s="6">
        <v>-1.8411569999999999E-2</v>
      </c>
      <c r="H59" s="109"/>
    </row>
    <row r="60" spans="1:8" ht="17.100000000000001" customHeight="1" x14ac:dyDescent="0.2">
      <c r="A60" s="100">
        <v>15</v>
      </c>
      <c r="B60" s="3"/>
      <c r="C60" s="3" t="s">
        <v>963</v>
      </c>
      <c r="D60" s="3" t="s">
        <v>641</v>
      </c>
      <c r="E60" s="4">
        <v>-50000</v>
      </c>
      <c r="F60" s="5">
        <v>-298.375</v>
      </c>
      <c r="G60" s="6">
        <v>-2.7544339999999997E-2</v>
      </c>
      <c r="H60" s="109"/>
    </row>
    <row r="61" spans="1:8" ht="27.95" customHeight="1" x14ac:dyDescent="0.2">
      <c r="A61" s="100">
        <v>16</v>
      </c>
      <c r="B61" s="3"/>
      <c r="C61" s="3" t="s">
        <v>964</v>
      </c>
      <c r="D61" s="3" t="s">
        <v>641</v>
      </c>
      <c r="E61" s="4">
        <v>-180000</v>
      </c>
      <c r="F61" s="5">
        <v>-353.25</v>
      </c>
      <c r="G61" s="6">
        <v>-3.2610100000000003E-2</v>
      </c>
      <c r="H61" s="109"/>
    </row>
    <row r="62" spans="1:8" ht="17.100000000000001" customHeight="1" x14ac:dyDescent="0.2">
      <c r="A62" s="100">
        <v>17</v>
      </c>
      <c r="B62" s="3"/>
      <c r="C62" s="3" t="s">
        <v>965</v>
      </c>
      <c r="D62" s="3" t="s">
        <v>641</v>
      </c>
      <c r="E62" s="4">
        <v>-57950</v>
      </c>
      <c r="F62" s="5">
        <v>-433.03137500000003</v>
      </c>
      <c r="G62" s="6">
        <v>-3.9975079999999996E-2</v>
      </c>
      <c r="H62" s="109"/>
    </row>
    <row r="63" spans="1:8" ht="17.100000000000001" customHeight="1" x14ac:dyDescent="0.2">
      <c r="A63" s="100">
        <v>18</v>
      </c>
      <c r="B63" s="3"/>
      <c r="C63" s="3" t="s">
        <v>966</v>
      </c>
      <c r="D63" s="3" t="s">
        <v>641</v>
      </c>
      <c r="E63" s="4">
        <v>-125400</v>
      </c>
      <c r="F63" s="5">
        <v>-442.72469999999998</v>
      </c>
      <c r="G63" s="6">
        <v>-4.0869910000000002E-2</v>
      </c>
      <c r="H63" s="109"/>
    </row>
    <row r="64" spans="1:8" ht="17.100000000000001" customHeight="1" x14ac:dyDescent="0.2">
      <c r="A64" s="100">
        <v>19</v>
      </c>
      <c r="B64" s="3"/>
      <c r="C64" s="3" t="s">
        <v>967</v>
      </c>
      <c r="D64" s="3" t="s">
        <v>641</v>
      </c>
      <c r="E64" s="4">
        <v>-21250</v>
      </c>
      <c r="F64" s="5">
        <v>-496.07062500000001</v>
      </c>
      <c r="G64" s="6">
        <v>-4.5794509999999997E-2</v>
      </c>
      <c r="H64" s="109"/>
    </row>
    <row r="65" spans="1:8" ht="17.100000000000001" customHeight="1" x14ac:dyDescent="0.2">
      <c r="A65" s="100">
        <v>20</v>
      </c>
      <c r="B65" s="3"/>
      <c r="C65" s="3" t="s">
        <v>968</v>
      </c>
      <c r="D65" s="3" t="s">
        <v>641</v>
      </c>
      <c r="E65" s="4">
        <v>-9375</v>
      </c>
      <c r="F65" s="5">
        <v>-576.8203125</v>
      </c>
      <c r="G65" s="6">
        <v>-5.3248879999999998E-2</v>
      </c>
      <c r="H65" s="109"/>
    </row>
    <row r="66" spans="1:8" ht="28.5" customHeight="1" x14ac:dyDescent="0.2">
      <c r="A66" s="100">
        <v>21</v>
      </c>
      <c r="B66" s="3"/>
      <c r="C66" s="3" t="s">
        <v>969</v>
      </c>
      <c r="D66" s="3" t="s">
        <v>641</v>
      </c>
      <c r="E66" s="4">
        <v>-504350</v>
      </c>
      <c r="F66" s="5">
        <v>-771.90767500000004</v>
      </c>
      <c r="G66" s="6">
        <v>-7.1258280000000007E-2</v>
      </c>
      <c r="H66" s="109"/>
    </row>
    <row r="67" spans="1:8" ht="17.100000000000001" customHeight="1" x14ac:dyDescent="0.2">
      <c r="A67" s="100">
        <v>22</v>
      </c>
      <c r="B67" s="3"/>
      <c r="C67" s="3" t="s">
        <v>970</v>
      </c>
      <c r="D67" s="3" t="s">
        <v>641</v>
      </c>
      <c r="E67" s="4">
        <v>-9000</v>
      </c>
      <c r="F67" s="5">
        <v>-781.44749999999999</v>
      </c>
      <c r="G67" s="6">
        <v>-7.2138939999999999E-2</v>
      </c>
      <c r="H67" s="109"/>
    </row>
    <row r="68" spans="1:8" ht="17.100000000000001" customHeight="1" x14ac:dyDescent="0.2">
      <c r="A68" s="100">
        <v>23</v>
      </c>
      <c r="B68" s="3"/>
      <c r="C68" s="3" t="s">
        <v>971</v>
      </c>
      <c r="D68" s="3" t="s">
        <v>641</v>
      </c>
      <c r="E68" s="4">
        <v>-105700</v>
      </c>
      <c r="F68" s="5">
        <v>-907.48734999999999</v>
      </c>
      <c r="G68" s="6">
        <v>-8.3774250000000008E-2</v>
      </c>
      <c r="H68" s="109"/>
    </row>
    <row r="69" spans="1:8" ht="17.100000000000001" customHeight="1" x14ac:dyDescent="0.2">
      <c r="A69" s="100">
        <v>24</v>
      </c>
      <c r="B69" s="3"/>
      <c r="C69" s="3" t="s">
        <v>972</v>
      </c>
      <c r="D69" s="3" t="s">
        <v>641</v>
      </c>
      <c r="E69" s="4">
        <v>-53600</v>
      </c>
      <c r="F69" s="5">
        <v>-931.32680000000005</v>
      </c>
      <c r="G69" s="6">
        <v>-8.5974970000000012E-2</v>
      </c>
      <c r="H69" s="109"/>
    </row>
    <row r="70" spans="1:8" ht="14.1" customHeight="1" x14ac:dyDescent="0.2">
      <c r="A70" s="99"/>
      <c r="B70" s="1"/>
      <c r="C70" s="2" t="s">
        <v>135</v>
      </c>
      <c r="D70" s="1"/>
      <c r="E70" s="1" t="s">
        <v>136</v>
      </c>
      <c r="F70" s="8">
        <v>-7222.4387210000004</v>
      </c>
      <c r="G70" s="9">
        <v>-0.66673585999999996</v>
      </c>
      <c r="H70" s="109"/>
    </row>
    <row r="71" spans="1:8" ht="14.1" customHeight="1" x14ac:dyDescent="0.2">
      <c r="A71" s="99"/>
      <c r="B71" s="1"/>
      <c r="C71" s="10"/>
      <c r="D71" s="1"/>
      <c r="E71" s="1"/>
      <c r="F71" s="11"/>
      <c r="G71" s="11"/>
      <c r="H71" s="109"/>
    </row>
    <row r="72" spans="1:8" ht="18" customHeight="1" x14ac:dyDescent="0.2">
      <c r="A72" s="99"/>
      <c r="B72" s="1"/>
      <c r="C72" s="2" t="s">
        <v>142</v>
      </c>
      <c r="D72" s="1"/>
      <c r="E72" s="1"/>
      <c r="F72" s="8">
        <v>7182.3186889999997</v>
      </c>
      <c r="G72" s="9">
        <v>0.66303223</v>
      </c>
      <c r="H72" s="109"/>
    </row>
    <row r="73" spans="1:8" ht="14.1" customHeight="1" x14ac:dyDescent="0.2">
      <c r="A73" s="99"/>
      <c r="B73" s="1"/>
      <c r="C73" s="10"/>
      <c r="D73" s="1"/>
      <c r="E73" s="1"/>
      <c r="F73" s="11"/>
      <c r="G73" s="11"/>
      <c r="H73" s="109"/>
    </row>
    <row r="74" spans="1:8" ht="14.1" customHeight="1" x14ac:dyDescent="0.2">
      <c r="A74" s="99"/>
      <c r="B74" s="1"/>
      <c r="C74" s="2" t="s">
        <v>143</v>
      </c>
      <c r="D74" s="1"/>
      <c r="E74" s="1"/>
      <c r="F74" s="11"/>
      <c r="G74" s="11"/>
      <c r="H74" s="109"/>
    </row>
    <row r="75" spans="1:8" ht="24" customHeight="1" x14ac:dyDescent="0.2">
      <c r="A75" s="99"/>
      <c r="B75" s="1"/>
      <c r="C75" s="2" t="s">
        <v>10</v>
      </c>
      <c r="D75" s="1"/>
      <c r="E75" s="1"/>
      <c r="F75" s="11"/>
      <c r="G75" s="11"/>
      <c r="H75" s="109"/>
    </row>
    <row r="76" spans="1:8" ht="14.1" customHeight="1" x14ac:dyDescent="0.2">
      <c r="A76" s="99"/>
      <c r="B76" s="1"/>
      <c r="C76" s="2" t="s">
        <v>135</v>
      </c>
      <c r="D76" s="1"/>
      <c r="E76" s="1" t="s">
        <v>136</v>
      </c>
      <c r="F76" s="115">
        <v>0</v>
      </c>
      <c r="G76" s="9">
        <v>0</v>
      </c>
      <c r="H76" s="109"/>
    </row>
    <row r="77" spans="1:8" ht="14.1" customHeight="1" x14ac:dyDescent="0.2">
      <c r="A77" s="99"/>
      <c r="B77" s="1"/>
      <c r="C77" s="10"/>
      <c r="D77" s="1"/>
      <c r="E77" s="1"/>
      <c r="F77" s="11"/>
      <c r="G77" s="11"/>
      <c r="H77" s="109"/>
    </row>
    <row r="78" spans="1:8" ht="14.1" customHeight="1" x14ac:dyDescent="0.2">
      <c r="A78" s="99"/>
      <c r="B78" s="1"/>
      <c r="C78" s="2" t="s">
        <v>144</v>
      </c>
      <c r="D78" s="1"/>
      <c r="E78" s="1"/>
      <c r="F78" s="1"/>
      <c r="G78" s="1"/>
      <c r="H78" s="109"/>
    </row>
    <row r="79" spans="1:8" ht="14.1" customHeight="1" x14ac:dyDescent="0.2">
      <c r="A79" s="99"/>
      <c r="B79" s="1"/>
      <c r="C79" s="2" t="s">
        <v>135</v>
      </c>
      <c r="D79" s="1"/>
      <c r="E79" s="1" t="s">
        <v>136</v>
      </c>
      <c r="F79" s="115">
        <v>0</v>
      </c>
      <c r="G79" s="9">
        <v>0</v>
      </c>
      <c r="H79" s="109"/>
    </row>
    <row r="80" spans="1:8" ht="14.1" customHeight="1" x14ac:dyDescent="0.2">
      <c r="A80" s="99"/>
      <c r="B80" s="1"/>
      <c r="C80" s="10"/>
      <c r="D80" s="1"/>
      <c r="E80" s="1"/>
      <c r="F80" s="11"/>
      <c r="G80" s="11"/>
      <c r="H80" s="109"/>
    </row>
    <row r="81" spans="1:8" ht="14.1" customHeight="1" x14ac:dyDescent="0.2">
      <c r="A81" s="99"/>
      <c r="B81" s="1"/>
      <c r="C81" s="2" t="s">
        <v>145</v>
      </c>
      <c r="D81" s="1"/>
      <c r="E81" s="1"/>
      <c r="F81" s="1"/>
      <c r="G81" s="1"/>
      <c r="H81" s="109"/>
    </row>
    <row r="82" spans="1:8" ht="14.1" customHeight="1" x14ac:dyDescent="0.2">
      <c r="A82" s="99"/>
      <c r="B82" s="1"/>
      <c r="C82" s="2" t="s">
        <v>135</v>
      </c>
      <c r="D82" s="1"/>
      <c r="E82" s="1" t="s">
        <v>136</v>
      </c>
      <c r="F82" s="115">
        <v>0</v>
      </c>
      <c r="G82" s="9">
        <v>0</v>
      </c>
      <c r="H82" s="109"/>
    </row>
    <row r="83" spans="1:8" ht="14.1" customHeight="1" x14ac:dyDescent="0.2">
      <c r="A83" s="99"/>
      <c r="B83" s="1"/>
      <c r="C83" s="10"/>
      <c r="D83" s="1"/>
      <c r="E83" s="1"/>
      <c r="F83" s="11"/>
      <c r="G83" s="11"/>
      <c r="H83" s="109"/>
    </row>
    <row r="84" spans="1:8" ht="14.1" customHeight="1" x14ac:dyDescent="0.2">
      <c r="A84" s="99"/>
      <c r="B84" s="1"/>
      <c r="C84" s="2" t="s">
        <v>146</v>
      </c>
      <c r="D84" s="1"/>
      <c r="E84" s="1"/>
      <c r="F84" s="11"/>
      <c r="G84" s="11"/>
      <c r="H84" s="109"/>
    </row>
    <row r="85" spans="1:8" ht="14.1" customHeight="1" x14ac:dyDescent="0.2">
      <c r="A85" s="99"/>
      <c r="B85" s="1"/>
      <c r="C85" s="2" t="s">
        <v>135</v>
      </c>
      <c r="D85" s="1"/>
      <c r="E85" s="1" t="s">
        <v>136</v>
      </c>
      <c r="F85" s="115">
        <v>0</v>
      </c>
      <c r="G85" s="9">
        <v>0</v>
      </c>
      <c r="H85" s="109"/>
    </row>
    <row r="86" spans="1:8" ht="14.1" customHeight="1" x14ac:dyDescent="0.2">
      <c r="A86" s="99"/>
      <c r="B86" s="1"/>
      <c r="C86" s="10"/>
      <c r="D86" s="1"/>
      <c r="E86" s="1"/>
      <c r="F86" s="11"/>
      <c r="G86" s="11"/>
      <c r="H86" s="109"/>
    </row>
    <row r="87" spans="1:8" ht="14.1" customHeight="1" x14ac:dyDescent="0.2">
      <c r="A87" s="99"/>
      <c r="B87" s="1"/>
      <c r="C87" s="2" t="s">
        <v>147</v>
      </c>
      <c r="D87" s="1"/>
      <c r="E87" s="1"/>
      <c r="F87" s="8">
        <v>0</v>
      </c>
      <c r="G87" s="9">
        <v>0</v>
      </c>
      <c r="H87" s="109"/>
    </row>
    <row r="88" spans="1:8" ht="14.1" customHeight="1" x14ac:dyDescent="0.2">
      <c r="A88" s="99"/>
      <c r="B88" s="1"/>
      <c r="C88" s="10"/>
      <c r="D88" s="1"/>
      <c r="E88" s="1"/>
      <c r="F88" s="11"/>
      <c r="G88" s="11"/>
      <c r="H88" s="109"/>
    </row>
    <row r="89" spans="1:8" ht="14.1" customHeight="1" x14ac:dyDescent="0.2">
      <c r="A89" s="99"/>
      <c r="B89" s="1"/>
      <c r="C89" s="2" t="s">
        <v>148</v>
      </c>
      <c r="D89" s="1"/>
      <c r="E89" s="1"/>
      <c r="F89" s="11"/>
      <c r="G89" s="11"/>
      <c r="H89" s="109"/>
    </row>
    <row r="90" spans="1:8" ht="14.1" customHeight="1" x14ac:dyDescent="0.2">
      <c r="A90" s="99"/>
      <c r="B90" s="1"/>
      <c r="C90" s="2" t="s">
        <v>149</v>
      </c>
      <c r="D90" s="1"/>
      <c r="E90" s="1"/>
      <c r="F90" s="11"/>
      <c r="G90" s="11"/>
      <c r="H90" s="109"/>
    </row>
    <row r="91" spans="1:8" ht="14.1" customHeight="1" x14ac:dyDescent="0.2">
      <c r="A91" s="99"/>
      <c r="B91" s="1"/>
      <c r="C91" s="2" t="s">
        <v>135</v>
      </c>
      <c r="D91" s="1"/>
      <c r="E91" s="1" t="s">
        <v>136</v>
      </c>
      <c r="F91" s="115">
        <v>0</v>
      </c>
      <c r="G91" s="9">
        <v>0</v>
      </c>
      <c r="H91" s="109"/>
    </row>
    <row r="92" spans="1:8" ht="14.1" customHeight="1" x14ac:dyDescent="0.2">
      <c r="A92" s="99"/>
      <c r="B92" s="1"/>
      <c r="C92" s="10"/>
      <c r="D92" s="1"/>
      <c r="E92" s="1"/>
      <c r="F92" s="11"/>
      <c r="G92" s="11"/>
      <c r="H92" s="109"/>
    </row>
    <row r="93" spans="1:8" ht="14.1" customHeight="1" x14ac:dyDescent="0.2">
      <c r="A93" s="99"/>
      <c r="B93" s="1"/>
      <c r="C93" s="2" t="s">
        <v>150</v>
      </c>
      <c r="D93" s="1"/>
      <c r="E93" s="1"/>
      <c r="F93" s="11"/>
      <c r="G93" s="11"/>
      <c r="H93" s="109"/>
    </row>
    <row r="94" spans="1:8" ht="14.1" customHeight="1" x14ac:dyDescent="0.2">
      <c r="A94" s="99"/>
      <c r="B94" s="1"/>
      <c r="C94" s="2" t="s">
        <v>135</v>
      </c>
      <c r="D94" s="1"/>
      <c r="E94" s="1" t="s">
        <v>136</v>
      </c>
      <c r="F94" s="115">
        <v>0</v>
      </c>
      <c r="G94" s="9">
        <v>0</v>
      </c>
      <c r="H94" s="109"/>
    </row>
    <row r="95" spans="1:8" ht="14.1" customHeight="1" x14ac:dyDescent="0.2">
      <c r="A95" s="99"/>
      <c r="B95" s="1"/>
      <c r="C95" s="10"/>
      <c r="D95" s="1"/>
      <c r="E95" s="1"/>
      <c r="F95" s="11"/>
      <c r="G95" s="11"/>
      <c r="H95" s="109"/>
    </row>
    <row r="96" spans="1:8" ht="14.1" customHeight="1" x14ac:dyDescent="0.2">
      <c r="A96" s="99"/>
      <c r="B96" s="1"/>
      <c r="C96" s="2" t="s">
        <v>151</v>
      </c>
      <c r="D96" s="1"/>
      <c r="E96" s="1"/>
      <c r="F96" s="11"/>
      <c r="G96" s="11"/>
      <c r="H96" s="109"/>
    </row>
    <row r="97" spans="1:8" ht="17.100000000000001" customHeight="1" x14ac:dyDescent="0.2">
      <c r="A97" s="100">
        <v>1</v>
      </c>
      <c r="B97" s="3" t="s">
        <v>642</v>
      </c>
      <c r="C97" s="3" t="s">
        <v>1001</v>
      </c>
      <c r="D97" s="3" t="s">
        <v>594</v>
      </c>
      <c r="E97" s="4">
        <v>631100</v>
      </c>
      <c r="F97" s="5">
        <v>610.64731119999999</v>
      </c>
      <c r="G97" s="6">
        <v>5.6371610000000003E-2</v>
      </c>
      <c r="H97" s="109">
        <v>7.2337999999999996</v>
      </c>
    </row>
    <row r="98" spans="1:8" ht="17.100000000000001" customHeight="1" x14ac:dyDescent="0.2">
      <c r="A98" s="100">
        <v>2</v>
      </c>
      <c r="B98" s="3" t="s">
        <v>643</v>
      </c>
      <c r="C98" s="3" t="s">
        <v>1002</v>
      </c>
      <c r="D98" s="3" t="s">
        <v>594</v>
      </c>
      <c r="E98" s="4">
        <v>500000</v>
      </c>
      <c r="F98" s="5">
        <v>491.46300000000002</v>
      </c>
      <c r="G98" s="6">
        <v>4.5369159999999999E-2</v>
      </c>
      <c r="H98" s="109">
        <v>6.8917000000000002</v>
      </c>
    </row>
    <row r="99" spans="1:8" ht="17.100000000000001" customHeight="1" x14ac:dyDescent="0.2">
      <c r="A99" s="100">
        <v>3</v>
      </c>
      <c r="B99" s="3" t="s">
        <v>644</v>
      </c>
      <c r="C99" s="3" t="s">
        <v>1003</v>
      </c>
      <c r="D99" s="3" t="s">
        <v>594</v>
      </c>
      <c r="E99" s="4">
        <v>500000</v>
      </c>
      <c r="F99" s="5">
        <v>489.4735</v>
      </c>
      <c r="G99" s="6">
        <v>4.5185509999999998E-2</v>
      </c>
      <c r="H99" s="109">
        <v>6.9465000000000003</v>
      </c>
    </row>
    <row r="100" spans="1:8" ht="14.1" customHeight="1" x14ac:dyDescent="0.2">
      <c r="A100" s="99"/>
      <c r="B100" s="1"/>
      <c r="C100" s="2" t="s">
        <v>135</v>
      </c>
      <c r="D100" s="1"/>
      <c r="E100" s="1" t="s">
        <v>136</v>
      </c>
      <c r="F100" s="8">
        <v>1591.5838111999999</v>
      </c>
      <c r="G100" s="9">
        <v>0.14692627999999999</v>
      </c>
      <c r="H100" s="109"/>
    </row>
    <row r="101" spans="1:8" ht="14.1" customHeight="1" x14ac:dyDescent="0.2">
      <c r="A101" s="99"/>
      <c r="B101" s="1"/>
      <c r="C101" s="10"/>
      <c r="D101" s="1"/>
      <c r="E101" s="1"/>
      <c r="F101" s="11"/>
      <c r="G101" s="11"/>
      <c r="H101" s="109"/>
    </row>
    <row r="102" spans="1:8" ht="14.1" customHeight="1" x14ac:dyDescent="0.2">
      <c r="A102" s="99"/>
      <c r="B102" s="1"/>
      <c r="C102" s="2" t="s">
        <v>152</v>
      </c>
      <c r="D102" s="1"/>
      <c r="E102" s="1"/>
      <c r="F102" s="11"/>
      <c r="G102" s="11"/>
      <c r="H102" s="109"/>
    </row>
    <row r="103" spans="1:8" ht="17.100000000000001" customHeight="1" x14ac:dyDescent="0.2">
      <c r="A103" s="100">
        <v>1</v>
      </c>
      <c r="B103" s="3"/>
      <c r="C103" s="3" t="s">
        <v>153</v>
      </c>
      <c r="D103" s="3"/>
      <c r="E103" s="7"/>
      <c r="F103" s="5">
        <v>389.304209001</v>
      </c>
      <c r="G103" s="6">
        <v>3.593843E-2</v>
      </c>
      <c r="H103" s="109">
        <v>6.6015165706411798</v>
      </c>
    </row>
    <row r="104" spans="1:8" ht="14.1" customHeight="1" x14ac:dyDescent="0.2">
      <c r="A104" s="99"/>
      <c r="B104" s="1"/>
      <c r="C104" s="2" t="s">
        <v>135</v>
      </c>
      <c r="D104" s="1"/>
      <c r="E104" s="1" t="s">
        <v>136</v>
      </c>
      <c r="F104" s="8">
        <v>389.304209001</v>
      </c>
      <c r="G104" s="9">
        <v>3.593843E-2</v>
      </c>
      <c r="H104" s="109"/>
    </row>
    <row r="105" spans="1:8" ht="14.1" customHeight="1" x14ac:dyDescent="0.2">
      <c r="A105" s="99"/>
      <c r="B105" s="1"/>
      <c r="C105" s="10"/>
      <c r="D105" s="1"/>
      <c r="E105" s="1"/>
      <c r="F105" s="11"/>
      <c r="G105" s="11"/>
      <c r="H105" s="109"/>
    </row>
    <row r="106" spans="1:8" ht="14.1" customHeight="1" x14ac:dyDescent="0.2">
      <c r="A106" s="99"/>
      <c r="B106" s="1"/>
      <c r="C106" s="2" t="s">
        <v>154</v>
      </c>
      <c r="D106" s="1"/>
      <c r="E106" s="1"/>
      <c r="F106" s="8">
        <v>1980.888020201</v>
      </c>
      <c r="G106" s="9">
        <v>0.18286471000000001</v>
      </c>
      <c r="H106" s="109"/>
    </row>
    <row r="107" spans="1:8" ht="14.1" customHeight="1" x14ac:dyDescent="0.2">
      <c r="A107" s="99"/>
      <c r="B107" s="1"/>
      <c r="C107" s="11"/>
      <c r="D107" s="1"/>
      <c r="E107" s="1"/>
      <c r="F107" s="1"/>
      <c r="G107" s="1"/>
      <c r="H107" s="109"/>
    </row>
    <row r="108" spans="1:8" ht="14.1" customHeight="1" x14ac:dyDescent="0.2">
      <c r="A108" s="99"/>
      <c r="B108" s="1"/>
      <c r="C108" s="2" t="s">
        <v>155</v>
      </c>
      <c r="D108" s="1"/>
      <c r="E108" s="1"/>
      <c r="F108" s="1"/>
      <c r="G108" s="1"/>
      <c r="H108" s="109"/>
    </row>
    <row r="109" spans="1:8" ht="14.1" customHeight="1" x14ac:dyDescent="0.2">
      <c r="A109" s="99"/>
      <c r="B109" s="1"/>
      <c r="C109" s="2" t="s">
        <v>156</v>
      </c>
      <c r="D109" s="1"/>
      <c r="E109" s="1"/>
      <c r="F109" s="1"/>
      <c r="G109" s="1"/>
      <c r="H109" s="109"/>
    </row>
    <row r="110" spans="1:8" ht="17.100000000000001" customHeight="1" x14ac:dyDescent="0.2">
      <c r="A110" s="100">
        <v>1</v>
      </c>
      <c r="B110" s="3" t="s">
        <v>645</v>
      </c>
      <c r="C110" s="107" t="s">
        <v>917</v>
      </c>
      <c r="D110" s="3"/>
      <c r="E110" s="4">
        <v>87138.79</v>
      </c>
      <c r="F110" s="5">
        <v>1720.8691081940001</v>
      </c>
      <c r="G110" s="6">
        <v>0.15886117999999999</v>
      </c>
      <c r="H110" s="109"/>
    </row>
    <row r="111" spans="1:8" ht="14.1" customHeight="1" x14ac:dyDescent="0.2">
      <c r="A111" s="99"/>
      <c r="B111" s="1"/>
      <c r="C111" s="2" t="s">
        <v>135</v>
      </c>
      <c r="D111" s="1"/>
      <c r="E111" s="1" t="s">
        <v>136</v>
      </c>
      <c r="F111" s="8">
        <v>1720.8691081940001</v>
      </c>
      <c r="G111" s="9">
        <v>0.15886117999999999</v>
      </c>
      <c r="H111" s="109"/>
    </row>
    <row r="112" spans="1:8" ht="14.1" customHeight="1" x14ac:dyDescent="0.2">
      <c r="A112" s="99"/>
      <c r="B112" s="1"/>
      <c r="C112" s="10"/>
      <c r="D112" s="1"/>
      <c r="E112" s="1"/>
      <c r="F112" s="11"/>
      <c r="G112" s="11"/>
      <c r="H112" s="109"/>
    </row>
    <row r="113" spans="1:15" ht="14.1" customHeight="1" x14ac:dyDescent="0.2">
      <c r="A113" s="99"/>
      <c r="B113" s="1"/>
      <c r="C113" s="2" t="s">
        <v>157</v>
      </c>
      <c r="D113" s="1"/>
      <c r="E113" s="1"/>
      <c r="F113" s="1"/>
      <c r="G113" s="1"/>
      <c r="H113" s="109"/>
    </row>
    <row r="114" spans="1:15" ht="14.1" customHeight="1" x14ac:dyDescent="0.2">
      <c r="A114" s="99"/>
      <c r="B114" s="1"/>
      <c r="C114" s="2" t="s">
        <v>158</v>
      </c>
      <c r="D114" s="1"/>
      <c r="E114" s="1"/>
      <c r="F114" s="1"/>
      <c r="G114" s="1"/>
      <c r="H114" s="109"/>
    </row>
    <row r="115" spans="1:15" ht="14.1" customHeight="1" x14ac:dyDescent="0.2">
      <c r="A115" s="99"/>
      <c r="B115" s="1"/>
      <c r="C115" s="2" t="s">
        <v>135</v>
      </c>
      <c r="D115" s="1"/>
      <c r="E115" s="1" t="s">
        <v>136</v>
      </c>
      <c r="F115" s="115">
        <v>0</v>
      </c>
      <c r="G115" s="9">
        <v>0</v>
      </c>
      <c r="H115" s="109"/>
    </row>
    <row r="116" spans="1:15" ht="14.1" customHeight="1" x14ac:dyDescent="0.2">
      <c r="A116" s="99"/>
      <c r="B116" s="1"/>
      <c r="C116" s="10"/>
      <c r="D116" s="1"/>
      <c r="E116" s="1"/>
      <c r="F116" s="11"/>
      <c r="G116" s="11"/>
      <c r="H116" s="109"/>
      <c r="J116" s="111"/>
      <c r="K116" s="111"/>
      <c r="L116" s="111"/>
      <c r="M116" s="111"/>
      <c r="N116" s="111"/>
    </row>
    <row r="117" spans="1:15" ht="24" customHeight="1" x14ac:dyDescent="0.2">
      <c r="A117" s="99"/>
      <c r="B117" s="1"/>
      <c r="C117" s="2" t="s">
        <v>159</v>
      </c>
      <c r="D117" s="1"/>
      <c r="E117" s="1"/>
      <c r="F117" s="11"/>
      <c r="G117" s="11"/>
      <c r="H117" s="109"/>
      <c r="J117" s="175"/>
      <c r="K117" s="175"/>
      <c r="L117" s="175"/>
      <c r="M117" s="175"/>
      <c r="N117" s="175"/>
    </row>
    <row r="118" spans="1:15" ht="14.1" customHeight="1" x14ac:dyDescent="0.2">
      <c r="A118" s="99"/>
      <c r="B118" s="1"/>
      <c r="C118" s="2" t="s">
        <v>135</v>
      </c>
      <c r="D118" s="1"/>
      <c r="E118" s="1" t="s">
        <v>136</v>
      </c>
      <c r="F118" s="115">
        <v>0</v>
      </c>
      <c r="G118" s="9">
        <v>0</v>
      </c>
      <c r="H118" s="109"/>
    </row>
    <row r="119" spans="1:15" ht="14.1" customHeight="1" x14ac:dyDescent="0.2">
      <c r="A119" s="99"/>
      <c r="B119" s="1"/>
      <c r="C119" s="10"/>
      <c r="D119" s="1"/>
      <c r="E119" s="1"/>
      <c r="F119" s="11"/>
      <c r="G119" s="11"/>
      <c r="H119" s="109"/>
    </row>
    <row r="120" spans="1:15" ht="18" customHeight="1" x14ac:dyDescent="0.2">
      <c r="A120" s="101"/>
      <c r="B120" s="3"/>
      <c r="C120" s="3" t="s">
        <v>646</v>
      </c>
      <c r="D120" s="3"/>
      <c r="E120" s="7"/>
      <c r="F120" s="5">
        <v>35.981961699999999</v>
      </c>
      <c r="G120" s="6">
        <f>F120/F122</f>
        <v>3.3216570354310539E-3</v>
      </c>
      <c r="H120" s="109"/>
    </row>
    <row r="121" spans="1:15" ht="18" customHeight="1" x14ac:dyDescent="0.2">
      <c r="A121" s="101"/>
      <c r="B121" s="3"/>
      <c r="C121" s="3" t="s">
        <v>933</v>
      </c>
      <c r="D121" s="3"/>
      <c r="E121" s="7"/>
      <c r="F121" s="5">
        <v>-87.524102021000004</v>
      </c>
      <c r="G121" s="6">
        <f>F121/F122</f>
        <v>-8.0797442805304303E-3</v>
      </c>
      <c r="H121" s="109"/>
    </row>
    <row r="122" spans="1:15" ht="14.1" customHeight="1" x14ac:dyDescent="0.2">
      <c r="A122" s="102"/>
      <c r="B122" s="10"/>
      <c r="C122" s="2" t="s">
        <v>161</v>
      </c>
      <c r="D122" s="11"/>
      <c r="E122" s="11"/>
      <c r="F122" s="8">
        <v>10832.533677075</v>
      </c>
      <c r="G122" s="12">
        <v>1.00000004</v>
      </c>
      <c r="H122" s="109"/>
      <c r="I122" s="111"/>
    </row>
    <row r="123" spans="1:15" ht="14.1" customHeight="1" x14ac:dyDescent="0.2">
      <c r="A123" s="13"/>
      <c r="B123" s="13"/>
      <c r="C123" s="13"/>
      <c r="D123" s="14"/>
      <c r="E123" s="14"/>
      <c r="F123" s="14"/>
      <c r="G123" s="14"/>
      <c r="I123" s="175"/>
    </row>
    <row r="124" spans="1:15" ht="17.100000000000001" customHeight="1" x14ac:dyDescent="0.2">
      <c r="A124" s="15"/>
      <c r="B124" s="193" t="s">
        <v>932</v>
      </c>
      <c r="C124" s="193"/>
      <c r="D124" s="193"/>
      <c r="E124" s="193"/>
      <c r="F124" s="193"/>
      <c r="G124" s="17"/>
      <c r="I124" s="111"/>
    </row>
    <row r="125" spans="1:15" ht="14.1" customHeight="1" x14ac:dyDescent="0.2">
      <c r="A125" s="15"/>
      <c r="B125" s="218" t="s">
        <v>918</v>
      </c>
      <c r="C125" s="218"/>
      <c r="D125" s="218"/>
      <c r="E125" s="218"/>
      <c r="F125" s="218"/>
      <c r="G125" s="17"/>
    </row>
    <row r="126" spans="1:15" s="111" customFormat="1" x14ac:dyDescent="0.2">
      <c r="A126" s="118"/>
      <c r="B126" s="217" t="s">
        <v>1004</v>
      </c>
      <c r="C126" s="217"/>
      <c r="D126" s="217"/>
      <c r="E126" s="217"/>
      <c r="F126" s="217"/>
      <c r="G126" s="119"/>
      <c r="H126"/>
      <c r="I126"/>
      <c r="J126"/>
      <c r="K126"/>
      <c r="L126"/>
      <c r="M126"/>
      <c r="N126"/>
      <c r="O126"/>
    </row>
    <row r="127" spans="1:15" ht="14.1" customHeight="1" x14ac:dyDescent="0.2">
      <c r="A127" s="15"/>
      <c r="B127" s="15"/>
      <c r="C127" s="15"/>
      <c r="D127" s="17"/>
      <c r="E127" s="17"/>
      <c r="F127" s="17"/>
      <c r="G127" s="17"/>
    </row>
    <row r="128" spans="1:15" ht="14.1" customHeight="1" x14ac:dyDescent="0.2">
      <c r="A128" s="15"/>
      <c r="B128" s="194" t="s">
        <v>163</v>
      </c>
      <c r="C128" s="195"/>
      <c r="D128" s="196"/>
      <c r="E128" s="18"/>
      <c r="F128" s="17"/>
      <c r="G128" s="17"/>
    </row>
    <row r="129" spans="1:15" ht="29.1" customHeight="1" x14ac:dyDescent="0.2">
      <c r="A129" s="15"/>
      <c r="B129" s="191" t="s">
        <v>164</v>
      </c>
      <c r="C129" s="192"/>
      <c r="D129" s="112" t="s">
        <v>1035</v>
      </c>
      <c r="E129" s="18"/>
      <c r="F129" s="17"/>
      <c r="G129" s="17"/>
    </row>
    <row r="130" spans="1:15" ht="17.100000000000001" customHeight="1" x14ac:dyDescent="0.2">
      <c r="A130" s="15"/>
      <c r="B130" s="191" t="s">
        <v>166</v>
      </c>
      <c r="C130" s="192"/>
      <c r="D130" s="2" t="s">
        <v>165</v>
      </c>
      <c r="E130" s="18"/>
      <c r="F130" s="17"/>
      <c r="G130" s="17"/>
    </row>
    <row r="131" spans="1:15" ht="17.100000000000001" customHeight="1" x14ac:dyDescent="0.2">
      <c r="A131" s="15"/>
      <c r="B131" s="191" t="s">
        <v>167</v>
      </c>
      <c r="C131" s="192"/>
      <c r="D131" s="11" t="s">
        <v>136</v>
      </c>
      <c r="E131" s="18"/>
      <c r="F131" s="17"/>
      <c r="G131" s="17"/>
    </row>
    <row r="132" spans="1:15" ht="24" customHeight="1" x14ac:dyDescent="0.2">
      <c r="A132" s="19"/>
      <c r="B132" s="20" t="s">
        <v>136</v>
      </c>
      <c r="C132" s="20" t="s">
        <v>168</v>
      </c>
      <c r="D132" s="20" t="s">
        <v>169</v>
      </c>
      <c r="E132" s="19"/>
      <c r="F132" s="19"/>
      <c r="G132" s="19"/>
    </row>
    <row r="133" spans="1:15" ht="18" customHeight="1" x14ac:dyDescent="0.2">
      <c r="A133" s="19"/>
      <c r="B133" s="21" t="s">
        <v>170</v>
      </c>
      <c r="C133" s="20" t="s">
        <v>171</v>
      </c>
      <c r="D133" s="20" t="s">
        <v>172</v>
      </c>
      <c r="E133" s="19"/>
      <c r="F133" s="19"/>
      <c r="G133" s="19"/>
    </row>
    <row r="134" spans="1:15" ht="17.100000000000001" customHeight="1" x14ac:dyDescent="0.2">
      <c r="A134" s="19"/>
      <c r="B134" s="3" t="s">
        <v>173</v>
      </c>
      <c r="C134" s="22">
        <v>12.729200000000001</v>
      </c>
      <c r="D134" s="22">
        <v>12.814500000000001</v>
      </c>
      <c r="E134" s="19"/>
      <c r="F134" s="16"/>
      <c r="G134" s="23"/>
      <c r="O134" s="111"/>
    </row>
    <row r="135" spans="1:15" ht="16.5" customHeight="1" x14ac:dyDescent="0.2">
      <c r="A135" s="19"/>
      <c r="B135" s="3" t="s">
        <v>1047</v>
      </c>
      <c r="C135" s="22">
        <v>11.0075</v>
      </c>
      <c r="D135" s="22">
        <v>11.081200000000001</v>
      </c>
      <c r="E135" s="19"/>
      <c r="F135" s="16"/>
      <c r="G135" s="23"/>
    </row>
    <row r="136" spans="1:15" ht="17.100000000000001" customHeight="1" x14ac:dyDescent="0.2">
      <c r="A136" s="19"/>
      <c r="B136" s="3" t="s">
        <v>174</v>
      </c>
      <c r="C136" s="22">
        <v>12.2691</v>
      </c>
      <c r="D136" s="22">
        <v>12.348800000000001</v>
      </c>
      <c r="E136" s="19"/>
      <c r="F136" s="16"/>
      <c r="G136" s="23"/>
    </row>
    <row r="137" spans="1:15" ht="15.95" customHeight="1" x14ac:dyDescent="0.2">
      <c r="A137" s="19"/>
      <c r="B137" s="3" t="s">
        <v>1049</v>
      </c>
      <c r="C137" s="22">
        <v>10.7874</v>
      </c>
      <c r="D137" s="22">
        <v>10.8574</v>
      </c>
      <c r="E137" s="19"/>
      <c r="F137" s="16"/>
      <c r="G137" s="23"/>
    </row>
    <row r="138" spans="1:15" ht="14.1" customHeight="1" x14ac:dyDescent="0.2">
      <c r="A138" s="19"/>
      <c r="B138" s="19"/>
      <c r="C138" s="19"/>
      <c r="D138" s="19"/>
      <c r="E138" s="19"/>
      <c r="F138" s="19"/>
      <c r="G138" s="19"/>
    </row>
    <row r="139" spans="1:15" ht="17.100000000000001" customHeight="1" x14ac:dyDescent="0.2">
      <c r="A139" s="19"/>
      <c r="B139" s="191" t="s">
        <v>1044</v>
      </c>
      <c r="C139" s="192"/>
      <c r="D139" s="2" t="s">
        <v>165</v>
      </c>
      <c r="E139" s="19"/>
      <c r="F139" s="19"/>
      <c r="G139" s="19"/>
    </row>
    <row r="140" spans="1:15" ht="18" customHeight="1" x14ac:dyDescent="0.2">
      <c r="A140" s="19"/>
      <c r="B140" s="24"/>
      <c r="C140" s="24"/>
      <c r="D140" s="24"/>
      <c r="E140" s="19"/>
      <c r="F140" s="19"/>
      <c r="G140" s="19"/>
      <c r="J140" s="121"/>
      <c r="K140" s="121"/>
      <c r="L140" s="121"/>
      <c r="M140" s="121"/>
      <c r="N140" s="121"/>
    </row>
    <row r="141" spans="1:15" ht="29.1" customHeight="1" x14ac:dyDescent="0.2">
      <c r="A141" s="19"/>
      <c r="B141" s="191" t="s">
        <v>175</v>
      </c>
      <c r="C141" s="192"/>
      <c r="D141" s="112" t="s">
        <v>998</v>
      </c>
      <c r="E141" s="25"/>
      <c r="F141" s="19"/>
      <c r="G141" s="19"/>
    </row>
    <row r="142" spans="1:15" ht="29.1" customHeight="1" x14ac:dyDescent="0.2">
      <c r="A142" s="19"/>
      <c r="B142" s="191" t="s">
        <v>176</v>
      </c>
      <c r="C142" s="192"/>
      <c r="D142" s="2" t="s">
        <v>165</v>
      </c>
      <c r="E142" s="25"/>
      <c r="F142" s="19"/>
      <c r="G142" s="19"/>
    </row>
    <row r="143" spans="1:15" ht="17.100000000000001" customHeight="1" x14ac:dyDescent="0.2">
      <c r="A143" s="19"/>
      <c r="B143" s="191" t="s">
        <v>177</v>
      </c>
      <c r="C143" s="192"/>
      <c r="D143" s="2" t="s">
        <v>165</v>
      </c>
      <c r="E143" s="25"/>
      <c r="F143" s="19"/>
      <c r="G143" s="19"/>
    </row>
    <row r="144" spans="1:15" ht="17.100000000000001" customHeight="1" x14ac:dyDescent="0.2">
      <c r="A144" s="19"/>
      <c r="B144" s="191" t="s">
        <v>178</v>
      </c>
      <c r="C144" s="192"/>
      <c r="D144" s="26">
        <v>10.820991008567848</v>
      </c>
      <c r="E144" s="19"/>
      <c r="F144" s="16"/>
      <c r="G144" s="23"/>
    </row>
    <row r="145" spans="1:15" ht="14.1" customHeight="1" x14ac:dyDescent="0.2">
      <c r="A145" s="24"/>
      <c r="B145" s="24"/>
      <c r="C145" s="24"/>
      <c r="D145" s="24"/>
      <c r="E145" s="24"/>
      <c r="F145" s="24"/>
      <c r="G145" s="24"/>
    </row>
    <row r="146" spans="1:15" x14ac:dyDescent="0.2">
      <c r="B146" s="144" t="s">
        <v>1040</v>
      </c>
      <c r="C146" s="144"/>
      <c r="D146" s="144"/>
      <c r="E146" s="145"/>
      <c r="F146" s="146"/>
    </row>
    <row r="147" spans="1:15" ht="38.25" x14ac:dyDescent="0.2">
      <c r="B147" s="123" t="s">
        <v>1007</v>
      </c>
      <c r="C147" s="123" t="s">
        <v>1008</v>
      </c>
      <c r="D147" s="123" t="s">
        <v>1009</v>
      </c>
      <c r="E147" s="123" t="s">
        <v>1010</v>
      </c>
      <c r="F147" s="123" t="s">
        <v>1011</v>
      </c>
    </row>
    <row r="148" spans="1:15" s="121" customFormat="1" ht="25.5" x14ac:dyDescent="0.2">
      <c r="B148" s="124" t="s">
        <v>1012</v>
      </c>
      <c r="C148" s="125" t="s">
        <v>1013</v>
      </c>
      <c r="D148" s="126">
        <v>0</v>
      </c>
      <c r="E148" s="127">
        <v>0</v>
      </c>
      <c r="F148" s="128">
        <v>50</v>
      </c>
      <c r="J148"/>
      <c r="K148"/>
      <c r="L148"/>
      <c r="M148"/>
      <c r="N148"/>
      <c r="O148"/>
    </row>
    <row r="150" spans="1:15" x14ac:dyDescent="0.2">
      <c r="B150" s="208" t="s">
        <v>1026</v>
      </c>
      <c r="C150" s="209"/>
      <c r="D150" s="210"/>
    </row>
    <row r="151" spans="1:15" ht="25.5" x14ac:dyDescent="0.2">
      <c r="B151" s="197" t="s">
        <v>1027</v>
      </c>
      <c r="C151" s="197"/>
      <c r="D151" s="140" t="s">
        <v>630</v>
      </c>
    </row>
    <row r="152" spans="1:15" x14ac:dyDescent="0.2">
      <c r="B152" s="197" t="s">
        <v>1028</v>
      </c>
      <c r="C152" s="197"/>
      <c r="D152" s="147"/>
    </row>
    <row r="153" spans="1:15" x14ac:dyDescent="0.2">
      <c r="B153" s="198"/>
      <c r="C153" s="199"/>
      <c r="D153" s="141"/>
    </row>
    <row r="154" spans="1:15" x14ac:dyDescent="0.2">
      <c r="B154" s="197" t="s">
        <v>1029</v>
      </c>
      <c r="C154" s="197"/>
      <c r="D154" s="142">
        <v>6.3465790671709721</v>
      </c>
    </row>
    <row r="155" spans="1:15" x14ac:dyDescent="0.2">
      <c r="B155" s="198"/>
      <c r="C155" s="199"/>
      <c r="D155" s="141"/>
    </row>
    <row r="156" spans="1:15" x14ac:dyDescent="0.2">
      <c r="B156" s="197" t="s">
        <v>1030</v>
      </c>
      <c r="C156" s="197"/>
      <c r="D156" s="142">
        <v>0.15385580660177114</v>
      </c>
      <c r="O156" s="121"/>
    </row>
    <row r="157" spans="1:15" x14ac:dyDescent="0.2">
      <c r="B157" s="197" t="s">
        <v>1031</v>
      </c>
      <c r="C157" s="197"/>
      <c r="D157" s="142">
        <v>0.15385580660177114</v>
      </c>
    </row>
    <row r="158" spans="1:15" x14ac:dyDescent="0.2">
      <c r="B158" s="198"/>
      <c r="C158" s="199"/>
      <c r="D158" s="141"/>
    </row>
    <row r="159" spans="1:15" x14ac:dyDescent="0.2">
      <c r="B159" s="197" t="s">
        <v>1032</v>
      </c>
      <c r="C159" s="197"/>
      <c r="D159" s="143">
        <v>44985</v>
      </c>
    </row>
    <row r="160" spans="1:15" ht="12.75" customHeight="1" x14ac:dyDescent="0.2">
      <c r="B160" s="198" t="s">
        <v>1033</v>
      </c>
      <c r="C160" s="200"/>
      <c r="D160" s="199"/>
    </row>
  </sheetData>
  <mergeCells count="27">
    <mergeCell ref="J2:N2"/>
    <mergeCell ref="A1:H1"/>
    <mergeCell ref="A2:H2"/>
    <mergeCell ref="A3:H3"/>
    <mergeCell ref="B125:F125"/>
    <mergeCell ref="B144:C144"/>
    <mergeCell ref="B141:C141"/>
    <mergeCell ref="B142:C142"/>
    <mergeCell ref="B143:C143"/>
    <mergeCell ref="B139:C139"/>
    <mergeCell ref="B131:C131"/>
    <mergeCell ref="B128:D128"/>
    <mergeCell ref="B129:C129"/>
    <mergeCell ref="B130:C130"/>
    <mergeCell ref="B124:F124"/>
    <mergeCell ref="B126:F126"/>
    <mergeCell ref="B150:D150"/>
    <mergeCell ref="B151:C151"/>
    <mergeCell ref="B152:C152"/>
    <mergeCell ref="B153:C153"/>
    <mergeCell ref="B154:C154"/>
    <mergeCell ref="B160:D160"/>
    <mergeCell ref="B155:C155"/>
    <mergeCell ref="B156:C156"/>
    <mergeCell ref="B157:C157"/>
    <mergeCell ref="B158:C158"/>
    <mergeCell ref="B159:C159"/>
  </mergeCells>
  <hyperlinks>
    <hyperlink ref="I1" location="Index!B24" display="Index" xr:uid="{5B6C0EE0-650D-4254-AB37-81E43EF01735}"/>
  </hyperlinks>
  <pageMargins left="5.000000074505806E-2" right="5.000000074505806E-2" top="0.30000001192092896" bottom="0.20000000298023224" header="0" footer="0"/>
  <pageSetup paperSize="9" orientation="landscape"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O205"/>
  <sheetViews>
    <sheetView showGridLines="0" workbookViewId="0">
      <selection sqref="A1:H1"/>
    </sheetView>
  </sheetViews>
  <sheetFormatPr defaultRowHeight="12.75" x14ac:dyDescent="0.2"/>
  <cols>
    <col min="1" max="1" width="5.85546875" bestFit="1" customWidth="1"/>
    <col min="2" max="2" width="24.28515625" customWidth="1"/>
    <col min="3" max="3" width="41" customWidth="1"/>
    <col min="4" max="4" width="18.42578125" customWidth="1"/>
    <col min="5" max="5" width="13.42578125" customWidth="1"/>
    <col min="6" max="6" width="16.28515625" customWidth="1"/>
    <col min="7" max="7" width="14" bestFit="1" customWidth="1"/>
  </cols>
  <sheetData>
    <row r="1" spans="1:14" ht="18" customHeight="1" x14ac:dyDescent="0.2">
      <c r="A1" s="187" t="s">
        <v>0</v>
      </c>
      <c r="B1" s="187"/>
      <c r="C1" s="187"/>
      <c r="D1" s="187"/>
      <c r="E1" s="187"/>
      <c r="F1" s="187"/>
      <c r="G1" s="187"/>
      <c r="H1" s="187"/>
      <c r="I1" s="167" t="s">
        <v>1055</v>
      </c>
      <c r="J1" s="111"/>
      <c r="K1" s="111"/>
      <c r="L1" s="111"/>
      <c r="M1" s="111"/>
      <c r="N1" s="111"/>
    </row>
    <row r="2" spans="1:14" ht="17.100000000000001" customHeight="1" x14ac:dyDescent="0.2">
      <c r="A2" s="188" t="s">
        <v>647</v>
      </c>
      <c r="B2" s="189"/>
      <c r="C2" s="189"/>
      <c r="D2" s="189"/>
      <c r="E2" s="189"/>
      <c r="F2" s="189"/>
      <c r="G2" s="189"/>
      <c r="H2" s="190"/>
      <c r="J2" s="186" t="s">
        <v>1056</v>
      </c>
      <c r="K2" s="186"/>
      <c r="L2" s="186"/>
      <c r="M2" s="186"/>
      <c r="N2" s="186"/>
    </row>
    <row r="3" spans="1:14" ht="21" customHeight="1" x14ac:dyDescent="0.2">
      <c r="A3" s="187" t="s">
        <v>1052</v>
      </c>
      <c r="B3" s="187"/>
      <c r="C3" s="187"/>
      <c r="D3" s="187"/>
      <c r="E3" s="187"/>
      <c r="F3" s="187"/>
      <c r="G3" s="187"/>
      <c r="H3" s="187"/>
      <c r="J3" s="111"/>
      <c r="K3" s="111"/>
      <c r="L3" s="111"/>
      <c r="M3" s="111"/>
      <c r="N3" s="111"/>
    </row>
    <row r="4" spans="1:14" ht="30" x14ac:dyDescent="0.2">
      <c r="A4" s="163" t="s">
        <v>2</v>
      </c>
      <c r="B4" s="164" t="s">
        <v>3</v>
      </c>
      <c r="C4" s="164" t="s">
        <v>4</v>
      </c>
      <c r="D4" s="164" t="s">
        <v>5</v>
      </c>
      <c r="E4" s="164" t="s">
        <v>6</v>
      </c>
      <c r="F4" s="164" t="s">
        <v>7</v>
      </c>
      <c r="G4" s="164" t="s">
        <v>8</v>
      </c>
      <c r="H4" s="120" t="s">
        <v>881</v>
      </c>
      <c r="I4" s="165"/>
      <c r="J4" s="171"/>
      <c r="K4" s="171"/>
      <c r="L4" s="171"/>
      <c r="M4" s="171"/>
      <c r="N4" s="171"/>
    </row>
    <row r="5" spans="1:14" ht="14.1" customHeight="1" x14ac:dyDescent="0.2">
      <c r="A5" s="99"/>
      <c r="B5" s="1"/>
      <c r="C5" s="2" t="s">
        <v>9</v>
      </c>
      <c r="D5" s="1"/>
      <c r="E5" s="1"/>
      <c r="F5" s="1"/>
      <c r="G5" s="1"/>
      <c r="H5" s="109"/>
      <c r="J5" s="111"/>
      <c r="K5" s="111"/>
      <c r="L5" s="111"/>
      <c r="M5" s="111"/>
      <c r="N5" s="111"/>
    </row>
    <row r="6" spans="1:14" ht="24" customHeight="1" x14ac:dyDescent="0.2">
      <c r="A6" s="99"/>
      <c r="B6" s="1"/>
      <c r="C6" s="2" t="s">
        <v>10</v>
      </c>
      <c r="D6" s="1"/>
      <c r="E6" s="1"/>
      <c r="F6" s="1"/>
      <c r="G6" s="1"/>
      <c r="H6" s="109"/>
      <c r="J6" s="111"/>
      <c r="K6" s="111"/>
      <c r="L6" s="111"/>
      <c r="M6" s="111"/>
      <c r="N6" s="111"/>
    </row>
    <row r="7" spans="1:14" ht="17.100000000000001" customHeight="1" x14ac:dyDescent="0.2">
      <c r="A7" s="100">
        <v>1</v>
      </c>
      <c r="B7" s="3" t="s">
        <v>297</v>
      </c>
      <c r="C7" s="3" t="s">
        <v>298</v>
      </c>
      <c r="D7" s="3" t="s">
        <v>22</v>
      </c>
      <c r="E7" s="4">
        <v>807300</v>
      </c>
      <c r="F7" s="5">
        <v>12913.5708</v>
      </c>
      <c r="G7" s="6">
        <v>8.4264619999999998E-2</v>
      </c>
      <c r="H7" s="109"/>
      <c r="J7" s="111"/>
      <c r="K7" s="111"/>
      <c r="L7" s="111"/>
      <c r="M7" s="111"/>
      <c r="N7" s="111"/>
    </row>
    <row r="8" spans="1:14" ht="17.100000000000001" customHeight="1" x14ac:dyDescent="0.2">
      <c r="A8" s="100">
        <v>2</v>
      </c>
      <c r="B8" s="3" t="s">
        <v>20</v>
      </c>
      <c r="C8" s="3" t="s">
        <v>21</v>
      </c>
      <c r="D8" s="3" t="s">
        <v>22</v>
      </c>
      <c r="E8" s="4">
        <v>1069000</v>
      </c>
      <c r="F8" s="5">
        <v>9138.3464999999997</v>
      </c>
      <c r="G8" s="6">
        <v>5.9630240000000001E-2</v>
      </c>
      <c r="H8" s="109"/>
      <c r="J8" s="111"/>
      <c r="K8" s="111"/>
      <c r="L8" s="111"/>
      <c r="M8" s="111"/>
      <c r="N8" s="111"/>
    </row>
    <row r="9" spans="1:14" ht="17.100000000000001" customHeight="1" x14ac:dyDescent="0.2">
      <c r="A9" s="100">
        <v>3</v>
      </c>
      <c r="B9" s="3" t="s">
        <v>17</v>
      </c>
      <c r="C9" s="3" t="s">
        <v>18</v>
      </c>
      <c r="D9" s="3" t="s">
        <v>19</v>
      </c>
      <c r="E9" s="4">
        <v>325000</v>
      </c>
      <c r="F9" s="5">
        <v>7548.2875000000004</v>
      </c>
      <c r="G9" s="6">
        <v>4.9254659999999999E-2</v>
      </c>
      <c r="H9" s="109"/>
      <c r="J9" s="111"/>
      <c r="K9" s="111"/>
      <c r="L9" s="111"/>
      <c r="M9" s="111"/>
      <c r="N9" s="111"/>
    </row>
    <row r="10" spans="1:14" ht="17.100000000000001" customHeight="1" x14ac:dyDescent="0.2">
      <c r="A10" s="100">
        <v>4</v>
      </c>
      <c r="B10" s="3" t="s">
        <v>293</v>
      </c>
      <c r="C10" s="3" t="s">
        <v>294</v>
      </c>
      <c r="D10" s="3" t="s">
        <v>996</v>
      </c>
      <c r="E10" s="4">
        <v>430000</v>
      </c>
      <c r="F10" s="5">
        <v>6396.4650000000001</v>
      </c>
      <c r="G10" s="6">
        <v>4.1738699999999997E-2</v>
      </c>
      <c r="H10" s="109"/>
      <c r="J10" s="111"/>
      <c r="K10" s="111"/>
      <c r="L10" s="111"/>
      <c r="M10" s="111"/>
      <c r="N10" s="111"/>
    </row>
    <row r="11" spans="1:14" ht="29.1" customHeight="1" x14ac:dyDescent="0.2">
      <c r="A11" s="100">
        <v>5</v>
      </c>
      <c r="B11" s="3" t="s">
        <v>295</v>
      </c>
      <c r="C11" s="3" t="s">
        <v>296</v>
      </c>
      <c r="D11" s="3" t="s">
        <v>120</v>
      </c>
      <c r="E11" s="4">
        <v>185100</v>
      </c>
      <c r="F11" s="5">
        <v>4830.09195</v>
      </c>
      <c r="G11" s="6">
        <v>3.1517690000000001E-2</v>
      </c>
      <c r="H11" s="109"/>
      <c r="J11" s="172"/>
      <c r="K11" s="172"/>
      <c r="L11" s="172"/>
      <c r="M11" s="172"/>
      <c r="N11" s="172"/>
    </row>
    <row r="12" spans="1:14" ht="17.100000000000001" customHeight="1" x14ac:dyDescent="0.2">
      <c r="A12" s="100">
        <v>6</v>
      </c>
      <c r="B12" s="3" t="s">
        <v>32</v>
      </c>
      <c r="C12" s="3" t="s">
        <v>33</v>
      </c>
      <c r="D12" s="3" t="s">
        <v>22</v>
      </c>
      <c r="E12" s="4">
        <v>740000</v>
      </c>
      <c r="F12" s="5">
        <v>3868.72</v>
      </c>
      <c r="G12" s="6">
        <v>2.5244470000000001E-2</v>
      </c>
      <c r="H12" s="109"/>
      <c r="J12" s="169" t="s">
        <v>1071</v>
      </c>
      <c r="K12" s="111"/>
      <c r="L12" s="111"/>
      <c r="M12" s="111"/>
      <c r="N12" s="111"/>
    </row>
    <row r="13" spans="1:14" ht="29.1" customHeight="1" x14ac:dyDescent="0.2">
      <c r="A13" s="100">
        <v>7</v>
      </c>
      <c r="B13" s="107" t="s">
        <v>919</v>
      </c>
      <c r="C13" s="107" t="s">
        <v>920</v>
      </c>
      <c r="D13" s="107" t="s">
        <v>97</v>
      </c>
      <c r="E13" s="108">
        <v>1200000</v>
      </c>
      <c r="F13" s="109">
        <v>3660</v>
      </c>
      <c r="G13" s="110">
        <v>2.3882509999999999E-2</v>
      </c>
      <c r="H13" s="109"/>
      <c r="J13" s="111"/>
      <c r="K13" s="111"/>
      <c r="L13" s="111"/>
      <c r="M13" s="111"/>
      <c r="N13" s="111"/>
    </row>
    <row r="14" spans="1:14" ht="17.100000000000001" customHeight="1" x14ac:dyDescent="0.2">
      <c r="A14" s="100">
        <v>8</v>
      </c>
      <c r="B14" s="3" t="s">
        <v>197</v>
      </c>
      <c r="C14" s="3" t="s">
        <v>198</v>
      </c>
      <c r="D14" s="3" t="s">
        <v>22</v>
      </c>
      <c r="E14" s="4">
        <v>340000</v>
      </c>
      <c r="F14" s="5">
        <v>2869.94</v>
      </c>
      <c r="G14" s="6">
        <v>1.8727150000000001E-2</v>
      </c>
      <c r="H14" s="109"/>
      <c r="J14" s="111"/>
      <c r="K14" s="111"/>
      <c r="L14" s="111"/>
      <c r="M14" s="111"/>
      <c r="N14" s="111"/>
    </row>
    <row r="15" spans="1:14" ht="17.100000000000001" customHeight="1" x14ac:dyDescent="0.2">
      <c r="A15" s="100">
        <v>9</v>
      </c>
      <c r="B15" s="3" t="s">
        <v>78</v>
      </c>
      <c r="C15" s="3" t="s">
        <v>79</v>
      </c>
      <c r="D15" s="3" t="s">
        <v>80</v>
      </c>
      <c r="E15" s="4">
        <v>95000</v>
      </c>
      <c r="F15" s="5">
        <v>2832.7575000000002</v>
      </c>
      <c r="G15" s="6">
        <v>1.8484529999999999E-2</v>
      </c>
      <c r="H15" s="109"/>
      <c r="J15" s="111"/>
      <c r="K15" s="111"/>
      <c r="L15" s="111"/>
      <c r="M15" s="111"/>
      <c r="N15" s="111"/>
    </row>
    <row r="16" spans="1:14" ht="17.100000000000001" customHeight="1" x14ac:dyDescent="0.2">
      <c r="A16" s="100">
        <v>10</v>
      </c>
      <c r="B16" s="3" t="s">
        <v>324</v>
      </c>
      <c r="C16" s="3" t="s">
        <v>325</v>
      </c>
      <c r="D16" s="3" t="s">
        <v>22</v>
      </c>
      <c r="E16" s="4">
        <v>152600</v>
      </c>
      <c r="F16" s="5">
        <v>2638.8355000000001</v>
      </c>
      <c r="G16" s="6">
        <v>1.7219129999999999E-2</v>
      </c>
      <c r="H16" s="109"/>
      <c r="J16" s="172"/>
      <c r="K16" s="172"/>
      <c r="L16" s="172"/>
      <c r="M16" s="172"/>
      <c r="N16" s="172"/>
    </row>
    <row r="17" spans="1:14" ht="17.100000000000001" customHeight="1" x14ac:dyDescent="0.2">
      <c r="A17" s="100">
        <v>11</v>
      </c>
      <c r="B17" s="3" t="s">
        <v>194</v>
      </c>
      <c r="C17" s="3" t="s">
        <v>195</v>
      </c>
      <c r="D17" s="3" t="s">
        <v>196</v>
      </c>
      <c r="E17" s="4">
        <v>185000</v>
      </c>
      <c r="F17" s="5">
        <v>2406.3874999999998</v>
      </c>
      <c r="G17" s="6">
        <v>1.5702339999999999E-2</v>
      </c>
      <c r="H17" s="109"/>
      <c r="J17" s="111"/>
      <c r="K17" s="111"/>
      <c r="L17" s="111"/>
      <c r="M17" s="111"/>
      <c r="N17" s="111"/>
    </row>
    <row r="18" spans="1:14" ht="17.100000000000001" customHeight="1" x14ac:dyDescent="0.2">
      <c r="A18" s="100">
        <v>12</v>
      </c>
      <c r="B18" s="3" t="s">
        <v>307</v>
      </c>
      <c r="C18" s="3" t="s">
        <v>308</v>
      </c>
      <c r="D18" s="3" t="s">
        <v>309</v>
      </c>
      <c r="E18" s="4">
        <v>92100</v>
      </c>
      <c r="F18" s="5">
        <v>2266.2586500000002</v>
      </c>
      <c r="G18" s="6">
        <v>1.4787959999999999E-2</v>
      </c>
      <c r="H18" s="109"/>
      <c r="J18" s="111"/>
      <c r="K18" s="111"/>
      <c r="L18" s="111"/>
      <c r="M18" s="111"/>
      <c r="N18" s="111"/>
    </row>
    <row r="19" spans="1:14" ht="17.100000000000001" customHeight="1" x14ac:dyDescent="0.2">
      <c r="A19" s="100">
        <v>13</v>
      </c>
      <c r="B19" s="3" t="s">
        <v>299</v>
      </c>
      <c r="C19" s="3" t="s">
        <v>300</v>
      </c>
      <c r="D19" s="3" t="s">
        <v>996</v>
      </c>
      <c r="E19" s="4">
        <v>68060</v>
      </c>
      <c r="F19" s="5">
        <v>2254.7257100000002</v>
      </c>
      <c r="G19" s="6">
        <v>1.471271E-2</v>
      </c>
      <c r="H19" s="109"/>
      <c r="J19" s="111"/>
      <c r="K19" s="111"/>
      <c r="L19" s="111"/>
      <c r="M19" s="111"/>
      <c r="N19" s="111"/>
    </row>
    <row r="20" spans="1:14" ht="17.100000000000001" customHeight="1" x14ac:dyDescent="0.2">
      <c r="A20" s="100">
        <v>14</v>
      </c>
      <c r="B20" s="3" t="s">
        <v>11</v>
      </c>
      <c r="C20" s="3" t="s">
        <v>12</v>
      </c>
      <c r="D20" s="3" t="s">
        <v>13</v>
      </c>
      <c r="E20" s="4">
        <v>106900</v>
      </c>
      <c r="F20" s="5">
        <v>2254.6813499999998</v>
      </c>
      <c r="G20" s="6">
        <v>1.471242E-2</v>
      </c>
      <c r="H20" s="109"/>
      <c r="J20" s="111"/>
      <c r="K20" s="111"/>
      <c r="L20" s="111"/>
      <c r="M20" s="111"/>
      <c r="N20" s="111"/>
    </row>
    <row r="21" spans="1:14" ht="17.100000000000001" customHeight="1" x14ac:dyDescent="0.2">
      <c r="A21" s="100">
        <v>15</v>
      </c>
      <c r="B21" s="3" t="s">
        <v>192</v>
      </c>
      <c r="C21" s="3" t="s">
        <v>193</v>
      </c>
      <c r="D21" s="3" t="s">
        <v>80</v>
      </c>
      <c r="E21" s="4">
        <v>80000</v>
      </c>
      <c r="F21" s="5">
        <v>2217.44</v>
      </c>
      <c r="G21" s="6">
        <v>1.446941E-2</v>
      </c>
      <c r="H21" s="109"/>
      <c r="J21" s="111"/>
      <c r="K21" s="111"/>
      <c r="L21" s="111"/>
      <c r="M21" s="111"/>
      <c r="N21" s="111"/>
    </row>
    <row r="22" spans="1:14" ht="17.100000000000001" customHeight="1" x14ac:dyDescent="0.2">
      <c r="A22" s="100">
        <v>16</v>
      </c>
      <c r="B22" s="3" t="s">
        <v>14</v>
      </c>
      <c r="C22" s="3" t="s">
        <v>15</v>
      </c>
      <c r="D22" s="3" t="s">
        <v>16</v>
      </c>
      <c r="E22" s="4">
        <v>275205</v>
      </c>
      <c r="F22" s="5">
        <v>2042.7091124999999</v>
      </c>
      <c r="G22" s="6">
        <v>1.3329239999999999E-2</v>
      </c>
      <c r="H22" s="109"/>
    </row>
    <row r="23" spans="1:14" ht="17.100000000000001" customHeight="1" x14ac:dyDescent="0.2">
      <c r="A23" s="100">
        <v>17</v>
      </c>
      <c r="B23" s="3" t="s">
        <v>222</v>
      </c>
      <c r="C23" s="3" t="s">
        <v>223</v>
      </c>
      <c r="D23" s="3" t="s">
        <v>22</v>
      </c>
      <c r="E23" s="4">
        <v>1146250</v>
      </c>
      <c r="F23" s="5">
        <v>1822.5374999999999</v>
      </c>
      <c r="G23" s="6">
        <v>1.189256E-2</v>
      </c>
      <c r="H23" s="109"/>
    </row>
    <row r="24" spans="1:14" ht="17.100000000000001" customHeight="1" x14ac:dyDescent="0.2">
      <c r="A24" s="100">
        <v>18</v>
      </c>
      <c r="B24" s="3" t="s">
        <v>344</v>
      </c>
      <c r="C24" s="3" t="s">
        <v>345</v>
      </c>
      <c r="D24" s="3" t="s">
        <v>120</v>
      </c>
      <c r="E24" s="4">
        <v>125000</v>
      </c>
      <c r="F24" s="5">
        <v>1668.625</v>
      </c>
      <c r="G24" s="6">
        <v>1.088824E-2</v>
      </c>
      <c r="H24" s="109"/>
      <c r="J24" s="111"/>
      <c r="K24" s="111"/>
      <c r="L24" s="111"/>
      <c r="M24" s="111"/>
      <c r="N24" s="111"/>
    </row>
    <row r="25" spans="1:14" ht="29.1" customHeight="1" x14ac:dyDescent="0.2">
      <c r="A25" s="100">
        <v>19</v>
      </c>
      <c r="B25" s="3" t="s">
        <v>23</v>
      </c>
      <c r="C25" s="3" t="s">
        <v>24</v>
      </c>
      <c r="D25" s="3" t="s">
        <v>25</v>
      </c>
      <c r="E25" s="4">
        <v>21500</v>
      </c>
      <c r="F25" s="5">
        <v>1561.1795</v>
      </c>
      <c r="G25" s="6">
        <v>1.0187130000000001E-2</v>
      </c>
      <c r="H25" s="109"/>
      <c r="J25" s="111"/>
      <c r="K25" s="111"/>
      <c r="L25" s="111"/>
      <c r="M25" s="111"/>
      <c r="N25" s="111"/>
    </row>
    <row r="26" spans="1:14" ht="24.75" customHeight="1" x14ac:dyDescent="0.2">
      <c r="A26" s="100">
        <v>20</v>
      </c>
      <c r="B26" s="107" t="s">
        <v>921</v>
      </c>
      <c r="C26" s="107" t="s">
        <v>922</v>
      </c>
      <c r="D26" s="107" t="s">
        <v>28</v>
      </c>
      <c r="E26" s="108">
        <v>1278000</v>
      </c>
      <c r="F26" s="109">
        <v>1543.8240000000001</v>
      </c>
      <c r="G26" s="110">
        <v>1.007388E-2</v>
      </c>
      <c r="H26" s="109"/>
      <c r="J26" s="111"/>
      <c r="K26" s="111"/>
      <c r="L26" s="111"/>
      <c r="M26" s="111"/>
      <c r="N26" s="111"/>
    </row>
    <row r="27" spans="1:14" ht="17.100000000000001" customHeight="1" x14ac:dyDescent="0.2">
      <c r="A27" s="100">
        <v>21</v>
      </c>
      <c r="B27" s="3" t="s">
        <v>547</v>
      </c>
      <c r="C27" s="3" t="s">
        <v>548</v>
      </c>
      <c r="D27" s="3" t="s">
        <v>277</v>
      </c>
      <c r="E27" s="4">
        <v>150000</v>
      </c>
      <c r="F27" s="5">
        <v>1384.95</v>
      </c>
      <c r="G27" s="6">
        <v>9.0371800000000006E-3</v>
      </c>
      <c r="H27" s="109"/>
      <c r="J27" s="111"/>
      <c r="K27" s="111"/>
      <c r="L27" s="111"/>
      <c r="M27" s="111"/>
      <c r="N27" s="111"/>
    </row>
    <row r="28" spans="1:14" ht="17.100000000000001" customHeight="1" x14ac:dyDescent="0.2">
      <c r="A28" s="100">
        <v>22</v>
      </c>
      <c r="B28" s="3" t="s">
        <v>69</v>
      </c>
      <c r="C28" s="3" t="s">
        <v>70</v>
      </c>
      <c r="D28" s="3" t="s">
        <v>71</v>
      </c>
      <c r="E28" s="4">
        <v>16000</v>
      </c>
      <c r="F28" s="5">
        <v>1379.896</v>
      </c>
      <c r="G28" s="6">
        <v>9.0042000000000004E-3</v>
      </c>
      <c r="H28" s="109"/>
      <c r="J28" s="111"/>
      <c r="K28" s="111"/>
      <c r="L28" s="111"/>
      <c r="M28" s="111"/>
      <c r="N28" s="111"/>
    </row>
    <row r="29" spans="1:14" ht="17.100000000000001" customHeight="1" x14ac:dyDescent="0.2">
      <c r="A29" s="100">
        <v>23</v>
      </c>
      <c r="B29" s="3" t="s">
        <v>26</v>
      </c>
      <c r="C29" s="3" t="s">
        <v>27</v>
      </c>
      <c r="D29" s="3" t="s">
        <v>28</v>
      </c>
      <c r="E29" s="4">
        <v>800000</v>
      </c>
      <c r="F29" s="5">
        <v>1364</v>
      </c>
      <c r="G29" s="6">
        <v>8.9004800000000005E-3</v>
      </c>
      <c r="H29" s="109"/>
      <c r="J29" s="111"/>
      <c r="K29" s="111"/>
      <c r="L29" s="111"/>
      <c r="M29" s="111"/>
      <c r="N29" s="111"/>
    </row>
    <row r="30" spans="1:14" ht="29.1" customHeight="1" x14ac:dyDescent="0.2">
      <c r="A30" s="100">
        <v>24</v>
      </c>
      <c r="B30" s="3" t="s">
        <v>484</v>
      </c>
      <c r="C30" s="3" t="s">
        <v>485</v>
      </c>
      <c r="D30" s="3" t="s">
        <v>221</v>
      </c>
      <c r="E30" s="4">
        <v>150000</v>
      </c>
      <c r="F30" s="5">
        <v>1359.6</v>
      </c>
      <c r="G30" s="6">
        <v>8.8717699999999993E-3</v>
      </c>
      <c r="H30" s="109"/>
      <c r="J30" s="111"/>
      <c r="K30" s="111"/>
      <c r="L30" s="111"/>
      <c r="M30" s="111"/>
      <c r="N30" s="111"/>
    </row>
    <row r="31" spans="1:14" ht="17.100000000000001" customHeight="1" x14ac:dyDescent="0.2">
      <c r="A31" s="100">
        <v>25</v>
      </c>
      <c r="B31" s="3" t="s">
        <v>301</v>
      </c>
      <c r="C31" s="3" t="s">
        <v>302</v>
      </c>
      <c r="D31" s="3" t="s">
        <v>216</v>
      </c>
      <c r="E31" s="4">
        <v>120000</v>
      </c>
      <c r="F31" s="5">
        <v>1345.2</v>
      </c>
      <c r="G31" s="6">
        <v>8.7778000000000005E-3</v>
      </c>
      <c r="H31" s="109"/>
      <c r="J31" s="111"/>
      <c r="K31" s="111"/>
      <c r="L31" s="111"/>
      <c r="M31" s="111"/>
      <c r="N31" s="111"/>
    </row>
    <row r="32" spans="1:14" ht="17.100000000000001" customHeight="1" x14ac:dyDescent="0.2">
      <c r="A32" s="100">
        <v>26</v>
      </c>
      <c r="B32" s="3" t="s">
        <v>312</v>
      </c>
      <c r="C32" s="3" t="s">
        <v>313</v>
      </c>
      <c r="D32" s="3" t="s">
        <v>309</v>
      </c>
      <c r="E32" s="4">
        <v>345400</v>
      </c>
      <c r="F32" s="5">
        <v>1301.1217999999999</v>
      </c>
      <c r="G32" s="6">
        <v>8.4901799999999999E-3</v>
      </c>
      <c r="H32" s="109"/>
      <c r="J32" s="111"/>
      <c r="K32" s="111"/>
      <c r="L32" s="111"/>
      <c r="M32" s="111"/>
      <c r="N32" s="111"/>
    </row>
    <row r="33" spans="1:14" ht="17.100000000000001" customHeight="1" x14ac:dyDescent="0.2">
      <c r="A33" s="100">
        <v>27</v>
      </c>
      <c r="B33" s="3" t="s">
        <v>545</v>
      </c>
      <c r="C33" s="3" t="s">
        <v>546</v>
      </c>
      <c r="D33" s="3" t="s">
        <v>196</v>
      </c>
      <c r="E33" s="4">
        <v>174375</v>
      </c>
      <c r="F33" s="5">
        <v>1291.4212500000001</v>
      </c>
      <c r="G33" s="6">
        <v>8.4268799999999994E-3</v>
      </c>
      <c r="H33" s="109"/>
      <c r="J33" s="111"/>
      <c r="K33" s="111"/>
      <c r="L33" s="111"/>
      <c r="M33" s="111"/>
      <c r="N33" s="111"/>
    </row>
    <row r="34" spans="1:14" ht="17.100000000000001" customHeight="1" x14ac:dyDescent="0.2">
      <c r="A34" s="100">
        <v>28</v>
      </c>
      <c r="B34" s="3" t="s">
        <v>182</v>
      </c>
      <c r="C34" s="3" t="s">
        <v>183</v>
      </c>
      <c r="D34" s="3" t="s">
        <v>120</v>
      </c>
      <c r="E34" s="4">
        <v>106150</v>
      </c>
      <c r="F34" s="5">
        <v>1277.356025</v>
      </c>
      <c r="G34" s="6">
        <v>8.3350999999999998E-3</v>
      </c>
      <c r="H34" s="109"/>
      <c r="J34" s="111"/>
      <c r="K34" s="111"/>
      <c r="L34" s="111"/>
      <c r="M34" s="111"/>
      <c r="N34" s="111"/>
    </row>
    <row r="35" spans="1:14" ht="17.100000000000001" customHeight="1" x14ac:dyDescent="0.2">
      <c r="A35" s="100">
        <v>29</v>
      </c>
      <c r="B35" s="3" t="s">
        <v>37</v>
      </c>
      <c r="C35" s="3" t="s">
        <v>38</v>
      </c>
      <c r="D35" s="3" t="s">
        <v>31</v>
      </c>
      <c r="E35" s="4">
        <v>70000</v>
      </c>
      <c r="F35" s="5">
        <v>1263.29</v>
      </c>
      <c r="G35" s="6">
        <v>8.2433200000000002E-3</v>
      </c>
      <c r="H35" s="109"/>
    </row>
    <row r="36" spans="1:14" ht="17.100000000000001" customHeight="1" x14ac:dyDescent="0.2">
      <c r="A36" s="100">
        <v>30</v>
      </c>
      <c r="B36" s="3" t="s">
        <v>549</v>
      </c>
      <c r="C36" s="3" t="s">
        <v>550</v>
      </c>
      <c r="D36" s="3" t="s">
        <v>71</v>
      </c>
      <c r="E36" s="4">
        <v>40000</v>
      </c>
      <c r="F36" s="5">
        <v>1242.3599999999999</v>
      </c>
      <c r="G36" s="6">
        <v>8.1067399999999994E-3</v>
      </c>
      <c r="H36" s="109"/>
    </row>
    <row r="37" spans="1:14" ht="29.1" customHeight="1" x14ac:dyDescent="0.2">
      <c r="A37" s="100">
        <v>31</v>
      </c>
      <c r="B37" s="3" t="s">
        <v>303</v>
      </c>
      <c r="C37" s="3" t="s">
        <v>304</v>
      </c>
      <c r="D37" s="3" t="s">
        <v>221</v>
      </c>
      <c r="E37" s="4">
        <v>128100</v>
      </c>
      <c r="F37" s="5">
        <v>1225.4046000000001</v>
      </c>
      <c r="G37" s="6">
        <v>7.9961000000000008E-3</v>
      </c>
      <c r="H37" s="109"/>
    </row>
    <row r="38" spans="1:14" ht="17.100000000000001" customHeight="1" x14ac:dyDescent="0.2">
      <c r="A38" s="100">
        <v>32</v>
      </c>
      <c r="B38" s="3" t="s">
        <v>217</v>
      </c>
      <c r="C38" s="3" t="s">
        <v>218</v>
      </c>
      <c r="D38" s="3" t="s">
        <v>115</v>
      </c>
      <c r="E38" s="4">
        <v>950000</v>
      </c>
      <c r="F38" s="5">
        <v>1079.675</v>
      </c>
      <c r="G38" s="6">
        <v>7.0451799999999998E-3</v>
      </c>
      <c r="H38" s="109"/>
    </row>
    <row r="39" spans="1:14" ht="29.1" customHeight="1" x14ac:dyDescent="0.2">
      <c r="A39" s="100">
        <v>33</v>
      </c>
      <c r="B39" s="3" t="s">
        <v>189</v>
      </c>
      <c r="C39" s="3" t="s">
        <v>190</v>
      </c>
      <c r="D39" s="3" t="s">
        <v>191</v>
      </c>
      <c r="E39" s="4">
        <v>120000</v>
      </c>
      <c r="F39" s="5">
        <v>1078.26</v>
      </c>
      <c r="G39" s="6">
        <v>7.03595E-3</v>
      </c>
      <c r="H39" s="109"/>
    </row>
    <row r="40" spans="1:14" ht="29.1" customHeight="1" x14ac:dyDescent="0.2">
      <c r="A40" s="100">
        <v>34</v>
      </c>
      <c r="B40" s="3" t="s">
        <v>127</v>
      </c>
      <c r="C40" s="3" t="s">
        <v>128</v>
      </c>
      <c r="D40" s="3" t="s">
        <v>129</v>
      </c>
      <c r="E40" s="4">
        <v>181250</v>
      </c>
      <c r="F40" s="5">
        <v>1073.815625</v>
      </c>
      <c r="G40" s="6">
        <v>7.0069399999999997E-3</v>
      </c>
      <c r="H40" s="109"/>
    </row>
    <row r="41" spans="1:14" ht="29.1" customHeight="1" x14ac:dyDescent="0.2">
      <c r="A41" s="100">
        <v>35</v>
      </c>
      <c r="B41" s="3" t="s">
        <v>219</v>
      </c>
      <c r="C41" s="3" t="s">
        <v>220</v>
      </c>
      <c r="D41" s="3" t="s">
        <v>221</v>
      </c>
      <c r="E41" s="4">
        <v>221600</v>
      </c>
      <c r="F41" s="5">
        <v>1032.2128</v>
      </c>
      <c r="G41" s="6">
        <v>6.7354700000000003E-3</v>
      </c>
      <c r="H41" s="109"/>
    </row>
    <row r="42" spans="1:14" ht="29.1" customHeight="1" x14ac:dyDescent="0.2">
      <c r="A42" s="100">
        <v>36</v>
      </c>
      <c r="B42" s="3" t="s">
        <v>258</v>
      </c>
      <c r="C42" s="3" t="s">
        <v>259</v>
      </c>
      <c r="D42" s="3" t="s">
        <v>191</v>
      </c>
      <c r="E42" s="4">
        <v>33000</v>
      </c>
      <c r="F42" s="5">
        <v>1022.8515</v>
      </c>
      <c r="G42" s="6">
        <v>6.6743899999999997E-3</v>
      </c>
      <c r="H42" s="109"/>
    </row>
    <row r="43" spans="1:14" ht="17.100000000000001" customHeight="1" x14ac:dyDescent="0.2">
      <c r="A43" s="100">
        <v>37</v>
      </c>
      <c r="B43" s="3" t="s">
        <v>224</v>
      </c>
      <c r="C43" s="3" t="s">
        <v>225</v>
      </c>
      <c r="D43" s="3" t="s">
        <v>196</v>
      </c>
      <c r="E43" s="4">
        <v>70000</v>
      </c>
      <c r="F43" s="5">
        <v>1012.83</v>
      </c>
      <c r="G43" s="6">
        <v>6.6090000000000003E-3</v>
      </c>
      <c r="H43" s="109"/>
    </row>
    <row r="44" spans="1:14" ht="17.100000000000001" customHeight="1" x14ac:dyDescent="0.2">
      <c r="A44" s="100">
        <v>38</v>
      </c>
      <c r="B44" s="3" t="s">
        <v>310</v>
      </c>
      <c r="C44" s="3" t="s">
        <v>311</v>
      </c>
      <c r="D44" s="3" t="s">
        <v>71</v>
      </c>
      <c r="E44" s="4">
        <v>74400</v>
      </c>
      <c r="F44" s="5">
        <v>944.58240000000001</v>
      </c>
      <c r="G44" s="6">
        <v>6.1636599999999996E-3</v>
      </c>
      <c r="H44" s="109"/>
    </row>
    <row r="45" spans="1:14" ht="29.1" customHeight="1" x14ac:dyDescent="0.2">
      <c r="A45" s="100">
        <v>39</v>
      </c>
      <c r="B45" s="3" t="s">
        <v>320</v>
      </c>
      <c r="C45" s="3" t="s">
        <v>321</v>
      </c>
      <c r="D45" s="3" t="s">
        <v>188</v>
      </c>
      <c r="E45" s="4">
        <v>230000</v>
      </c>
      <c r="F45" s="5">
        <v>891.48</v>
      </c>
      <c r="G45" s="6">
        <v>5.8171500000000001E-3</v>
      </c>
      <c r="H45" s="109"/>
    </row>
    <row r="46" spans="1:14" ht="17.100000000000001" customHeight="1" x14ac:dyDescent="0.2">
      <c r="A46" s="100">
        <v>40</v>
      </c>
      <c r="B46" s="3" t="s">
        <v>264</v>
      </c>
      <c r="C46" s="3" t="s">
        <v>265</v>
      </c>
      <c r="D46" s="3" t="s">
        <v>996</v>
      </c>
      <c r="E46" s="4">
        <v>18000</v>
      </c>
      <c r="F46" s="5">
        <v>849.96900000000005</v>
      </c>
      <c r="G46" s="6">
        <v>5.5462799999999998E-3</v>
      </c>
      <c r="H46" s="109"/>
    </row>
    <row r="47" spans="1:14" ht="17.100000000000001" customHeight="1" x14ac:dyDescent="0.2">
      <c r="A47" s="100">
        <v>41</v>
      </c>
      <c r="B47" s="3" t="s">
        <v>106</v>
      </c>
      <c r="C47" s="3" t="s">
        <v>107</v>
      </c>
      <c r="D47" s="3" t="s">
        <v>108</v>
      </c>
      <c r="E47" s="4">
        <v>200450</v>
      </c>
      <c r="F47" s="5">
        <v>800.19640000000004</v>
      </c>
      <c r="G47" s="6">
        <v>5.2214999999999996E-3</v>
      </c>
      <c r="H47" s="109"/>
    </row>
    <row r="48" spans="1:14" ht="29.1" customHeight="1" x14ac:dyDescent="0.2">
      <c r="A48" s="100">
        <v>42</v>
      </c>
      <c r="B48" s="3" t="s">
        <v>204</v>
      </c>
      <c r="C48" s="3" t="s">
        <v>205</v>
      </c>
      <c r="D48" s="3" t="s">
        <v>115</v>
      </c>
      <c r="E48" s="4">
        <v>250000</v>
      </c>
      <c r="F48" s="5">
        <v>759.625</v>
      </c>
      <c r="G48" s="6">
        <v>4.9567600000000002E-3</v>
      </c>
      <c r="H48" s="109"/>
    </row>
    <row r="49" spans="1:8" ht="17.100000000000001" customHeight="1" x14ac:dyDescent="0.2">
      <c r="A49" s="100">
        <v>43</v>
      </c>
      <c r="B49" s="3" t="s">
        <v>346</v>
      </c>
      <c r="C49" s="3" t="s">
        <v>347</v>
      </c>
      <c r="D49" s="3" t="s">
        <v>120</v>
      </c>
      <c r="E49" s="4">
        <v>12250</v>
      </c>
      <c r="F49" s="5">
        <v>748.73225000000002</v>
      </c>
      <c r="G49" s="6">
        <v>4.8856899999999998E-3</v>
      </c>
      <c r="H49" s="109"/>
    </row>
    <row r="50" spans="1:8" ht="17.100000000000001" customHeight="1" x14ac:dyDescent="0.2">
      <c r="A50" s="100">
        <v>44</v>
      </c>
      <c r="B50" s="3" t="s">
        <v>245</v>
      </c>
      <c r="C50" s="3" t="s">
        <v>246</v>
      </c>
      <c r="D50" s="3" t="s">
        <v>120</v>
      </c>
      <c r="E50" s="4">
        <v>129500</v>
      </c>
      <c r="F50" s="5">
        <v>744.56025</v>
      </c>
      <c r="G50" s="6">
        <v>4.8584600000000002E-3</v>
      </c>
      <c r="H50" s="109"/>
    </row>
    <row r="51" spans="1:8" ht="17.100000000000001" customHeight="1" x14ac:dyDescent="0.2">
      <c r="A51" s="100">
        <v>45</v>
      </c>
      <c r="B51" s="3" t="s">
        <v>211</v>
      </c>
      <c r="C51" s="3" t="s">
        <v>212</v>
      </c>
      <c r="D51" s="3" t="s">
        <v>213</v>
      </c>
      <c r="E51" s="4">
        <v>125000</v>
      </c>
      <c r="F51" s="5">
        <v>686.5</v>
      </c>
      <c r="G51" s="6">
        <v>4.4796000000000002E-3</v>
      </c>
      <c r="H51" s="109"/>
    </row>
    <row r="52" spans="1:8" ht="17.100000000000001" customHeight="1" x14ac:dyDescent="0.2">
      <c r="A52" s="100">
        <v>46</v>
      </c>
      <c r="B52" s="3" t="s">
        <v>262</v>
      </c>
      <c r="C52" s="3" t="s">
        <v>263</v>
      </c>
      <c r="D52" s="3" t="s">
        <v>115</v>
      </c>
      <c r="E52" s="4">
        <v>80000</v>
      </c>
      <c r="F52" s="5">
        <v>656.76</v>
      </c>
      <c r="G52" s="6">
        <v>4.28554E-3</v>
      </c>
      <c r="H52" s="109"/>
    </row>
    <row r="53" spans="1:8" ht="17.100000000000001" customHeight="1" x14ac:dyDescent="0.2">
      <c r="A53" s="100">
        <v>47</v>
      </c>
      <c r="B53" s="3" t="s">
        <v>330</v>
      </c>
      <c r="C53" s="3" t="s">
        <v>331</v>
      </c>
      <c r="D53" s="3" t="s">
        <v>97</v>
      </c>
      <c r="E53" s="4">
        <v>989100</v>
      </c>
      <c r="F53" s="5">
        <v>635.00220000000002</v>
      </c>
      <c r="G53" s="6">
        <v>4.1435700000000001E-3</v>
      </c>
      <c r="H53" s="109"/>
    </row>
    <row r="54" spans="1:8" ht="17.100000000000001" customHeight="1" x14ac:dyDescent="0.2">
      <c r="A54" s="100">
        <v>48</v>
      </c>
      <c r="B54" s="3" t="s">
        <v>340</v>
      </c>
      <c r="C54" s="3" t="s">
        <v>341</v>
      </c>
      <c r="D54" s="3" t="s">
        <v>235</v>
      </c>
      <c r="E54" s="4">
        <v>200000</v>
      </c>
      <c r="F54" s="5">
        <v>621.5</v>
      </c>
      <c r="G54" s="6">
        <v>4.0554600000000003E-3</v>
      </c>
      <c r="H54" s="109"/>
    </row>
    <row r="55" spans="1:8" ht="29.1" customHeight="1" x14ac:dyDescent="0.2">
      <c r="A55" s="100">
        <v>49</v>
      </c>
      <c r="B55" s="3" t="s">
        <v>488</v>
      </c>
      <c r="C55" s="3" t="s">
        <v>489</v>
      </c>
      <c r="D55" s="3" t="s">
        <v>445</v>
      </c>
      <c r="E55" s="4">
        <v>86000</v>
      </c>
      <c r="F55" s="5">
        <v>615.15800000000002</v>
      </c>
      <c r="G55" s="6">
        <v>4.0140799999999997E-3</v>
      </c>
      <c r="H55" s="109"/>
    </row>
    <row r="56" spans="1:8" ht="17.100000000000001" customHeight="1" x14ac:dyDescent="0.2">
      <c r="A56" s="100">
        <v>50</v>
      </c>
      <c r="B56" s="3" t="s">
        <v>251</v>
      </c>
      <c r="C56" s="3" t="s">
        <v>252</v>
      </c>
      <c r="D56" s="3" t="s">
        <v>253</v>
      </c>
      <c r="E56" s="4">
        <v>65100</v>
      </c>
      <c r="F56" s="5">
        <v>585.96510000000001</v>
      </c>
      <c r="G56" s="6">
        <v>3.82358E-3</v>
      </c>
      <c r="H56" s="109"/>
    </row>
    <row r="57" spans="1:8" ht="29.1" customHeight="1" x14ac:dyDescent="0.2">
      <c r="A57" s="100">
        <v>51</v>
      </c>
      <c r="B57" s="3" t="s">
        <v>268</v>
      </c>
      <c r="C57" s="3" t="s">
        <v>269</v>
      </c>
      <c r="D57" s="3" t="s">
        <v>221</v>
      </c>
      <c r="E57" s="4">
        <v>42500</v>
      </c>
      <c r="F57" s="5">
        <v>560.17124999999999</v>
      </c>
      <c r="G57" s="6">
        <v>3.65527E-3</v>
      </c>
      <c r="H57" s="109"/>
    </row>
    <row r="58" spans="1:8" ht="17.100000000000001" customHeight="1" x14ac:dyDescent="0.2">
      <c r="A58" s="100">
        <v>52</v>
      </c>
      <c r="B58" s="3" t="s">
        <v>348</v>
      </c>
      <c r="C58" s="3" t="s">
        <v>349</v>
      </c>
      <c r="D58" s="3" t="s">
        <v>71</v>
      </c>
      <c r="E58" s="4">
        <v>125000</v>
      </c>
      <c r="F58" s="5">
        <v>525.875</v>
      </c>
      <c r="G58" s="6">
        <v>3.4314800000000002E-3</v>
      </c>
      <c r="H58" s="109"/>
    </row>
    <row r="59" spans="1:8" ht="17.100000000000001" customHeight="1" x14ac:dyDescent="0.2">
      <c r="A59" s="100">
        <v>53</v>
      </c>
      <c r="B59" s="3" t="s">
        <v>43</v>
      </c>
      <c r="C59" s="3" t="s">
        <v>44</v>
      </c>
      <c r="D59" s="3" t="s">
        <v>31</v>
      </c>
      <c r="E59" s="4">
        <v>15000</v>
      </c>
      <c r="F59" s="5">
        <v>462.20249999999999</v>
      </c>
      <c r="G59" s="6">
        <v>3.016E-3</v>
      </c>
      <c r="H59" s="109"/>
    </row>
    <row r="60" spans="1:8" ht="17.100000000000001" customHeight="1" x14ac:dyDescent="0.2">
      <c r="A60" s="100">
        <v>54</v>
      </c>
      <c r="B60" s="3" t="s">
        <v>102</v>
      </c>
      <c r="C60" s="3" t="s">
        <v>103</v>
      </c>
      <c r="D60" s="3" t="s">
        <v>47</v>
      </c>
      <c r="E60" s="4">
        <v>20670</v>
      </c>
      <c r="F60" s="5">
        <v>257.12446499999999</v>
      </c>
      <c r="G60" s="6">
        <v>1.6778100000000001E-3</v>
      </c>
      <c r="H60" s="109"/>
    </row>
    <row r="61" spans="1:8" ht="17.100000000000001" customHeight="1" x14ac:dyDescent="0.2">
      <c r="A61" s="100">
        <v>55</v>
      </c>
      <c r="B61" s="3" t="s">
        <v>130</v>
      </c>
      <c r="C61" s="3" t="s">
        <v>131</v>
      </c>
      <c r="D61" s="3" t="s">
        <v>120</v>
      </c>
      <c r="E61" s="4">
        <v>20670</v>
      </c>
      <c r="F61" s="5">
        <v>46.778277000000003</v>
      </c>
      <c r="G61" s="6">
        <v>3.0524000000000003E-4</v>
      </c>
      <c r="H61" s="109"/>
    </row>
    <row r="62" spans="1:8" ht="14.1" customHeight="1" x14ac:dyDescent="0.2">
      <c r="A62" s="99"/>
      <c r="B62" s="1"/>
      <c r="C62" s="2" t="s">
        <v>135</v>
      </c>
      <c r="D62" s="1"/>
      <c r="E62" s="1" t="s">
        <v>136</v>
      </c>
      <c r="F62" s="8">
        <v>108861.80976449998</v>
      </c>
      <c r="G62" s="9">
        <v>0.71035340000000036</v>
      </c>
      <c r="H62" s="109"/>
    </row>
    <row r="63" spans="1:8" ht="14.1" customHeight="1" x14ac:dyDescent="0.2">
      <c r="A63" s="99"/>
      <c r="B63" s="1"/>
      <c r="C63" s="10"/>
      <c r="D63" s="1"/>
      <c r="E63" s="1"/>
      <c r="F63" s="11"/>
      <c r="G63" s="11"/>
      <c r="H63" s="109"/>
    </row>
    <row r="64" spans="1:8" ht="14.1" customHeight="1" x14ac:dyDescent="0.2">
      <c r="A64" s="99"/>
      <c r="B64" s="1"/>
      <c r="C64" s="2" t="s">
        <v>137</v>
      </c>
      <c r="D64" s="1"/>
      <c r="E64" s="1"/>
      <c r="F64" s="1"/>
      <c r="G64" s="1"/>
      <c r="H64" s="109"/>
    </row>
    <row r="65" spans="1:8" ht="14.1" customHeight="1" x14ac:dyDescent="0.2">
      <c r="A65" s="99"/>
      <c r="B65" s="1"/>
      <c r="C65" s="2" t="s">
        <v>135</v>
      </c>
      <c r="D65" s="1"/>
      <c r="E65" s="1" t="s">
        <v>136</v>
      </c>
      <c r="F65" s="115">
        <v>0</v>
      </c>
      <c r="G65" s="9">
        <v>0</v>
      </c>
      <c r="H65" s="109"/>
    </row>
    <row r="66" spans="1:8" ht="14.1" customHeight="1" x14ac:dyDescent="0.2">
      <c r="A66" s="99"/>
      <c r="B66" s="1"/>
      <c r="C66" s="10"/>
      <c r="D66" s="1"/>
      <c r="E66" s="1"/>
      <c r="F66" s="11"/>
      <c r="G66" s="11"/>
      <c r="H66" s="109"/>
    </row>
    <row r="67" spans="1:8" ht="14.1" customHeight="1" x14ac:dyDescent="0.2">
      <c r="A67" s="99"/>
      <c r="B67" s="1"/>
      <c r="C67" s="2" t="s">
        <v>138</v>
      </c>
      <c r="D67" s="1"/>
      <c r="E67" s="1"/>
      <c r="F67" s="1"/>
      <c r="G67" s="1"/>
      <c r="H67" s="109"/>
    </row>
    <row r="68" spans="1:8" ht="14.1" customHeight="1" x14ac:dyDescent="0.2">
      <c r="A68" s="99"/>
      <c r="B68" s="1"/>
      <c r="C68" s="2" t="s">
        <v>135</v>
      </c>
      <c r="D68" s="1"/>
      <c r="E68" s="1" t="s">
        <v>136</v>
      </c>
      <c r="F68" s="115">
        <v>0</v>
      </c>
      <c r="G68" s="9">
        <v>0</v>
      </c>
      <c r="H68" s="109"/>
    </row>
    <row r="69" spans="1:8" ht="14.1" customHeight="1" x14ac:dyDescent="0.2">
      <c r="A69" s="99"/>
      <c r="B69" s="1"/>
      <c r="C69" s="10"/>
      <c r="D69" s="1"/>
      <c r="E69" s="1"/>
      <c r="F69" s="11"/>
      <c r="G69" s="11"/>
      <c r="H69" s="109"/>
    </row>
    <row r="70" spans="1:8" ht="14.1" customHeight="1" x14ac:dyDescent="0.2">
      <c r="A70" s="99"/>
      <c r="B70" s="1"/>
      <c r="C70" s="2" t="s">
        <v>139</v>
      </c>
      <c r="D70" s="1"/>
      <c r="E70" s="1"/>
      <c r="F70" s="1"/>
      <c r="G70" s="1"/>
      <c r="H70" s="109"/>
    </row>
    <row r="71" spans="1:8" ht="14.1" customHeight="1" x14ac:dyDescent="0.2">
      <c r="A71" s="99"/>
      <c r="B71" s="1"/>
      <c r="C71" s="2" t="s">
        <v>135</v>
      </c>
      <c r="D71" s="1"/>
      <c r="E71" s="1" t="s">
        <v>136</v>
      </c>
      <c r="F71" s="115">
        <v>0</v>
      </c>
      <c r="G71" s="9">
        <v>0</v>
      </c>
      <c r="H71" s="109"/>
    </row>
    <row r="72" spans="1:8" ht="14.1" customHeight="1" x14ac:dyDescent="0.2">
      <c r="A72" s="99"/>
      <c r="B72" s="1"/>
      <c r="C72" s="10"/>
      <c r="D72" s="1"/>
      <c r="E72" s="1"/>
      <c r="F72" s="11"/>
      <c r="G72" s="11"/>
      <c r="H72" s="109"/>
    </row>
    <row r="73" spans="1:8" ht="14.1" customHeight="1" x14ac:dyDescent="0.2">
      <c r="A73" s="99"/>
      <c r="B73" s="1"/>
      <c r="C73" s="2" t="s">
        <v>140</v>
      </c>
      <c r="D73" s="1"/>
      <c r="E73" s="1"/>
      <c r="F73" s="11"/>
      <c r="G73" s="11"/>
      <c r="H73" s="109"/>
    </row>
    <row r="74" spans="1:8" ht="14.1" customHeight="1" x14ac:dyDescent="0.2">
      <c r="A74" s="99"/>
      <c r="B74" s="1"/>
      <c r="C74" s="2" t="s">
        <v>135</v>
      </c>
      <c r="D74" s="1"/>
      <c r="E74" s="1" t="s">
        <v>136</v>
      </c>
      <c r="F74" s="115">
        <v>0</v>
      </c>
      <c r="G74" s="9">
        <v>0</v>
      </c>
      <c r="H74" s="109"/>
    </row>
    <row r="75" spans="1:8" ht="14.1" customHeight="1" x14ac:dyDescent="0.2">
      <c r="A75" s="99"/>
      <c r="B75" s="1"/>
      <c r="C75" s="10"/>
      <c r="D75" s="1"/>
      <c r="E75" s="1"/>
      <c r="F75" s="11"/>
      <c r="G75" s="11"/>
      <c r="H75" s="109"/>
    </row>
    <row r="76" spans="1:8" ht="14.1" customHeight="1" x14ac:dyDescent="0.2">
      <c r="A76" s="99"/>
      <c r="B76" s="1"/>
      <c r="C76" s="2" t="s">
        <v>141</v>
      </c>
      <c r="D76" s="1"/>
      <c r="E76" s="1"/>
      <c r="F76" s="11"/>
      <c r="G76" s="11"/>
      <c r="H76" s="109"/>
    </row>
    <row r="77" spans="1:8" ht="17.100000000000001" customHeight="1" x14ac:dyDescent="0.2">
      <c r="A77" s="100">
        <v>1</v>
      </c>
      <c r="B77" s="3"/>
      <c r="C77" s="3" t="s">
        <v>973</v>
      </c>
      <c r="D77" s="3" t="s">
        <v>641</v>
      </c>
      <c r="E77" s="4">
        <v>-10000</v>
      </c>
      <c r="F77" s="5">
        <v>-134.405</v>
      </c>
      <c r="G77" s="6">
        <v>-8.7703E-4</v>
      </c>
      <c r="H77" s="109"/>
    </row>
    <row r="78" spans="1:8" ht="17.100000000000001" customHeight="1" x14ac:dyDescent="0.2">
      <c r="A78" s="100">
        <v>2</v>
      </c>
      <c r="B78" s="3"/>
      <c r="C78" s="3" t="s">
        <v>974</v>
      </c>
      <c r="D78" s="3" t="s">
        <v>641</v>
      </c>
      <c r="E78" s="4">
        <v>-12000</v>
      </c>
      <c r="F78" s="5">
        <v>-145.416</v>
      </c>
      <c r="G78" s="6">
        <v>-9.4888000000000004E-4</v>
      </c>
      <c r="H78" s="109"/>
    </row>
    <row r="79" spans="1:8" ht="17.100000000000001" customHeight="1" x14ac:dyDescent="0.2">
      <c r="A79" s="100">
        <v>3</v>
      </c>
      <c r="B79" s="3"/>
      <c r="C79" s="3" t="s">
        <v>975</v>
      </c>
      <c r="D79" s="3" t="s">
        <v>641</v>
      </c>
      <c r="E79" s="4">
        <v>-32500</v>
      </c>
      <c r="F79" s="5">
        <v>-296.72500000000002</v>
      </c>
      <c r="G79" s="6">
        <v>-1.9362099999999998E-3</v>
      </c>
      <c r="H79" s="109"/>
    </row>
    <row r="80" spans="1:8" ht="17.100000000000001" customHeight="1" x14ac:dyDescent="0.2">
      <c r="A80" s="100">
        <v>4</v>
      </c>
      <c r="B80" s="3"/>
      <c r="C80" s="3" t="s">
        <v>976</v>
      </c>
      <c r="D80" s="3" t="s">
        <v>641</v>
      </c>
      <c r="E80" s="4">
        <v>-5000</v>
      </c>
      <c r="F80" s="5">
        <v>-364.76249999999999</v>
      </c>
      <c r="G80" s="6">
        <v>-2.38018E-3</v>
      </c>
      <c r="H80" s="109"/>
    </row>
    <row r="81" spans="1:8" ht="17.100000000000001" customHeight="1" x14ac:dyDescent="0.2">
      <c r="A81" s="100">
        <v>5</v>
      </c>
      <c r="B81" s="3"/>
      <c r="C81" s="3" t="s">
        <v>977</v>
      </c>
      <c r="D81" s="3" t="s">
        <v>641</v>
      </c>
      <c r="E81" s="4">
        <v>-234000</v>
      </c>
      <c r="F81" s="5">
        <v>-372.52800000000002</v>
      </c>
      <c r="G81" s="6">
        <v>-2.43085E-3</v>
      </c>
      <c r="H81" s="109"/>
    </row>
    <row r="82" spans="1:8" ht="17.100000000000001" customHeight="1" x14ac:dyDescent="0.2">
      <c r="A82" s="100">
        <v>6</v>
      </c>
      <c r="B82" s="3"/>
      <c r="C82" s="3" t="s">
        <v>960</v>
      </c>
      <c r="D82" s="3" t="s">
        <v>641</v>
      </c>
      <c r="E82" s="4">
        <v>-45600</v>
      </c>
      <c r="F82" s="5">
        <v>-387.48599999999999</v>
      </c>
      <c r="G82" s="6">
        <v>-2.5284499999999998E-3</v>
      </c>
      <c r="H82" s="109"/>
    </row>
    <row r="83" spans="1:8" ht="17.100000000000001" customHeight="1" x14ac:dyDescent="0.2">
      <c r="A83" s="100">
        <v>7</v>
      </c>
      <c r="B83" s="3"/>
      <c r="C83" s="3" t="s">
        <v>978</v>
      </c>
      <c r="D83" s="3" t="s">
        <v>641</v>
      </c>
      <c r="E83" s="4">
        <v>-75000</v>
      </c>
      <c r="F83" s="5">
        <v>-394.76249999999999</v>
      </c>
      <c r="G83" s="6">
        <v>-2.5759300000000001E-3</v>
      </c>
      <c r="H83" s="109"/>
    </row>
    <row r="84" spans="1:8" ht="17.100000000000001" customHeight="1" x14ac:dyDescent="0.2">
      <c r="A84" s="100">
        <v>8</v>
      </c>
      <c r="B84" s="3"/>
      <c r="C84" s="3" t="s">
        <v>979</v>
      </c>
      <c r="D84" s="3" t="s">
        <v>641</v>
      </c>
      <c r="E84" s="4">
        <v>-68750</v>
      </c>
      <c r="F84" s="5">
        <v>-511.98124999999999</v>
      </c>
      <c r="G84" s="6">
        <v>-3.34082E-3</v>
      </c>
      <c r="H84" s="109"/>
    </row>
    <row r="85" spans="1:8" ht="17.100000000000001" customHeight="1" x14ac:dyDescent="0.2">
      <c r="A85" s="100">
        <v>9</v>
      </c>
      <c r="B85" s="3"/>
      <c r="C85" s="3" t="s">
        <v>968</v>
      </c>
      <c r="D85" s="3" t="s">
        <v>641</v>
      </c>
      <c r="E85" s="4">
        <v>-12250</v>
      </c>
      <c r="F85" s="5">
        <v>-753.71187499999996</v>
      </c>
      <c r="G85" s="6">
        <v>-4.9181799999999994E-3</v>
      </c>
      <c r="H85" s="109"/>
    </row>
    <row r="86" spans="1:8" ht="17.100000000000001" customHeight="1" x14ac:dyDescent="0.2">
      <c r="A86" s="100">
        <v>10</v>
      </c>
      <c r="B86" s="3"/>
      <c r="C86" s="3" t="s">
        <v>967</v>
      </c>
      <c r="D86" s="3" t="s">
        <v>641</v>
      </c>
      <c r="E86" s="4">
        <v>-37500</v>
      </c>
      <c r="F86" s="5">
        <v>-875.41875000000005</v>
      </c>
      <c r="G86" s="6">
        <v>-5.7123500000000006E-3</v>
      </c>
      <c r="H86" s="109"/>
    </row>
    <row r="87" spans="1:8" ht="17.100000000000001" customHeight="1" x14ac:dyDescent="0.2">
      <c r="A87" s="100">
        <v>11</v>
      </c>
      <c r="B87" s="3"/>
      <c r="C87" s="3" t="s">
        <v>963</v>
      </c>
      <c r="D87" s="3" t="s">
        <v>641</v>
      </c>
      <c r="E87" s="4">
        <v>-150000</v>
      </c>
      <c r="F87" s="5">
        <v>-895.125</v>
      </c>
      <c r="G87" s="6">
        <v>-5.8409400000000002E-3</v>
      </c>
      <c r="H87" s="109"/>
    </row>
    <row r="88" spans="1:8" ht="17.100000000000001" customHeight="1" x14ac:dyDescent="0.2">
      <c r="A88" s="100">
        <v>12</v>
      </c>
      <c r="B88" s="3"/>
      <c r="C88" s="3" t="s">
        <v>971</v>
      </c>
      <c r="D88" s="3" t="s">
        <v>641</v>
      </c>
      <c r="E88" s="4">
        <v>-185500</v>
      </c>
      <c r="F88" s="5">
        <v>-1592.61025</v>
      </c>
      <c r="G88" s="6">
        <v>-1.0392220000000001E-2</v>
      </c>
      <c r="H88" s="109"/>
    </row>
    <row r="89" spans="1:8" ht="17.100000000000001" customHeight="1" x14ac:dyDescent="0.2">
      <c r="A89" s="100">
        <v>13</v>
      </c>
      <c r="B89" s="3"/>
      <c r="C89" s="3" t="s">
        <v>950</v>
      </c>
      <c r="D89" s="3" t="s">
        <v>641</v>
      </c>
      <c r="E89" s="4">
        <v>-65100</v>
      </c>
      <c r="F89" s="5">
        <v>-1706.4988499999999</v>
      </c>
      <c r="G89" s="6">
        <v>-1.1135379999999999E-2</v>
      </c>
      <c r="H89" s="109"/>
    </row>
    <row r="90" spans="1:8" ht="17.100000000000001" customHeight="1" x14ac:dyDescent="0.2">
      <c r="A90" s="100">
        <v>14</v>
      </c>
      <c r="B90" s="3"/>
      <c r="C90" s="3" t="s">
        <v>972</v>
      </c>
      <c r="D90" s="3" t="s">
        <v>641</v>
      </c>
      <c r="E90" s="4">
        <v>-117600</v>
      </c>
      <c r="F90" s="5">
        <v>-2043.3588</v>
      </c>
      <c r="G90" s="6">
        <v>-1.333348E-2</v>
      </c>
      <c r="H90" s="109"/>
    </row>
    <row r="91" spans="1:8" ht="17.100000000000001" customHeight="1" x14ac:dyDescent="0.2">
      <c r="A91" s="100">
        <v>15</v>
      </c>
      <c r="B91" s="3"/>
      <c r="C91" s="3" t="s">
        <v>980</v>
      </c>
      <c r="D91" s="3" t="s">
        <v>641</v>
      </c>
      <c r="E91" s="4">
        <v>-267300</v>
      </c>
      <c r="F91" s="5">
        <v>-4299.1195500000003</v>
      </c>
      <c r="G91" s="6">
        <v>-2.8052939999999998E-2</v>
      </c>
      <c r="H91" s="109"/>
    </row>
    <row r="92" spans="1:8" ht="17.100000000000001" customHeight="1" x14ac:dyDescent="0.2">
      <c r="A92" s="100">
        <v>16</v>
      </c>
      <c r="B92" s="3"/>
      <c r="C92" s="3" t="s">
        <v>981</v>
      </c>
      <c r="D92" s="3" t="s">
        <v>648</v>
      </c>
      <c r="E92" s="4">
        <v>-62250</v>
      </c>
      <c r="F92" s="5">
        <v>-10833.6165</v>
      </c>
      <c r="G92" s="6">
        <v>-7.0692339999999992E-2</v>
      </c>
      <c r="H92" s="109"/>
    </row>
    <row r="93" spans="1:8" ht="14.1" customHeight="1" x14ac:dyDescent="0.2">
      <c r="A93" s="99"/>
      <c r="B93" s="1"/>
      <c r="C93" s="2" t="s">
        <v>135</v>
      </c>
      <c r="D93" s="1"/>
      <c r="E93" s="1" t="s">
        <v>136</v>
      </c>
      <c r="F93" s="8">
        <v>-25607.525825000001</v>
      </c>
      <c r="G93" s="9">
        <v>-0.16709618000000001</v>
      </c>
      <c r="H93" s="109"/>
    </row>
    <row r="94" spans="1:8" ht="14.1" customHeight="1" x14ac:dyDescent="0.2">
      <c r="A94" s="99"/>
      <c r="B94" s="1"/>
      <c r="C94" s="10"/>
      <c r="D94" s="1"/>
      <c r="E94" s="1"/>
      <c r="F94" s="11"/>
      <c r="G94" s="11"/>
      <c r="H94" s="109"/>
    </row>
    <row r="95" spans="1:8" ht="18" customHeight="1" x14ac:dyDescent="0.2">
      <c r="A95" s="99"/>
      <c r="B95" s="1"/>
      <c r="C95" s="2" t="s">
        <v>142</v>
      </c>
      <c r="D95" s="1"/>
      <c r="E95" s="1"/>
      <c r="F95" s="8">
        <v>108861.80976449998</v>
      </c>
      <c r="G95" s="9">
        <v>0.71035340000000036</v>
      </c>
      <c r="H95" s="109"/>
    </row>
    <row r="96" spans="1:8" ht="14.1" customHeight="1" x14ac:dyDescent="0.2">
      <c r="A96" s="99"/>
      <c r="B96" s="1"/>
      <c r="C96" s="10"/>
      <c r="D96" s="1"/>
      <c r="E96" s="1"/>
      <c r="F96" s="11"/>
      <c r="G96" s="11"/>
      <c r="H96" s="109"/>
    </row>
    <row r="97" spans="1:8" ht="14.1" customHeight="1" x14ac:dyDescent="0.2">
      <c r="A97" s="99"/>
      <c r="B97" s="1"/>
      <c r="C97" s="2" t="s">
        <v>143</v>
      </c>
      <c r="D97" s="1"/>
      <c r="E97" s="1"/>
      <c r="F97" s="11"/>
      <c r="G97" s="11"/>
      <c r="H97" s="109"/>
    </row>
    <row r="98" spans="1:8" ht="24" customHeight="1" x14ac:dyDescent="0.2">
      <c r="A98" s="99"/>
      <c r="B98" s="1"/>
      <c r="C98" s="2" t="s">
        <v>10</v>
      </c>
      <c r="D98" s="1"/>
      <c r="E98" s="1"/>
      <c r="F98" s="11"/>
      <c r="G98" s="11"/>
      <c r="H98" s="109"/>
    </row>
    <row r="99" spans="1:8" ht="29.1" customHeight="1" x14ac:dyDescent="0.2">
      <c r="A99" s="100">
        <v>1</v>
      </c>
      <c r="B99" s="3" t="s">
        <v>649</v>
      </c>
      <c r="C99" s="3" t="s">
        <v>650</v>
      </c>
      <c r="D99" s="3" t="s">
        <v>556</v>
      </c>
      <c r="E99" s="4">
        <v>250</v>
      </c>
      <c r="F99" s="5">
        <v>2469.7624999999998</v>
      </c>
      <c r="G99" s="6">
        <v>1.6115879999999999E-2</v>
      </c>
      <c r="H99" s="109">
        <v>7.98</v>
      </c>
    </row>
    <row r="100" spans="1:8" ht="29.1" customHeight="1" x14ac:dyDescent="0.2">
      <c r="A100" s="100">
        <v>2</v>
      </c>
      <c r="B100" s="3" t="s">
        <v>651</v>
      </c>
      <c r="C100" s="3" t="s">
        <v>652</v>
      </c>
      <c r="D100" s="3" t="s">
        <v>556</v>
      </c>
      <c r="E100" s="4">
        <v>250</v>
      </c>
      <c r="F100" s="5">
        <v>2454.1875</v>
      </c>
      <c r="G100" s="6">
        <v>1.6014250000000001E-2</v>
      </c>
      <c r="H100" s="109">
        <v>7.6349999999999998</v>
      </c>
    </row>
    <row r="101" spans="1:8" ht="29.1" customHeight="1" x14ac:dyDescent="0.2">
      <c r="A101" s="100">
        <v>3</v>
      </c>
      <c r="B101" s="3" t="s">
        <v>557</v>
      </c>
      <c r="C101" s="3" t="s">
        <v>558</v>
      </c>
      <c r="D101" s="3" t="s">
        <v>559</v>
      </c>
      <c r="E101" s="4">
        <v>1500</v>
      </c>
      <c r="F101" s="5">
        <v>1491.8625</v>
      </c>
      <c r="G101" s="6">
        <v>9.7348199999999999E-3</v>
      </c>
      <c r="H101" s="109">
        <v>7.7842000000000002</v>
      </c>
    </row>
    <row r="102" spans="1:8" ht="29.1" customHeight="1" x14ac:dyDescent="0.2">
      <c r="A102" s="100">
        <v>4</v>
      </c>
      <c r="B102" s="3" t="s">
        <v>653</v>
      </c>
      <c r="C102" s="3" t="s">
        <v>654</v>
      </c>
      <c r="D102" s="3" t="s">
        <v>556</v>
      </c>
      <c r="E102" s="4">
        <v>100</v>
      </c>
      <c r="F102" s="5">
        <v>998.26099999999997</v>
      </c>
      <c r="G102" s="6">
        <v>6.5139300000000002E-3</v>
      </c>
      <c r="H102" s="109">
        <v>7.72</v>
      </c>
    </row>
    <row r="103" spans="1:8" ht="17.100000000000001" customHeight="1" x14ac:dyDescent="0.2">
      <c r="A103" s="100">
        <v>5</v>
      </c>
      <c r="B103" s="3" t="s">
        <v>655</v>
      </c>
      <c r="C103" s="3" t="s">
        <v>656</v>
      </c>
      <c r="D103" s="3" t="s">
        <v>556</v>
      </c>
      <c r="E103" s="4">
        <v>100</v>
      </c>
      <c r="F103" s="5">
        <v>996.76400000000001</v>
      </c>
      <c r="G103" s="6">
        <v>6.5041600000000001E-3</v>
      </c>
      <c r="H103" s="109">
        <v>7.8</v>
      </c>
    </row>
    <row r="104" spans="1:8" ht="29.1" customHeight="1" x14ac:dyDescent="0.2">
      <c r="A104" s="100">
        <v>6</v>
      </c>
      <c r="B104" s="3" t="s">
        <v>657</v>
      </c>
      <c r="C104" s="3" t="s">
        <v>658</v>
      </c>
      <c r="D104" s="3" t="s">
        <v>556</v>
      </c>
      <c r="E104" s="4">
        <v>100</v>
      </c>
      <c r="F104" s="5">
        <v>992.09199999999998</v>
      </c>
      <c r="G104" s="6">
        <v>6.4736799999999999E-3</v>
      </c>
      <c r="H104" s="109">
        <v>8.01</v>
      </c>
    </row>
    <row r="105" spans="1:8" ht="29.1" customHeight="1" x14ac:dyDescent="0.2">
      <c r="A105" s="100">
        <v>7</v>
      </c>
      <c r="B105" s="3" t="s">
        <v>586</v>
      </c>
      <c r="C105" s="3" t="s">
        <v>587</v>
      </c>
      <c r="D105" s="3" t="s">
        <v>567</v>
      </c>
      <c r="E105" s="4">
        <v>100</v>
      </c>
      <c r="F105" s="5">
        <v>988.10699999999997</v>
      </c>
      <c r="G105" s="6">
        <v>6.44767E-3</v>
      </c>
      <c r="H105" s="109">
        <v>7.7766999999999999</v>
      </c>
    </row>
    <row r="106" spans="1:8" ht="17.100000000000001" customHeight="1" x14ac:dyDescent="0.2">
      <c r="A106" s="100">
        <v>8</v>
      </c>
      <c r="B106" s="3" t="s">
        <v>659</v>
      </c>
      <c r="C106" s="3" t="s">
        <v>660</v>
      </c>
      <c r="D106" s="3" t="s">
        <v>556</v>
      </c>
      <c r="E106" s="4">
        <v>100</v>
      </c>
      <c r="F106" s="5">
        <v>986.85299999999995</v>
      </c>
      <c r="G106" s="6">
        <v>6.43949E-3</v>
      </c>
      <c r="H106" s="109">
        <v>7.86</v>
      </c>
    </row>
    <row r="107" spans="1:8" ht="17.100000000000001" customHeight="1" x14ac:dyDescent="0.2">
      <c r="A107" s="100">
        <v>9</v>
      </c>
      <c r="B107" s="3" t="s">
        <v>562</v>
      </c>
      <c r="C107" s="3" t="s">
        <v>563</v>
      </c>
      <c r="D107" s="3" t="s">
        <v>556</v>
      </c>
      <c r="E107" s="4">
        <v>50</v>
      </c>
      <c r="F107" s="5">
        <v>503.69799999999998</v>
      </c>
      <c r="G107" s="6">
        <v>3.2867700000000001E-3</v>
      </c>
      <c r="H107" s="109">
        <v>7.8449999999999998</v>
      </c>
    </row>
    <row r="108" spans="1:8" ht="29.1" customHeight="1" x14ac:dyDescent="0.2">
      <c r="A108" s="100">
        <v>10</v>
      </c>
      <c r="B108" s="3" t="s">
        <v>661</v>
      </c>
      <c r="C108" s="3" t="s">
        <v>662</v>
      </c>
      <c r="D108" s="3" t="s">
        <v>556</v>
      </c>
      <c r="E108" s="4">
        <v>50</v>
      </c>
      <c r="F108" s="5">
        <v>499.51350000000002</v>
      </c>
      <c r="G108" s="6">
        <v>3.25946E-3</v>
      </c>
      <c r="H108" s="109">
        <v>7.7750000000000004</v>
      </c>
    </row>
    <row r="109" spans="1:8" ht="29.1" customHeight="1" x14ac:dyDescent="0.2">
      <c r="A109" s="100">
        <v>11</v>
      </c>
      <c r="B109" s="3" t="s">
        <v>663</v>
      </c>
      <c r="C109" s="3" t="s">
        <v>911</v>
      </c>
      <c r="D109" s="3" t="s">
        <v>556</v>
      </c>
      <c r="E109" s="4">
        <v>50</v>
      </c>
      <c r="F109" s="5">
        <v>499.16250000000002</v>
      </c>
      <c r="G109" s="6">
        <v>3.2571700000000002E-3</v>
      </c>
      <c r="H109" s="109">
        <v>7.8</v>
      </c>
    </row>
    <row r="110" spans="1:8" ht="29.1" customHeight="1" x14ac:dyDescent="0.2">
      <c r="A110" s="100">
        <v>12</v>
      </c>
      <c r="B110" s="3" t="s">
        <v>564</v>
      </c>
      <c r="C110" s="3" t="s">
        <v>565</v>
      </c>
      <c r="D110" s="3" t="s">
        <v>556</v>
      </c>
      <c r="E110" s="4">
        <v>500</v>
      </c>
      <c r="F110" s="5">
        <v>497.13099999999997</v>
      </c>
      <c r="G110" s="6">
        <v>3.24392E-3</v>
      </c>
      <c r="H110" s="109">
        <v>7.7549999999999999</v>
      </c>
    </row>
    <row r="111" spans="1:8" ht="29.1" customHeight="1" x14ac:dyDescent="0.2">
      <c r="A111" s="100">
        <v>13</v>
      </c>
      <c r="B111" s="3" t="s">
        <v>664</v>
      </c>
      <c r="C111" s="3" t="s">
        <v>665</v>
      </c>
      <c r="D111" s="3" t="s">
        <v>556</v>
      </c>
      <c r="E111" s="4">
        <v>50</v>
      </c>
      <c r="F111" s="5">
        <v>496.548</v>
      </c>
      <c r="G111" s="6">
        <v>3.24011E-3</v>
      </c>
      <c r="H111" s="109">
        <v>7.82</v>
      </c>
    </row>
    <row r="112" spans="1:8" ht="29.1" customHeight="1" x14ac:dyDescent="0.2">
      <c r="A112" s="100">
        <v>14</v>
      </c>
      <c r="B112" s="3" t="s">
        <v>590</v>
      </c>
      <c r="C112" s="3" t="s">
        <v>591</v>
      </c>
      <c r="D112" s="3" t="s">
        <v>559</v>
      </c>
      <c r="E112" s="4">
        <v>30</v>
      </c>
      <c r="F112" s="5">
        <v>290.05079999999998</v>
      </c>
      <c r="G112" s="6">
        <v>1.89266E-3</v>
      </c>
      <c r="H112" s="109">
        <v>7.835</v>
      </c>
    </row>
    <row r="113" spans="1:8" ht="29.1" customHeight="1" x14ac:dyDescent="0.2">
      <c r="A113" s="100">
        <v>15</v>
      </c>
      <c r="B113" s="3" t="s">
        <v>666</v>
      </c>
      <c r="C113" s="3" t="s">
        <v>912</v>
      </c>
      <c r="D113" s="3" t="s">
        <v>556</v>
      </c>
      <c r="E113" s="4">
        <v>10</v>
      </c>
      <c r="F113" s="5">
        <v>100.4669</v>
      </c>
      <c r="G113" s="6">
        <v>6.5556999999999996E-4</v>
      </c>
      <c r="H113" s="109">
        <v>7.74</v>
      </c>
    </row>
    <row r="114" spans="1:8" ht="17.100000000000001" customHeight="1" x14ac:dyDescent="0.2">
      <c r="A114" s="100">
        <v>16</v>
      </c>
      <c r="B114" s="3" t="s">
        <v>667</v>
      </c>
      <c r="C114" s="3" t="s">
        <v>668</v>
      </c>
      <c r="D114" s="3" t="s">
        <v>559</v>
      </c>
      <c r="E114" s="4">
        <v>10</v>
      </c>
      <c r="F114" s="5">
        <v>100.04689999999999</v>
      </c>
      <c r="G114" s="6">
        <v>6.5282999999999997E-4</v>
      </c>
      <c r="H114" s="109">
        <v>7.68</v>
      </c>
    </row>
    <row r="115" spans="1:8" ht="14.1" customHeight="1" x14ac:dyDescent="0.2">
      <c r="A115" s="99"/>
      <c r="B115" s="1"/>
      <c r="C115" s="2" t="s">
        <v>135</v>
      </c>
      <c r="D115" s="1"/>
      <c r="E115" s="1" t="s">
        <v>136</v>
      </c>
      <c r="F115" s="8">
        <v>14364.507100000001</v>
      </c>
      <c r="G115" s="9">
        <v>9.3732369999999995E-2</v>
      </c>
      <c r="H115" s="109"/>
    </row>
    <row r="116" spans="1:8" ht="14.1" customHeight="1" x14ac:dyDescent="0.2">
      <c r="A116" s="99"/>
      <c r="B116" s="1"/>
      <c r="C116" s="10"/>
      <c r="D116" s="1"/>
      <c r="E116" s="1"/>
      <c r="F116" s="11"/>
      <c r="G116" s="11"/>
      <c r="H116" s="109"/>
    </row>
    <row r="117" spans="1:8" ht="14.1" customHeight="1" x14ac:dyDescent="0.2">
      <c r="A117" s="99"/>
      <c r="B117" s="1"/>
      <c r="C117" s="2" t="s">
        <v>144</v>
      </c>
      <c r="D117" s="1"/>
      <c r="E117" s="1"/>
      <c r="F117" s="1"/>
      <c r="G117" s="1"/>
      <c r="H117" s="109"/>
    </row>
    <row r="118" spans="1:8" ht="14.1" customHeight="1" x14ac:dyDescent="0.2">
      <c r="A118" s="99"/>
      <c r="B118" s="1"/>
      <c r="C118" s="2" t="s">
        <v>135</v>
      </c>
      <c r="D118" s="1"/>
      <c r="E118" s="1" t="s">
        <v>136</v>
      </c>
      <c r="F118" s="115">
        <v>0</v>
      </c>
      <c r="G118" s="9">
        <v>0</v>
      </c>
      <c r="H118" s="109"/>
    </row>
    <row r="119" spans="1:8" ht="14.1" customHeight="1" x14ac:dyDescent="0.2">
      <c r="A119" s="99"/>
      <c r="B119" s="1"/>
      <c r="C119" s="10"/>
      <c r="D119" s="1"/>
      <c r="E119" s="1"/>
      <c r="F119" s="11"/>
      <c r="G119" s="11"/>
      <c r="H119" s="109"/>
    </row>
    <row r="120" spans="1:8" ht="14.1" customHeight="1" x14ac:dyDescent="0.2">
      <c r="A120" s="99"/>
      <c r="B120" s="1"/>
      <c r="C120" s="2" t="s">
        <v>145</v>
      </c>
      <c r="D120" s="1"/>
      <c r="E120" s="1"/>
      <c r="F120" s="1"/>
      <c r="G120" s="1"/>
      <c r="H120" s="109"/>
    </row>
    <row r="121" spans="1:8" ht="29.1" customHeight="1" x14ac:dyDescent="0.2">
      <c r="A121" s="100">
        <v>1</v>
      </c>
      <c r="B121" s="3" t="s">
        <v>597</v>
      </c>
      <c r="C121" s="3" t="s">
        <v>598</v>
      </c>
      <c r="D121" s="3" t="s">
        <v>594</v>
      </c>
      <c r="E121" s="4">
        <v>4000000</v>
      </c>
      <c r="F121" s="5">
        <v>3992.5680000000002</v>
      </c>
      <c r="G121" s="6">
        <v>2.605261E-2</v>
      </c>
      <c r="H121" s="109">
        <v>7.5624000000000002</v>
      </c>
    </row>
    <row r="122" spans="1:8" ht="29.1" customHeight="1" x14ac:dyDescent="0.2">
      <c r="A122" s="100">
        <v>2</v>
      </c>
      <c r="B122" s="3" t="s">
        <v>602</v>
      </c>
      <c r="C122" s="3" t="s">
        <v>603</v>
      </c>
      <c r="D122" s="3" t="s">
        <v>594</v>
      </c>
      <c r="E122" s="4">
        <v>3500000</v>
      </c>
      <c r="F122" s="5">
        <v>3346.7</v>
      </c>
      <c r="G122" s="6">
        <v>2.1838139999999999E-2</v>
      </c>
      <c r="H122" s="109">
        <v>7.4610000000000003</v>
      </c>
    </row>
    <row r="123" spans="1:8" ht="29.1" customHeight="1" x14ac:dyDescent="0.2">
      <c r="A123" s="100">
        <v>3</v>
      </c>
      <c r="B123" s="3" t="s">
        <v>595</v>
      </c>
      <c r="C123" s="95" t="s">
        <v>906</v>
      </c>
      <c r="D123" s="3" t="s">
        <v>594</v>
      </c>
      <c r="E123" s="4">
        <v>2000000</v>
      </c>
      <c r="F123" s="5">
        <v>1976.326</v>
      </c>
      <c r="G123" s="6">
        <v>1.2896070000000001E-2</v>
      </c>
      <c r="H123" s="109">
        <v>7.5688000000000004</v>
      </c>
    </row>
    <row r="124" spans="1:8" ht="29.1" customHeight="1" x14ac:dyDescent="0.2">
      <c r="A124" s="100">
        <v>4</v>
      </c>
      <c r="B124" s="3" t="s">
        <v>596</v>
      </c>
      <c r="C124" s="95" t="s">
        <v>905</v>
      </c>
      <c r="D124" s="3" t="s">
        <v>594</v>
      </c>
      <c r="E124" s="4">
        <v>1000000</v>
      </c>
      <c r="F124" s="5">
        <v>993.83299999999997</v>
      </c>
      <c r="G124" s="6">
        <v>6.4850400000000001E-3</v>
      </c>
      <c r="H124" s="109">
        <v>7.6201999999999996</v>
      </c>
    </row>
    <row r="125" spans="1:8" ht="29.1" customHeight="1" x14ac:dyDescent="0.2">
      <c r="A125" s="100">
        <v>5</v>
      </c>
      <c r="B125" s="3" t="s">
        <v>604</v>
      </c>
      <c r="C125" s="3" t="s">
        <v>605</v>
      </c>
      <c r="D125" s="3" t="s">
        <v>594</v>
      </c>
      <c r="E125" s="4">
        <v>1000000</v>
      </c>
      <c r="F125" s="5">
        <v>946.50099999999998</v>
      </c>
      <c r="G125" s="6">
        <v>6.1761799999999999E-3</v>
      </c>
      <c r="H125" s="109">
        <v>7.5505000000000004</v>
      </c>
    </row>
    <row r="126" spans="1:8" ht="29.1" customHeight="1" x14ac:dyDescent="0.2">
      <c r="A126" s="100">
        <v>6</v>
      </c>
      <c r="B126" s="3" t="s">
        <v>669</v>
      </c>
      <c r="C126" s="3" t="s">
        <v>670</v>
      </c>
      <c r="D126" s="3" t="s">
        <v>594</v>
      </c>
      <c r="E126" s="4">
        <v>500000</v>
      </c>
      <c r="F126" s="5">
        <v>497.16550000000001</v>
      </c>
      <c r="G126" s="6">
        <v>3.24414E-3</v>
      </c>
      <c r="H126" s="109">
        <v>6.9046000000000003</v>
      </c>
    </row>
    <row r="127" spans="1:8" s="234" customFormat="1" ht="29.1" customHeight="1" x14ac:dyDescent="0.2">
      <c r="A127" s="228">
        <v>7</v>
      </c>
      <c r="B127" s="229" t="s">
        <v>606</v>
      </c>
      <c r="C127" s="230" t="s">
        <v>903</v>
      </c>
      <c r="D127" s="229" t="s">
        <v>594</v>
      </c>
      <c r="E127" s="231">
        <v>500000</v>
      </c>
      <c r="F127" s="232">
        <v>493.01249999999999</v>
      </c>
      <c r="G127" s="233">
        <v>3.21704E-3</v>
      </c>
      <c r="H127" s="232">
        <v>6.908791955637132</v>
      </c>
    </row>
    <row r="128" spans="1:8" ht="29.1" customHeight="1" x14ac:dyDescent="0.2">
      <c r="A128" s="100">
        <v>8</v>
      </c>
      <c r="B128" s="3" t="s">
        <v>609</v>
      </c>
      <c r="C128" s="3" t="s">
        <v>610</v>
      </c>
      <c r="D128" s="3" t="s">
        <v>594</v>
      </c>
      <c r="E128" s="4">
        <v>100000</v>
      </c>
      <c r="F128" s="5">
        <v>101.508</v>
      </c>
      <c r="G128" s="6">
        <v>6.6237000000000002E-4</v>
      </c>
      <c r="H128" s="109">
        <v>7.6483999999999996</v>
      </c>
    </row>
    <row r="129" spans="1:8" ht="29.1" customHeight="1" x14ac:dyDescent="0.2">
      <c r="A129" s="100">
        <v>9</v>
      </c>
      <c r="B129" s="3" t="s">
        <v>611</v>
      </c>
      <c r="C129" s="3" t="s">
        <v>612</v>
      </c>
      <c r="D129" s="3" t="s">
        <v>594</v>
      </c>
      <c r="E129" s="4">
        <v>100000</v>
      </c>
      <c r="F129" s="5">
        <v>101.0536</v>
      </c>
      <c r="G129" s="6">
        <v>6.5939999999999998E-4</v>
      </c>
      <c r="H129" s="109">
        <v>7.649</v>
      </c>
    </row>
    <row r="130" spans="1:8" ht="29.1" customHeight="1" x14ac:dyDescent="0.2">
      <c r="A130" s="100">
        <v>10</v>
      </c>
      <c r="B130" s="3" t="s">
        <v>613</v>
      </c>
      <c r="C130" s="3" t="s">
        <v>614</v>
      </c>
      <c r="D130" s="3" t="s">
        <v>594</v>
      </c>
      <c r="E130" s="4">
        <v>100000</v>
      </c>
      <c r="F130" s="5">
        <v>100.99769999999999</v>
      </c>
      <c r="G130" s="6">
        <v>6.5903999999999995E-4</v>
      </c>
      <c r="H130" s="109">
        <v>7.6355000000000004</v>
      </c>
    </row>
    <row r="131" spans="1:8" ht="14.1" customHeight="1" x14ac:dyDescent="0.2">
      <c r="A131" s="99"/>
      <c r="B131" s="1"/>
      <c r="C131" s="2" t="s">
        <v>135</v>
      </c>
      <c r="D131" s="1"/>
      <c r="E131" s="1" t="s">
        <v>136</v>
      </c>
      <c r="F131" s="8">
        <v>12549.665300000001</v>
      </c>
      <c r="G131" s="9">
        <v>8.1890030000000003E-2</v>
      </c>
      <c r="H131" s="109"/>
    </row>
    <row r="132" spans="1:8" ht="14.1" customHeight="1" x14ac:dyDescent="0.2">
      <c r="A132" s="99"/>
      <c r="B132" s="1"/>
      <c r="C132" s="10"/>
      <c r="D132" s="1"/>
      <c r="E132" s="1"/>
      <c r="F132" s="11"/>
      <c r="G132" s="11"/>
      <c r="H132" s="109"/>
    </row>
    <row r="133" spans="1:8" ht="14.1" customHeight="1" x14ac:dyDescent="0.2">
      <c r="A133" s="99"/>
      <c r="B133" s="1"/>
      <c r="C133" s="2" t="s">
        <v>146</v>
      </c>
      <c r="D133" s="1"/>
      <c r="E133" s="1"/>
      <c r="F133" s="11"/>
      <c r="G133" s="11"/>
      <c r="H133" s="109"/>
    </row>
    <row r="134" spans="1:8" ht="14.1" customHeight="1" x14ac:dyDescent="0.2">
      <c r="A134" s="99"/>
      <c r="B134" s="1"/>
      <c r="C134" s="2" t="s">
        <v>135</v>
      </c>
      <c r="D134" s="1"/>
      <c r="E134" s="1" t="s">
        <v>136</v>
      </c>
      <c r="F134" s="115">
        <v>0</v>
      </c>
      <c r="G134" s="9">
        <v>0</v>
      </c>
      <c r="H134" s="109"/>
    </row>
    <row r="135" spans="1:8" ht="14.1" customHeight="1" x14ac:dyDescent="0.2">
      <c r="A135" s="99"/>
      <c r="B135" s="1"/>
      <c r="C135" s="10"/>
      <c r="D135" s="1"/>
      <c r="E135" s="1"/>
      <c r="F135" s="11"/>
      <c r="G135" s="11"/>
      <c r="H135" s="109"/>
    </row>
    <row r="136" spans="1:8" ht="14.1" customHeight="1" x14ac:dyDescent="0.2">
      <c r="A136" s="99"/>
      <c r="B136" s="1"/>
      <c r="C136" s="2" t="s">
        <v>147</v>
      </c>
      <c r="D136" s="1"/>
      <c r="E136" s="1"/>
      <c r="F136" s="8">
        <v>26914.172399999999</v>
      </c>
      <c r="G136" s="9">
        <v>0.17562240000000001</v>
      </c>
      <c r="H136" s="109"/>
    </row>
    <row r="137" spans="1:8" ht="14.1" customHeight="1" x14ac:dyDescent="0.2">
      <c r="A137" s="99"/>
      <c r="B137" s="1"/>
      <c r="C137" s="10"/>
      <c r="D137" s="1"/>
      <c r="E137" s="1"/>
      <c r="F137" s="11"/>
      <c r="G137" s="11"/>
      <c r="H137" s="109"/>
    </row>
    <row r="138" spans="1:8" ht="14.1" customHeight="1" x14ac:dyDescent="0.2">
      <c r="A138" s="99"/>
      <c r="B138" s="1"/>
      <c r="C138" s="2" t="s">
        <v>148</v>
      </c>
      <c r="D138" s="1"/>
      <c r="E138" s="1"/>
      <c r="F138" s="11"/>
      <c r="G138" s="11"/>
      <c r="H138" s="109"/>
    </row>
    <row r="139" spans="1:8" ht="14.1" customHeight="1" x14ac:dyDescent="0.2">
      <c r="A139" s="99"/>
      <c r="B139" s="1"/>
      <c r="C139" s="2" t="s">
        <v>149</v>
      </c>
      <c r="D139" s="1"/>
      <c r="E139" s="1"/>
      <c r="F139" s="11"/>
      <c r="G139" s="11"/>
      <c r="H139" s="109"/>
    </row>
    <row r="140" spans="1:8" ht="17.100000000000001" customHeight="1" x14ac:dyDescent="0.2">
      <c r="A140" s="100">
        <v>1</v>
      </c>
      <c r="B140" s="3" t="s">
        <v>671</v>
      </c>
      <c r="C140" s="3" t="s">
        <v>672</v>
      </c>
      <c r="D140" s="3" t="s">
        <v>616</v>
      </c>
      <c r="E140" s="4">
        <v>500</v>
      </c>
      <c r="F140" s="5">
        <v>2461.8074999999999</v>
      </c>
      <c r="G140" s="6">
        <v>1.6063979999999999E-2</v>
      </c>
      <c r="H140" s="109">
        <v>7.55</v>
      </c>
    </row>
    <row r="141" spans="1:8" ht="17.100000000000001" customHeight="1" x14ac:dyDescent="0.2">
      <c r="A141" s="100">
        <v>2</v>
      </c>
      <c r="B141" s="3" t="s">
        <v>622</v>
      </c>
      <c r="C141" s="3" t="s">
        <v>623</v>
      </c>
      <c r="D141" s="3" t="s">
        <v>616</v>
      </c>
      <c r="E141" s="4">
        <v>500</v>
      </c>
      <c r="F141" s="5">
        <v>2401.69</v>
      </c>
      <c r="G141" s="6">
        <v>1.5671689999999999E-2</v>
      </c>
      <c r="H141" s="109">
        <v>7.6619000000000002</v>
      </c>
    </row>
    <row r="142" spans="1:8" ht="14.1" customHeight="1" x14ac:dyDescent="0.2">
      <c r="A142" s="99"/>
      <c r="B142" s="1"/>
      <c r="C142" s="2" t="s">
        <v>135</v>
      </c>
      <c r="D142" s="1"/>
      <c r="E142" s="1" t="s">
        <v>136</v>
      </c>
      <c r="F142" s="8">
        <v>4863.4975000000004</v>
      </c>
      <c r="G142" s="9">
        <v>3.1735670000000001E-2</v>
      </c>
      <c r="H142" s="109"/>
    </row>
    <row r="143" spans="1:8" ht="14.1" customHeight="1" x14ac:dyDescent="0.2">
      <c r="A143" s="99"/>
      <c r="B143" s="1"/>
      <c r="C143" s="10"/>
      <c r="D143" s="1"/>
      <c r="E143" s="1"/>
      <c r="F143" s="11"/>
      <c r="G143" s="11"/>
      <c r="H143" s="109"/>
    </row>
    <row r="144" spans="1:8" ht="14.1" customHeight="1" x14ac:dyDescent="0.2">
      <c r="A144" s="99"/>
      <c r="B144" s="1"/>
      <c r="C144" s="2" t="s">
        <v>150</v>
      </c>
      <c r="D144" s="1"/>
      <c r="E144" s="1"/>
      <c r="F144" s="11"/>
      <c r="G144" s="11"/>
      <c r="H144" s="109"/>
    </row>
    <row r="145" spans="1:8" ht="14.1" customHeight="1" x14ac:dyDescent="0.2">
      <c r="A145" s="99"/>
      <c r="B145" s="1"/>
      <c r="C145" s="2" t="s">
        <v>135</v>
      </c>
      <c r="D145" s="1"/>
      <c r="E145" s="1" t="s">
        <v>136</v>
      </c>
      <c r="F145" s="115">
        <v>0</v>
      </c>
      <c r="G145" s="9">
        <v>0</v>
      </c>
      <c r="H145" s="109"/>
    </row>
    <row r="146" spans="1:8" ht="14.1" customHeight="1" x14ac:dyDescent="0.2">
      <c r="A146" s="99"/>
      <c r="B146" s="1"/>
      <c r="C146" s="10"/>
      <c r="D146" s="1"/>
      <c r="E146" s="1"/>
      <c r="F146" s="11"/>
      <c r="G146" s="11"/>
      <c r="H146" s="109"/>
    </row>
    <row r="147" spans="1:8" ht="14.1" customHeight="1" x14ac:dyDescent="0.2">
      <c r="A147" s="99"/>
      <c r="B147" s="1"/>
      <c r="C147" s="2" t="s">
        <v>151</v>
      </c>
      <c r="D147" s="1"/>
      <c r="E147" s="1"/>
      <c r="F147" s="11"/>
      <c r="G147" s="11"/>
      <c r="H147" s="109"/>
    </row>
    <row r="148" spans="1:8" ht="17.100000000000001" customHeight="1" x14ac:dyDescent="0.2">
      <c r="A148" s="100">
        <v>1</v>
      </c>
      <c r="B148" s="3" t="s">
        <v>644</v>
      </c>
      <c r="C148" s="3" t="s">
        <v>1003</v>
      </c>
      <c r="D148" s="3" t="s">
        <v>594</v>
      </c>
      <c r="E148" s="4">
        <v>5000000</v>
      </c>
      <c r="F148" s="5">
        <v>4894.7349999999997</v>
      </c>
      <c r="G148" s="6">
        <v>3.1939500000000003E-2</v>
      </c>
      <c r="H148" s="109">
        <v>6.9465000000000003</v>
      </c>
    </row>
    <row r="149" spans="1:8" ht="14.1" customHeight="1" x14ac:dyDescent="0.2">
      <c r="A149" s="99"/>
      <c r="B149" s="1"/>
      <c r="C149" s="2" t="s">
        <v>135</v>
      </c>
      <c r="D149" s="1"/>
      <c r="E149" s="1" t="s">
        <v>136</v>
      </c>
      <c r="F149" s="8">
        <v>4894.7349999999997</v>
      </c>
      <c r="G149" s="9">
        <v>3.1939500000000003E-2</v>
      </c>
      <c r="H149" s="109"/>
    </row>
    <row r="150" spans="1:8" ht="14.1" customHeight="1" x14ac:dyDescent="0.2">
      <c r="A150" s="99"/>
      <c r="B150" s="1"/>
      <c r="C150" s="10"/>
      <c r="D150" s="1"/>
      <c r="E150" s="1"/>
      <c r="F150" s="11"/>
      <c r="G150" s="11"/>
      <c r="H150" s="109"/>
    </row>
    <row r="151" spans="1:8" ht="14.1" customHeight="1" x14ac:dyDescent="0.2">
      <c r="A151" s="99"/>
      <c r="B151" s="1"/>
      <c r="C151" s="2" t="s">
        <v>152</v>
      </c>
      <c r="D151" s="1"/>
      <c r="E151" s="1"/>
      <c r="F151" s="11"/>
      <c r="G151" s="11"/>
      <c r="H151" s="109"/>
    </row>
    <row r="152" spans="1:8" ht="17.100000000000001" customHeight="1" x14ac:dyDescent="0.2">
      <c r="A152" s="100">
        <v>1</v>
      </c>
      <c r="B152" s="3"/>
      <c r="C152" s="3" t="s">
        <v>153</v>
      </c>
      <c r="D152" s="3"/>
      <c r="E152" s="7"/>
      <c r="F152" s="5">
        <v>4365.7683289890001</v>
      </c>
      <c r="G152" s="6">
        <v>2.8487849999999999E-2</v>
      </c>
      <c r="H152" s="109">
        <v>6.6015165706411798</v>
      </c>
    </row>
    <row r="153" spans="1:8" ht="14.1" customHeight="1" x14ac:dyDescent="0.2">
      <c r="A153" s="99"/>
      <c r="B153" s="1"/>
      <c r="C153" s="2" t="s">
        <v>135</v>
      </c>
      <c r="D153" s="1"/>
      <c r="E153" s="1" t="s">
        <v>136</v>
      </c>
      <c r="F153" s="8">
        <v>4365.7683289890001</v>
      </c>
      <c r="G153" s="9">
        <v>2.8487849999999999E-2</v>
      </c>
      <c r="H153" s="109"/>
    </row>
    <row r="154" spans="1:8" ht="14.1" customHeight="1" x14ac:dyDescent="0.2">
      <c r="A154" s="99"/>
      <c r="B154" s="1"/>
      <c r="C154" s="10"/>
      <c r="D154" s="1"/>
      <c r="E154" s="1"/>
      <c r="F154" s="11"/>
      <c r="G154" s="11"/>
      <c r="H154" s="109"/>
    </row>
    <row r="155" spans="1:8" ht="14.1" customHeight="1" x14ac:dyDescent="0.2">
      <c r="A155" s="99"/>
      <c r="B155" s="1"/>
      <c r="C155" s="2" t="s">
        <v>154</v>
      </c>
      <c r="D155" s="1"/>
      <c r="E155" s="1"/>
      <c r="F155" s="8">
        <v>14124.000828988999</v>
      </c>
      <c r="G155" s="9">
        <v>9.2163019999999998E-2</v>
      </c>
      <c r="H155" s="109"/>
    </row>
    <row r="156" spans="1:8" ht="14.1" customHeight="1" x14ac:dyDescent="0.2">
      <c r="A156" s="99"/>
      <c r="B156" s="1"/>
      <c r="C156" s="11"/>
      <c r="D156" s="1"/>
      <c r="E156" s="1"/>
      <c r="F156" s="1"/>
      <c r="G156" s="1"/>
      <c r="H156" s="109"/>
    </row>
    <row r="157" spans="1:8" ht="14.1" customHeight="1" x14ac:dyDescent="0.2">
      <c r="A157" s="99"/>
      <c r="B157" s="1"/>
      <c r="C157" s="2" t="s">
        <v>155</v>
      </c>
      <c r="D157" s="1"/>
      <c r="E157" s="1"/>
      <c r="F157" s="1"/>
      <c r="G157" s="1"/>
      <c r="H157" s="109"/>
    </row>
    <row r="158" spans="1:8" ht="14.1" customHeight="1" x14ac:dyDescent="0.2">
      <c r="A158" s="99"/>
      <c r="B158" s="1"/>
      <c r="C158" s="2" t="s">
        <v>156</v>
      </c>
      <c r="D158" s="1"/>
      <c r="E158" s="1"/>
      <c r="F158" s="1"/>
      <c r="G158" s="1"/>
      <c r="H158" s="109"/>
    </row>
    <row r="159" spans="1:8" ht="14.1" customHeight="1" x14ac:dyDescent="0.2">
      <c r="A159" s="99"/>
      <c r="B159" s="1"/>
      <c r="C159" s="2" t="s">
        <v>135</v>
      </c>
      <c r="D159" s="1"/>
      <c r="E159" s="1" t="s">
        <v>136</v>
      </c>
      <c r="F159" s="115">
        <v>0</v>
      </c>
      <c r="G159" s="9">
        <v>0</v>
      </c>
      <c r="H159" s="109"/>
    </row>
    <row r="160" spans="1:8" ht="14.1" customHeight="1" x14ac:dyDescent="0.2">
      <c r="A160" s="99"/>
      <c r="B160" s="1"/>
      <c r="C160" s="10"/>
      <c r="D160" s="1"/>
      <c r="E160" s="1"/>
      <c r="F160" s="11"/>
      <c r="G160" s="11"/>
      <c r="H160" s="109"/>
    </row>
    <row r="161" spans="1:15" ht="14.1" customHeight="1" x14ac:dyDescent="0.2">
      <c r="A161" s="99"/>
      <c r="B161" s="1"/>
      <c r="C161" s="2" t="s">
        <v>157</v>
      </c>
      <c r="D161" s="1"/>
      <c r="E161" s="1"/>
      <c r="F161" s="1"/>
      <c r="G161" s="1"/>
      <c r="H161" s="109"/>
    </row>
    <row r="162" spans="1:15" ht="14.1" customHeight="1" x14ac:dyDescent="0.2">
      <c r="A162" s="99"/>
      <c r="B162" s="1"/>
      <c r="C162" s="2" t="s">
        <v>158</v>
      </c>
      <c r="D162" s="1"/>
      <c r="E162" s="1"/>
      <c r="F162" s="1"/>
      <c r="G162" s="1"/>
      <c r="H162" s="109"/>
    </row>
    <row r="163" spans="1:15" ht="14.1" customHeight="1" x14ac:dyDescent="0.2">
      <c r="A163" s="99"/>
      <c r="B163" s="1"/>
      <c r="C163" s="2" t="s">
        <v>135</v>
      </c>
      <c r="D163" s="1"/>
      <c r="E163" s="1" t="s">
        <v>136</v>
      </c>
      <c r="F163" s="115">
        <v>0</v>
      </c>
      <c r="G163" s="9">
        <v>0</v>
      </c>
      <c r="H163" s="109"/>
    </row>
    <row r="164" spans="1:15" ht="14.1" customHeight="1" x14ac:dyDescent="0.2">
      <c r="A164" s="99"/>
      <c r="B164" s="1"/>
      <c r="C164" s="10"/>
      <c r="D164" s="1"/>
      <c r="E164" s="1"/>
      <c r="F164" s="11"/>
      <c r="G164" s="11"/>
      <c r="H164" s="109"/>
    </row>
    <row r="165" spans="1:15" ht="24" customHeight="1" x14ac:dyDescent="0.2">
      <c r="A165" s="99"/>
      <c r="B165" s="1"/>
      <c r="C165" s="2" t="s">
        <v>159</v>
      </c>
      <c r="D165" s="1"/>
      <c r="E165" s="1"/>
      <c r="F165" s="11"/>
      <c r="G165" s="11"/>
      <c r="H165" s="109"/>
    </row>
    <row r="166" spans="1:15" ht="14.1" customHeight="1" x14ac:dyDescent="0.2">
      <c r="A166" s="99"/>
      <c r="B166" s="1"/>
      <c r="C166" s="2" t="s">
        <v>135</v>
      </c>
      <c r="D166" s="1"/>
      <c r="E166" s="1" t="s">
        <v>136</v>
      </c>
      <c r="F166" s="115">
        <v>0</v>
      </c>
      <c r="G166" s="9">
        <v>0</v>
      </c>
      <c r="H166" s="109"/>
    </row>
    <row r="167" spans="1:15" ht="14.1" customHeight="1" x14ac:dyDescent="0.2">
      <c r="A167" s="99"/>
      <c r="B167" s="1"/>
      <c r="C167" s="10"/>
      <c r="D167" s="1"/>
      <c r="E167" s="1"/>
      <c r="F167" s="11"/>
      <c r="G167" s="11"/>
      <c r="H167" s="109"/>
    </row>
    <row r="168" spans="1:15" ht="18" customHeight="1" x14ac:dyDescent="0.2">
      <c r="A168" s="101"/>
      <c r="B168" s="3"/>
      <c r="C168" s="3" t="s">
        <v>646</v>
      </c>
      <c r="D168" s="3"/>
      <c r="E168" s="7"/>
      <c r="F168" s="5">
        <v>3031.7148129000002</v>
      </c>
      <c r="G168" s="6">
        <v>1.978277748187638E-2</v>
      </c>
      <c r="H168" s="109"/>
    </row>
    <row r="169" spans="1:15" ht="18" customHeight="1" x14ac:dyDescent="0.2">
      <c r="A169" s="101"/>
      <c r="B169" s="3"/>
      <c r="C169" s="3" t="s">
        <v>933</v>
      </c>
      <c r="D169" s="3"/>
      <c r="E169" s="7"/>
      <c r="F169" s="5">
        <v>318.51266974100002</v>
      </c>
      <c r="G169" s="6">
        <v>2.0783832449653376E-3</v>
      </c>
      <c r="H169" s="109"/>
    </row>
    <row r="170" spans="1:15" ht="14.1" customHeight="1" x14ac:dyDescent="0.2">
      <c r="A170" s="102"/>
      <c r="B170" s="10"/>
      <c r="C170" s="2" t="s">
        <v>161</v>
      </c>
      <c r="D170" s="11"/>
      <c r="E170" s="11"/>
      <c r="F170" s="8">
        <v>153250.21047612999</v>
      </c>
      <c r="G170" s="9">
        <v>0.99999998072684204</v>
      </c>
      <c r="H170" s="109"/>
    </row>
    <row r="171" spans="1:15" ht="14.1" customHeight="1" x14ac:dyDescent="0.2">
      <c r="A171" s="13"/>
      <c r="B171" s="13"/>
      <c r="C171" s="13"/>
      <c r="D171" s="14"/>
      <c r="E171" s="14"/>
      <c r="F171" s="14"/>
      <c r="G171" s="14"/>
    </row>
    <row r="172" spans="1:15" ht="17.100000000000001" customHeight="1" x14ac:dyDescent="0.2">
      <c r="A172" s="15"/>
      <c r="B172" s="193" t="s">
        <v>931</v>
      </c>
      <c r="C172" s="193"/>
      <c r="D172" s="193"/>
      <c r="E172" s="193"/>
      <c r="F172" s="193"/>
      <c r="G172" s="17"/>
    </row>
    <row r="173" spans="1:15" ht="17.100000000000001" customHeight="1" x14ac:dyDescent="0.2">
      <c r="A173" s="15"/>
      <c r="B173" s="193" t="s">
        <v>932</v>
      </c>
      <c r="C173" s="193"/>
      <c r="D173" s="193"/>
      <c r="E173" s="193"/>
      <c r="F173" s="193"/>
      <c r="G173" s="17"/>
    </row>
    <row r="174" spans="1:15" s="98" customFormat="1" ht="82.5" customHeight="1" x14ac:dyDescent="0.25">
      <c r="A174" s="96"/>
      <c r="B174" s="216" t="s">
        <v>904</v>
      </c>
      <c r="C174" s="216"/>
      <c r="D174" s="216"/>
      <c r="E174" s="216"/>
      <c r="F174" s="216"/>
      <c r="G174" s="97"/>
      <c r="H174"/>
      <c r="I174"/>
      <c r="J174"/>
      <c r="K174"/>
      <c r="L174"/>
      <c r="M174"/>
      <c r="N174"/>
      <c r="O174"/>
    </row>
    <row r="175" spans="1:15" s="111" customFormat="1" x14ac:dyDescent="0.2">
      <c r="A175" s="118"/>
      <c r="B175" s="217" t="s">
        <v>1004</v>
      </c>
      <c r="C175" s="217"/>
      <c r="D175" s="217"/>
      <c r="E175" s="217"/>
      <c r="F175" s="217"/>
      <c r="G175" s="119"/>
      <c r="H175"/>
      <c r="I175"/>
      <c r="J175"/>
      <c r="K175"/>
      <c r="L175"/>
      <c r="M175"/>
      <c r="N175"/>
    </row>
    <row r="176" spans="1:15" ht="14.1" customHeight="1" x14ac:dyDescent="0.2">
      <c r="A176" s="15"/>
      <c r="B176" s="15"/>
      <c r="C176" s="15"/>
      <c r="D176" s="17"/>
      <c r="E176" s="17"/>
      <c r="F176" s="17"/>
      <c r="G176" s="17"/>
    </row>
    <row r="177" spans="1:7" ht="14.1" customHeight="1" x14ac:dyDescent="0.2">
      <c r="A177" s="15"/>
      <c r="B177" s="194" t="s">
        <v>163</v>
      </c>
      <c r="C177" s="195"/>
      <c r="D177" s="196"/>
      <c r="E177" s="18"/>
      <c r="F177" s="17"/>
      <c r="G177" s="17"/>
    </row>
    <row r="178" spans="1:7" ht="29.1" customHeight="1" x14ac:dyDescent="0.2">
      <c r="A178" s="15"/>
      <c r="B178" s="191" t="s">
        <v>164</v>
      </c>
      <c r="C178" s="192"/>
      <c r="D178" s="2" t="s">
        <v>165</v>
      </c>
      <c r="E178" s="18"/>
      <c r="F178" s="17"/>
      <c r="G178" s="17"/>
    </row>
    <row r="179" spans="1:7" ht="17.100000000000001" customHeight="1" x14ac:dyDescent="0.2">
      <c r="A179" s="15"/>
      <c r="B179" s="191" t="s">
        <v>166</v>
      </c>
      <c r="C179" s="192"/>
      <c r="D179" s="2" t="s">
        <v>165</v>
      </c>
      <c r="E179" s="18"/>
      <c r="F179" s="17"/>
      <c r="G179" s="17"/>
    </row>
    <row r="180" spans="1:7" ht="17.100000000000001" customHeight="1" x14ac:dyDescent="0.2">
      <c r="A180" s="15"/>
      <c r="B180" s="191" t="s">
        <v>167</v>
      </c>
      <c r="C180" s="192"/>
      <c r="D180" s="11" t="s">
        <v>136</v>
      </c>
      <c r="E180" s="18"/>
      <c r="F180" s="17"/>
      <c r="G180" s="17"/>
    </row>
    <row r="181" spans="1:7" ht="24" customHeight="1" x14ac:dyDescent="0.2">
      <c r="A181" s="19"/>
      <c r="B181" s="20" t="s">
        <v>136</v>
      </c>
      <c r="C181" s="20" t="s">
        <v>168</v>
      </c>
      <c r="D181" s="20" t="s">
        <v>169</v>
      </c>
      <c r="E181" s="19"/>
      <c r="F181" s="19"/>
      <c r="G181" s="19"/>
    </row>
    <row r="182" spans="1:7" ht="18" customHeight="1" x14ac:dyDescent="0.2">
      <c r="A182" s="19"/>
      <c r="B182" s="21" t="s">
        <v>170</v>
      </c>
      <c r="C182" s="20" t="s">
        <v>171</v>
      </c>
      <c r="D182" s="20" t="s">
        <v>172</v>
      </c>
      <c r="E182" s="19"/>
      <c r="F182" s="19"/>
      <c r="G182" s="19"/>
    </row>
    <row r="183" spans="1:7" ht="17.100000000000001" customHeight="1" x14ac:dyDescent="0.2">
      <c r="A183" s="19"/>
      <c r="B183" s="3" t="s">
        <v>173</v>
      </c>
      <c r="C183" s="22">
        <v>29.491399999999999</v>
      </c>
      <c r="D183" s="22">
        <v>29.263100000000001</v>
      </c>
      <c r="E183" s="19"/>
      <c r="F183" s="16"/>
      <c r="G183" s="23"/>
    </row>
    <row r="184" spans="1:7" ht="20.45" customHeight="1" x14ac:dyDescent="0.2">
      <c r="A184" s="19"/>
      <c r="B184" s="3" t="s">
        <v>1047</v>
      </c>
      <c r="C184" s="22">
        <v>16.450099999999999</v>
      </c>
      <c r="D184" s="22">
        <v>16.322800000000001</v>
      </c>
      <c r="E184" s="19"/>
      <c r="F184" s="16"/>
      <c r="G184" s="23"/>
    </row>
    <row r="185" spans="1:7" ht="17.100000000000001" customHeight="1" x14ac:dyDescent="0.2">
      <c r="A185" s="19"/>
      <c r="B185" s="3" t="s">
        <v>174</v>
      </c>
      <c r="C185" s="22">
        <v>26.055299999999999</v>
      </c>
      <c r="D185" s="22">
        <v>25.823499999999999</v>
      </c>
      <c r="E185" s="19"/>
      <c r="F185" s="16"/>
      <c r="G185" s="23"/>
    </row>
    <row r="186" spans="1:7" ht="23.1" customHeight="1" x14ac:dyDescent="0.2">
      <c r="A186" s="19"/>
      <c r="B186" s="3" t="s">
        <v>1049</v>
      </c>
      <c r="C186" s="22">
        <v>13.949</v>
      </c>
      <c r="D186" s="22">
        <v>13.8249</v>
      </c>
      <c r="E186" s="19"/>
      <c r="F186" s="16"/>
      <c r="G186" s="23"/>
    </row>
    <row r="187" spans="1:7" ht="14.1" customHeight="1" x14ac:dyDescent="0.2">
      <c r="A187" s="19"/>
      <c r="B187" s="19"/>
      <c r="C187" s="19"/>
      <c r="D187" s="19"/>
      <c r="E187" s="19"/>
      <c r="F187" s="19"/>
      <c r="G187" s="19"/>
    </row>
    <row r="188" spans="1:7" ht="17.100000000000001" customHeight="1" x14ac:dyDescent="0.2">
      <c r="A188" s="19"/>
      <c r="B188" s="191" t="s">
        <v>1044</v>
      </c>
      <c r="C188" s="192"/>
      <c r="D188" s="2" t="s">
        <v>165</v>
      </c>
      <c r="E188" s="19"/>
      <c r="F188" s="19"/>
      <c r="G188" s="19"/>
    </row>
    <row r="189" spans="1:7" ht="18" customHeight="1" x14ac:dyDescent="0.2">
      <c r="A189" s="19"/>
      <c r="B189" s="24"/>
      <c r="C189" s="24"/>
      <c r="D189" s="24"/>
      <c r="E189" s="19"/>
      <c r="F189" s="19"/>
      <c r="G189" s="19"/>
    </row>
    <row r="190" spans="1:7" ht="29.1" customHeight="1" x14ac:dyDescent="0.2">
      <c r="A190" s="19"/>
      <c r="B190" s="191" t="s">
        <v>175</v>
      </c>
      <c r="C190" s="192"/>
      <c r="D190" s="112" t="s">
        <v>998</v>
      </c>
      <c r="E190" s="25"/>
      <c r="F190" s="19"/>
      <c r="G190" s="19"/>
    </row>
    <row r="191" spans="1:7" ht="29.1" customHeight="1" x14ac:dyDescent="0.2">
      <c r="A191" s="19"/>
      <c r="B191" s="191" t="s">
        <v>176</v>
      </c>
      <c r="C191" s="192"/>
      <c r="D191" s="2" t="s">
        <v>165</v>
      </c>
      <c r="E191" s="25"/>
      <c r="F191" s="19"/>
      <c r="G191" s="19"/>
    </row>
    <row r="192" spans="1:7" ht="17.100000000000001" customHeight="1" x14ac:dyDescent="0.2">
      <c r="A192" s="19"/>
      <c r="B192" s="191" t="s">
        <v>177</v>
      </c>
      <c r="C192" s="192"/>
      <c r="D192" s="2" t="s">
        <v>165</v>
      </c>
      <c r="E192" s="25"/>
      <c r="F192" s="19"/>
      <c r="G192" s="19"/>
    </row>
    <row r="193" spans="1:9" ht="17.100000000000001" customHeight="1" x14ac:dyDescent="0.2">
      <c r="A193" s="19"/>
      <c r="B193" s="191" t="s">
        <v>178</v>
      </c>
      <c r="C193" s="192"/>
      <c r="D193" s="26">
        <v>2.7441628209363049</v>
      </c>
      <c r="E193" s="19"/>
      <c r="F193" s="16"/>
      <c r="G193" s="23"/>
    </row>
    <row r="194" spans="1:9" ht="14.1" customHeight="1" x14ac:dyDescent="0.2">
      <c r="A194" s="24"/>
      <c r="B194" s="24"/>
      <c r="C194" s="24"/>
      <c r="D194" s="24"/>
      <c r="E194" s="24"/>
      <c r="F194" s="24"/>
      <c r="G194" s="24"/>
    </row>
    <row r="195" spans="1:9" x14ac:dyDescent="0.2">
      <c r="B195" s="208" t="s">
        <v>1026</v>
      </c>
      <c r="C195" s="209"/>
      <c r="D195" s="210"/>
    </row>
    <row r="196" spans="1:9" ht="25.5" x14ac:dyDescent="0.2">
      <c r="B196" s="197" t="s">
        <v>1027</v>
      </c>
      <c r="C196" s="197"/>
      <c r="D196" s="140" t="s">
        <v>647</v>
      </c>
    </row>
    <row r="197" spans="1:9" x14ac:dyDescent="0.2">
      <c r="B197" s="197" t="s">
        <v>1028</v>
      </c>
      <c r="C197" s="197"/>
      <c r="D197" s="147"/>
    </row>
    <row r="198" spans="1:9" x14ac:dyDescent="0.2">
      <c r="B198" s="198"/>
      <c r="C198" s="199"/>
      <c r="D198" s="141"/>
    </row>
    <row r="199" spans="1:9" x14ac:dyDescent="0.2">
      <c r="B199" s="197" t="s">
        <v>1029</v>
      </c>
      <c r="C199" s="197"/>
      <c r="D199" s="142">
        <v>7.4028773720892094</v>
      </c>
    </row>
    <row r="200" spans="1:9" x14ac:dyDescent="0.2">
      <c r="B200" s="198"/>
      <c r="C200" s="199"/>
      <c r="D200" s="141"/>
    </row>
    <row r="201" spans="1:9" x14ac:dyDescent="0.2">
      <c r="B201" s="197" t="s">
        <v>1030</v>
      </c>
      <c r="C201" s="197"/>
      <c r="D201" s="142">
        <v>1.4596019258116999</v>
      </c>
    </row>
    <row r="202" spans="1:9" x14ac:dyDescent="0.2">
      <c r="B202" s="197" t="s">
        <v>1031</v>
      </c>
      <c r="C202" s="197"/>
      <c r="D202" s="142">
        <v>1.7615916932415803</v>
      </c>
    </row>
    <row r="203" spans="1:9" x14ac:dyDescent="0.2">
      <c r="B203" s="198"/>
      <c r="C203" s="199"/>
      <c r="D203" s="141"/>
    </row>
    <row r="204" spans="1:9" x14ac:dyDescent="0.2">
      <c r="B204" s="197" t="s">
        <v>1032</v>
      </c>
      <c r="C204" s="197"/>
      <c r="D204" s="143">
        <v>44985</v>
      </c>
    </row>
    <row r="205" spans="1:9" ht="12.75" customHeight="1" x14ac:dyDescent="0.2">
      <c r="B205" s="198" t="s">
        <v>1033</v>
      </c>
      <c r="C205" s="200"/>
      <c r="D205" s="199"/>
      <c r="I205" s="111"/>
    </row>
  </sheetData>
  <mergeCells count="28">
    <mergeCell ref="J2:N2"/>
    <mergeCell ref="B174:F174"/>
    <mergeCell ref="B173:F173"/>
    <mergeCell ref="B172:F172"/>
    <mergeCell ref="A1:H1"/>
    <mergeCell ref="A2:H2"/>
    <mergeCell ref="A3:H3"/>
    <mergeCell ref="B175:F175"/>
    <mergeCell ref="B192:C192"/>
    <mergeCell ref="B193:C193"/>
    <mergeCell ref="B188:C188"/>
    <mergeCell ref="B190:C190"/>
    <mergeCell ref="B177:D177"/>
    <mergeCell ref="B178:C178"/>
    <mergeCell ref="B179:C179"/>
    <mergeCell ref="B180:C180"/>
    <mergeCell ref="B191:C191"/>
    <mergeCell ref="B195:D195"/>
    <mergeCell ref="B196:C196"/>
    <mergeCell ref="B197:C197"/>
    <mergeCell ref="B198:C198"/>
    <mergeCell ref="B199:C199"/>
    <mergeCell ref="B205:D205"/>
    <mergeCell ref="B200:C200"/>
    <mergeCell ref="B201:C201"/>
    <mergeCell ref="B202:C202"/>
    <mergeCell ref="B203:C203"/>
    <mergeCell ref="B204:C204"/>
  </mergeCells>
  <hyperlinks>
    <hyperlink ref="I1" location="Index!B25" display="Index" xr:uid="{AC85E6B0-4881-4B48-8B32-E51BC31EA56A}"/>
  </hyperlinks>
  <pageMargins left="5.000000074505806E-2" right="5.000000074505806E-2" top="0.30000001192092896" bottom="0.20000000298023224" header="0" footer="0"/>
  <pageSetup paperSize="9" orientation="landscape"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N154"/>
  <sheetViews>
    <sheetView showGridLines="0" workbookViewId="0">
      <selection sqref="A1:H1"/>
    </sheetView>
  </sheetViews>
  <sheetFormatPr defaultRowHeight="12.75" x14ac:dyDescent="0.2"/>
  <cols>
    <col min="1" max="1" width="6.4257812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7" t="s">
        <v>0</v>
      </c>
      <c r="B1" s="187"/>
      <c r="C1" s="187"/>
      <c r="D1" s="187"/>
      <c r="E1" s="187"/>
      <c r="F1" s="187"/>
      <c r="G1" s="187"/>
      <c r="H1" s="187"/>
      <c r="I1" s="167" t="s">
        <v>1055</v>
      </c>
    </row>
    <row r="2" spans="1:14" ht="17.100000000000001" customHeight="1" x14ac:dyDescent="0.2">
      <c r="A2" s="188" t="s">
        <v>673</v>
      </c>
      <c r="B2" s="189"/>
      <c r="C2" s="189"/>
      <c r="D2" s="189"/>
      <c r="E2" s="189"/>
      <c r="F2" s="189"/>
      <c r="G2" s="189"/>
      <c r="H2" s="190"/>
      <c r="J2" s="186" t="s">
        <v>1056</v>
      </c>
      <c r="K2" s="186"/>
      <c r="L2" s="186"/>
      <c r="M2" s="186"/>
      <c r="N2" s="186"/>
    </row>
    <row r="3" spans="1:14" ht="21" customHeight="1" x14ac:dyDescent="0.2">
      <c r="A3" s="187" t="s">
        <v>1052</v>
      </c>
      <c r="B3" s="187"/>
      <c r="C3" s="187"/>
      <c r="D3" s="187"/>
      <c r="E3" s="187"/>
      <c r="F3" s="187"/>
      <c r="G3" s="187"/>
      <c r="H3" s="187"/>
    </row>
    <row r="4" spans="1:14" ht="30" x14ac:dyDescent="0.2">
      <c r="A4" s="163" t="s">
        <v>2</v>
      </c>
      <c r="B4" s="164" t="s">
        <v>3</v>
      </c>
      <c r="C4" s="164" t="s">
        <v>4</v>
      </c>
      <c r="D4" s="164" t="s">
        <v>5</v>
      </c>
      <c r="E4" s="164" t="s">
        <v>6</v>
      </c>
      <c r="F4" s="164" t="s">
        <v>7</v>
      </c>
      <c r="G4" s="164" t="s">
        <v>8</v>
      </c>
      <c r="H4" s="120" t="s">
        <v>881</v>
      </c>
      <c r="I4" s="165"/>
      <c r="J4" s="165"/>
      <c r="K4" s="165"/>
      <c r="L4" s="165"/>
      <c r="M4" s="165"/>
      <c r="N4" s="165"/>
    </row>
    <row r="5" spans="1:14" ht="14.1" customHeight="1" x14ac:dyDescent="0.2">
      <c r="A5" s="99"/>
      <c r="B5" s="1"/>
      <c r="C5" s="2" t="s">
        <v>9</v>
      </c>
      <c r="D5" s="1"/>
      <c r="E5" s="1"/>
      <c r="F5" s="1"/>
      <c r="G5" s="1"/>
      <c r="H5" s="109"/>
    </row>
    <row r="6" spans="1:14" ht="24" customHeight="1" x14ac:dyDescent="0.2">
      <c r="A6" s="99"/>
      <c r="B6" s="1"/>
      <c r="C6" s="2" t="s">
        <v>10</v>
      </c>
      <c r="D6" s="1"/>
      <c r="E6" s="1"/>
      <c r="F6" s="1"/>
      <c r="G6" s="1"/>
      <c r="H6" s="109"/>
    </row>
    <row r="7" spans="1:14" ht="17.100000000000001" customHeight="1" x14ac:dyDescent="0.2">
      <c r="A7" s="100">
        <v>1</v>
      </c>
      <c r="B7" s="3" t="s">
        <v>293</v>
      </c>
      <c r="C7" s="3" t="s">
        <v>294</v>
      </c>
      <c r="D7" s="3" t="s">
        <v>996</v>
      </c>
      <c r="E7" s="4">
        <v>145000</v>
      </c>
      <c r="F7" s="5">
        <v>2156.9475000000002</v>
      </c>
      <c r="G7" s="6">
        <v>5.6365579999999998E-2</v>
      </c>
      <c r="H7" s="109"/>
    </row>
    <row r="8" spans="1:14" ht="17.100000000000001" customHeight="1" x14ac:dyDescent="0.2">
      <c r="A8" s="100">
        <v>2</v>
      </c>
      <c r="B8" s="3" t="s">
        <v>297</v>
      </c>
      <c r="C8" s="3" t="s">
        <v>298</v>
      </c>
      <c r="D8" s="3" t="s">
        <v>22</v>
      </c>
      <c r="E8" s="4">
        <v>127000</v>
      </c>
      <c r="F8" s="5">
        <v>2031.492</v>
      </c>
      <c r="G8" s="6">
        <v>5.3087160000000001E-2</v>
      </c>
      <c r="H8" s="109"/>
    </row>
    <row r="9" spans="1:14" ht="17.100000000000001" customHeight="1" x14ac:dyDescent="0.2">
      <c r="A9" s="100">
        <v>3</v>
      </c>
      <c r="B9" s="3" t="s">
        <v>26</v>
      </c>
      <c r="C9" s="3" t="s">
        <v>27</v>
      </c>
      <c r="D9" s="3" t="s">
        <v>28</v>
      </c>
      <c r="E9" s="4">
        <v>1025000</v>
      </c>
      <c r="F9" s="5">
        <v>1747.625</v>
      </c>
      <c r="G9" s="6">
        <v>4.5669120000000001E-2</v>
      </c>
      <c r="H9" s="109"/>
    </row>
    <row r="10" spans="1:14" ht="17.100000000000001" customHeight="1" x14ac:dyDescent="0.2">
      <c r="A10" s="100">
        <v>4</v>
      </c>
      <c r="B10" s="3" t="s">
        <v>20</v>
      </c>
      <c r="C10" s="3" t="s">
        <v>21</v>
      </c>
      <c r="D10" s="3" t="s">
        <v>22</v>
      </c>
      <c r="E10" s="4">
        <v>200000</v>
      </c>
      <c r="F10" s="5">
        <v>1709.7</v>
      </c>
      <c r="G10" s="6">
        <v>4.4678059999999999E-2</v>
      </c>
      <c r="H10" s="109"/>
    </row>
    <row r="11" spans="1:14" ht="17.100000000000001" customHeight="1" x14ac:dyDescent="0.2">
      <c r="A11" s="100">
        <v>5</v>
      </c>
      <c r="B11" s="3" t="s">
        <v>312</v>
      </c>
      <c r="C11" s="3" t="s">
        <v>313</v>
      </c>
      <c r="D11" s="3" t="s">
        <v>309</v>
      </c>
      <c r="E11" s="4">
        <v>367734</v>
      </c>
      <c r="F11" s="5">
        <v>1385.253978</v>
      </c>
      <c r="G11" s="6">
        <v>3.6199599999999998E-2</v>
      </c>
      <c r="H11" s="109"/>
    </row>
    <row r="12" spans="1:14" ht="17.100000000000001" customHeight="1" x14ac:dyDescent="0.2">
      <c r="A12" s="100">
        <v>6</v>
      </c>
      <c r="B12" s="3" t="s">
        <v>299</v>
      </c>
      <c r="C12" s="3" t="s">
        <v>300</v>
      </c>
      <c r="D12" s="3" t="s">
        <v>996</v>
      </c>
      <c r="E12" s="4">
        <v>39221</v>
      </c>
      <c r="F12" s="5">
        <v>1299.3328985000001</v>
      </c>
      <c r="G12" s="6">
        <v>3.39543E-2</v>
      </c>
      <c r="H12" s="109"/>
    </row>
    <row r="13" spans="1:14" ht="17.100000000000001" customHeight="1" x14ac:dyDescent="0.2">
      <c r="A13" s="100">
        <v>7</v>
      </c>
      <c r="B13" s="3" t="s">
        <v>17</v>
      </c>
      <c r="C13" s="3" t="s">
        <v>18</v>
      </c>
      <c r="D13" s="3" t="s">
        <v>19</v>
      </c>
      <c r="E13" s="4">
        <v>55500</v>
      </c>
      <c r="F13" s="5">
        <v>1289.0152499999999</v>
      </c>
      <c r="G13" s="6">
        <v>3.3684680000000002E-2</v>
      </c>
      <c r="H13" s="109"/>
    </row>
    <row r="14" spans="1:14" ht="17.100000000000001" customHeight="1" x14ac:dyDescent="0.2">
      <c r="A14" s="100">
        <v>8</v>
      </c>
      <c r="B14" s="3" t="s">
        <v>307</v>
      </c>
      <c r="C14" s="3" t="s">
        <v>308</v>
      </c>
      <c r="D14" s="3" t="s">
        <v>309</v>
      </c>
      <c r="E14" s="4">
        <v>50000</v>
      </c>
      <c r="F14" s="5">
        <v>1230.325</v>
      </c>
      <c r="G14" s="6">
        <v>3.2150980000000003E-2</v>
      </c>
      <c r="H14" s="109"/>
      <c r="J14" s="176" t="s">
        <v>1072</v>
      </c>
    </row>
    <row r="15" spans="1:14" ht="17.100000000000001" customHeight="1" x14ac:dyDescent="0.2">
      <c r="A15" s="100">
        <v>9</v>
      </c>
      <c r="B15" s="3" t="s">
        <v>314</v>
      </c>
      <c r="C15" s="3" t="s">
        <v>315</v>
      </c>
      <c r="D15" s="3" t="s">
        <v>996</v>
      </c>
      <c r="E15" s="4">
        <v>108000</v>
      </c>
      <c r="F15" s="5">
        <v>1163.808</v>
      </c>
      <c r="G15" s="6">
        <v>3.0412749999999999E-2</v>
      </c>
      <c r="H15" s="109"/>
    </row>
    <row r="16" spans="1:14" ht="17.100000000000001" customHeight="1" x14ac:dyDescent="0.2">
      <c r="A16" s="100">
        <v>10</v>
      </c>
      <c r="B16" s="3" t="s">
        <v>32</v>
      </c>
      <c r="C16" s="3" t="s">
        <v>33</v>
      </c>
      <c r="D16" s="3" t="s">
        <v>22</v>
      </c>
      <c r="E16" s="4">
        <v>194000</v>
      </c>
      <c r="F16" s="5">
        <v>1014.232</v>
      </c>
      <c r="G16" s="6">
        <v>2.650402E-2</v>
      </c>
      <c r="H16" s="109"/>
    </row>
    <row r="17" spans="1:10" ht="29.1" customHeight="1" x14ac:dyDescent="0.2">
      <c r="A17" s="100">
        <v>11</v>
      </c>
      <c r="B17" s="3" t="s">
        <v>50</v>
      </c>
      <c r="C17" s="3" t="s">
        <v>51</v>
      </c>
      <c r="D17" s="3" t="s">
        <v>52</v>
      </c>
      <c r="E17" s="4">
        <v>940000</v>
      </c>
      <c r="F17" s="5">
        <v>889.24</v>
      </c>
      <c r="G17" s="6">
        <v>2.3237710000000002E-2</v>
      </c>
      <c r="H17" s="109"/>
    </row>
    <row r="18" spans="1:10" ht="29.1" customHeight="1" x14ac:dyDescent="0.2">
      <c r="A18" s="100">
        <v>12</v>
      </c>
      <c r="B18" s="3" t="s">
        <v>23</v>
      </c>
      <c r="C18" s="3" t="s">
        <v>24</v>
      </c>
      <c r="D18" s="3" t="s">
        <v>25</v>
      </c>
      <c r="E18" s="4">
        <v>12000</v>
      </c>
      <c r="F18" s="5">
        <v>871.35599999999999</v>
      </c>
      <c r="G18" s="6">
        <v>2.2770370000000002E-2</v>
      </c>
      <c r="H18" s="109"/>
    </row>
    <row r="19" spans="1:10" ht="17.100000000000001" customHeight="1" x14ac:dyDescent="0.2">
      <c r="A19" s="100">
        <v>13</v>
      </c>
      <c r="B19" s="3" t="s">
        <v>322</v>
      </c>
      <c r="C19" s="3" t="s">
        <v>323</v>
      </c>
      <c r="D19" s="3" t="s">
        <v>996</v>
      </c>
      <c r="E19" s="4">
        <v>78000</v>
      </c>
      <c r="F19" s="5">
        <v>858.19500000000005</v>
      </c>
      <c r="G19" s="6">
        <v>2.2426439999999999E-2</v>
      </c>
      <c r="H19" s="109"/>
    </row>
    <row r="20" spans="1:10" ht="17.100000000000001" customHeight="1" x14ac:dyDescent="0.2">
      <c r="A20" s="100">
        <v>14</v>
      </c>
      <c r="B20" s="3" t="s">
        <v>11</v>
      </c>
      <c r="C20" s="3" t="s">
        <v>12</v>
      </c>
      <c r="D20" s="3" t="s">
        <v>13</v>
      </c>
      <c r="E20" s="4">
        <v>38076</v>
      </c>
      <c r="F20" s="5">
        <v>803.07995400000004</v>
      </c>
      <c r="G20" s="6">
        <v>2.0986169999999998E-2</v>
      </c>
      <c r="H20" s="109"/>
    </row>
    <row r="21" spans="1:10" ht="17.100000000000001" customHeight="1" x14ac:dyDescent="0.2">
      <c r="A21" s="100">
        <v>15</v>
      </c>
      <c r="B21" s="3" t="s">
        <v>45</v>
      </c>
      <c r="C21" s="3" t="s">
        <v>46</v>
      </c>
      <c r="D21" s="3" t="s">
        <v>47</v>
      </c>
      <c r="E21" s="4">
        <v>550000</v>
      </c>
      <c r="F21" s="5">
        <v>800.25</v>
      </c>
      <c r="G21" s="6">
        <v>2.0912219999999999E-2</v>
      </c>
      <c r="H21" s="109"/>
    </row>
    <row r="22" spans="1:10" ht="17.100000000000001" customHeight="1" x14ac:dyDescent="0.2">
      <c r="A22" s="100">
        <v>16</v>
      </c>
      <c r="B22" s="3" t="s">
        <v>41</v>
      </c>
      <c r="C22" s="3" t="s">
        <v>42</v>
      </c>
      <c r="D22" s="3" t="s">
        <v>28</v>
      </c>
      <c r="E22" s="4">
        <v>328000</v>
      </c>
      <c r="F22" s="5">
        <v>728.98</v>
      </c>
      <c r="G22" s="6">
        <v>1.9049779999999999E-2</v>
      </c>
      <c r="H22" s="109"/>
    </row>
    <row r="23" spans="1:10" ht="17.100000000000001" customHeight="1" x14ac:dyDescent="0.2">
      <c r="A23" s="100">
        <v>17</v>
      </c>
      <c r="B23" s="3" t="s">
        <v>338</v>
      </c>
      <c r="C23" s="3" t="s">
        <v>339</v>
      </c>
      <c r="D23" s="3" t="s">
        <v>22</v>
      </c>
      <c r="E23" s="4">
        <v>235822</v>
      </c>
      <c r="F23" s="5">
        <v>659.24040100000002</v>
      </c>
      <c r="G23" s="6">
        <v>1.7227340000000001E-2</v>
      </c>
      <c r="H23" s="109"/>
      <c r="J23" s="169" t="s">
        <v>1073</v>
      </c>
    </row>
    <row r="24" spans="1:10" ht="17.100000000000001" customHeight="1" x14ac:dyDescent="0.2">
      <c r="A24" s="100">
        <v>18</v>
      </c>
      <c r="B24" s="3" t="s">
        <v>328</v>
      </c>
      <c r="C24" s="3" t="s">
        <v>329</v>
      </c>
      <c r="D24" s="3" t="s">
        <v>22</v>
      </c>
      <c r="E24" s="4">
        <v>59000</v>
      </c>
      <c r="F24" s="5">
        <v>635.84299999999996</v>
      </c>
      <c r="G24" s="6">
        <v>1.6615919999999999E-2</v>
      </c>
      <c r="H24" s="109"/>
    </row>
    <row r="25" spans="1:10" ht="17.100000000000001" customHeight="1" x14ac:dyDescent="0.2">
      <c r="A25" s="100">
        <v>19</v>
      </c>
      <c r="B25" s="3" t="s">
        <v>326</v>
      </c>
      <c r="C25" s="3" t="s">
        <v>327</v>
      </c>
      <c r="D25" s="3" t="s">
        <v>213</v>
      </c>
      <c r="E25" s="4">
        <v>552970</v>
      </c>
      <c r="F25" s="5">
        <v>574.81231500000001</v>
      </c>
      <c r="G25" s="6">
        <v>1.5021059999999999E-2</v>
      </c>
      <c r="H25" s="109"/>
    </row>
    <row r="26" spans="1:10" ht="17.100000000000001" customHeight="1" x14ac:dyDescent="0.2">
      <c r="A26" s="100">
        <v>20</v>
      </c>
      <c r="B26" s="3" t="s">
        <v>69</v>
      </c>
      <c r="C26" s="3" t="s">
        <v>70</v>
      </c>
      <c r="D26" s="3" t="s">
        <v>71</v>
      </c>
      <c r="E26" s="4">
        <v>6650</v>
      </c>
      <c r="F26" s="5">
        <v>573.51927499999999</v>
      </c>
      <c r="G26" s="6">
        <v>1.498727E-2</v>
      </c>
      <c r="H26" s="109"/>
    </row>
    <row r="27" spans="1:10" ht="17.100000000000001" customHeight="1" x14ac:dyDescent="0.2">
      <c r="A27" s="100">
        <v>21</v>
      </c>
      <c r="B27" s="3" t="s">
        <v>674</v>
      </c>
      <c r="C27" s="3" t="s">
        <v>675</v>
      </c>
      <c r="D27" s="3" t="s">
        <v>676</v>
      </c>
      <c r="E27" s="4">
        <v>255000</v>
      </c>
      <c r="F27" s="5">
        <v>549.27</v>
      </c>
      <c r="G27" s="6">
        <v>1.4353579999999999E-2</v>
      </c>
      <c r="H27" s="109"/>
    </row>
    <row r="28" spans="1:10" ht="17.100000000000001" customHeight="1" x14ac:dyDescent="0.2">
      <c r="A28" s="100">
        <v>22</v>
      </c>
      <c r="B28" s="3" t="s">
        <v>677</v>
      </c>
      <c r="C28" s="3" t="s">
        <v>678</v>
      </c>
      <c r="D28" s="3" t="s">
        <v>31</v>
      </c>
      <c r="E28" s="4">
        <v>20500</v>
      </c>
      <c r="F28" s="5">
        <v>543.38324999999998</v>
      </c>
      <c r="G28" s="6">
        <v>1.4199750000000001E-2</v>
      </c>
      <c r="H28" s="109"/>
    </row>
    <row r="29" spans="1:10" ht="29.1" customHeight="1" x14ac:dyDescent="0.2">
      <c r="A29" s="100">
        <v>23</v>
      </c>
      <c r="B29" s="3" t="s">
        <v>186</v>
      </c>
      <c r="C29" s="3" t="s">
        <v>187</v>
      </c>
      <c r="D29" s="3" t="s">
        <v>188</v>
      </c>
      <c r="E29" s="4">
        <v>12675</v>
      </c>
      <c r="F29" s="5">
        <v>523.23667499999999</v>
      </c>
      <c r="G29" s="6">
        <v>1.3673279999999999E-2</v>
      </c>
      <c r="H29" s="109"/>
    </row>
    <row r="30" spans="1:10" ht="17.100000000000001" customHeight="1" x14ac:dyDescent="0.2">
      <c r="A30" s="100">
        <v>24</v>
      </c>
      <c r="B30" s="3" t="s">
        <v>83</v>
      </c>
      <c r="C30" s="3" t="s">
        <v>84</v>
      </c>
      <c r="D30" s="3" t="s">
        <v>31</v>
      </c>
      <c r="E30" s="4">
        <v>33000</v>
      </c>
      <c r="F30" s="5">
        <v>518.13300000000004</v>
      </c>
      <c r="G30" s="6">
        <v>1.353991E-2</v>
      </c>
      <c r="H30" s="109"/>
    </row>
    <row r="31" spans="1:10" ht="17.100000000000001" customHeight="1" x14ac:dyDescent="0.2">
      <c r="A31" s="100">
        <v>25</v>
      </c>
      <c r="B31" s="3" t="s">
        <v>433</v>
      </c>
      <c r="C31" s="3" t="s">
        <v>434</v>
      </c>
      <c r="D31" s="3" t="s">
        <v>997</v>
      </c>
      <c r="E31" s="4">
        <v>52000</v>
      </c>
      <c r="F31" s="5">
        <v>491.036</v>
      </c>
      <c r="G31" s="6">
        <v>1.2831800000000001E-2</v>
      </c>
      <c r="H31" s="109"/>
    </row>
    <row r="32" spans="1:10" ht="29.1" customHeight="1" x14ac:dyDescent="0.2">
      <c r="A32" s="100">
        <v>26</v>
      </c>
      <c r="B32" s="3" t="s">
        <v>303</v>
      </c>
      <c r="C32" s="3" t="s">
        <v>304</v>
      </c>
      <c r="D32" s="3" t="s">
        <v>221</v>
      </c>
      <c r="E32" s="4">
        <v>51000</v>
      </c>
      <c r="F32" s="5">
        <v>487.86599999999999</v>
      </c>
      <c r="G32" s="6">
        <v>1.274897E-2</v>
      </c>
      <c r="H32" s="109"/>
    </row>
    <row r="33" spans="1:8" ht="17.100000000000001" customHeight="1" x14ac:dyDescent="0.2">
      <c r="A33" s="100">
        <v>27</v>
      </c>
      <c r="B33" s="3" t="s">
        <v>14</v>
      </c>
      <c r="C33" s="3" t="s">
        <v>15</v>
      </c>
      <c r="D33" s="3" t="s">
        <v>16</v>
      </c>
      <c r="E33" s="4">
        <v>65000</v>
      </c>
      <c r="F33" s="5">
        <v>482.46249999999998</v>
      </c>
      <c r="G33" s="6">
        <v>1.2607760000000001E-2</v>
      </c>
      <c r="H33" s="109"/>
    </row>
    <row r="34" spans="1:8" ht="17.100000000000001" customHeight="1" x14ac:dyDescent="0.2">
      <c r="A34" s="100">
        <v>28</v>
      </c>
      <c r="B34" s="3" t="s">
        <v>384</v>
      </c>
      <c r="C34" s="3" t="s">
        <v>385</v>
      </c>
      <c r="D34" s="3" t="s">
        <v>334</v>
      </c>
      <c r="E34" s="4">
        <v>33957</v>
      </c>
      <c r="F34" s="5">
        <v>476.29786050000001</v>
      </c>
      <c r="G34" s="6">
        <v>1.244667E-2</v>
      </c>
      <c r="H34" s="109"/>
    </row>
    <row r="35" spans="1:8" ht="17.100000000000001" customHeight="1" x14ac:dyDescent="0.2">
      <c r="A35" s="100">
        <v>29</v>
      </c>
      <c r="B35" s="3" t="s">
        <v>301</v>
      </c>
      <c r="C35" s="3" t="s">
        <v>302</v>
      </c>
      <c r="D35" s="3" t="s">
        <v>216</v>
      </c>
      <c r="E35" s="4">
        <v>42000</v>
      </c>
      <c r="F35" s="5">
        <v>470.82</v>
      </c>
      <c r="G35" s="6">
        <v>1.230352E-2</v>
      </c>
      <c r="H35" s="109"/>
    </row>
    <row r="36" spans="1:8" ht="17.100000000000001" customHeight="1" x14ac:dyDescent="0.2">
      <c r="A36" s="100">
        <v>30</v>
      </c>
      <c r="B36" s="3" t="s">
        <v>229</v>
      </c>
      <c r="C36" s="3" t="s">
        <v>230</v>
      </c>
      <c r="D36" s="3" t="s">
        <v>115</v>
      </c>
      <c r="E36" s="4">
        <v>52500</v>
      </c>
      <c r="F36" s="5">
        <v>468.3</v>
      </c>
      <c r="G36" s="6">
        <v>1.2237659999999999E-2</v>
      </c>
      <c r="H36" s="109"/>
    </row>
    <row r="37" spans="1:8" ht="17.100000000000001" customHeight="1" x14ac:dyDescent="0.2">
      <c r="A37" s="100">
        <v>31</v>
      </c>
      <c r="B37" s="3" t="s">
        <v>522</v>
      </c>
      <c r="C37" s="3" t="s">
        <v>523</v>
      </c>
      <c r="D37" s="3" t="s">
        <v>115</v>
      </c>
      <c r="E37" s="4">
        <v>36064</v>
      </c>
      <c r="F37" s="5">
        <v>467.56975999999997</v>
      </c>
      <c r="G37" s="6">
        <v>1.221858E-2</v>
      </c>
      <c r="H37" s="109"/>
    </row>
    <row r="38" spans="1:8" ht="17.100000000000001" customHeight="1" x14ac:dyDescent="0.2">
      <c r="A38" s="100">
        <v>32</v>
      </c>
      <c r="B38" s="3" t="s">
        <v>226</v>
      </c>
      <c r="C38" s="3" t="s">
        <v>227</v>
      </c>
      <c r="D38" s="3" t="s">
        <v>228</v>
      </c>
      <c r="E38" s="4">
        <v>1200</v>
      </c>
      <c r="F38" s="5">
        <v>455.63580000000002</v>
      </c>
      <c r="G38" s="6">
        <v>1.1906720000000001E-2</v>
      </c>
      <c r="H38" s="109"/>
    </row>
    <row r="39" spans="1:8" ht="17.100000000000001" customHeight="1" x14ac:dyDescent="0.2">
      <c r="A39" s="100">
        <v>33</v>
      </c>
      <c r="B39" s="3" t="s">
        <v>679</v>
      </c>
      <c r="C39" s="3" t="s">
        <v>680</v>
      </c>
      <c r="D39" s="3" t="s">
        <v>71</v>
      </c>
      <c r="E39" s="4">
        <v>12160</v>
      </c>
      <c r="F39" s="5">
        <v>445.20191999999997</v>
      </c>
      <c r="G39" s="6">
        <v>1.163406E-2</v>
      </c>
      <c r="H39" s="109"/>
    </row>
    <row r="40" spans="1:8" ht="17.100000000000001" customHeight="1" x14ac:dyDescent="0.2">
      <c r="A40" s="100">
        <v>34</v>
      </c>
      <c r="B40" s="3" t="s">
        <v>681</v>
      </c>
      <c r="C40" s="3" t="s">
        <v>682</v>
      </c>
      <c r="D40" s="3" t="s">
        <v>253</v>
      </c>
      <c r="E40" s="4">
        <v>9850</v>
      </c>
      <c r="F40" s="5">
        <v>439.48237499999999</v>
      </c>
      <c r="G40" s="6">
        <v>1.1484599999999999E-2</v>
      </c>
      <c r="H40" s="109"/>
    </row>
    <row r="41" spans="1:8" ht="29.1" customHeight="1" x14ac:dyDescent="0.2">
      <c r="A41" s="100">
        <v>35</v>
      </c>
      <c r="B41" s="3" t="s">
        <v>189</v>
      </c>
      <c r="C41" s="3" t="s">
        <v>190</v>
      </c>
      <c r="D41" s="3" t="s">
        <v>191</v>
      </c>
      <c r="E41" s="4">
        <v>48000</v>
      </c>
      <c r="F41" s="5">
        <v>431.30399999999997</v>
      </c>
      <c r="G41" s="6">
        <v>1.127088E-2</v>
      </c>
      <c r="H41" s="109"/>
    </row>
    <row r="42" spans="1:8" ht="17.100000000000001" customHeight="1" x14ac:dyDescent="0.2">
      <c r="A42" s="100">
        <v>36</v>
      </c>
      <c r="B42" s="3" t="s">
        <v>683</v>
      </c>
      <c r="C42" s="3" t="s">
        <v>684</v>
      </c>
      <c r="D42" s="3" t="s">
        <v>996</v>
      </c>
      <c r="E42" s="4">
        <v>9500</v>
      </c>
      <c r="F42" s="5">
        <v>408.37175000000002</v>
      </c>
      <c r="G42" s="6">
        <v>1.067161E-2</v>
      </c>
      <c r="H42" s="109"/>
    </row>
    <row r="43" spans="1:8" ht="17.100000000000001" customHeight="1" x14ac:dyDescent="0.2">
      <c r="A43" s="100">
        <v>37</v>
      </c>
      <c r="B43" s="3" t="s">
        <v>55</v>
      </c>
      <c r="C43" s="3" t="s">
        <v>56</v>
      </c>
      <c r="D43" s="3" t="s">
        <v>57</v>
      </c>
      <c r="E43" s="4">
        <v>68282</v>
      </c>
      <c r="F43" s="5">
        <v>403.20521000000002</v>
      </c>
      <c r="G43" s="6">
        <v>1.05366E-2</v>
      </c>
      <c r="H43" s="109"/>
    </row>
    <row r="44" spans="1:8" ht="17.100000000000001" customHeight="1" x14ac:dyDescent="0.2">
      <c r="A44" s="100">
        <v>38</v>
      </c>
      <c r="B44" s="3" t="s">
        <v>92</v>
      </c>
      <c r="C44" s="3" t="s">
        <v>93</v>
      </c>
      <c r="D44" s="3" t="s">
        <v>94</v>
      </c>
      <c r="E44" s="4">
        <v>263490</v>
      </c>
      <c r="F44" s="5">
        <v>400.63654500000001</v>
      </c>
      <c r="G44" s="6">
        <v>1.046948E-2</v>
      </c>
      <c r="H44" s="109"/>
    </row>
    <row r="45" spans="1:8" ht="17.100000000000001" customHeight="1" x14ac:dyDescent="0.2">
      <c r="A45" s="100">
        <v>39</v>
      </c>
      <c r="B45" s="3" t="s">
        <v>344</v>
      </c>
      <c r="C45" s="3" t="s">
        <v>345</v>
      </c>
      <c r="D45" s="3" t="s">
        <v>120</v>
      </c>
      <c r="E45" s="4">
        <v>30000</v>
      </c>
      <c r="F45" s="5">
        <v>400.47</v>
      </c>
      <c r="G45" s="6">
        <v>1.046512E-2</v>
      </c>
      <c r="H45" s="109"/>
    </row>
    <row r="46" spans="1:8" ht="17.100000000000001" customHeight="1" x14ac:dyDescent="0.2">
      <c r="A46" s="100">
        <v>40</v>
      </c>
      <c r="B46" s="3" t="s">
        <v>100</v>
      </c>
      <c r="C46" s="3" t="s">
        <v>101</v>
      </c>
      <c r="D46" s="3" t="s">
        <v>57</v>
      </c>
      <c r="E46" s="4">
        <v>21000</v>
      </c>
      <c r="F46" s="5">
        <v>389.83350000000002</v>
      </c>
      <c r="G46" s="6">
        <v>1.0187170000000001E-2</v>
      </c>
      <c r="H46" s="109"/>
    </row>
    <row r="47" spans="1:8" ht="29.1" customHeight="1" x14ac:dyDescent="0.2">
      <c r="A47" s="100">
        <v>41</v>
      </c>
      <c r="B47" s="3" t="s">
        <v>254</v>
      </c>
      <c r="C47" s="3" t="s">
        <v>255</v>
      </c>
      <c r="D47" s="3" t="s">
        <v>188</v>
      </c>
      <c r="E47" s="4">
        <v>17781</v>
      </c>
      <c r="F47" s="5">
        <v>385.58987550000001</v>
      </c>
      <c r="G47" s="6">
        <v>1.007628E-2</v>
      </c>
      <c r="H47" s="109"/>
    </row>
    <row r="48" spans="1:8" ht="17.100000000000001" customHeight="1" x14ac:dyDescent="0.2">
      <c r="A48" s="100">
        <v>42</v>
      </c>
      <c r="B48" s="3" t="s">
        <v>184</v>
      </c>
      <c r="C48" s="3" t="s">
        <v>185</v>
      </c>
      <c r="D48" s="3" t="s">
        <v>996</v>
      </c>
      <c r="E48" s="4">
        <v>8000</v>
      </c>
      <c r="F48" s="5">
        <v>383.44799999999998</v>
      </c>
      <c r="G48" s="6">
        <v>1.0020299999999999E-2</v>
      </c>
      <c r="H48" s="109"/>
    </row>
    <row r="49" spans="1:8" ht="29.1" customHeight="1" x14ac:dyDescent="0.2">
      <c r="A49" s="100">
        <v>43</v>
      </c>
      <c r="B49" s="3" t="s">
        <v>204</v>
      </c>
      <c r="C49" s="3" t="s">
        <v>205</v>
      </c>
      <c r="D49" s="3" t="s">
        <v>115</v>
      </c>
      <c r="E49" s="4">
        <v>108119</v>
      </c>
      <c r="F49" s="5">
        <v>328.51958150000002</v>
      </c>
      <c r="G49" s="6">
        <v>8.5849099999999994E-3</v>
      </c>
      <c r="H49" s="109"/>
    </row>
    <row r="50" spans="1:8" ht="29.1" customHeight="1" x14ac:dyDescent="0.2">
      <c r="A50" s="100">
        <v>44</v>
      </c>
      <c r="B50" s="3" t="s">
        <v>685</v>
      </c>
      <c r="C50" s="3" t="s">
        <v>686</v>
      </c>
      <c r="D50" s="3" t="s">
        <v>687</v>
      </c>
      <c r="E50" s="4">
        <v>10516</v>
      </c>
      <c r="F50" s="5">
        <v>325.06007599999998</v>
      </c>
      <c r="G50" s="6">
        <v>8.4945000000000003E-3</v>
      </c>
      <c r="H50" s="109"/>
    </row>
    <row r="51" spans="1:8" ht="29.1" customHeight="1" x14ac:dyDescent="0.2">
      <c r="A51" s="100">
        <v>45</v>
      </c>
      <c r="B51" s="3" t="s">
        <v>469</v>
      </c>
      <c r="C51" s="3" t="s">
        <v>470</v>
      </c>
      <c r="D51" s="3" t="s">
        <v>221</v>
      </c>
      <c r="E51" s="4">
        <v>5548</v>
      </c>
      <c r="F51" s="5">
        <v>324.186284</v>
      </c>
      <c r="G51" s="6">
        <v>8.4716700000000006E-3</v>
      </c>
      <c r="H51" s="109"/>
    </row>
    <row r="52" spans="1:8" ht="17.100000000000001" customHeight="1" x14ac:dyDescent="0.2">
      <c r="A52" s="100">
        <v>46</v>
      </c>
      <c r="B52" s="3" t="s">
        <v>688</v>
      </c>
      <c r="C52" s="3" t="s">
        <v>689</v>
      </c>
      <c r="D52" s="3" t="s">
        <v>115</v>
      </c>
      <c r="E52" s="4">
        <v>26280</v>
      </c>
      <c r="F52" s="5">
        <v>308.22498000000002</v>
      </c>
      <c r="G52" s="6">
        <v>8.0545700000000005E-3</v>
      </c>
      <c r="H52" s="109"/>
    </row>
    <row r="53" spans="1:8" ht="17.100000000000001" customHeight="1" x14ac:dyDescent="0.2">
      <c r="A53" s="100">
        <v>47</v>
      </c>
      <c r="B53" s="3" t="s">
        <v>348</v>
      </c>
      <c r="C53" s="3" t="s">
        <v>349</v>
      </c>
      <c r="D53" s="3" t="s">
        <v>71</v>
      </c>
      <c r="E53" s="4">
        <v>72000</v>
      </c>
      <c r="F53" s="5">
        <v>302.904</v>
      </c>
      <c r="G53" s="6">
        <v>7.9155200000000005E-3</v>
      </c>
      <c r="H53" s="109"/>
    </row>
    <row r="54" spans="1:8" ht="17.100000000000001" customHeight="1" x14ac:dyDescent="0.2">
      <c r="A54" s="100">
        <v>48</v>
      </c>
      <c r="B54" s="3" t="s">
        <v>286</v>
      </c>
      <c r="C54" s="3" t="s">
        <v>287</v>
      </c>
      <c r="D54" s="3" t="s">
        <v>19</v>
      </c>
      <c r="E54" s="4">
        <v>120000</v>
      </c>
      <c r="F54" s="5">
        <v>258.3</v>
      </c>
      <c r="G54" s="6">
        <v>6.7499200000000004E-3</v>
      </c>
      <c r="H54" s="109"/>
    </row>
    <row r="55" spans="1:8" ht="17.100000000000001" customHeight="1" x14ac:dyDescent="0.2">
      <c r="A55" s="100">
        <v>49</v>
      </c>
      <c r="B55" s="3" t="s">
        <v>89</v>
      </c>
      <c r="C55" s="3" t="s">
        <v>90</v>
      </c>
      <c r="D55" s="3" t="s">
        <v>91</v>
      </c>
      <c r="E55" s="4">
        <v>250000</v>
      </c>
      <c r="F55" s="5">
        <v>256.625</v>
      </c>
      <c r="G55" s="6">
        <v>6.7061500000000001E-3</v>
      </c>
      <c r="H55" s="109"/>
    </row>
    <row r="56" spans="1:8" ht="17.100000000000001" customHeight="1" x14ac:dyDescent="0.2">
      <c r="A56" s="100">
        <v>50</v>
      </c>
      <c r="B56" s="3" t="s">
        <v>231</v>
      </c>
      <c r="C56" s="3" t="s">
        <v>232</v>
      </c>
      <c r="D56" s="3" t="s">
        <v>80</v>
      </c>
      <c r="E56" s="4">
        <v>4242</v>
      </c>
      <c r="F56" s="5">
        <v>205.792146</v>
      </c>
      <c r="G56" s="6">
        <v>5.3777800000000004E-3</v>
      </c>
      <c r="H56" s="109"/>
    </row>
    <row r="57" spans="1:8" ht="29.1" customHeight="1" x14ac:dyDescent="0.2">
      <c r="A57" s="100">
        <v>51</v>
      </c>
      <c r="B57" s="3" t="s">
        <v>350</v>
      </c>
      <c r="C57" s="3" t="s">
        <v>351</v>
      </c>
      <c r="D57" s="3" t="s">
        <v>221</v>
      </c>
      <c r="E57" s="4">
        <v>6700</v>
      </c>
      <c r="F57" s="5">
        <v>189.3152</v>
      </c>
      <c r="G57" s="6">
        <v>4.9472099999999996E-3</v>
      </c>
      <c r="H57" s="109"/>
    </row>
    <row r="58" spans="1:8" ht="17.100000000000001" customHeight="1" x14ac:dyDescent="0.2">
      <c r="A58" s="100">
        <v>52</v>
      </c>
      <c r="B58" s="3" t="s">
        <v>690</v>
      </c>
      <c r="C58" s="3" t="s">
        <v>691</v>
      </c>
      <c r="D58" s="3" t="s">
        <v>334</v>
      </c>
      <c r="E58" s="4">
        <v>30973</v>
      </c>
      <c r="F58" s="5">
        <v>144.39612600000001</v>
      </c>
      <c r="G58" s="6">
        <v>3.7733799999999998E-3</v>
      </c>
      <c r="H58" s="109"/>
    </row>
    <row r="59" spans="1:8" ht="14.1" customHeight="1" x14ac:dyDescent="0.2">
      <c r="A59" s="99"/>
      <c r="B59" s="1"/>
      <c r="C59" s="2" t="s">
        <v>135</v>
      </c>
      <c r="D59" s="1"/>
      <c r="E59" s="1" t="s">
        <v>136</v>
      </c>
      <c r="F59" s="8">
        <v>35087.12498600001</v>
      </c>
      <c r="G59" s="9">
        <v>0.91690043999999993</v>
      </c>
      <c r="H59" s="109"/>
    </row>
    <row r="60" spans="1:8" ht="14.1" customHeight="1" x14ac:dyDescent="0.2">
      <c r="A60" s="99"/>
      <c r="B60" s="1"/>
      <c r="C60" s="10"/>
      <c r="D60" s="1"/>
      <c r="E60" s="1"/>
      <c r="F60" s="11"/>
      <c r="G60" s="11"/>
      <c r="H60" s="109"/>
    </row>
    <row r="61" spans="1:8" ht="14.1" customHeight="1" x14ac:dyDescent="0.2">
      <c r="A61" s="99"/>
      <c r="B61" s="1"/>
      <c r="C61" s="2" t="s">
        <v>137</v>
      </c>
      <c r="D61" s="1"/>
      <c r="E61" s="1"/>
      <c r="F61" s="1"/>
      <c r="G61" s="1"/>
      <c r="H61" s="109"/>
    </row>
    <row r="62" spans="1:8" ht="14.1" customHeight="1" x14ac:dyDescent="0.2">
      <c r="A62" s="99"/>
      <c r="B62" s="1"/>
      <c r="C62" s="2" t="s">
        <v>135</v>
      </c>
      <c r="D62" s="1"/>
      <c r="E62" s="1" t="s">
        <v>136</v>
      </c>
      <c r="F62" s="115">
        <v>0</v>
      </c>
      <c r="G62" s="9">
        <v>0</v>
      </c>
      <c r="H62" s="109"/>
    </row>
    <row r="63" spans="1:8" ht="14.1" customHeight="1" x14ac:dyDescent="0.2">
      <c r="A63" s="99"/>
      <c r="B63" s="1"/>
      <c r="C63" s="10"/>
      <c r="D63" s="1"/>
      <c r="E63" s="1"/>
      <c r="F63" s="11"/>
      <c r="G63" s="11"/>
      <c r="H63" s="109"/>
    </row>
    <row r="64" spans="1:8" ht="14.1" customHeight="1" x14ac:dyDescent="0.2">
      <c r="A64" s="99"/>
      <c r="B64" s="1"/>
      <c r="C64" s="2" t="s">
        <v>138</v>
      </c>
      <c r="D64" s="1"/>
      <c r="E64" s="1"/>
      <c r="F64" s="1"/>
      <c r="G64" s="1"/>
      <c r="H64" s="109"/>
    </row>
    <row r="65" spans="1:8" ht="17.100000000000001" customHeight="1" x14ac:dyDescent="0.2">
      <c r="A65" s="100">
        <v>1</v>
      </c>
      <c r="B65" s="3" t="s">
        <v>692</v>
      </c>
      <c r="C65" s="3" t="s">
        <v>926</v>
      </c>
      <c r="D65" s="3"/>
      <c r="E65" s="4">
        <v>50000</v>
      </c>
      <c r="F65" s="5">
        <v>5.2050000000000001</v>
      </c>
      <c r="G65" s="6">
        <v>1.3601999999999999E-4</v>
      </c>
      <c r="H65" s="109"/>
    </row>
    <row r="66" spans="1:8" ht="17.100000000000001" customHeight="1" x14ac:dyDescent="0.2">
      <c r="A66" s="100">
        <v>2</v>
      </c>
      <c r="B66" s="3" t="s">
        <v>693</v>
      </c>
      <c r="C66" s="3" t="s">
        <v>928</v>
      </c>
      <c r="D66" s="3"/>
      <c r="E66" s="4">
        <v>20</v>
      </c>
      <c r="F66" s="5">
        <v>0</v>
      </c>
      <c r="G66" s="7" t="s">
        <v>134</v>
      </c>
      <c r="H66" s="109"/>
    </row>
    <row r="67" spans="1:8" ht="17.100000000000001" customHeight="1" x14ac:dyDescent="0.2">
      <c r="A67" s="100">
        <v>3</v>
      </c>
      <c r="B67" s="3" t="s">
        <v>694</v>
      </c>
      <c r="C67" s="3" t="s">
        <v>927</v>
      </c>
      <c r="D67" s="3"/>
      <c r="E67" s="4">
        <v>50000</v>
      </c>
      <c r="F67" s="5">
        <v>4.9999999999999998E-7</v>
      </c>
      <c r="G67" s="7" t="s">
        <v>134</v>
      </c>
      <c r="H67" s="109"/>
    </row>
    <row r="68" spans="1:8" ht="17.100000000000001" customHeight="1" x14ac:dyDescent="0.2">
      <c r="A68" s="100">
        <v>4</v>
      </c>
      <c r="B68" s="3" t="s">
        <v>695</v>
      </c>
      <c r="C68" s="3" t="s">
        <v>929</v>
      </c>
      <c r="D68" s="3"/>
      <c r="E68" s="4">
        <v>200000</v>
      </c>
      <c r="F68" s="5">
        <v>1.9999999999999999E-6</v>
      </c>
      <c r="G68" s="7" t="s">
        <v>134</v>
      </c>
      <c r="H68" s="109"/>
    </row>
    <row r="69" spans="1:8" ht="14.1" customHeight="1" x14ac:dyDescent="0.2">
      <c r="A69" s="99"/>
      <c r="B69" s="1"/>
      <c r="C69" s="2" t="s">
        <v>135</v>
      </c>
      <c r="D69" s="1"/>
      <c r="E69" s="1" t="s">
        <v>136</v>
      </c>
      <c r="F69" s="8">
        <v>5.2050025</v>
      </c>
      <c r="G69" s="9">
        <v>1.3601999999999999E-4</v>
      </c>
      <c r="H69" s="109"/>
    </row>
    <row r="70" spans="1:8" ht="14.1" customHeight="1" x14ac:dyDescent="0.2">
      <c r="A70" s="99"/>
      <c r="B70" s="1"/>
      <c r="C70" s="10"/>
      <c r="D70" s="1"/>
      <c r="E70" s="1"/>
      <c r="F70" s="11"/>
      <c r="G70" s="11"/>
      <c r="H70" s="109"/>
    </row>
    <row r="71" spans="1:8" ht="14.1" customHeight="1" x14ac:dyDescent="0.2">
      <c r="A71" s="99"/>
      <c r="B71" s="1"/>
      <c r="C71" s="2" t="s">
        <v>139</v>
      </c>
      <c r="D71" s="1"/>
      <c r="E71" s="1"/>
      <c r="F71" s="1"/>
      <c r="G71" s="1"/>
      <c r="H71" s="109"/>
    </row>
    <row r="72" spans="1:8" ht="14.1" customHeight="1" x14ac:dyDescent="0.2">
      <c r="A72" s="99"/>
      <c r="B72" s="1"/>
      <c r="C72" s="2" t="s">
        <v>135</v>
      </c>
      <c r="D72" s="1"/>
      <c r="E72" s="1" t="s">
        <v>136</v>
      </c>
      <c r="F72" s="115">
        <v>0</v>
      </c>
      <c r="G72" s="9">
        <v>0</v>
      </c>
      <c r="H72" s="109"/>
    </row>
    <row r="73" spans="1:8" ht="14.1" customHeight="1" x14ac:dyDescent="0.2">
      <c r="A73" s="99"/>
      <c r="B73" s="1"/>
      <c r="C73" s="10"/>
      <c r="D73" s="1"/>
      <c r="E73" s="1"/>
      <c r="F73" s="11"/>
      <c r="G73" s="11"/>
      <c r="H73" s="109"/>
    </row>
    <row r="74" spans="1:8" ht="14.1" customHeight="1" x14ac:dyDescent="0.2">
      <c r="A74" s="99"/>
      <c r="B74" s="1"/>
      <c r="C74" s="2" t="s">
        <v>140</v>
      </c>
      <c r="D74" s="1"/>
      <c r="E74" s="1"/>
      <c r="F74" s="11"/>
      <c r="G74" s="11"/>
      <c r="H74" s="109"/>
    </row>
    <row r="75" spans="1:8" ht="14.1" customHeight="1" x14ac:dyDescent="0.2">
      <c r="A75" s="99"/>
      <c r="B75" s="1"/>
      <c r="C75" s="2" t="s">
        <v>135</v>
      </c>
      <c r="D75" s="1"/>
      <c r="E75" s="1" t="s">
        <v>136</v>
      </c>
      <c r="F75" s="115">
        <v>0</v>
      </c>
      <c r="G75" s="9">
        <v>0</v>
      </c>
      <c r="H75" s="109"/>
    </row>
    <row r="76" spans="1:8" ht="14.1" customHeight="1" x14ac:dyDescent="0.2">
      <c r="A76" s="99"/>
      <c r="B76" s="1"/>
      <c r="C76" s="10"/>
      <c r="D76" s="1"/>
      <c r="E76" s="1"/>
      <c r="F76" s="11"/>
      <c r="G76" s="11"/>
      <c r="H76" s="109"/>
    </row>
    <row r="77" spans="1:8" ht="14.1" customHeight="1" x14ac:dyDescent="0.2">
      <c r="A77" s="99"/>
      <c r="B77" s="1"/>
      <c r="C77" s="2" t="s">
        <v>141</v>
      </c>
      <c r="D77" s="1"/>
      <c r="E77" s="1"/>
      <c r="F77" s="11"/>
      <c r="G77" s="11"/>
      <c r="H77" s="109"/>
    </row>
    <row r="78" spans="1:8" ht="14.1" customHeight="1" x14ac:dyDescent="0.2">
      <c r="A78" s="99"/>
      <c r="B78" s="1"/>
      <c r="C78" s="2" t="s">
        <v>135</v>
      </c>
      <c r="D78" s="1"/>
      <c r="E78" s="1" t="s">
        <v>136</v>
      </c>
      <c r="F78" s="115">
        <v>0</v>
      </c>
      <c r="G78" s="9">
        <v>0</v>
      </c>
      <c r="H78" s="109"/>
    </row>
    <row r="79" spans="1:8" ht="14.1" customHeight="1" x14ac:dyDescent="0.2">
      <c r="A79" s="99"/>
      <c r="B79" s="1"/>
      <c r="C79" s="10"/>
      <c r="D79" s="1"/>
      <c r="E79" s="1"/>
      <c r="F79" s="11"/>
      <c r="G79" s="11"/>
      <c r="H79" s="109"/>
    </row>
    <row r="80" spans="1:8" ht="18" customHeight="1" x14ac:dyDescent="0.2">
      <c r="A80" s="99"/>
      <c r="B80" s="1"/>
      <c r="C80" s="2" t="s">
        <v>142</v>
      </c>
      <c r="D80" s="1"/>
      <c r="E80" s="1"/>
      <c r="F80" s="8">
        <v>35092.329988500001</v>
      </c>
      <c r="G80" s="9">
        <v>0.91703646000000005</v>
      </c>
      <c r="H80" s="109"/>
    </row>
    <row r="81" spans="1:8" ht="14.1" customHeight="1" x14ac:dyDescent="0.2">
      <c r="A81" s="99"/>
      <c r="B81" s="1"/>
      <c r="C81" s="10"/>
      <c r="D81" s="1"/>
      <c r="E81" s="1"/>
      <c r="F81" s="11"/>
      <c r="G81" s="11"/>
      <c r="H81" s="109"/>
    </row>
    <row r="82" spans="1:8" ht="14.1" customHeight="1" x14ac:dyDescent="0.2">
      <c r="A82" s="99"/>
      <c r="B82" s="1"/>
      <c r="C82" s="2" t="s">
        <v>143</v>
      </c>
      <c r="D82" s="1"/>
      <c r="E82" s="1"/>
      <c r="F82" s="11"/>
      <c r="G82" s="11"/>
      <c r="H82" s="109"/>
    </row>
    <row r="83" spans="1:8" ht="24" customHeight="1" x14ac:dyDescent="0.2">
      <c r="A83" s="99"/>
      <c r="B83" s="1"/>
      <c r="C83" s="2" t="s">
        <v>10</v>
      </c>
      <c r="D83" s="1"/>
      <c r="E83" s="1"/>
      <c r="F83" s="11"/>
      <c r="G83" s="11"/>
      <c r="H83" s="109"/>
    </row>
    <row r="84" spans="1:8" ht="29.1" customHeight="1" x14ac:dyDescent="0.2">
      <c r="A84" s="100">
        <v>1</v>
      </c>
      <c r="B84" s="3" t="s">
        <v>696</v>
      </c>
      <c r="C84" s="3" t="s">
        <v>697</v>
      </c>
      <c r="D84" s="3" t="s">
        <v>556</v>
      </c>
      <c r="E84" s="4">
        <v>4200</v>
      </c>
      <c r="F84" s="5">
        <v>1.183355208</v>
      </c>
      <c r="G84" s="6" t="s">
        <v>134</v>
      </c>
      <c r="H84" s="109">
        <v>7.93</v>
      </c>
    </row>
    <row r="85" spans="1:8" ht="14.1" customHeight="1" x14ac:dyDescent="0.2">
      <c r="A85" s="99"/>
      <c r="B85" s="1"/>
      <c r="C85" s="2" t="s">
        <v>135</v>
      </c>
      <c r="D85" s="1"/>
      <c r="E85" s="1" t="s">
        <v>136</v>
      </c>
      <c r="F85" s="8">
        <v>1.183355208</v>
      </c>
      <c r="G85" s="9">
        <v>3.0920000000000002E-5</v>
      </c>
      <c r="H85" s="109"/>
    </row>
    <row r="86" spans="1:8" ht="14.1" customHeight="1" x14ac:dyDescent="0.2">
      <c r="A86" s="99"/>
      <c r="B86" s="1"/>
      <c r="C86" s="10"/>
      <c r="D86" s="1"/>
      <c r="E86" s="1"/>
      <c r="F86" s="11"/>
      <c r="G86" s="11"/>
      <c r="H86" s="109"/>
    </row>
    <row r="87" spans="1:8" ht="14.1" customHeight="1" x14ac:dyDescent="0.2">
      <c r="A87" s="99"/>
      <c r="B87" s="1"/>
      <c r="C87" s="2" t="s">
        <v>144</v>
      </c>
      <c r="D87" s="1"/>
      <c r="E87" s="1"/>
      <c r="F87" s="1"/>
      <c r="G87" s="1"/>
      <c r="H87" s="109"/>
    </row>
    <row r="88" spans="1:8" ht="14.1" customHeight="1" x14ac:dyDescent="0.2">
      <c r="A88" s="99"/>
      <c r="B88" s="1"/>
      <c r="C88" s="2" t="s">
        <v>135</v>
      </c>
      <c r="D88" s="1"/>
      <c r="E88" s="1" t="s">
        <v>136</v>
      </c>
      <c r="F88" s="115">
        <v>0</v>
      </c>
      <c r="G88" s="9">
        <v>0</v>
      </c>
      <c r="H88" s="109"/>
    </row>
    <row r="89" spans="1:8" ht="14.1" customHeight="1" x14ac:dyDescent="0.2">
      <c r="A89" s="99"/>
      <c r="B89" s="1"/>
      <c r="C89" s="10"/>
      <c r="D89" s="1"/>
      <c r="E89" s="1"/>
      <c r="F89" s="11"/>
      <c r="G89" s="11"/>
      <c r="H89" s="109"/>
    </row>
    <row r="90" spans="1:8" ht="14.1" customHeight="1" x14ac:dyDescent="0.2">
      <c r="A90" s="99"/>
      <c r="B90" s="1"/>
      <c r="C90" s="2" t="s">
        <v>145</v>
      </c>
      <c r="D90" s="1"/>
      <c r="E90" s="1"/>
      <c r="F90" s="1"/>
      <c r="G90" s="1"/>
      <c r="H90" s="109"/>
    </row>
    <row r="91" spans="1:8" ht="14.1" customHeight="1" x14ac:dyDescent="0.2">
      <c r="A91" s="99"/>
      <c r="B91" s="1"/>
      <c r="C91" s="2" t="s">
        <v>135</v>
      </c>
      <c r="D91" s="1"/>
      <c r="E91" s="1" t="s">
        <v>136</v>
      </c>
      <c r="F91" s="115">
        <v>0</v>
      </c>
      <c r="G91" s="9">
        <v>0</v>
      </c>
      <c r="H91" s="109"/>
    </row>
    <row r="92" spans="1:8" ht="14.1" customHeight="1" x14ac:dyDescent="0.2">
      <c r="A92" s="99"/>
      <c r="B92" s="1"/>
      <c r="C92" s="10"/>
      <c r="D92" s="1"/>
      <c r="E92" s="1"/>
      <c r="F92" s="11"/>
      <c r="G92" s="11"/>
      <c r="H92" s="109"/>
    </row>
    <row r="93" spans="1:8" ht="14.1" customHeight="1" x14ac:dyDescent="0.2">
      <c r="A93" s="99"/>
      <c r="B93" s="1"/>
      <c r="C93" s="2" t="s">
        <v>146</v>
      </c>
      <c r="D93" s="1"/>
      <c r="E93" s="1"/>
      <c r="F93" s="11"/>
      <c r="G93" s="11"/>
      <c r="H93" s="109"/>
    </row>
    <row r="94" spans="1:8" ht="14.1" customHeight="1" x14ac:dyDescent="0.2">
      <c r="A94" s="99"/>
      <c r="B94" s="1"/>
      <c r="C94" s="2" t="s">
        <v>135</v>
      </c>
      <c r="D94" s="1"/>
      <c r="E94" s="1" t="s">
        <v>136</v>
      </c>
      <c r="F94" s="115">
        <v>0</v>
      </c>
      <c r="G94" s="9">
        <v>0</v>
      </c>
      <c r="H94" s="109"/>
    </row>
    <row r="95" spans="1:8" ht="14.1" customHeight="1" x14ac:dyDescent="0.2">
      <c r="A95" s="99"/>
      <c r="B95" s="1"/>
      <c r="C95" s="10"/>
      <c r="D95" s="1"/>
      <c r="E95" s="1"/>
      <c r="F95" s="11"/>
      <c r="G95" s="11"/>
      <c r="H95" s="109"/>
    </row>
    <row r="96" spans="1:8" ht="14.1" customHeight="1" x14ac:dyDescent="0.2">
      <c r="A96" s="99"/>
      <c r="B96" s="1"/>
      <c r="C96" s="2" t="s">
        <v>147</v>
      </c>
      <c r="D96" s="1"/>
      <c r="E96" s="1"/>
      <c r="F96" s="8">
        <v>1.183355208</v>
      </c>
      <c r="G96" s="9">
        <v>3.0920000000000002E-5</v>
      </c>
      <c r="H96" s="109"/>
    </row>
    <row r="97" spans="1:8" ht="14.1" customHeight="1" x14ac:dyDescent="0.2">
      <c r="A97" s="99"/>
      <c r="B97" s="1"/>
      <c r="C97" s="10"/>
      <c r="D97" s="1"/>
      <c r="E97" s="1"/>
      <c r="F97" s="11"/>
      <c r="G97" s="11"/>
      <c r="H97" s="109"/>
    </row>
    <row r="98" spans="1:8" ht="14.1" customHeight="1" x14ac:dyDescent="0.2">
      <c r="A98" s="99"/>
      <c r="B98" s="1"/>
      <c r="C98" s="2" t="s">
        <v>148</v>
      </c>
      <c r="D98" s="1"/>
      <c r="E98" s="1"/>
      <c r="F98" s="11"/>
      <c r="G98" s="11"/>
      <c r="H98" s="109"/>
    </row>
    <row r="99" spans="1:8" ht="14.1" customHeight="1" x14ac:dyDescent="0.2">
      <c r="A99" s="99"/>
      <c r="B99" s="1"/>
      <c r="C99" s="2" t="s">
        <v>149</v>
      </c>
      <c r="D99" s="1"/>
      <c r="E99" s="1"/>
      <c r="F99" s="11"/>
      <c r="G99" s="11"/>
      <c r="H99" s="109"/>
    </row>
    <row r="100" spans="1:8" ht="14.1" customHeight="1" x14ac:dyDescent="0.2">
      <c r="A100" s="99"/>
      <c r="B100" s="1"/>
      <c r="C100" s="2" t="s">
        <v>135</v>
      </c>
      <c r="D100" s="1"/>
      <c r="E100" s="1" t="s">
        <v>136</v>
      </c>
      <c r="F100" s="115">
        <v>0</v>
      </c>
      <c r="G100" s="9">
        <v>0</v>
      </c>
      <c r="H100" s="109"/>
    </row>
    <row r="101" spans="1:8" ht="14.1" customHeight="1" x14ac:dyDescent="0.2">
      <c r="A101" s="99"/>
      <c r="B101" s="1"/>
      <c r="C101" s="10"/>
      <c r="D101" s="1"/>
      <c r="E101" s="1"/>
      <c r="F101" s="11"/>
      <c r="G101" s="11"/>
      <c r="H101" s="109"/>
    </row>
    <row r="102" spans="1:8" ht="14.1" customHeight="1" x14ac:dyDescent="0.2">
      <c r="A102" s="99"/>
      <c r="B102" s="1"/>
      <c r="C102" s="2" t="s">
        <v>150</v>
      </c>
      <c r="D102" s="1"/>
      <c r="E102" s="1"/>
      <c r="F102" s="11"/>
      <c r="G102" s="11"/>
      <c r="H102" s="109"/>
    </row>
    <row r="103" spans="1:8" ht="14.1" customHeight="1" x14ac:dyDescent="0.2">
      <c r="A103" s="99"/>
      <c r="B103" s="1"/>
      <c r="C103" s="2" t="s">
        <v>135</v>
      </c>
      <c r="D103" s="1"/>
      <c r="E103" s="1" t="s">
        <v>136</v>
      </c>
      <c r="F103" s="115">
        <v>0</v>
      </c>
      <c r="G103" s="9">
        <v>0</v>
      </c>
      <c r="H103" s="109"/>
    </row>
    <row r="104" spans="1:8" ht="14.1" customHeight="1" x14ac:dyDescent="0.2">
      <c r="A104" s="99"/>
      <c r="B104" s="1"/>
      <c r="C104" s="10"/>
      <c r="D104" s="1"/>
      <c r="E104" s="1"/>
      <c r="F104" s="11"/>
      <c r="G104" s="11"/>
      <c r="H104" s="109"/>
    </row>
    <row r="105" spans="1:8" ht="14.1" customHeight="1" x14ac:dyDescent="0.2">
      <c r="A105" s="99"/>
      <c r="B105" s="1"/>
      <c r="C105" s="2" t="s">
        <v>151</v>
      </c>
      <c r="D105" s="1"/>
      <c r="E105" s="1"/>
      <c r="F105" s="11"/>
      <c r="G105" s="11"/>
      <c r="H105" s="109"/>
    </row>
    <row r="106" spans="1:8" ht="14.1" customHeight="1" x14ac:dyDescent="0.2">
      <c r="A106" s="99"/>
      <c r="B106" s="1"/>
      <c r="C106" s="2" t="s">
        <v>135</v>
      </c>
      <c r="D106" s="1"/>
      <c r="E106" s="1" t="s">
        <v>136</v>
      </c>
      <c r="F106" s="115">
        <v>0</v>
      </c>
      <c r="G106" s="9">
        <v>0</v>
      </c>
      <c r="H106" s="109"/>
    </row>
    <row r="107" spans="1:8" ht="14.1" customHeight="1" x14ac:dyDescent="0.2">
      <c r="A107" s="99"/>
      <c r="B107" s="1"/>
      <c r="C107" s="10"/>
      <c r="D107" s="1"/>
      <c r="E107" s="1"/>
      <c r="F107" s="11"/>
      <c r="G107" s="11"/>
      <c r="H107" s="109"/>
    </row>
    <row r="108" spans="1:8" ht="14.1" customHeight="1" x14ac:dyDescent="0.2">
      <c r="A108" s="99"/>
      <c r="B108" s="1"/>
      <c r="C108" s="2" t="s">
        <v>152</v>
      </c>
      <c r="D108" s="1"/>
      <c r="E108" s="1"/>
      <c r="F108" s="11"/>
      <c r="G108" s="11"/>
      <c r="H108" s="109"/>
    </row>
    <row r="109" spans="1:8" ht="17.100000000000001" customHeight="1" x14ac:dyDescent="0.2">
      <c r="A109" s="100">
        <v>1</v>
      </c>
      <c r="B109" s="3"/>
      <c r="C109" s="3" t="s">
        <v>153</v>
      </c>
      <c r="D109" s="3"/>
      <c r="E109" s="7"/>
      <c r="F109" s="5">
        <v>3231.2788510139999</v>
      </c>
      <c r="G109" s="6">
        <v>8.4440119999999994E-2</v>
      </c>
      <c r="H109" s="109">
        <v>6.6015165706411798</v>
      </c>
    </row>
    <row r="110" spans="1:8" ht="14.1" customHeight="1" x14ac:dyDescent="0.2">
      <c r="A110" s="99"/>
      <c r="B110" s="1"/>
      <c r="C110" s="2" t="s">
        <v>135</v>
      </c>
      <c r="D110" s="1"/>
      <c r="E110" s="1" t="s">
        <v>136</v>
      </c>
      <c r="F110" s="8">
        <v>3231.2788510139999</v>
      </c>
      <c r="G110" s="9">
        <v>8.4440119999999994E-2</v>
      </c>
      <c r="H110" s="109"/>
    </row>
    <row r="111" spans="1:8" ht="14.1" customHeight="1" x14ac:dyDescent="0.2">
      <c r="A111" s="99"/>
      <c r="B111" s="1"/>
      <c r="C111" s="10"/>
      <c r="D111" s="1"/>
      <c r="E111" s="1"/>
      <c r="F111" s="11"/>
      <c r="G111" s="11"/>
      <c r="H111" s="109"/>
    </row>
    <row r="112" spans="1:8" ht="14.1" customHeight="1" x14ac:dyDescent="0.2">
      <c r="A112" s="99"/>
      <c r="B112" s="1"/>
      <c r="C112" s="2" t="s">
        <v>154</v>
      </c>
      <c r="D112" s="1"/>
      <c r="E112" s="1"/>
      <c r="F112" s="8">
        <v>3231.2788510139999</v>
      </c>
      <c r="G112" s="9">
        <v>8.4440119999999994E-2</v>
      </c>
      <c r="H112" s="109"/>
    </row>
    <row r="113" spans="1:14" ht="14.1" customHeight="1" x14ac:dyDescent="0.2">
      <c r="A113" s="99"/>
      <c r="B113" s="1"/>
      <c r="C113" s="11"/>
      <c r="D113" s="1"/>
      <c r="E113" s="1"/>
      <c r="F113" s="1"/>
      <c r="G113" s="1"/>
      <c r="H113" s="109"/>
    </row>
    <row r="114" spans="1:14" ht="14.1" customHeight="1" x14ac:dyDescent="0.2">
      <c r="A114" s="99"/>
      <c r="B114" s="1"/>
      <c r="C114" s="2" t="s">
        <v>155</v>
      </c>
      <c r="D114" s="1"/>
      <c r="E114" s="1"/>
      <c r="F114" s="1"/>
      <c r="G114" s="1"/>
      <c r="H114" s="109"/>
    </row>
    <row r="115" spans="1:14" ht="14.1" customHeight="1" x14ac:dyDescent="0.2">
      <c r="A115" s="99"/>
      <c r="B115" s="1"/>
      <c r="C115" s="2" t="s">
        <v>156</v>
      </c>
      <c r="D115" s="1"/>
      <c r="E115" s="1"/>
      <c r="F115" s="1"/>
      <c r="G115" s="1"/>
      <c r="H115" s="109"/>
    </row>
    <row r="116" spans="1:14" ht="14.1" customHeight="1" x14ac:dyDescent="0.2">
      <c r="A116" s="99"/>
      <c r="B116" s="1"/>
      <c r="C116" s="2" t="s">
        <v>135</v>
      </c>
      <c r="D116" s="1"/>
      <c r="E116" s="1" t="s">
        <v>136</v>
      </c>
      <c r="F116" s="115">
        <v>0</v>
      </c>
      <c r="G116" s="9">
        <v>0</v>
      </c>
      <c r="H116" s="109"/>
    </row>
    <row r="117" spans="1:14" ht="14.1" customHeight="1" x14ac:dyDescent="0.2">
      <c r="A117" s="99"/>
      <c r="B117" s="1"/>
      <c r="C117" s="10"/>
      <c r="D117" s="1"/>
      <c r="E117" s="1"/>
      <c r="F117" s="11"/>
      <c r="G117" s="11"/>
      <c r="H117" s="109"/>
    </row>
    <row r="118" spans="1:14" ht="14.1" customHeight="1" x14ac:dyDescent="0.2">
      <c r="A118" s="99"/>
      <c r="B118" s="1"/>
      <c r="C118" s="2" t="s">
        <v>157</v>
      </c>
      <c r="D118" s="1"/>
      <c r="E118" s="1"/>
      <c r="F118" s="1"/>
      <c r="G118" s="1"/>
      <c r="H118" s="109"/>
    </row>
    <row r="119" spans="1:14" ht="14.1" customHeight="1" x14ac:dyDescent="0.2">
      <c r="A119" s="99"/>
      <c r="B119" s="1"/>
      <c r="C119" s="2" t="s">
        <v>158</v>
      </c>
      <c r="D119" s="1"/>
      <c r="E119" s="1"/>
      <c r="F119" s="1"/>
      <c r="G119" s="1"/>
      <c r="H119" s="109"/>
    </row>
    <row r="120" spans="1:14" ht="14.1" customHeight="1" x14ac:dyDescent="0.2">
      <c r="A120" s="99"/>
      <c r="B120" s="1"/>
      <c r="C120" s="2" t="s">
        <v>135</v>
      </c>
      <c r="D120" s="1"/>
      <c r="E120" s="1" t="s">
        <v>136</v>
      </c>
      <c r="F120" s="115">
        <v>0</v>
      </c>
      <c r="G120" s="9">
        <v>0</v>
      </c>
      <c r="H120" s="109"/>
    </row>
    <row r="121" spans="1:14" ht="14.1" customHeight="1" x14ac:dyDescent="0.2">
      <c r="A121" s="99"/>
      <c r="B121" s="1"/>
      <c r="C121" s="10"/>
      <c r="D121" s="1"/>
      <c r="E121" s="1"/>
      <c r="F121" s="11"/>
      <c r="G121" s="11"/>
      <c r="H121" s="109"/>
      <c r="J121" s="111"/>
      <c r="K121" s="111"/>
      <c r="L121" s="111"/>
      <c r="M121" s="111"/>
      <c r="N121" s="111"/>
    </row>
    <row r="122" spans="1:14" ht="24" customHeight="1" x14ac:dyDescent="0.2">
      <c r="A122" s="99"/>
      <c r="B122" s="1"/>
      <c r="C122" s="2" t="s">
        <v>159</v>
      </c>
      <c r="D122" s="1"/>
      <c r="E122" s="1"/>
      <c r="F122" s="11"/>
      <c r="G122" s="11"/>
      <c r="H122" s="109"/>
    </row>
    <row r="123" spans="1:14" ht="14.1" customHeight="1" x14ac:dyDescent="0.2">
      <c r="A123" s="99"/>
      <c r="B123" s="1"/>
      <c r="C123" s="2" t="s">
        <v>135</v>
      </c>
      <c r="D123" s="1"/>
      <c r="E123" s="1" t="s">
        <v>136</v>
      </c>
      <c r="F123" s="115">
        <v>0</v>
      </c>
      <c r="G123" s="9">
        <v>0</v>
      </c>
      <c r="H123" s="109"/>
    </row>
    <row r="124" spans="1:14" ht="14.1" customHeight="1" x14ac:dyDescent="0.2">
      <c r="A124" s="99"/>
      <c r="B124" s="1"/>
      <c r="C124" s="10"/>
      <c r="D124" s="1"/>
      <c r="E124" s="1"/>
      <c r="F124" s="11"/>
      <c r="G124" s="11"/>
      <c r="H124" s="109"/>
    </row>
    <row r="125" spans="1:14" ht="14.1" customHeight="1" x14ac:dyDescent="0.2">
      <c r="A125" s="99"/>
      <c r="B125" s="3"/>
      <c r="C125" s="3"/>
      <c r="D125" s="2"/>
      <c r="E125" s="1"/>
      <c r="F125" s="3"/>
      <c r="G125" s="7"/>
      <c r="H125" s="109"/>
    </row>
    <row r="126" spans="1:14" ht="18" customHeight="1" x14ac:dyDescent="0.2">
      <c r="A126" s="101"/>
      <c r="B126" s="3"/>
      <c r="C126" s="3" t="s">
        <v>933</v>
      </c>
      <c r="D126" s="3"/>
      <c r="E126" s="7"/>
      <c r="F126" s="5">
        <v>-57.686375750000003</v>
      </c>
      <c r="G126" s="6">
        <v>-1.5074699999999999E-3</v>
      </c>
      <c r="H126" s="109"/>
      <c r="I126" s="111"/>
    </row>
    <row r="127" spans="1:14" ht="14.1" customHeight="1" x14ac:dyDescent="0.2">
      <c r="A127" s="102"/>
      <c r="B127" s="10"/>
      <c r="C127" s="2" t="s">
        <v>161</v>
      </c>
      <c r="D127" s="11"/>
      <c r="E127" s="11"/>
      <c r="F127" s="8">
        <v>38267.105818971999</v>
      </c>
      <c r="G127" s="12">
        <v>1.00000003</v>
      </c>
      <c r="H127" s="109"/>
    </row>
    <row r="128" spans="1:14" ht="14.1" customHeight="1" x14ac:dyDescent="0.2">
      <c r="A128" s="13"/>
      <c r="B128" s="13"/>
      <c r="C128" s="13"/>
      <c r="D128" s="14"/>
      <c r="E128" s="14"/>
      <c r="F128" s="14"/>
      <c r="G128" s="14"/>
    </row>
    <row r="129" spans="1:7" ht="17.100000000000001" customHeight="1" x14ac:dyDescent="0.2">
      <c r="A129" s="15"/>
      <c r="B129" s="193" t="s">
        <v>931</v>
      </c>
      <c r="C129" s="193"/>
      <c r="D129" s="193"/>
      <c r="E129" s="193"/>
      <c r="F129" s="193"/>
      <c r="G129" s="17"/>
    </row>
    <row r="130" spans="1:7" ht="17.100000000000001" customHeight="1" x14ac:dyDescent="0.2">
      <c r="A130" s="15"/>
      <c r="B130" s="193" t="s">
        <v>932</v>
      </c>
      <c r="C130" s="193"/>
      <c r="D130" s="193"/>
      <c r="E130" s="193"/>
      <c r="F130" s="193"/>
      <c r="G130" s="17"/>
    </row>
    <row r="131" spans="1:7" ht="17.100000000000001" customHeight="1" x14ac:dyDescent="0.2">
      <c r="A131" s="15"/>
      <c r="B131" s="193" t="s">
        <v>162</v>
      </c>
      <c r="C131" s="193"/>
      <c r="D131" s="193"/>
      <c r="E131" s="193"/>
      <c r="F131" s="193"/>
      <c r="G131" s="17"/>
    </row>
    <row r="132" spans="1:7" ht="14.1" customHeight="1" x14ac:dyDescent="0.2">
      <c r="A132" s="15"/>
      <c r="B132" s="15"/>
      <c r="C132" s="15"/>
      <c r="D132" s="17"/>
      <c r="E132" s="17"/>
      <c r="F132" s="17"/>
      <c r="G132" s="17"/>
    </row>
    <row r="133" spans="1:7" ht="14.1" customHeight="1" x14ac:dyDescent="0.2">
      <c r="A133" s="15"/>
      <c r="B133" s="194" t="s">
        <v>163</v>
      </c>
      <c r="C133" s="195"/>
      <c r="D133" s="196"/>
      <c r="E133" s="18"/>
      <c r="F133" s="17"/>
      <c r="G133" s="17"/>
    </row>
    <row r="134" spans="1:7" ht="29.1" customHeight="1" x14ac:dyDescent="0.2">
      <c r="A134" s="15"/>
      <c r="B134" s="191" t="s">
        <v>164</v>
      </c>
      <c r="C134" s="192"/>
      <c r="D134" s="2" t="s">
        <v>1035</v>
      </c>
      <c r="E134" s="18"/>
      <c r="F134" s="17"/>
      <c r="G134" s="17"/>
    </row>
    <row r="135" spans="1:7" ht="17.100000000000001" customHeight="1" x14ac:dyDescent="0.2">
      <c r="A135" s="15"/>
      <c r="B135" s="191" t="s">
        <v>915</v>
      </c>
      <c r="C135" s="192"/>
      <c r="D135" s="2" t="s">
        <v>930</v>
      </c>
      <c r="E135" s="18"/>
      <c r="F135" s="17"/>
      <c r="G135" s="17"/>
    </row>
    <row r="136" spans="1:7" ht="17.100000000000001" customHeight="1" x14ac:dyDescent="0.2">
      <c r="A136" s="15"/>
      <c r="B136" s="191" t="s">
        <v>167</v>
      </c>
      <c r="C136" s="192"/>
      <c r="D136" s="11" t="s">
        <v>136</v>
      </c>
      <c r="E136" s="18"/>
      <c r="F136" s="17"/>
      <c r="G136" s="17"/>
    </row>
    <row r="137" spans="1:7" ht="24" customHeight="1" x14ac:dyDescent="0.2">
      <c r="A137" s="19"/>
      <c r="B137" s="20" t="s">
        <v>136</v>
      </c>
      <c r="C137" s="20" t="s">
        <v>168</v>
      </c>
      <c r="D137" s="20" t="s">
        <v>169</v>
      </c>
      <c r="E137" s="19"/>
      <c r="F137" s="19"/>
      <c r="G137" s="19"/>
    </row>
    <row r="138" spans="1:7" ht="18" customHeight="1" x14ac:dyDescent="0.2">
      <c r="A138" s="19"/>
      <c r="B138" s="21" t="s">
        <v>170</v>
      </c>
      <c r="C138" s="20" t="s">
        <v>171</v>
      </c>
      <c r="D138" s="20" t="s">
        <v>172</v>
      </c>
      <c r="E138" s="19"/>
      <c r="F138" s="19"/>
      <c r="G138" s="19"/>
    </row>
    <row r="139" spans="1:7" ht="17.100000000000001" customHeight="1" x14ac:dyDescent="0.2">
      <c r="A139" s="19"/>
      <c r="B139" s="3" t="s">
        <v>173</v>
      </c>
      <c r="C139" s="22">
        <v>91.941100000000006</v>
      </c>
      <c r="D139" s="22">
        <v>90.905699999999996</v>
      </c>
      <c r="E139" s="19"/>
      <c r="F139" s="16"/>
      <c r="G139" s="23"/>
    </row>
    <row r="140" spans="1:7" ht="29.1" customHeight="1" x14ac:dyDescent="0.2">
      <c r="A140" s="19"/>
      <c r="B140" s="3" t="s">
        <v>1045</v>
      </c>
      <c r="C140" s="22">
        <v>49.089399999999998</v>
      </c>
      <c r="D140" s="22">
        <v>48.5366</v>
      </c>
      <c r="E140" s="19"/>
      <c r="F140" s="16"/>
      <c r="G140" s="23"/>
    </row>
    <row r="141" spans="1:7" ht="17.100000000000001" customHeight="1" x14ac:dyDescent="0.2">
      <c r="A141" s="19"/>
      <c r="B141" s="3" t="s">
        <v>174</v>
      </c>
      <c r="C141" s="22">
        <v>86.877799999999993</v>
      </c>
      <c r="D141" s="22">
        <v>85.799199999999999</v>
      </c>
      <c r="E141" s="19"/>
      <c r="F141" s="16"/>
      <c r="G141" s="23"/>
    </row>
    <row r="142" spans="1:7" ht="29.1" customHeight="1" x14ac:dyDescent="0.2">
      <c r="A142" s="19"/>
      <c r="B142" s="3" t="s">
        <v>1046</v>
      </c>
      <c r="C142" s="22">
        <v>30.243600000000001</v>
      </c>
      <c r="D142" s="22">
        <v>29.868099999999998</v>
      </c>
      <c r="E142" s="19"/>
      <c r="F142" s="16"/>
      <c r="G142" s="23"/>
    </row>
    <row r="143" spans="1:7" ht="14.1" customHeight="1" x14ac:dyDescent="0.2">
      <c r="A143" s="19"/>
      <c r="B143" s="19"/>
      <c r="C143" s="19"/>
      <c r="D143" s="19"/>
      <c r="E143" s="19"/>
      <c r="F143" s="19"/>
      <c r="G143" s="19"/>
    </row>
    <row r="144" spans="1:7" ht="17.100000000000001" customHeight="1" x14ac:dyDescent="0.2">
      <c r="A144" s="19"/>
      <c r="B144" s="191" t="s">
        <v>1044</v>
      </c>
      <c r="C144" s="192"/>
      <c r="D144" s="2" t="s">
        <v>165</v>
      </c>
      <c r="E144" s="19"/>
      <c r="F144" s="19"/>
      <c r="G144" s="19"/>
    </row>
    <row r="145" spans="1:7" ht="18" customHeight="1" x14ac:dyDescent="0.2">
      <c r="A145" s="19"/>
      <c r="B145" s="24"/>
      <c r="C145" s="24"/>
      <c r="D145" s="24"/>
      <c r="E145" s="19"/>
      <c r="F145" s="19"/>
      <c r="G145" s="19"/>
    </row>
    <row r="146" spans="1:7" ht="29.1" customHeight="1" x14ac:dyDescent="0.2">
      <c r="A146" s="19"/>
      <c r="B146" s="191" t="s">
        <v>175</v>
      </c>
      <c r="C146" s="192"/>
      <c r="D146" s="2" t="s">
        <v>165</v>
      </c>
      <c r="E146" s="25"/>
      <c r="F146" s="19"/>
      <c r="G146" s="19"/>
    </row>
    <row r="147" spans="1:7" ht="29.1" customHeight="1" x14ac:dyDescent="0.2">
      <c r="A147" s="19"/>
      <c r="B147" s="191" t="s">
        <v>176</v>
      </c>
      <c r="C147" s="192"/>
      <c r="D147" s="2" t="s">
        <v>165</v>
      </c>
      <c r="E147" s="25"/>
      <c r="F147" s="19"/>
      <c r="G147" s="19"/>
    </row>
    <row r="148" spans="1:7" ht="17.100000000000001" customHeight="1" x14ac:dyDescent="0.2">
      <c r="A148" s="19"/>
      <c r="B148" s="191" t="s">
        <v>177</v>
      </c>
      <c r="C148" s="192"/>
      <c r="D148" s="2" t="s">
        <v>165</v>
      </c>
      <c r="E148" s="25"/>
      <c r="F148" s="19"/>
      <c r="G148" s="19"/>
    </row>
    <row r="149" spans="1:7" ht="17.100000000000001" customHeight="1" x14ac:dyDescent="0.2">
      <c r="A149" s="19"/>
      <c r="B149" s="191" t="s">
        <v>178</v>
      </c>
      <c r="C149" s="192"/>
      <c r="D149" s="26">
        <v>0.27414388182052374</v>
      </c>
      <c r="E149" s="19"/>
      <c r="F149" s="16"/>
      <c r="G149" s="23"/>
    </row>
    <row r="150" spans="1:7" ht="14.1" customHeight="1" x14ac:dyDescent="0.2">
      <c r="A150" s="24"/>
      <c r="B150" s="24"/>
      <c r="C150" s="24"/>
      <c r="D150" s="24"/>
      <c r="E150" s="24"/>
      <c r="F150" s="24"/>
      <c r="G150" s="24"/>
    </row>
    <row r="151" spans="1:7" x14ac:dyDescent="0.2">
      <c r="B151" s="144" t="s">
        <v>1040</v>
      </c>
      <c r="C151" s="144"/>
      <c r="D151" s="144"/>
      <c r="E151" s="148"/>
      <c r="F151" s="149"/>
    </row>
    <row r="152" spans="1:7" ht="38.25" x14ac:dyDescent="0.2">
      <c r="B152" s="150" t="s">
        <v>1007</v>
      </c>
      <c r="C152" s="151" t="s">
        <v>1008</v>
      </c>
      <c r="D152" s="151" t="s">
        <v>1009</v>
      </c>
      <c r="E152" s="151" t="s">
        <v>1010</v>
      </c>
      <c r="F152" s="151" t="s">
        <v>1011</v>
      </c>
    </row>
    <row r="153" spans="1:7" ht="25.5" x14ac:dyDescent="0.2">
      <c r="B153" s="152" t="s">
        <v>1036</v>
      </c>
      <c r="C153" s="153" t="s">
        <v>1037</v>
      </c>
      <c r="D153" s="154">
        <v>0</v>
      </c>
      <c r="E153" s="155">
        <v>0</v>
      </c>
      <c r="F153" s="156">
        <v>241.97234</v>
      </c>
    </row>
    <row r="154" spans="1:7" ht="25.5" x14ac:dyDescent="0.2">
      <c r="B154" s="152" t="s">
        <v>1038</v>
      </c>
      <c r="C154" s="153" t="s">
        <v>1037</v>
      </c>
      <c r="D154" s="154">
        <v>0</v>
      </c>
      <c r="E154" s="155">
        <v>0</v>
      </c>
      <c r="F154" s="156">
        <v>23.186299999999999</v>
      </c>
    </row>
  </sheetData>
  <mergeCells count="16">
    <mergeCell ref="J2:N2"/>
    <mergeCell ref="A1:H1"/>
    <mergeCell ref="A2:H2"/>
    <mergeCell ref="A3:H3"/>
    <mergeCell ref="B149:C149"/>
    <mergeCell ref="B144:C144"/>
    <mergeCell ref="B146:C146"/>
    <mergeCell ref="B129:F129"/>
    <mergeCell ref="B130:F130"/>
    <mergeCell ref="B136:C136"/>
    <mergeCell ref="B131:F131"/>
    <mergeCell ref="B133:D133"/>
    <mergeCell ref="B147:C147"/>
    <mergeCell ref="B148:C148"/>
    <mergeCell ref="B134:C134"/>
    <mergeCell ref="B135:C135"/>
  </mergeCells>
  <hyperlinks>
    <hyperlink ref="I1" location="Index!B26" display="Index" xr:uid="{B96B2322-6A6E-44F3-A600-B553AF2B43CB}"/>
  </hyperlinks>
  <pageMargins left="5.000000074505806E-2" right="5.000000074505806E-2" top="0.30000001192092896" bottom="0.20000000298023224" header="0" footer="0"/>
  <pageSetup paperSize="9" orientation="landscape"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N196"/>
  <sheetViews>
    <sheetView showGridLines="0" workbookViewId="0">
      <selection sqref="A1:H1"/>
    </sheetView>
  </sheetViews>
  <sheetFormatPr defaultRowHeight="12.75" x14ac:dyDescent="0.2"/>
  <cols>
    <col min="1" max="1" width="5.42578125" bestFit="1" customWidth="1"/>
    <col min="2" max="2" width="25.85546875" customWidth="1"/>
    <col min="3" max="3" width="34.28515625" customWidth="1"/>
    <col min="4" max="4" width="17.85546875" customWidth="1"/>
    <col min="5" max="6" width="19.140625" customWidth="1"/>
    <col min="7" max="7" width="16.42578125" customWidth="1"/>
  </cols>
  <sheetData>
    <row r="1" spans="1:14" ht="18" customHeight="1" x14ac:dyDescent="0.2">
      <c r="A1" s="187" t="s">
        <v>0</v>
      </c>
      <c r="B1" s="187"/>
      <c r="C1" s="187"/>
      <c r="D1" s="187"/>
      <c r="E1" s="187"/>
      <c r="F1" s="187"/>
      <c r="G1" s="187"/>
      <c r="H1" s="187"/>
      <c r="I1" s="167" t="s">
        <v>1055</v>
      </c>
    </row>
    <row r="2" spans="1:14" ht="17.100000000000001" customHeight="1" x14ac:dyDescent="0.2">
      <c r="A2" s="188" t="s">
        <v>698</v>
      </c>
      <c r="B2" s="189"/>
      <c r="C2" s="189"/>
      <c r="D2" s="189"/>
      <c r="E2" s="189"/>
      <c r="F2" s="189"/>
      <c r="G2" s="189"/>
      <c r="H2" s="190"/>
      <c r="J2" s="186" t="s">
        <v>1056</v>
      </c>
      <c r="K2" s="186"/>
      <c r="L2" s="186"/>
      <c r="M2" s="186"/>
      <c r="N2" s="186"/>
    </row>
    <row r="3" spans="1:14" ht="21" customHeight="1" x14ac:dyDescent="0.2">
      <c r="A3" s="187" t="s">
        <v>1052</v>
      </c>
      <c r="B3" s="187"/>
      <c r="C3" s="187"/>
      <c r="D3" s="187"/>
      <c r="E3" s="187"/>
      <c r="F3" s="187"/>
      <c r="G3" s="187"/>
      <c r="H3" s="187"/>
    </row>
    <row r="4" spans="1:14" ht="30" x14ac:dyDescent="0.2">
      <c r="A4" s="163" t="s">
        <v>2</v>
      </c>
      <c r="B4" s="164" t="s">
        <v>3</v>
      </c>
      <c r="C4" s="164" t="s">
        <v>4</v>
      </c>
      <c r="D4" s="164" t="s">
        <v>5</v>
      </c>
      <c r="E4" s="164" t="s">
        <v>6</v>
      </c>
      <c r="F4" s="164" t="s">
        <v>7</v>
      </c>
      <c r="G4" s="164" t="s">
        <v>8</v>
      </c>
      <c r="H4" s="120" t="s">
        <v>881</v>
      </c>
      <c r="I4" s="165"/>
      <c r="J4" s="165"/>
      <c r="K4" s="165"/>
      <c r="L4" s="165"/>
      <c r="M4" s="165"/>
      <c r="N4" s="165"/>
    </row>
    <row r="5" spans="1:14" ht="14.1" customHeight="1" x14ac:dyDescent="0.2">
      <c r="A5" s="99"/>
      <c r="B5" s="1"/>
      <c r="C5" s="2" t="s">
        <v>9</v>
      </c>
      <c r="D5" s="1"/>
      <c r="E5" s="1"/>
      <c r="F5" s="1"/>
      <c r="G5" s="1"/>
      <c r="H5" s="109"/>
    </row>
    <row r="6" spans="1:14" ht="24" customHeight="1" x14ac:dyDescent="0.2">
      <c r="A6" s="99"/>
      <c r="B6" s="1"/>
      <c r="C6" s="2" t="s">
        <v>10</v>
      </c>
      <c r="D6" s="1"/>
      <c r="E6" s="1"/>
      <c r="F6" s="1"/>
      <c r="G6" s="1"/>
      <c r="H6" s="109"/>
    </row>
    <row r="7" spans="1:14" ht="17.100000000000001" customHeight="1" x14ac:dyDescent="0.2">
      <c r="A7" s="100">
        <v>1</v>
      </c>
      <c r="B7" s="3" t="s">
        <v>297</v>
      </c>
      <c r="C7" s="3" t="s">
        <v>298</v>
      </c>
      <c r="D7" s="3" t="s">
        <v>22</v>
      </c>
      <c r="E7" s="4">
        <v>208423</v>
      </c>
      <c r="F7" s="5">
        <v>3333.9343079999999</v>
      </c>
      <c r="G7" s="6">
        <v>8.0320539999999996E-2</v>
      </c>
      <c r="H7" s="109"/>
    </row>
    <row r="8" spans="1:14" ht="17.100000000000001" customHeight="1" x14ac:dyDescent="0.2">
      <c r="A8" s="100">
        <v>2</v>
      </c>
      <c r="B8" s="3" t="s">
        <v>20</v>
      </c>
      <c r="C8" s="3" t="s">
        <v>21</v>
      </c>
      <c r="D8" s="3" t="s">
        <v>22</v>
      </c>
      <c r="E8" s="4">
        <v>313700</v>
      </c>
      <c r="F8" s="5">
        <v>2681.6644500000002</v>
      </c>
      <c r="G8" s="6">
        <v>6.4606170000000004E-2</v>
      </c>
      <c r="H8" s="109"/>
    </row>
    <row r="9" spans="1:14" ht="17.100000000000001" customHeight="1" x14ac:dyDescent="0.2">
      <c r="A9" s="100">
        <v>3</v>
      </c>
      <c r="B9" s="3" t="s">
        <v>293</v>
      </c>
      <c r="C9" s="3" t="s">
        <v>294</v>
      </c>
      <c r="D9" s="3" t="s">
        <v>996</v>
      </c>
      <c r="E9" s="4">
        <v>133100</v>
      </c>
      <c r="F9" s="5">
        <v>1979.92905</v>
      </c>
      <c r="G9" s="6">
        <v>4.7700090000000001E-2</v>
      </c>
      <c r="H9" s="109"/>
    </row>
    <row r="10" spans="1:14" ht="17.100000000000001" customHeight="1" x14ac:dyDescent="0.2">
      <c r="A10" s="100">
        <v>4</v>
      </c>
      <c r="B10" s="3" t="s">
        <v>322</v>
      </c>
      <c r="C10" s="3" t="s">
        <v>323</v>
      </c>
      <c r="D10" s="3" t="s">
        <v>996</v>
      </c>
      <c r="E10" s="4">
        <v>132600</v>
      </c>
      <c r="F10" s="5">
        <v>1458.9314999999999</v>
      </c>
      <c r="G10" s="6">
        <v>3.5148310000000002E-2</v>
      </c>
      <c r="H10" s="109"/>
    </row>
    <row r="11" spans="1:14" ht="17.100000000000001" customHeight="1" x14ac:dyDescent="0.2">
      <c r="A11" s="100">
        <v>5</v>
      </c>
      <c r="B11" s="3" t="s">
        <v>45</v>
      </c>
      <c r="C11" s="3" t="s">
        <v>46</v>
      </c>
      <c r="D11" s="3" t="s">
        <v>47</v>
      </c>
      <c r="E11" s="4">
        <v>918500</v>
      </c>
      <c r="F11" s="5">
        <v>1336.4175</v>
      </c>
      <c r="G11" s="6">
        <v>3.219673E-2</v>
      </c>
      <c r="H11" s="109"/>
      <c r="J11" s="169" t="s">
        <v>1074</v>
      </c>
      <c r="K11" s="177"/>
      <c r="L11" s="177"/>
      <c r="M11" s="177"/>
      <c r="N11" s="177"/>
    </row>
    <row r="12" spans="1:14" ht="29.1" customHeight="1" x14ac:dyDescent="0.2">
      <c r="A12" s="100">
        <v>6</v>
      </c>
      <c r="B12" s="3" t="s">
        <v>295</v>
      </c>
      <c r="C12" s="3" t="s">
        <v>296</v>
      </c>
      <c r="D12" s="3" t="s">
        <v>120</v>
      </c>
      <c r="E12" s="4">
        <v>47100</v>
      </c>
      <c r="F12" s="5">
        <v>1229.0509500000001</v>
      </c>
      <c r="G12" s="6">
        <v>2.9610069999999999E-2</v>
      </c>
      <c r="H12" s="109"/>
    </row>
    <row r="13" spans="1:14" ht="17.100000000000001" customHeight="1" x14ac:dyDescent="0.2">
      <c r="A13" s="100">
        <v>7</v>
      </c>
      <c r="B13" s="3" t="s">
        <v>307</v>
      </c>
      <c r="C13" s="3" t="s">
        <v>308</v>
      </c>
      <c r="D13" s="3" t="s">
        <v>309</v>
      </c>
      <c r="E13" s="4">
        <v>48458</v>
      </c>
      <c r="F13" s="5">
        <v>1192.3817770000001</v>
      </c>
      <c r="G13" s="6">
        <v>2.8726649999999999E-2</v>
      </c>
      <c r="H13" s="109"/>
    </row>
    <row r="14" spans="1:14" ht="17.100000000000001" customHeight="1" x14ac:dyDescent="0.2">
      <c r="A14" s="100">
        <v>8</v>
      </c>
      <c r="B14" s="3" t="s">
        <v>32</v>
      </c>
      <c r="C14" s="3" t="s">
        <v>33</v>
      </c>
      <c r="D14" s="3" t="s">
        <v>22</v>
      </c>
      <c r="E14" s="4">
        <v>204500</v>
      </c>
      <c r="F14" s="5">
        <v>1069.126</v>
      </c>
      <c r="G14" s="6">
        <v>2.5757189999999999E-2</v>
      </c>
      <c r="H14" s="109"/>
    </row>
    <row r="15" spans="1:14" ht="17.100000000000001" customHeight="1" x14ac:dyDescent="0.2">
      <c r="A15" s="100">
        <v>9</v>
      </c>
      <c r="B15" s="3" t="s">
        <v>197</v>
      </c>
      <c r="C15" s="3" t="s">
        <v>198</v>
      </c>
      <c r="D15" s="3" t="s">
        <v>22</v>
      </c>
      <c r="E15" s="4">
        <v>121365</v>
      </c>
      <c r="F15" s="5">
        <v>1024.441965</v>
      </c>
      <c r="G15" s="6">
        <v>2.4680669999999998E-2</v>
      </c>
      <c r="H15" s="109"/>
    </row>
    <row r="16" spans="1:14" ht="17.100000000000001" customHeight="1" x14ac:dyDescent="0.2">
      <c r="A16" s="100">
        <v>10</v>
      </c>
      <c r="B16" s="3" t="s">
        <v>69</v>
      </c>
      <c r="C16" s="3" t="s">
        <v>70</v>
      </c>
      <c r="D16" s="3" t="s">
        <v>71</v>
      </c>
      <c r="E16" s="4">
        <v>10000</v>
      </c>
      <c r="F16" s="5">
        <v>862.43499999999995</v>
      </c>
      <c r="G16" s="6">
        <v>2.0777629999999998E-2</v>
      </c>
      <c r="H16" s="109"/>
    </row>
    <row r="17" spans="1:14" ht="17.100000000000001" customHeight="1" x14ac:dyDescent="0.2">
      <c r="A17" s="100">
        <v>11</v>
      </c>
      <c r="B17" s="3" t="s">
        <v>346</v>
      </c>
      <c r="C17" s="3" t="s">
        <v>347</v>
      </c>
      <c r="D17" s="3" t="s">
        <v>120</v>
      </c>
      <c r="E17" s="4">
        <v>13125</v>
      </c>
      <c r="F17" s="5">
        <v>802.21312499999999</v>
      </c>
      <c r="G17" s="6">
        <v>1.932677E-2</v>
      </c>
      <c r="H17" s="109"/>
    </row>
    <row r="18" spans="1:14" ht="17.100000000000001" customHeight="1" x14ac:dyDescent="0.2">
      <c r="A18" s="100">
        <v>12</v>
      </c>
      <c r="B18" s="3" t="s">
        <v>17</v>
      </c>
      <c r="C18" s="3" t="s">
        <v>18</v>
      </c>
      <c r="D18" s="3" t="s">
        <v>19</v>
      </c>
      <c r="E18" s="4">
        <v>31000</v>
      </c>
      <c r="F18" s="5">
        <v>719.9905</v>
      </c>
      <c r="G18" s="6">
        <v>1.7345880000000001E-2</v>
      </c>
      <c r="H18" s="109"/>
    </row>
    <row r="19" spans="1:14" ht="17.100000000000001" customHeight="1" x14ac:dyDescent="0.2">
      <c r="A19" s="100">
        <v>13</v>
      </c>
      <c r="B19" s="3" t="s">
        <v>63</v>
      </c>
      <c r="C19" s="3" t="s">
        <v>64</v>
      </c>
      <c r="D19" s="3" t="s">
        <v>36</v>
      </c>
      <c r="E19" s="4">
        <v>220788</v>
      </c>
      <c r="F19" s="5">
        <v>701.11229400000002</v>
      </c>
      <c r="G19" s="6">
        <v>1.6891070000000001E-2</v>
      </c>
      <c r="H19" s="109"/>
    </row>
    <row r="20" spans="1:14" ht="17.100000000000001" customHeight="1" x14ac:dyDescent="0.2">
      <c r="A20" s="100">
        <v>14</v>
      </c>
      <c r="B20" s="3" t="s">
        <v>328</v>
      </c>
      <c r="C20" s="3" t="s">
        <v>329</v>
      </c>
      <c r="D20" s="3" t="s">
        <v>22</v>
      </c>
      <c r="E20" s="4">
        <v>63000</v>
      </c>
      <c r="F20" s="5">
        <v>678.95100000000002</v>
      </c>
      <c r="G20" s="6">
        <v>1.6357159999999999E-2</v>
      </c>
      <c r="H20" s="109"/>
    </row>
    <row r="21" spans="1:14" ht="17.100000000000001" customHeight="1" x14ac:dyDescent="0.2">
      <c r="A21" s="100">
        <v>15</v>
      </c>
      <c r="B21" s="3" t="s">
        <v>502</v>
      </c>
      <c r="C21" s="3" t="s">
        <v>503</v>
      </c>
      <c r="D21" s="3" t="s">
        <v>334</v>
      </c>
      <c r="E21" s="4">
        <v>15000</v>
      </c>
      <c r="F21" s="5">
        <v>668.10749999999996</v>
      </c>
      <c r="G21" s="6">
        <v>1.609592E-2</v>
      </c>
      <c r="H21" s="109"/>
    </row>
    <row r="22" spans="1:14" ht="17.100000000000001" customHeight="1" x14ac:dyDescent="0.2">
      <c r="A22" s="100">
        <v>16</v>
      </c>
      <c r="B22" s="3" t="s">
        <v>514</v>
      </c>
      <c r="C22" s="3" t="s">
        <v>1000</v>
      </c>
      <c r="D22" s="3" t="s">
        <v>71</v>
      </c>
      <c r="E22" s="4">
        <v>260000</v>
      </c>
      <c r="F22" s="5">
        <v>571.61</v>
      </c>
      <c r="G22" s="6">
        <v>1.377112E-2</v>
      </c>
      <c r="H22" s="109"/>
    </row>
    <row r="23" spans="1:14" ht="17.100000000000001" customHeight="1" x14ac:dyDescent="0.2">
      <c r="A23" s="100">
        <v>17</v>
      </c>
      <c r="B23" s="3" t="s">
        <v>100</v>
      </c>
      <c r="C23" s="3" t="s">
        <v>101</v>
      </c>
      <c r="D23" s="3" t="s">
        <v>57</v>
      </c>
      <c r="E23" s="4">
        <v>30000</v>
      </c>
      <c r="F23" s="5">
        <v>556.90499999999997</v>
      </c>
      <c r="G23" s="6">
        <v>1.3416849999999999E-2</v>
      </c>
      <c r="H23" s="109"/>
    </row>
    <row r="24" spans="1:14" ht="17.100000000000001" customHeight="1" x14ac:dyDescent="0.2">
      <c r="A24" s="100">
        <v>18</v>
      </c>
      <c r="B24" s="3" t="s">
        <v>43</v>
      </c>
      <c r="C24" s="3" t="s">
        <v>44</v>
      </c>
      <c r="D24" s="3" t="s">
        <v>31</v>
      </c>
      <c r="E24" s="4">
        <v>18000</v>
      </c>
      <c r="F24" s="5">
        <v>554.64300000000003</v>
      </c>
      <c r="G24" s="6">
        <v>1.336236E-2</v>
      </c>
      <c r="H24" s="109"/>
    </row>
    <row r="25" spans="1:14" ht="17.100000000000001" customHeight="1" x14ac:dyDescent="0.2">
      <c r="A25" s="100">
        <v>19</v>
      </c>
      <c r="B25" s="3" t="s">
        <v>699</v>
      </c>
      <c r="C25" s="3" t="s">
        <v>897</v>
      </c>
      <c r="D25" s="3" t="s">
        <v>334</v>
      </c>
      <c r="E25" s="4">
        <v>182240</v>
      </c>
      <c r="F25" s="5">
        <v>536.51455999999996</v>
      </c>
      <c r="G25" s="6">
        <v>1.2925610000000001E-2</v>
      </c>
      <c r="H25" s="109"/>
    </row>
    <row r="26" spans="1:14" ht="17.100000000000001" customHeight="1" x14ac:dyDescent="0.2">
      <c r="A26" s="100">
        <v>20</v>
      </c>
      <c r="B26" s="3" t="s">
        <v>180</v>
      </c>
      <c r="C26" s="3" t="s">
        <v>181</v>
      </c>
      <c r="D26" s="3" t="s">
        <v>22</v>
      </c>
      <c r="E26" s="4">
        <v>400000</v>
      </c>
      <c r="F26" s="5">
        <v>516.6</v>
      </c>
      <c r="G26" s="6">
        <v>1.244583E-2</v>
      </c>
      <c r="H26" s="109"/>
    </row>
    <row r="27" spans="1:14" ht="29.1" customHeight="1" x14ac:dyDescent="0.2">
      <c r="A27" s="100">
        <v>21</v>
      </c>
      <c r="B27" s="3" t="s">
        <v>118</v>
      </c>
      <c r="C27" s="3" t="s">
        <v>119</v>
      </c>
      <c r="D27" s="3" t="s">
        <v>120</v>
      </c>
      <c r="E27" s="4">
        <v>67000</v>
      </c>
      <c r="F27" s="5">
        <v>506.85500000000002</v>
      </c>
      <c r="G27" s="6">
        <v>1.2211059999999999E-2</v>
      </c>
      <c r="H27" s="109"/>
    </row>
    <row r="28" spans="1:14" ht="17.100000000000001" customHeight="1" x14ac:dyDescent="0.2">
      <c r="A28" s="100">
        <v>22</v>
      </c>
      <c r="B28" s="3" t="s">
        <v>299</v>
      </c>
      <c r="C28" s="3" t="s">
        <v>300</v>
      </c>
      <c r="D28" s="3" t="s">
        <v>996</v>
      </c>
      <c r="E28" s="4">
        <v>14050</v>
      </c>
      <c r="F28" s="5">
        <v>465.45542499999999</v>
      </c>
      <c r="G28" s="6">
        <v>1.121367E-2</v>
      </c>
      <c r="H28" s="109"/>
    </row>
    <row r="29" spans="1:14" ht="17.100000000000001" customHeight="1" x14ac:dyDescent="0.2">
      <c r="A29" s="100">
        <v>23</v>
      </c>
      <c r="B29" s="3" t="s">
        <v>354</v>
      </c>
      <c r="C29" s="3" t="s">
        <v>355</v>
      </c>
      <c r="D29" s="3" t="s">
        <v>115</v>
      </c>
      <c r="E29" s="4">
        <v>19125</v>
      </c>
      <c r="F29" s="5">
        <v>453.798</v>
      </c>
      <c r="G29" s="6">
        <v>1.0932819999999999E-2</v>
      </c>
      <c r="H29" s="109"/>
    </row>
    <row r="30" spans="1:14" ht="17.100000000000001" customHeight="1" x14ac:dyDescent="0.2">
      <c r="A30" s="100">
        <v>24</v>
      </c>
      <c r="B30" s="3" t="s">
        <v>338</v>
      </c>
      <c r="C30" s="3" t="s">
        <v>339</v>
      </c>
      <c r="D30" s="3" t="s">
        <v>22</v>
      </c>
      <c r="E30" s="4">
        <v>155000</v>
      </c>
      <c r="F30" s="5">
        <v>433.30250000000001</v>
      </c>
      <c r="G30" s="6">
        <v>1.043905E-2</v>
      </c>
      <c r="H30" s="109"/>
    </row>
    <row r="31" spans="1:14" ht="17.100000000000001" customHeight="1" x14ac:dyDescent="0.2">
      <c r="A31" s="100">
        <v>25</v>
      </c>
      <c r="B31" s="3" t="s">
        <v>326</v>
      </c>
      <c r="C31" s="3" t="s">
        <v>327</v>
      </c>
      <c r="D31" s="3" t="s">
        <v>213</v>
      </c>
      <c r="E31" s="4">
        <v>401500</v>
      </c>
      <c r="F31" s="5">
        <v>417.35924999999997</v>
      </c>
      <c r="G31" s="6">
        <v>1.005494E-2</v>
      </c>
      <c r="H31" s="109"/>
      <c r="J31" s="177"/>
      <c r="K31" s="177"/>
      <c r="L31" s="177"/>
      <c r="M31" s="177"/>
      <c r="N31" s="177"/>
    </row>
    <row r="32" spans="1:14" ht="17.100000000000001" customHeight="1" x14ac:dyDescent="0.2">
      <c r="A32" s="100">
        <v>26</v>
      </c>
      <c r="B32" s="3" t="s">
        <v>98</v>
      </c>
      <c r="C32" s="3" t="s">
        <v>99</v>
      </c>
      <c r="D32" s="3" t="s">
        <v>97</v>
      </c>
      <c r="E32" s="4">
        <v>48000</v>
      </c>
      <c r="F32" s="5">
        <v>411.55200000000002</v>
      </c>
      <c r="G32" s="6">
        <v>9.91504E-3</v>
      </c>
      <c r="H32" s="109"/>
    </row>
    <row r="33" spans="1:8" ht="17.100000000000001" customHeight="1" x14ac:dyDescent="0.2">
      <c r="A33" s="100">
        <v>27</v>
      </c>
      <c r="B33" s="3" t="s">
        <v>214</v>
      </c>
      <c r="C33" s="3" t="s">
        <v>215</v>
      </c>
      <c r="D33" s="3" t="s">
        <v>216</v>
      </c>
      <c r="E33" s="4">
        <v>53000</v>
      </c>
      <c r="F33" s="5">
        <v>366.99849999999998</v>
      </c>
      <c r="G33" s="6">
        <v>8.8416599999999995E-3</v>
      </c>
      <c r="H33" s="109"/>
    </row>
    <row r="34" spans="1:8" ht="29.1" customHeight="1" x14ac:dyDescent="0.2">
      <c r="A34" s="100">
        <v>28</v>
      </c>
      <c r="B34" s="3" t="s">
        <v>23</v>
      </c>
      <c r="C34" s="3" t="s">
        <v>24</v>
      </c>
      <c r="D34" s="3" t="s">
        <v>25</v>
      </c>
      <c r="E34" s="4">
        <v>5000</v>
      </c>
      <c r="F34" s="5">
        <v>363.065</v>
      </c>
      <c r="G34" s="6">
        <v>8.7469000000000002E-3</v>
      </c>
      <c r="H34" s="109"/>
    </row>
    <row r="35" spans="1:8" ht="17.100000000000001" customHeight="1" x14ac:dyDescent="0.2">
      <c r="A35" s="100">
        <v>29</v>
      </c>
      <c r="B35" s="3" t="s">
        <v>208</v>
      </c>
      <c r="C35" s="3" t="s">
        <v>209</v>
      </c>
      <c r="D35" s="3" t="s">
        <v>210</v>
      </c>
      <c r="E35" s="4">
        <v>120000</v>
      </c>
      <c r="F35" s="5">
        <v>320.7</v>
      </c>
      <c r="G35" s="6">
        <v>7.7262499999999996E-3</v>
      </c>
      <c r="H35" s="109"/>
    </row>
    <row r="36" spans="1:8" ht="17.100000000000001" customHeight="1" x14ac:dyDescent="0.2">
      <c r="A36" s="100">
        <v>30</v>
      </c>
      <c r="B36" s="3" t="s">
        <v>545</v>
      </c>
      <c r="C36" s="3" t="s">
        <v>546</v>
      </c>
      <c r="D36" s="3" t="s">
        <v>196</v>
      </c>
      <c r="E36" s="4">
        <v>40000</v>
      </c>
      <c r="F36" s="5">
        <v>296.24</v>
      </c>
      <c r="G36" s="6">
        <v>7.1369600000000004E-3</v>
      </c>
      <c r="H36" s="109"/>
    </row>
    <row r="37" spans="1:8" ht="17.100000000000001" customHeight="1" x14ac:dyDescent="0.2">
      <c r="A37" s="100">
        <v>31</v>
      </c>
      <c r="B37" s="3" t="s">
        <v>11</v>
      </c>
      <c r="C37" s="3" t="s">
        <v>12</v>
      </c>
      <c r="D37" s="3" t="s">
        <v>13</v>
      </c>
      <c r="E37" s="4">
        <v>13950</v>
      </c>
      <c r="F37" s="5">
        <v>294.22642500000001</v>
      </c>
      <c r="G37" s="6">
        <v>7.0884499999999996E-3</v>
      </c>
      <c r="H37" s="109"/>
    </row>
    <row r="38" spans="1:8" ht="17.100000000000001" customHeight="1" x14ac:dyDescent="0.2">
      <c r="A38" s="100">
        <v>32</v>
      </c>
      <c r="B38" s="3" t="s">
        <v>264</v>
      </c>
      <c r="C38" s="3" t="s">
        <v>265</v>
      </c>
      <c r="D38" s="3" t="s">
        <v>996</v>
      </c>
      <c r="E38" s="4">
        <v>6000</v>
      </c>
      <c r="F38" s="5">
        <v>283.32299999999998</v>
      </c>
      <c r="G38" s="6">
        <v>6.8257700000000001E-3</v>
      </c>
      <c r="H38" s="109"/>
    </row>
    <row r="39" spans="1:8" ht="29.1" customHeight="1" x14ac:dyDescent="0.2">
      <c r="A39" s="100">
        <v>33</v>
      </c>
      <c r="B39" s="3" t="s">
        <v>204</v>
      </c>
      <c r="C39" s="3" t="s">
        <v>205</v>
      </c>
      <c r="D39" s="3" t="s">
        <v>115</v>
      </c>
      <c r="E39" s="4">
        <v>93000</v>
      </c>
      <c r="F39" s="5">
        <v>282.58049999999997</v>
      </c>
      <c r="G39" s="6">
        <v>6.8078799999999997E-3</v>
      </c>
      <c r="H39" s="109"/>
    </row>
    <row r="40" spans="1:8" ht="29.1" customHeight="1" x14ac:dyDescent="0.2">
      <c r="A40" s="100">
        <v>34</v>
      </c>
      <c r="B40" s="3" t="s">
        <v>700</v>
      </c>
      <c r="C40" s="3" t="s">
        <v>701</v>
      </c>
      <c r="D40" s="3" t="s">
        <v>188</v>
      </c>
      <c r="E40" s="4">
        <v>20000</v>
      </c>
      <c r="F40" s="5">
        <v>275.57</v>
      </c>
      <c r="G40" s="6">
        <v>6.6389800000000001E-3</v>
      </c>
      <c r="H40" s="109"/>
    </row>
    <row r="41" spans="1:8" ht="17.100000000000001" customHeight="1" x14ac:dyDescent="0.2">
      <c r="A41" s="100">
        <v>35</v>
      </c>
      <c r="B41" s="3" t="s">
        <v>517</v>
      </c>
      <c r="C41" s="3" t="s">
        <v>518</v>
      </c>
      <c r="D41" s="3" t="s">
        <v>996</v>
      </c>
      <c r="E41" s="4">
        <v>24014</v>
      </c>
      <c r="F41" s="5">
        <v>275.46459399999998</v>
      </c>
      <c r="G41" s="6">
        <v>6.6364400000000004E-3</v>
      </c>
      <c r="H41" s="109"/>
    </row>
    <row r="42" spans="1:8" ht="17.100000000000001" customHeight="1" x14ac:dyDescent="0.2">
      <c r="A42" s="100">
        <v>36</v>
      </c>
      <c r="B42" s="3" t="s">
        <v>104</v>
      </c>
      <c r="C42" s="3" t="s">
        <v>105</v>
      </c>
      <c r="D42" s="3" t="s">
        <v>80</v>
      </c>
      <c r="E42" s="4">
        <v>58539</v>
      </c>
      <c r="F42" s="5">
        <v>262.31325900000002</v>
      </c>
      <c r="G42" s="6">
        <v>6.3195999999999999E-3</v>
      </c>
      <c r="H42" s="109"/>
    </row>
    <row r="43" spans="1:8" ht="17.100000000000001" customHeight="1" x14ac:dyDescent="0.2">
      <c r="A43" s="100">
        <v>37</v>
      </c>
      <c r="B43" s="3" t="s">
        <v>702</v>
      </c>
      <c r="C43" s="3" t="s">
        <v>703</v>
      </c>
      <c r="D43" s="3" t="s">
        <v>704</v>
      </c>
      <c r="E43" s="4">
        <v>96000</v>
      </c>
      <c r="F43" s="5">
        <v>257.61599999999999</v>
      </c>
      <c r="G43" s="6">
        <v>6.2064399999999997E-3</v>
      </c>
      <c r="H43" s="109"/>
    </row>
    <row r="44" spans="1:8" ht="17.100000000000001" customHeight="1" x14ac:dyDescent="0.2">
      <c r="A44" s="100">
        <v>38</v>
      </c>
      <c r="B44" s="3" t="s">
        <v>233</v>
      </c>
      <c r="C44" s="3" t="s">
        <v>234</v>
      </c>
      <c r="D44" s="3" t="s">
        <v>235</v>
      </c>
      <c r="E44" s="4">
        <v>55785</v>
      </c>
      <c r="F44" s="5">
        <v>245.92817249999999</v>
      </c>
      <c r="G44" s="6">
        <v>5.9248599999999997E-3</v>
      </c>
      <c r="H44" s="109"/>
    </row>
    <row r="45" spans="1:8" ht="29.1" customHeight="1" x14ac:dyDescent="0.2">
      <c r="A45" s="100">
        <v>39</v>
      </c>
      <c r="B45" s="3" t="s">
        <v>303</v>
      </c>
      <c r="C45" s="3" t="s">
        <v>304</v>
      </c>
      <c r="D45" s="3" t="s">
        <v>221</v>
      </c>
      <c r="E45" s="4">
        <v>23742</v>
      </c>
      <c r="F45" s="5">
        <v>227.115972</v>
      </c>
      <c r="G45" s="6">
        <v>5.4716399999999998E-3</v>
      </c>
      <c r="H45" s="109"/>
    </row>
    <row r="46" spans="1:8" ht="17.100000000000001" customHeight="1" x14ac:dyDescent="0.2">
      <c r="A46" s="100">
        <v>40</v>
      </c>
      <c r="B46" s="3" t="s">
        <v>222</v>
      </c>
      <c r="C46" s="3" t="s">
        <v>223</v>
      </c>
      <c r="D46" s="3" t="s">
        <v>22</v>
      </c>
      <c r="E46" s="4">
        <v>128700</v>
      </c>
      <c r="F46" s="5">
        <v>204.63300000000001</v>
      </c>
      <c r="G46" s="6">
        <v>4.9299799999999996E-3</v>
      </c>
      <c r="H46" s="109"/>
    </row>
    <row r="47" spans="1:8" ht="17.100000000000001" customHeight="1" x14ac:dyDescent="0.2">
      <c r="A47" s="100">
        <v>41</v>
      </c>
      <c r="B47" s="3" t="s">
        <v>534</v>
      </c>
      <c r="C47" s="3" t="s">
        <v>535</v>
      </c>
      <c r="D47" s="3" t="s">
        <v>80</v>
      </c>
      <c r="E47" s="4">
        <v>70000</v>
      </c>
      <c r="F47" s="5">
        <v>196.66499999999999</v>
      </c>
      <c r="G47" s="6">
        <v>4.7380199999999999E-3</v>
      </c>
      <c r="H47" s="109"/>
    </row>
    <row r="48" spans="1:8" ht="17.100000000000001" customHeight="1" x14ac:dyDescent="0.2">
      <c r="A48" s="100">
        <v>42</v>
      </c>
      <c r="B48" s="3" t="s">
        <v>633</v>
      </c>
      <c r="C48" s="3" t="s">
        <v>634</v>
      </c>
      <c r="D48" s="3" t="s">
        <v>115</v>
      </c>
      <c r="E48" s="4">
        <v>6600</v>
      </c>
      <c r="F48" s="5">
        <v>186.70079999999999</v>
      </c>
      <c r="G48" s="6">
        <v>4.4979599999999996E-3</v>
      </c>
      <c r="H48" s="109"/>
    </row>
    <row r="49" spans="1:8" ht="17.100000000000001" customHeight="1" x14ac:dyDescent="0.2">
      <c r="A49" s="100">
        <v>43</v>
      </c>
      <c r="B49" s="3" t="s">
        <v>34</v>
      </c>
      <c r="C49" s="3" t="s">
        <v>35</v>
      </c>
      <c r="D49" s="3" t="s">
        <v>36</v>
      </c>
      <c r="E49" s="4">
        <v>5785</v>
      </c>
      <c r="F49" s="5">
        <v>186.12369749999999</v>
      </c>
      <c r="G49" s="6">
        <v>4.4840599999999998E-3</v>
      </c>
      <c r="H49" s="109"/>
    </row>
    <row r="50" spans="1:8" ht="17.100000000000001" customHeight="1" x14ac:dyDescent="0.2">
      <c r="A50" s="100">
        <v>44</v>
      </c>
      <c r="B50" s="3" t="s">
        <v>528</v>
      </c>
      <c r="C50" s="3" t="s">
        <v>529</v>
      </c>
      <c r="D50" s="3" t="s">
        <v>71</v>
      </c>
      <c r="E50" s="4">
        <v>14930</v>
      </c>
      <c r="F50" s="5">
        <v>180.45144500000001</v>
      </c>
      <c r="G50" s="6">
        <v>4.3474000000000004E-3</v>
      </c>
      <c r="H50" s="109"/>
    </row>
    <row r="51" spans="1:8" ht="17.100000000000001" customHeight="1" x14ac:dyDescent="0.2">
      <c r="A51" s="100">
        <v>45</v>
      </c>
      <c r="B51" s="3" t="s">
        <v>262</v>
      </c>
      <c r="C51" s="3" t="s">
        <v>263</v>
      </c>
      <c r="D51" s="3" t="s">
        <v>115</v>
      </c>
      <c r="E51" s="4">
        <v>21793</v>
      </c>
      <c r="F51" s="5">
        <v>178.90963350000001</v>
      </c>
      <c r="G51" s="6">
        <v>4.3102599999999998E-3</v>
      </c>
      <c r="H51" s="109"/>
    </row>
    <row r="52" spans="1:8" ht="17.100000000000001" customHeight="1" x14ac:dyDescent="0.2">
      <c r="A52" s="100">
        <v>46</v>
      </c>
      <c r="B52" s="3" t="s">
        <v>344</v>
      </c>
      <c r="C52" s="3" t="s">
        <v>345</v>
      </c>
      <c r="D52" s="3" t="s">
        <v>120</v>
      </c>
      <c r="E52" s="4">
        <v>13000</v>
      </c>
      <c r="F52" s="5">
        <v>173.53700000000001</v>
      </c>
      <c r="G52" s="6">
        <v>4.18082E-3</v>
      </c>
      <c r="H52" s="109"/>
    </row>
    <row r="53" spans="1:8" ht="29.1" customHeight="1" x14ac:dyDescent="0.2">
      <c r="A53" s="100">
        <v>47</v>
      </c>
      <c r="B53" s="3" t="s">
        <v>488</v>
      </c>
      <c r="C53" s="3" t="s">
        <v>489</v>
      </c>
      <c r="D53" s="3" t="s">
        <v>445</v>
      </c>
      <c r="E53" s="4">
        <v>21600</v>
      </c>
      <c r="F53" s="5">
        <v>154.50479999999999</v>
      </c>
      <c r="G53" s="6">
        <v>3.7223E-3</v>
      </c>
      <c r="H53" s="109"/>
    </row>
    <row r="54" spans="1:8" ht="17.100000000000001" customHeight="1" x14ac:dyDescent="0.2">
      <c r="A54" s="100">
        <v>48</v>
      </c>
      <c r="B54" s="3" t="s">
        <v>705</v>
      </c>
      <c r="C54" s="3" t="s">
        <v>706</v>
      </c>
      <c r="D54" s="3" t="s">
        <v>216</v>
      </c>
      <c r="E54" s="4">
        <v>26400</v>
      </c>
      <c r="F54" s="5">
        <v>129.04320000000001</v>
      </c>
      <c r="G54" s="6">
        <v>3.10889E-3</v>
      </c>
      <c r="H54" s="109"/>
    </row>
    <row r="55" spans="1:8" ht="17.100000000000001" customHeight="1" x14ac:dyDescent="0.2">
      <c r="A55" s="100">
        <v>49</v>
      </c>
      <c r="B55" s="3" t="s">
        <v>226</v>
      </c>
      <c r="C55" s="3" t="s">
        <v>227</v>
      </c>
      <c r="D55" s="3" t="s">
        <v>228</v>
      </c>
      <c r="E55" s="4">
        <v>325</v>
      </c>
      <c r="F55" s="5">
        <v>123.4013625</v>
      </c>
      <c r="G55" s="6">
        <v>2.9729600000000002E-3</v>
      </c>
      <c r="H55" s="109"/>
    </row>
    <row r="56" spans="1:8" ht="17.100000000000001" customHeight="1" x14ac:dyDescent="0.2">
      <c r="A56" s="100">
        <v>50</v>
      </c>
      <c r="B56" s="3" t="s">
        <v>542</v>
      </c>
      <c r="C56" s="3" t="s">
        <v>543</v>
      </c>
      <c r="D56" s="3" t="s">
        <v>203</v>
      </c>
      <c r="E56" s="4">
        <v>9417</v>
      </c>
      <c r="F56" s="5">
        <v>113.352429</v>
      </c>
      <c r="G56" s="6">
        <v>2.7308699999999998E-3</v>
      </c>
      <c r="H56" s="109"/>
    </row>
    <row r="57" spans="1:8" ht="17.100000000000001" customHeight="1" x14ac:dyDescent="0.2">
      <c r="A57" s="100">
        <v>51</v>
      </c>
      <c r="B57" s="3" t="s">
        <v>266</v>
      </c>
      <c r="C57" s="3" t="s">
        <v>267</v>
      </c>
      <c r="D57" s="3" t="s">
        <v>80</v>
      </c>
      <c r="E57" s="4">
        <v>21946</v>
      </c>
      <c r="F57" s="5">
        <v>111.233301</v>
      </c>
      <c r="G57" s="6">
        <v>2.6798099999999999E-3</v>
      </c>
      <c r="H57" s="109"/>
    </row>
    <row r="58" spans="1:8" ht="17.100000000000001" customHeight="1" x14ac:dyDescent="0.2">
      <c r="A58" s="100">
        <v>52</v>
      </c>
      <c r="B58" s="3" t="s">
        <v>310</v>
      </c>
      <c r="C58" s="3" t="s">
        <v>311</v>
      </c>
      <c r="D58" s="3" t="s">
        <v>71</v>
      </c>
      <c r="E58" s="4">
        <v>8400</v>
      </c>
      <c r="F58" s="5">
        <v>106.6464</v>
      </c>
      <c r="G58" s="6">
        <v>2.56931E-3</v>
      </c>
      <c r="H58" s="109"/>
    </row>
    <row r="59" spans="1:8" ht="17.100000000000001" customHeight="1" x14ac:dyDescent="0.2">
      <c r="A59" s="100">
        <v>53</v>
      </c>
      <c r="B59" s="3" t="s">
        <v>130</v>
      </c>
      <c r="C59" s="3" t="s">
        <v>131</v>
      </c>
      <c r="D59" s="3" t="s">
        <v>120</v>
      </c>
      <c r="E59" s="4">
        <v>26000</v>
      </c>
      <c r="F59" s="5">
        <v>58.840600000000002</v>
      </c>
      <c r="G59" s="6">
        <v>1.4175800000000001E-3</v>
      </c>
      <c r="H59" s="109"/>
    </row>
    <row r="60" spans="1:8" ht="29.1" customHeight="1" x14ac:dyDescent="0.2">
      <c r="A60" s="100">
        <v>54</v>
      </c>
      <c r="B60" s="3" t="s">
        <v>350</v>
      </c>
      <c r="C60" s="3" t="s">
        <v>351</v>
      </c>
      <c r="D60" s="3" t="s">
        <v>221</v>
      </c>
      <c r="E60" s="4">
        <v>1650</v>
      </c>
      <c r="F60" s="5">
        <v>46.622399999999999</v>
      </c>
      <c r="G60" s="6">
        <v>1.1232200000000001E-3</v>
      </c>
      <c r="H60" s="109"/>
    </row>
    <row r="61" spans="1:8" ht="29.1" customHeight="1" x14ac:dyDescent="0.2">
      <c r="A61" s="100">
        <v>55</v>
      </c>
      <c r="B61" s="3" t="s">
        <v>125</v>
      </c>
      <c r="C61" s="3" t="s">
        <v>126</v>
      </c>
      <c r="D61" s="3" t="s">
        <v>25</v>
      </c>
      <c r="E61" s="4">
        <v>9000</v>
      </c>
      <c r="F61" s="5">
        <v>30.789000000000001</v>
      </c>
      <c r="G61" s="6">
        <v>7.4176000000000005E-4</v>
      </c>
      <c r="H61" s="109"/>
    </row>
    <row r="62" spans="1:8" ht="17.100000000000001" customHeight="1" x14ac:dyDescent="0.2">
      <c r="A62" s="100">
        <v>56</v>
      </c>
      <c r="B62" s="3" t="s">
        <v>286</v>
      </c>
      <c r="C62" s="3" t="s">
        <v>287</v>
      </c>
      <c r="D62" s="3" t="s">
        <v>19</v>
      </c>
      <c r="E62" s="4">
        <v>10800</v>
      </c>
      <c r="F62" s="5">
        <v>23.247</v>
      </c>
      <c r="G62" s="6">
        <v>5.6006000000000003E-4</v>
      </c>
      <c r="H62" s="109"/>
    </row>
    <row r="63" spans="1:8" ht="14.1" customHeight="1" x14ac:dyDescent="0.2">
      <c r="A63" s="99"/>
      <c r="B63" s="1"/>
      <c r="C63" s="2" t="s">
        <v>135</v>
      </c>
      <c r="D63" s="1"/>
      <c r="E63" s="1" t="s">
        <v>136</v>
      </c>
      <c r="F63" s="8">
        <v>31119.124145000002</v>
      </c>
      <c r="G63" s="9">
        <v>0.74971628999999995</v>
      </c>
      <c r="H63" s="109"/>
    </row>
    <row r="64" spans="1:8" ht="14.1" customHeight="1" x14ac:dyDescent="0.2">
      <c r="A64" s="99"/>
      <c r="B64" s="1"/>
      <c r="C64" s="10"/>
      <c r="D64" s="1"/>
      <c r="E64" s="1"/>
      <c r="F64" s="11"/>
      <c r="G64" s="11"/>
      <c r="H64" s="109"/>
    </row>
    <row r="65" spans="1:8" ht="14.1" customHeight="1" x14ac:dyDescent="0.2">
      <c r="A65" s="99"/>
      <c r="B65" s="1"/>
      <c r="C65" s="2" t="s">
        <v>137</v>
      </c>
      <c r="D65" s="1"/>
      <c r="E65" s="1"/>
      <c r="F65" s="1"/>
      <c r="G65" s="1"/>
      <c r="H65" s="109"/>
    </row>
    <row r="66" spans="1:8" ht="14.1" customHeight="1" x14ac:dyDescent="0.2">
      <c r="A66" s="99"/>
      <c r="B66" s="1"/>
      <c r="C66" s="2" t="s">
        <v>135</v>
      </c>
      <c r="D66" s="1"/>
      <c r="E66" s="1" t="s">
        <v>136</v>
      </c>
      <c r="F66" s="115">
        <v>0</v>
      </c>
      <c r="G66" s="9">
        <v>0</v>
      </c>
      <c r="H66" s="109"/>
    </row>
    <row r="67" spans="1:8" ht="14.1" customHeight="1" x14ac:dyDescent="0.2">
      <c r="A67" s="99"/>
      <c r="B67" s="1"/>
      <c r="C67" s="10"/>
      <c r="D67" s="1"/>
      <c r="E67" s="1"/>
      <c r="F67" s="11"/>
      <c r="G67" s="11"/>
      <c r="H67" s="109"/>
    </row>
    <row r="68" spans="1:8" ht="14.1" customHeight="1" x14ac:dyDescent="0.2">
      <c r="A68" s="99"/>
      <c r="B68" s="1"/>
      <c r="C68" s="2" t="s">
        <v>138</v>
      </c>
      <c r="D68" s="1"/>
      <c r="E68" s="1"/>
      <c r="F68" s="1"/>
      <c r="G68" s="1"/>
      <c r="H68" s="109"/>
    </row>
    <row r="69" spans="1:8" ht="14.1" customHeight="1" x14ac:dyDescent="0.2">
      <c r="A69" s="99"/>
      <c r="B69" s="1"/>
      <c r="C69" s="2" t="s">
        <v>135</v>
      </c>
      <c r="D69" s="1"/>
      <c r="E69" s="1" t="s">
        <v>136</v>
      </c>
      <c r="F69" s="115">
        <v>0</v>
      </c>
      <c r="G69" s="9">
        <v>0</v>
      </c>
      <c r="H69" s="109"/>
    </row>
    <row r="70" spans="1:8" ht="14.1" customHeight="1" x14ac:dyDescent="0.2">
      <c r="A70" s="99"/>
      <c r="B70" s="1"/>
      <c r="C70" s="10"/>
      <c r="D70" s="1"/>
      <c r="E70" s="1"/>
      <c r="F70" s="11"/>
      <c r="G70" s="11"/>
      <c r="H70" s="109"/>
    </row>
    <row r="71" spans="1:8" ht="14.1" customHeight="1" x14ac:dyDescent="0.2">
      <c r="A71" s="99"/>
      <c r="B71" s="1"/>
      <c r="C71" s="2" t="s">
        <v>139</v>
      </c>
      <c r="D71" s="1"/>
      <c r="E71" s="1"/>
      <c r="F71" s="1"/>
      <c r="G71" s="1"/>
      <c r="H71" s="109"/>
    </row>
    <row r="72" spans="1:8" ht="14.1" customHeight="1" x14ac:dyDescent="0.2">
      <c r="A72" s="99"/>
      <c r="B72" s="1"/>
      <c r="C72" s="2" t="s">
        <v>135</v>
      </c>
      <c r="D72" s="1"/>
      <c r="E72" s="1" t="s">
        <v>136</v>
      </c>
      <c r="F72" s="115">
        <v>0</v>
      </c>
      <c r="G72" s="9">
        <v>0</v>
      </c>
      <c r="H72" s="109"/>
    </row>
    <row r="73" spans="1:8" ht="14.1" customHeight="1" x14ac:dyDescent="0.2">
      <c r="A73" s="99"/>
      <c r="B73" s="1"/>
      <c r="C73" s="10"/>
      <c r="D73" s="1"/>
      <c r="E73" s="1"/>
      <c r="F73" s="11"/>
      <c r="G73" s="11"/>
      <c r="H73" s="109"/>
    </row>
    <row r="74" spans="1:8" ht="14.1" customHeight="1" x14ac:dyDescent="0.2">
      <c r="A74" s="99"/>
      <c r="B74" s="1"/>
      <c r="C74" s="2" t="s">
        <v>140</v>
      </c>
      <c r="D74" s="1"/>
      <c r="E74" s="1"/>
      <c r="F74" s="11"/>
      <c r="G74" s="11"/>
      <c r="H74" s="109"/>
    </row>
    <row r="75" spans="1:8" ht="14.1" customHeight="1" x14ac:dyDescent="0.2">
      <c r="A75" s="99"/>
      <c r="B75" s="1"/>
      <c r="C75" s="2" t="s">
        <v>135</v>
      </c>
      <c r="D75" s="1"/>
      <c r="E75" s="1" t="s">
        <v>136</v>
      </c>
      <c r="F75" s="115">
        <v>0</v>
      </c>
      <c r="G75" s="9">
        <v>0</v>
      </c>
      <c r="H75" s="109"/>
    </row>
    <row r="76" spans="1:8" ht="14.1" customHeight="1" x14ac:dyDescent="0.2">
      <c r="A76" s="99"/>
      <c r="B76" s="1"/>
      <c r="C76" s="10"/>
      <c r="D76" s="1"/>
      <c r="E76" s="1"/>
      <c r="F76" s="11"/>
      <c r="G76" s="11"/>
      <c r="H76" s="109"/>
    </row>
    <row r="77" spans="1:8" ht="14.1" customHeight="1" x14ac:dyDescent="0.2">
      <c r="A77" s="99"/>
      <c r="B77" s="1"/>
      <c r="C77" s="2" t="s">
        <v>141</v>
      </c>
      <c r="D77" s="1"/>
      <c r="E77" s="1"/>
      <c r="F77" s="11"/>
      <c r="G77" s="11"/>
      <c r="H77" s="109"/>
    </row>
    <row r="78" spans="1:8" ht="25.5" x14ac:dyDescent="0.2">
      <c r="A78" s="100">
        <v>1</v>
      </c>
      <c r="B78" s="3"/>
      <c r="C78" s="3" t="s">
        <v>982</v>
      </c>
      <c r="D78" s="3" t="s">
        <v>641</v>
      </c>
      <c r="E78" s="4">
        <v>-10800</v>
      </c>
      <c r="F78" s="5">
        <v>-23.371200000000002</v>
      </c>
      <c r="G78" s="6">
        <v>-5.6305000000000005E-4</v>
      </c>
      <c r="H78" s="109"/>
    </row>
    <row r="79" spans="1:8" ht="17.100000000000001" customHeight="1" x14ac:dyDescent="0.2">
      <c r="A79" s="100">
        <v>2</v>
      </c>
      <c r="B79" s="3"/>
      <c r="C79" s="3" t="s">
        <v>959</v>
      </c>
      <c r="D79" s="3" t="s">
        <v>641</v>
      </c>
      <c r="E79" s="4">
        <v>-9000</v>
      </c>
      <c r="F79" s="5">
        <v>-31.004999999999999</v>
      </c>
      <c r="G79" s="6">
        <v>-7.4697000000000001E-4</v>
      </c>
      <c r="H79" s="109"/>
    </row>
    <row r="80" spans="1:8" ht="17.100000000000001" customHeight="1" x14ac:dyDescent="0.2">
      <c r="A80" s="100">
        <v>3</v>
      </c>
      <c r="B80" s="3"/>
      <c r="C80" s="3" t="s">
        <v>983</v>
      </c>
      <c r="D80" s="3" t="s">
        <v>641</v>
      </c>
      <c r="E80" s="4">
        <v>-1650</v>
      </c>
      <c r="F80" s="5">
        <v>-46.946624999999997</v>
      </c>
      <c r="G80" s="6">
        <v>-1.1310299999999999E-3</v>
      </c>
      <c r="H80" s="109"/>
    </row>
    <row r="81" spans="1:8" ht="17.100000000000001" customHeight="1" x14ac:dyDescent="0.2">
      <c r="A81" s="100">
        <v>4</v>
      </c>
      <c r="B81" s="3"/>
      <c r="C81" s="3" t="s">
        <v>984</v>
      </c>
      <c r="D81" s="3" t="s">
        <v>641</v>
      </c>
      <c r="E81" s="4">
        <v>-8400</v>
      </c>
      <c r="F81" s="5">
        <v>-107.2764</v>
      </c>
      <c r="G81" s="6">
        <v>-2.5844800000000001E-3</v>
      </c>
      <c r="H81" s="109"/>
    </row>
    <row r="82" spans="1:8" ht="25.5" x14ac:dyDescent="0.2">
      <c r="A82" s="100">
        <v>5</v>
      </c>
      <c r="B82" s="3"/>
      <c r="C82" s="3" t="s">
        <v>985</v>
      </c>
      <c r="D82" s="3" t="s">
        <v>641</v>
      </c>
      <c r="E82" s="4">
        <v>-26400</v>
      </c>
      <c r="F82" s="5">
        <v>-129.69</v>
      </c>
      <c r="G82" s="6">
        <v>-3.1244699999999999E-3</v>
      </c>
      <c r="H82" s="109"/>
    </row>
    <row r="83" spans="1:8" ht="25.5" x14ac:dyDescent="0.2">
      <c r="A83" s="100">
        <v>6</v>
      </c>
      <c r="B83" s="3"/>
      <c r="C83" s="3" t="s">
        <v>986</v>
      </c>
      <c r="D83" s="3" t="s">
        <v>641</v>
      </c>
      <c r="E83" s="4">
        <v>-21600</v>
      </c>
      <c r="F83" s="5">
        <v>-155.09880000000001</v>
      </c>
      <c r="G83" s="6">
        <v>-3.73661E-3</v>
      </c>
      <c r="H83" s="109"/>
    </row>
    <row r="84" spans="1:8" ht="17.100000000000001" customHeight="1" x14ac:dyDescent="0.2">
      <c r="A84" s="100">
        <v>7</v>
      </c>
      <c r="B84" s="3"/>
      <c r="C84" s="3" t="s">
        <v>951</v>
      </c>
      <c r="D84" s="3" t="s">
        <v>641</v>
      </c>
      <c r="E84" s="4">
        <v>-7125</v>
      </c>
      <c r="F84" s="5">
        <v>-170.18774999999999</v>
      </c>
      <c r="G84" s="6">
        <v>-4.1001300000000004E-3</v>
      </c>
      <c r="H84" s="109"/>
    </row>
    <row r="85" spans="1:8" ht="17.100000000000001" customHeight="1" x14ac:dyDescent="0.2">
      <c r="A85" s="100">
        <v>8</v>
      </c>
      <c r="B85" s="3"/>
      <c r="C85" s="3" t="s">
        <v>962</v>
      </c>
      <c r="D85" s="3" t="s">
        <v>641</v>
      </c>
      <c r="E85" s="4">
        <v>-6600</v>
      </c>
      <c r="F85" s="5">
        <v>-188.0472</v>
      </c>
      <c r="G85" s="6">
        <v>-4.5304000000000004E-3</v>
      </c>
      <c r="H85" s="109"/>
    </row>
    <row r="86" spans="1:8" ht="17.100000000000001" customHeight="1" x14ac:dyDescent="0.2">
      <c r="A86" s="100">
        <v>9</v>
      </c>
      <c r="B86" s="3"/>
      <c r="C86" s="3" t="s">
        <v>978</v>
      </c>
      <c r="D86" s="3" t="s">
        <v>641</v>
      </c>
      <c r="E86" s="4">
        <v>-37500</v>
      </c>
      <c r="F86" s="5">
        <v>-197.38124999999999</v>
      </c>
      <c r="G86" s="6">
        <v>-4.7552699999999998E-3</v>
      </c>
      <c r="H86" s="109"/>
    </row>
    <row r="87" spans="1:8" ht="17.100000000000001" customHeight="1" x14ac:dyDescent="0.2">
      <c r="A87" s="100">
        <v>10</v>
      </c>
      <c r="B87" s="3"/>
      <c r="C87" s="3" t="s">
        <v>977</v>
      </c>
      <c r="D87" s="3" t="s">
        <v>641</v>
      </c>
      <c r="E87" s="4">
        <v>-128700</v>
      </c>
      <c r="F87" s="5">
        <v>-204.8904</v>
      </c>
      <c r="G87" s="6">
        <v>-4.9361800000000001E-3</v>
      </c>
      <c r="H87" s="109"/>
    </row>
    <row r="88" spans="1:8" ht="17.100000000000001" customHeight="1" x14ac:dyDescent="0.2">
      <c r="A88" s="100">
        <v>11</v>
      </c>
      <c r="B88" s="3"/>
      <c r="C88" s="3" t="s">
        <v>987</v>
      </c>
      <c r="D88" s="3" t="s">
        <v>641</v>
      </c>
      <c r="E88" s="4">
        <v>-96000</v>
      </c>
      <c r="F88" s="5">
        <v>-259.44</v>
      </c>
      <c r="G88" s="6">
        <v>-6.2503799999999998E-3</v>
      </c>
      <c r="H88" s="109"/>
    </row>
    <row r="89" spans="1:8" ht="25.5" x14ac:dyDescent="0.2">
      <c r="A89" s="100">
        <v>12</v>
      </c>
      <c r="B89" s="3"/>
      <c r="C89" s="3" t="s">
        <v>988</v>
      </c>
      <c r="D89" s="3" t="s">
        <v>641</v>
      </c>
      <c r="E89" s="4">
        <v>-8050</v>
      </c>
      <c r="F89" s="5">
        <v>-268.37894999999997</v>
      </c>
      <c r="G89" s="6">
        <v>-6.4657400000000002E-3</v>
      </c>
      <c r="H89" s="109"/>
    </row>
    <row r="90" spans="1:8" ht="17.100000000000001" customHeight="1" x14ac:dyDescent="0.2">
      <c r="A90" s="100">
        <v>13</v>
      </c>
      <c r="B90" s="3"/>
      <c r="C90" s="3" t="s">
        <v>960</v>
      </c>
      <c r="D90" s="3" t="s">
        <v>641</v>
      </c>
      <c r="E90" s="4">
        <v>-34800</v>
      </c>
      <c r="F90" s="5">
        <v>-295.71300000000002</v>
      </c>
      <c r="G90" s="6">
        <v>-7.1242600000000003E-3</v>
      </c>
      <c r="H90" s="109"/>
    </row>
    <row r="91" spans="1:8" ht="17.100000000000001" customHeight="1" x14ac:dyDescent="0.2">
      <c r="A91" s="100">
        <v>14</v>
      </c>
      <c r="B91" s="3"/>
      <c r="C91" s="3" t="s">
        <v>979</v>
      </c>
      <c r="D91" s="3" t="s">
        <v>641</v>
      </c>
      <c r="E91" s="4">
        <v>-40000</v>
      </c>
      <c r="F91" s="5">
        <v>-297.88</v>
      </c>
      <c r="G91" s="6">
        <v>-7.1764700000000008E-3</v>
      </c>
      <c r="H91" s="109"/>
    </row>
    <row r="92" spans="1:8" ht="17.100000000000001" customHeight="1" x14ac:dyDescent="0.2">
      <c r="A92" s="100">
        <v>15</v>
      </c>
      <c r="B92" s="3"/>
      <c r="C92" s="3" t="s">
        <v>989</v>
      </c>
      <c r="D92" s="3" t="s">
        <v>641</v>
      </c>
      <c r="E92" s="4">
        <v>-220000</v>
      </c>
      <c r="F92" s="5">
        <v>-321.31</v>
      </c>
      <c r="G92" s="6">
        <v>-7.7409399999999991E-3</v>
      </c>
      <c r="H92" s="109"/>
    </row>
    <row r="93" spans="1:8" ht="25.5" x14ac:dyDescent="0.2">
      <c r="A93" s="100">
        <v>16</v>
      </c>
      <c r="B93" s="3"/>
      <c r="C93" s="3" t="s">
        <v>950</v>
      </c>
      <c r="D93" s="3" t="s">
        <v>641</v>
      </c>
      <c r="E93" s="4">
        <v>-14100</v>
      </c>
      <c r="F93" s="5">
        <v>-369.61034999999998</v>
      </c>
      <c r="G93" s="6">
        <v>-8.9045900000000004E-3</v>
      </c>
      <c r="H93" s="109"/>
    </row>
    <row r="94" spans="1:8" ht="17.100000000000001" customHeight="1" x14ac:dyDescent="0.2">
      <c r="A94" s="100">
        <v>17</v>
      </c>
      <c r="B94" s="3"/>
      <c r="C94" s="3" t="s">
        <v>990</v>
      </c>
      <c r="D94" s="3" t="s">
        <v>641</v>
      </c>
      <c r="E94" s="4">
        <v>-401500</v>
      </c>
      <c r="F94" s="5">
        <v>-420.37049999999999</v>
      </c>
      <c r="G94" s="6">
        <v>-1.0127489999999999E-2</v>
      </c>
      <c r="H94" s="109"/>
    </row>
    <row r="95" spans="1:8" ht="17.100000000000001" customHeight="1" x14ac:dyDescent="0.2">
      <c r="A95" s="100">
        <v>18</v>
      </c>
      <c r="B95" s="3"/>
      <c r="C95" s="3" t="s">
        <v>968</v>
      </c>
      <c r="D95" s="3" t="s">
        <v>641</v>
      </c>
      <c r="E95" s="4">
        <v>-13125</v>
      </c>
      <c r="F95" s="5">
        <v>-807.54843749999998</v>
      </c>
      <c r="G95" s="6">
        <v>-1.945531E-2</v>
      </c>
      <c r="H95" s="109"/>
    </row>
    <row r="96" spans="1:8" ht="17.100000000000001" customHeight="1" x14ac:dyDescent="0.2">
      <c r="A96" s="100">
        <v>19</v>
      </c>
      <c r="B96" s="3"/>
      <c r="C96" s="3" t="s">
        <v>991</v>
      </c>
      <c r="D96" s="3" t="s">
        <v>641</v>
      </c>
      <c r="E96" s="4">
        <v>-65200</v>
      </c>
      <c r="F96" s="5">
        <v>-976.04399999999998</v>
      </c>
      <c r="G96" s="6">
        <v>-2.3514670000000001E-2</v>
      </c>
      <c r="H96" s="109"/>
    </row>
    <row r="97" spans="1:8" ht="17.100000000000001" customHeight="1" x14ac:dyDescent="0.2">
      <c r="A97" s="100">
        <v>20</v>
      </c>
      <c r="B97" s="3"/>
      <c r="C97" s="3" t="s">
        <v>992</v>
      </c>
      <c r="D97" s="3" t="s">
        <v>641</v>
      </c>
      <c r="E97" s="4">
        <v>-42600</v>
      </c>
      <c r="F97" s="5">
        <v>-1053.0933</v>
      </c>
      <c r="G97" s="6">
        <v>-2.537093E-2</v>
      </c>
      <c r="H97" s="109"/>
    </row>
    <row r="98" spans="1:8" ht="17.100000000000001" customHeight="1" x14ac:dyDescent="0.2">
      <c r="A98" s="100">
        <v>21</v>
      </c>
      <c r="B98" s="3"/>
      <c r="C98" s="3" t="s">
        <v>993</v>
      </c>
      <c r="D98" s="3" t="s">
        <v>641</v>
      </c>
      <c r="E98" s="4">
        <v>-132600</v>
      </c>
      <c r="F98" s="5">
        <v>-1469.1416999999999</v>
      </c>
      <c r="G98" s="6">
        <v>-3.5394290000000002E-2</v>
      </c>
      <c r="H98" s="109"/>
    </row>
    <row r="99" spans="1:8" ht="17.100000000000001" customHeight="1" x14ac:dyDescent="0.2">
      <c r="A99" s="100">
        <v>22</v>
      </c>
      <c r="B99" s="3"/>
      <c r="C99" s="3" t="s">
        <v>971</v>
      </c>
      <c r="D99" s="3" t="s">
        <v>641</v>
      </c>
      <c r="E99" s="4">
        <v>-196700</v>
      </c>
      <c r="F99" s="5">
        <v>-1688.76785</v>
      </c>
      <c r="G99" s="6">
        <v>-4.0685489999999998E-2</v>
      </c>
      <c r="H99" s="109"/>
    </row>
    <row r="100" spans="1:8" ht="17.100000000000001" customHeight="1" x14ac:dyDescent="0.2">
      <c r="A100" s="100">
        <v>23</v>
      </c>
      <c r="B100" s="3"/>
      <c r="C100" s="3" t="s">
        <v>980</v>
      </c>
      <c r="D100" s="3" t="s">
        <v>641</v>
      </c>
      <c r="E100" s="4">
        <v>-156200</v>
      </c>
      <c r="F100" s="5">
        <v>-2512.2426999999998</v>
      </c>
      <c r="G100" s="6">
        <v>-6.052449E-2</v>
      </c>
      <c r="H100" s="109"/>
    </row>
    <row r="101" spans="1:8" ht="14.1" customHeight="1" x14ac:dyDescent="0.2">
      <c r="A101" s="99"/>
      <c r="B101" s="1"/>
      <c r="C101" s="2" t="s">
        <v>135</v>
      </c>
      <c r="D101" s="1"/>
      <c r="E101" s="1" t="s">
        <v>136</v>
      </c>
      <c r="F101" s="8">
        <v>-11993.435412500001</v>
      </c>
      <c r="G101" s="9">
        <v>-0.28894365</v>
      </c>
      <c r="H101" s="109"/>
    </row>
    <row r="102" spans="1:8" ht="14.1" customHeight="1" x14ac:dyDescent="0.2">
      <c r="A102" s="99"/>
      <c r="B102" s="1"/>
      <c r="C102" s="10"/>
      <c r="D102" s="1"/>
      <c r="E102" s="1"/>
      <c r="F102" s="11"/>
      <c r="G102" s="11"/>
      <c r="H102" s="109"/>
    </row>
    <row r="103" spans="1:8" ht="18" customHeight="1" x14ac:dyDescent="0.2">
      <c r="A103" s="99"/>
      <c r="B103" s="1"/>
      <c r="C103" s="2" t="s">
        <v>142</v>
      </c>
      <c r="D103" s="1"/>
      <c r="E103" s="1"/>
      <c r="F103" s="8">
        <v>31119.124145000002</v>
      </c>
      <c r="G103" s="9">
        <v>0.74971628999999995</v>
      </c>
      <c r="H103" s="109"/>
    </row>
    <row r="104" spans="1:8" ht="14.1" customHeight="1" x14ac:dyDescent="0.2">
      <c r="A104" s="99"/>
      <c r="B104" s="1"/>
      <c r="C104" s="10"/>
      <c r="D104" s="1"/>
      <c r="E104" s="1"/>
      <c r="F104" s="11"/>
      <c r="G104" s="11"/>
      <c r="H104" s="109"/>
    </row>
    <row r="105" spans="1:8" ht="14.1" customHeight="1" x14ac:dyDescent="0.2">
      <c r="A105" s="99"/>
      <c r="B105" s="1"/>
      <c r="C105" s="2" t="s">
        <v>143</v>
      </c>
      <c r="D105" s="1"/>
      <c r="E105" s="1"/>
      <c r="F105" s="11"/>
      <c r="G105" s="11"/>
      <c r="H105" s="109"/>
    </row>
    <row r="106" spans="1:8" ht="24" customHeight="1" x14ac:dyDescent="0.2">
      <c r="A106" s="99"/>
      <c r="B106" s="1"/>
      <c r="C106" s="2" t="s">
        <v>10</v>
      </c>
      <c r="D106" s="1"/>
      <c r="E106" s="1"/>
      <c r="F106" s="11"/>
      <c r="G106" s="11"/>
      <c r="H106" s="109"/>
    </row>
    <row r="107" spans="1:8" ht="29.1" customHeight="1" x14ac:dyDescent="0.2">
      <c r="A107" s="100">
        <v>1</v>
      </c>
      <c r="B107" s="3" t="s">
        <v>586</v>
      </c>
      <c r="C107" s="3" t="s">
        <v>587</v>
      </c>
      <c r="D107" s="3" t="s">
        <v>567</v>
      </c>
      <c r="E107" s="4">
        <v>50</v>
      </c>
      <c r="F107" s="5">
        <v>494.05349999999999</v>
      </c>
      <c r="G107" s="6">
        <v>1.1902650000000001E-2</v>
      </c>
      <c r="H107" s="109">
        <v>7.7766999999999999</v>
      </c>
    </row>
    <row r="108" spans="1:8" ht="29.1" customHeight="1" x14ac:dyDescent="0.2">
      <c r="A108" s="100">
        <v>2</v>
      </c>
      <c r="B108" s="3" t="s">
        <v>666</v>
      </c>
      <c r="C108" s="3" t="s">
        <v>912</v>
      </c>
      <c r="D108" s="3" t="s">
        <v>556</v>
      </c>
      <c r="E108" s="4">
        <v>5</v>
      </c>
      <c r="F108" s="5">
        <v>50.233449999999998</v>
      </c>
      <c r="G108" s="6">
        <v>1.2102199999999999E-3</v>
      </c>
      <c r="H108" s="109">
        <v>7.74</v>
      </c>
    </row>
    <row r="109" spans="1:8" ht="17.100000000000001" customHeight="1" x14ac:dyDescent="0.2">
      <c r="A109" s="100">
        <v>3</v>
      </c>
      <c r="B109" s="3" t="s">
        <v>667</v>
      </c>
      <c r="C109" s="3" t="s">
        <v>668</v>
      </c>
      <c r="D109" s="3" t="s">
        <v>559</v>
      </c>
      <c r="E109" s="4">
        <v>5</v>
      </c>
      <c r="F109" s="5">
        <v>50.023449999999997</v>
      </c>
      <c r="G109" s="6">
        <v>1.20516E-3</v>
      </c>
      <c r="H109" s="109">
        <v>7.68</v>
      </c>
    </row>
    <row r="110" spans="1:8" ht="29.1" customHeight="1" x14ac:dyDescent="0.2">
      <c r="A110" s="100">
        <v>4</v>
      </c>
      <c r="B110" s="3" t="s">
        <v>696</v>
      </c>
      <c r="C110" s="3" t="s">
        <v>697</v>
      </c>
      <c r="D110" s="3" t="s">
        <v>556</v>
      </c>
      <c r="E110" s="4">
        <v>1640</v>
      </c>
      <c r="F110" s="5">
        <v>0.46207203400000002</v>
      </c>
      <c r="G110" s="6" t="s">
        <v>134</v>
      </c>
      <c r="H110" s="109">
        <v>7.93</v>
      </c>
    </row>
    <row r="111" spans="1:8" ht="14.1" customHeight="1" x14ac:dyDescent="0.2">
      <c r="A111" s="99"/>
      <c r="B111" s="1"/>
      <c r="C111" s="2" t="s">
        <v>135</v>
      </c>
      <c r="D111" s="1"/>
      <c r="E111" s="1" t="s">
        <v>136</v>
      </c>
      <c r="F111" s="8">
        <v>594.77247203399997</v>
      </c>
      <c r="G111" s="9">
        <v>1.4329160000000001E-2</v>
      </c>
      <c r="H111" s="109"/>
    </row>
    <row r="112" spans="1:8" ht="14.1" customHeight="1" x14ac:dyDescent="0.2">
      <c r="A112" s="99"/>
      <c r="B112" s="1"/>
      <c r="C112" s="10"/>
      <c r="D112" s="1"/>
      <c r="E112" s="1"/>
      <c r="F112" s="11"/>
      <c r="G112" s="11"/>
      <c r="H112" s="109"/>
    </row>
    <row r="113" spans="1:8" ht="14.1" customHeight="1" x14ac:dyDescent="0.2">
      <c r="A113" s="99"/>
      <c r="B113" s="1"/>
      <c r="C113" s="2" t="s">
        <v>144</v>
      </c>
      <c r="D113" s="1"/>
      <c r="E113" s="1"/>
      <c r="F113" s="1"/>
      <c r="G113" s="1"/>
      <c r="H113" s="109"/>
    </row>
    <row r="114" spans="1:8" ht="14.1" customHeight="1" x14ac:dyDescent="0.2">
      <c r="A114" s="99"/>
      <c r="B114" s="1"/>
      <c r="C114" s="2" t="s">
        <v>135</v>
      </c>
      <c r="D114" s="1"/>
      <c r="E114" s="1" t="s">
        <v>136</v>
      </c>
      <c r="F114" s="115">
        <v>0</v>
      </c>
      <c r="G114" s="9">
        <v>0</v>
      </c>
      <c r="H114" s="109"/>
    </row>
    <row r="115" spans="1:8" ht="14.1" customHeight="1" x14ac:dyDescent="0.2">
      <c r="A115" s="99"/>
      <c r="B115" s="1"/>
      <c r="C115" s="10"/>
      <c r="D115" s="1"/>
      <c r="E115" s="1"/>
      <c r="F115" s="11"/>
      <c r="G115" s="11"/>
      <c r="H115" s="109"/>
    </row>
    <row r="116" spans="1:8" ht="14.1" customHeight="1" x14ac:dyDescent="0.2">
      <c r="A116" s="99"/>
      <c r="B116" s="1"/>
      <c r="C116" s="2" t="s">
        <v>145</v>
      </c>
      <c r="D116" s="1"/>
      <c r="E116" s="1"/>
      <c r="F116" s="1"/>
      <c r="G116" s="1"/>
      <c r="H116" s="109"/>
    </row>
    <row r="117" spans="1:8" ht="29.1" customHeight="1" x14ac:dyDescent="0.2">
      <c r="A117" s="100">
        <v>1</v>
      </c>
      <c r="B117" s="3" t="s">
        <v>602</v>
      </c>
      <c r="C117" s="3" t="s">
        <v>603</v>
      </c>
      <c r="D117" s="3" t="s">
        <v>594</v>
      </c>
      <c r="E117" s="4">
        <v>1500000</v>
      </c>
      <c r="F117" s="5">
        <v>1434.3</v>
      </c>
      <c r="G117" s="6">
        <v>3.4554889999999998E-2</v>
      </c>
      <c r="H117" s="109">
        <v>7.4610000000000003</v>
      </c>
    </row>
    <row r="118" spans="1:8" ht="29.1" customHeight="1" x14ac:dyDescent="0.2">
      <c r="A118" s="100">
        <v>2</v>
      </c>
      <c r="B118" s="3" t="s">
        <v>707</v>
      </c>
      <c r="C118" s="3" t="s">
        <v>708</v>
      </c>
      <c r="D118" s="3" t="s">
        <v>594</v>
      </c>
      <c r="E118" s="4">
        <v>500000</v>
      </c>
      <c r="F118" s="5">
        <v>473.5</v>
      </c>
      <c r="G118" s="6">
        <v>1.1407479999999999E-2</v>
      </c>
      <c r="H118" s="109">
        <v>7.4894999999999996</v>
      </c>
    </row>
    <row r="119" spans="1:8" ht="29.1" customHeight="1" x14ac:dyDescent="0.2">
      <c r="A119" s="100">
        <v>3</v>
      </c>
      <c r="B119" s="3" t="s">
        <v>709</v>
      </c>
      <c r="C119" s="3" t="s">
        <v>710</v>
      </c>
      <c r="D119" s="3" t="s">
        <v>594</v>
      </c>
      <c r="E119" s="4">
        <v>100000</v>
      </c>
      <c r="F119" s="5">
        <v>101.2629</v>
      </c>
      <c r="G119" s="6">
        <v>2.43961E-3</v>
      </c>
      <c r="H119" s="109">
        <v>7.6483999999999996</v>
      </c>
    </row>
    <row r="120" spans="1:8" ht="29.1" customHeight="1" x14ac:dyDescent="0.2">
      <c r="A120" s="100">
        <v>4</v>
      </c>
      <c r="B120" s="3" t="s">
        <v>607</v>
      </c>
      <c r="C120" s="3" t="s">
        <v>608</v>
      </c>
      <c r="D120" s="3" t="s">
        <v>594</v>
      </c>
      <c r="E120" s="4">
        <v>50000</v>
      </c>
      <c r="F120" s="5">
        <v>49.092550000000003</v>
      </c>
      <c r="G120" s="6">
        <v>1.1827299999999999E-3</v>
      </c>
      <c r="H120" s="109">
        <v>7.4790000000000001</v>
      </c>
    </row>
    <row r="121" spans="1:8" ht="14.1" customHeight="1" x14ac:dyDescent="0.2">
      <c r="A121" s="99"/>
      <c r="B121" s="1"/>
      <c r="C121" s="2" t="s">
        <v>135</v>
      </c>
      <c r="D121" s="1"/>
      <c r="E121" s="1" t="s">
        <v>136</v>
      </c>
      <c r="F121" s="8">
        <v>2058.1554500000002</v>
      </c>
      <c r="G121" s="9">
        <v>4.9584709999999997E-2</v>
      </c>
      <c r="H121" s="109"/>
    </row>
    <row r="122" spans="1:8" ht="14.1" customHeight="1" x14ac:dyDescent="0.2">
      <c r="A122" s="99"/>
      <c r="B122" s="1"/>
      <c r="C122" s="10"/>
      <c r="D122" s="1"/>
      <c r="E122" s="1"/>
      <c r="F122" s="11"/>
      <c r="G122" s="11"/>
      <c r="H122" s="109"/>
    </row>
    <row r="123" spans="1:8" ht="14.1" customHeight="1" x14ac:dyDescent="0.2">
      <c r="A123" s="99"/>
      <c r="B123" s="1"/>
      <c r="C123" s="2" t="s">
        <v>146</v>
      </c>
      <c r="D123" s="1"/>
      <c r="E123" s="1"/>
      <c r="F123" s="11"/>
      <c r="G123" s="11"/>
      <c r="H123" s="109"/>
    </row>
    <row r="124" spans="1:8" ht="14.1" customHeight="1" x14ac:dyDescent="0.2">
      <c r="A124" s="99"/>
      <c r="B124" s="1"/>
      <c r="C124" s="2" t="s">
        <v>135</v>
      </c>
      <c r="D124" s="1"/>
      <c r="E124" s="1" t="s">
        <v>136</v>
      </c>
      <c r="F124" s="115">
        <v>0</v>
      </c>
      <c r="G124" s="9">
        <v>0</v>
      </c>
      <c r="H124" s="109"/>
    </row>
    <row r="125" spans="1:8" ht="14.1" customHeight="1" x14ac:dyDescent="0.2">
      <c r="A125" s="99"/>
      <c r="B125" s="1"/>
      <c r="C125" s="10"/>
      <c r="D125" s="1"/>
      <c r="E125" s="1"/>
      <c r="F125" s="11"/>
      <c r="G125" s="11"/>
      <c r="H125" s="109"/>
    </row>
    <row r="126" spans="1:8" ht="14.1" customHeight="1" x14ac:dyDescent="0.2">
      <c r="A126" s="99"/>
      <c r="B126" s="1"/>
      <c r="C126" s="2" t="s">
        <v>147</v>
      </c>
      <c r="D126" s="1"/>
      <c r="E126" s="1"/>
      <c r="F126" s="8">
        <v>2652.9279220339999</v>
      </c>
      <c r="G126" s="9">
        <v>6.3913869999999998E-2</v>
      </c>
      <c r="H126" s="109"/>
    </row>
    <row r="127" spans="1:8" ht="14.1" customHeight="1" x14ac:dyDescent="0.2">
      <c r="A127" s="99"/>
      <c r="B127" s="1"/>
      <c r="C127" s="10"/>
      <c r="D127" s="1"/>
      <c r="E127" s="1"/>
      <c r="F127" s="11"/>
      <c r="G127" s="11"/>
      <c r="H127" s="109"/>
    </row>
    <row r="128" spans="1:8" ht="14.1" customHeight="1" x14ac:dyDescent="0.2">
      <c r="A128" s="99"/>
      <c r="B128" s="1"/>
      <c r="C128" s="2" t="s">
        <v>148</v>
      </c>
      <c r="D128" s="1"/>
      <c r="E128" s="1"/>
      <c r="F128" s="11"/>
      <c r="G128" s="11"/>
      <c r="H128" s="109"/>
    </row>
    <row r="129" spans="1:8" ht="14.1" customHeight="1" x14ac:dyDescent="0.2">
      <c r="A129" s="99"/>
      <c r="B129" s="1"/>
      <c r="C129" s="2" t="s">
        <v>149</v>
      </c>
      <c r="D129" s="1"/>
      <c r="E129" s="1"/>
      <c r="F129" s="11"/>
      <c r="G129" s="11"/>
      <c r="H129" s="109"/>
    </row>
    <row r="130" spans="1:8" ht="14.1" customHeight="1" x14ac:dyDescent="0.2">
      <c r="A130" s="99"/>
      <c r="B130" s="1"/>
      <c r="C130" s="2" t="s">
        <v>135</v>
      </c>
      <c r="D130" s="1"/>
      <c r="E130" s="1" t="s">
        <v>136</v>
      </c>
      <c r="F130" s="115">
        <v>0</v>
      </c>
      <c r="G130" s="9">
        <v>0</v>
      </c>
      <c r="H130" s="109"/>
    </row>
    <row r="131" spans="1:8" ht="14.1" customHeight="1" x14ac:dyDescent="0.2">
      <c r="A131" s="99"/>
      <c r="B131" s="1"/>
      <c r="C131" s="10"/>
      <c r="D131" s="1"/>
      <c r="E131" s="1"/>
      <c r="F131" s="11"/>
      <c r="G131" s="11"/>
      <c r="H131" s="109"/>
    </row>
    <row r="132" spans="1:8" ht="14.1" customHeight="1" x14ac:dyDescent="0.2">
      <c r="A132" s="99"/>
      <c r="B132" s="1"/>
      <c r="C132" s="2" t="s">
        <v>150</v>
      </c>
      <c r="D132" s="1"/>
      <c r="E132" s="1"/>
      <c r="F132" s="11"/>
      <c r="G132" s="11"/>
      <c r="H132" s="109"/>
    </row>
    <row r="133" spans="1:8" ht="14.1" customHeight="1" x14ac:dyDescent="0.2">
      <c r="A133" s="99"/>
      <c r="B133" s="1"/>
      <c r="C133" s="2" t="s">
        <v>135</v>
      </c>
      <c r="D133" s="1"/>
      <c r="E133" s="1" t="s">
        <v>136</v>
      </c>
      <c r="F133" s="115">
        <v>0</v>
      </c>
      <c r="G133" s="9">
        <v>0</v>
      </c>
      <c r="H133" s="109"/>
    </row>
    <row r="134" spans="1:8" ht="14.1" customHeight="1" x14ac:dyDescent="0.2">
      <c r="A134" s="99"/>
      <c r="B134" s="1"/>
      <c r="C134" s="10"/>
      <c r="D134" s="1"/>
      <c r="E134" s="1"/>
      <c r="F134" s="11"/>
      <c r="G134" s="11"/>
      <c r="H134" s="109"/>
    </row>
    <row r="135" spans="1:8" ht="14.1" customHeight="1" x14ac:dyDescent="0.2">
      <c r="A135" s="99"/>
      <c r="B135" s="1"/>
      <c r="C135" s="2" t="s">
        <v>151</v>
      </c>
      <c r="D135" s="1"/>
      <c r="E135" s="1"/>
      <c r="F135" s="11"/>
      <c r="G135" s="11"/>
      <c r="H135" s="109"/>
    </row>
    <row r="136" spans="1:8" ht="17.100000000000001" customHeight="1" x14ac:dyDescent="0.2">
      <c r="A136" s="100">
        <v>1</v>
      </c>
      <c r="B136" s="3" t="s">
        <v>711</v>
      </c>
      <c r="C136" s="3" t="s">
        <v>1005</v>
      </c>
      <c r="D136" s="3" t="s">
        <v>594</v>
      </c>
      <c r="E136" s="4">
        <v>2000000</v>
      </c>
      <c r="F136" s="5">
        <v>1951.12</v>
      </c>
      <c r="G136" s="6">
        <v>4.7006029999999997E-2</v>
      </c>
      <c r="H136" s="109">
        <v>7.2</v>
      </c>
    </row>
    <row r="137" spans="1:8" ht="17.100000000000001" customHeight="1" x14ac:dyDescent="0.2">
      <c r="A137" s="100">
        <v>2</v>
      </c>
      <c r="B137" s="3" t="s">
        <v>712</v>
      </c>
      <c r="C137" s="3" t="s">
        <v>1006</v>
      </c>
      <c r="D137" s="3" t="s">
        <v>594</v>
      </c>
      <c r="E137" s="4">
        <v>1000000</v>
      </c>
      <c r="F137" s="5">
        <v>984.23099999999999</v>
      </c>
      <c r="G137" s="6">
        <v>2.3711909999999999E-2</v>
      </c>
      <c r="H137" s="109">
        <v>6.88</v>
      </c>
    </row>
    <row r="138" spans="1:8" ht="14.1" customHeight="1" x14ac:dyDescent="0.2">
      <c r="A138" s="99"/>
      <c r="B138" s="1"/>
      <c r="C138" s="2" t="s">
        <v>135</v>
      </c>
      <c r="D138" s="1"/>
      <c r="E138" s="1" t="s">
        <v>136</v>
      </c>
      <c r="F138" s="8">
        <v>2935.3510000000001</v>
      </c>
      <c r="G138" s="9">
        <v>7.0717940000000007E-2</v>
      </c>
      <c r="H138" s="109"/>
    </row>
    <row r="139" spans="1:8" ht="14.1" customHeight="1" x14ac:dyDescent="0.2">
      <c r="A139" s="99"/>
      <c r="B139" s="1"/>
      <c r="C139" s="10"/>
      <c r="D139" s="1"/>
      <c r="E139" s="1"/>
      <c r="F139" s="11"/>
      <c r="G139" s="11"/>
      <c r="H139" s="109"/>
    </row>
    <row r="140" spans="1:8" ht="14.1" customHeight="1" x14ac:dyDescent="0.2">
      <c r="A140" s="99"/>
      <c r="B140" s="1"/>
      <c r="C140" s="2" t="s">
        <v>152</v>
      </c>
      <c r="D140" s="1"/>
      <c r="E140" s="1"/>
      <c r="F140" s="11"/>
      <c r="G140" s="11"/>
      <c r="H140" s="109"/>
    </row>
    <row r="141" spans="1:8" ht="17.100000000000001" customHeight="1" x14ac:dyDescent="0.2">
      <c r="A141" s="100">
        <v>1</v>
      </c>
      <c r="B141" s="3"/>
      <c r="C141" s="3" t="s">
        <v>153</v>
      </c>
      <c r="D141" s="3"/>
      <c r="E141" s="7"/>
      <c r="F141" s="5">
        <v>4295.3231929989997</v>
      </c>
      <c r="G141" s="6">
        <v>0.10348214</v>
      </c>
      <c r="H141" s="109">
        <v>6.6015165706411798</v>
      </c>
    </row>
    <row r="142" spans="1:8" ht="14.1" customHeight="1" x14ac:dyDescent="0.2">
      <c r="A142" s="99"/>
      <c r="B142" s="1"/>
      <c r="C142" s="2" t="s">
        <v>135</v>
      </c>
      <c r="D142" s="1"/>
      <c r="E142" s="1" t="s">
        <v>136</v>
      </c>
      <c r="F142" s="8">
        <v>4295.3231929989997</v>
      </c>
      <c r="G142" s="9">
        <v>0.10348214</v>
      </c>
      <c r="H142" s="109"/>
    </row>
    <row r="143" spans="1:8" ht="14.1" customHeight="1" x14ac:dyDescent="0.2">
      <c r="A143" s="99"/>
      <c r="B143" s="1"/>
      <c r="C143" s="10"/>
      <c r="D143" s="1"/>
      <c r="E143" s="1"/>
      <c r="F143" s="11"/>
      <c r="G143" s="11"/>
      <c r="H143" s="109"/>
    </row>
    <row r="144" spans="1:8" ht="14.1" customHeight="1" x14ac:dyDescent="0.2">
      <c r="A144" s="99"/>
      <c r="B144" s="1"/>
      <c r="C144" s="2" t="s">
        <v>154</v>
      </c>
      <c r="D144" s="1"/>
      <c r="E144" s="1"/>
      <c r="F144" s="8">
        <v>7230.6741929990003</v>
      </c>
      <c r="G144" s="9">
        <v>0.17420008000000001</v>
      </c>
      <c r="H144" s="109"/>
    </row>
    <row r="145" spans="1:8" ht="14.1" customHeight="1" x14ac:dyDescent="0.2">
      <c r="A145" s="99"/>
      <c r="B145" s="1"/>
      <c r="C145" s="11"/>
      <c r="D145" s="1"/>
      <c r="E145" s="1"/>
      <c r="F145" s="1"/>
      <c r="G145" s="1"/>
      <c r="H145" s="109"/>
    </row>
    <row r="146" spans="1:8" ht="14.1" customHeight="1" x14ac:dyDescent="0.2">
      <c r="A146" s="99"/>
      <c r="B146" s="1"/>
      <c r="C146" s="2" t="s">
        <v>155</v>
      </c>
      <c r="D146" s="1"/>
      <c r="E146" s="1"/>
      <c r="F146" s="1"/>
      <c r="G146" s="1"/>
      <c r="H146" s="109"/>
    </row>
    <row r="147" spans="1:8" ht="14.1" customHeight="1" x14ac:dyDescent="0.2">
      <c r="A147" s="99"/>
      <c r="B147" s="1"/>
      <c r="C147" s="2" t="s">
        <v>156</v>
      </c>
      <c r="D147" s="1"/>
      <c r="E147" s="1"/>
      <c r="F147" s="1"/>
      <c r="G147" s="1"/>
      <c r="H147" s="109"/>
    </row>
    <row r="148" spans="1:8" ht="14.1" customHeight="1" x14ac:dyDescent="0.2">
      <c r="A148" s="99"/>
      <c r="B148" s="1"/>
      <c r="C148" s="2" t="s">
        <v>135</v>
      </c>
      <c r="D148" s="1"/>
      <c r="E148" s="1" t="s">
        <v>136</v>
      </c>
      <c r="F148" s="115">
        <v>0</v>
      </c>
      <c r="G148" s="9">
        <v>0</v>
      </c>
      <c r="H148" s="109"/>
    </row>
    <row r="149" spans="1:8" ht="14.1" customHeight="1" x14ac:dyDescent="0.2">
      <c r="A149" s="99"/>
      <c r="B149" s="1"/>
      <c r="C149" s="10"/>
      <c r="D149" s="1"/>
      <c r="E149" s="1"/>
      <c r="F149" s="11"/>
      <c r="G149" s="11"/>
      <c r="H149" s="109"/>
    </row>
    <row r="150" spans="1:8" ht="14.1" customHeight="1" x14ac:dyDescent="0.2">
      <c r="A150" s="99"/>
      <c r="B150" s="1"/>
      <c r="C150" s="2" t="s">
        <v>157</v>
      </c>
      <c r="D150" s="1"/>
      <c r="E150" s="1"/>
      <c r="F150" s="1"/>
      <c r="G150" s="1"/>
      <c r="H150" s="109"/>
    </row>
    <row r="151" spans="1:8" ht="14.1" customHeight="1" x14ac:dyDescent="0.2">
      <c r="A151" s="99"/>
      <c r="B151" s="1"/>
      <c r="C151" s="2" t="s">
        <v>158</v>
      </c>
      <c r="D151" s="1"/>
      <c r="E151" s="1"/>
      <c r="F151" s="1"/>
      <c r="G151" s="1"/>
      <c r="H151" s="109"/>
    </row>
    <row r="152" spans="1:8" ht="14.1" customHeight="1" x14ac:dyDescent="0.2">
      <c r="A152" s="99"/>
      <c r="B152" s="1"/>
      <c r="C152" s="2" t="s">
        <v>135</v>
      </c>
      <c r="D152" s="1"/>
      <c r="E152" s="1" t="s">
        <v>136</v>
      </c>
      <c r="F152" s="115">
        <v>0</v>
      </c>
      <c r="G152" s="9">
        <v>0</v>
      </c>
      <c r="H152" s="109"/>
    </row>
    <row r="153" spans="1:8" ht="14.1" customHeight="1" x14ac:dyDescent="0.2">
      <c r="A153" s="99"/>
      <c r="B153" s="1"/>
      <c r="C153" s="10"/>
      <c r="D153" s="1"/>
      <c r="E153" s="1"/>
      <c r="F153" s="11"/>
      <c r="G153" s="11"/>
      <c r="H153" s="109"/>
    </row>
    <row r="154" spans="1:8" ht="24" customHeight="1" x14ac:dyDescent="0.2">
      <c r="A154" s="99"/>
      <c r="B154" s="1"/>
      <c r="C154" s="2" t="s">
        <v>159</v>
      </c>
      <c r="D154" s="1"/>
      <c r="E154" s="1"/>
      <c r="F154" s="11"/>
      <c r="G154" s="11"/>
      <c r="H154" s="109"/>
    </row>
    <row r="155" spans="1:8" ht="14.1" customHeight="1" x14ac:dyDescent="0.2">
      <c r="A155" s="99"/>
      <c r="B155" s="1"/>
      <c r="C155" s="2" t="s">
        <v>135</v>
      </c>
      <c r="D155" s="1"/>
      <c r="E155" s="1" t="s">
        <v>136</v>
      </c>
      <c r="F155" s="115">
        <v>0</v>
      </c>
      <c r="G155" s="9">
        <v>0</v>
      </c>
      <c r="H155" s="109"/>
    </row>
    <row r="156" spans="1:8" ht="14.1" customHeight="1" x14ac:dyDescent="0.2">
      <c r="A156" s="99"/>
      <c r="B156" s="1"/>
      <c r="C156" s="10"/>
      <c r="D156" s="1"/>
      <c r="E156" s="1"/>
      <c r="F156" s="11"/>
      <c r="G156" s="11"/>
      <c r="H156" s="109"/>
    </row>
    <row r="157" spans="1:8" ht="18" customHeight="1" x14ac:dyDescent="0.2">
      <c r="A157" s="101"/>
      <c r="B157" s="3"/>
      <c r="C157" s="3" t="s">
        <v>646</v>
      </c>
      <c r="D157" s="3"/>
      <c r="E157" s="7"/>
      <c r="F157" s="5">
        <v>758.0802817</v>
      </c>
      <c r="G157" s="6">
        <f>F157/F159</f>
        <v>1.8263532096349896E-2</v>
      </c>
      <c r="H157" s="109"/>
    </row>
    <row r="158" spans="1:8" ht="18" customHeight="1" x14ac:dyDescent="0.2">
      <c r="A158" s="101"/>
      <c r="B158" s="3"/>
      <c r="C158" s="3" t="s">
        <v>933</v>
      </c>
      <c r="D158" s="3"/>
      <c r="E158" s="7"/>
      <c r="F158" s="5">
        <v>-252.93841957899917</v>
      </c>
      <c r="G158" s="6">
        <f>F158/F159</f>
        <v>-6.0937463430940321E-3</v>
      </c>
      <c r="H158" s="109"/>
    </row>
    <row r="159" spans="1:8" ht="14.1" customHeight="1" x14ac:dyDescent="0.2">
      <c r="A159" s="102"/>
      <c r="B159" s="10"/>
      <c r="C159" s="2" t="s">
        <v>161</v>
      </c>
      <c r="D159" s="11"/>
      <c r="E159" s="11"/>
      <c r="F159" s="8">
        <v>41507.868122152999</v>
      </c>
      <c r="G159" s="12">
        <f>+G158+G157+G144+G126+G103</f>
        <v>1.0000000257532558</v>
      </c>
      <c r="H159" s="109"/>
    </row>
    <row r="160" spans="1:8" ht="14.1" customHeight="1" x14ac:dyDescent="0.2">
      <c r="A160" s="13"/>
      <c r="B160" s="13"/>
      <c r="C160" s="13"/>
      <c r="D160" s="14"/>
      <c r="E160" s="14"/>
      <c r="F160" s="14"/>
      <c r="G160" s="14"/>
    </row>
    <row r="161" spans="1:14" ht="17.100000000000001" customHeight="1" x14ac:dyDescent="0.2">
      <c r="A161" s="15"/>
      <c r="B161" s="193" t="s">
        <v>931</v>
      </c>
      <c r="C161" s="193"/>
      <c r="D161" s="193"/>
      <c r="E161" s="193"/>
      <c r="F161" s="193"/>
      <c r="G161" s="17"/>
    </row>
    <row r="162" spans="1:14" ht="17.100000000000001" customHeight="1" x14ac:dyDescent="0.2">
      <c r="A162" s="15"/>
      <c r="B162" s="193" t="s">
        <v>932</v>
      </c>
      <c r="C162" s="193"/>
      <c r="D162" s="193"/>
      <c r="E162" s="193"/>
      <c r="F162" s="193"/>
      <c r="G162" s="17"/>
    </row>
    <row r="163" spans="1:14" ht="17.100000000000001" customHeight="1" x14ac:dyDescent="0.2">
      <c r="A163" s="15"/>
      <c r="B163" s="193" t="s">
        <v>162</v>
      </c>
      <c r="C163" s="193"/>
      <c r="D163" s="193"/>
      <c r="E163" s="193"/>
      <c r="F163" s="193"/>
      <c r="G163" s="17"/>
    </row>
    <row r="164" spans="1:14" s="111" customFormat="1" x14ac:dyDescent="0.2">
      <c r="A164" s="118"/>
      <c r="B164" s="217" t="s">
        <v>1004</v>
      </c>
      <c r="C164" s="217"/>
      <c r="D164" s="217"/>
      <c r="E164" s="217"/>
      <c r="F164" s="217"/>
      <c r="G164" s="119"/>
      <c r="H164"/>
      <c r="I164"/>
      <c r="J164"/>
      <c r="K164"/>
      <c r="L164"/>
      <c r="M164"/>
      <c r="N164"/>
    </row>
    <row r="165" spans="1:14" ht="14.1" customHeight="1" x14ac:dyDescent="0.2">
      <c r="A165" s="15"/>
      <c r="B165" s="15"/>
      <c r="C165" s="15"/>
      <c r="D165" s="17"/>
      <c r="E165" s="17"/>
      <c r="F165" s="17"/>
      <c r="G165" s="17"/>
    </row>
    <row r="166" spans="1:14" ht="14.1" customHeight="1" x14ac:dyDescent="0.2">
      <c r="A166" s="15"/>
      <c r="B166" s="194" t="s">
        <v>163</v>
      </c>
      <c r="C166" s="195"/>
      <c r="D166" s="196"/>
      <c r="E166" s="18"/>
      <c r="F166" s="17"/>
      <c r="G166" s="17"/>
    </row>
    <row r="167" spans="1:14" ht="29.1" customHeight="1" x14ac:dyDescent="0.2">
      <c r="A167" s="15"/>
      <c r="B167" s="191" t="s">
        <v>164</v>
      </c>
      <c r="C167" s="192"/>
      <c r="D167" s="2" t="s">
        <v>165</v>
      </c>
      <c r="E167" s="18"/>
      <c r="F167" s="17"/>
      <c r="G167" s="17"/>
    </row>
    <row r="168" spans="1:14" ht="17.100000000000001" customHeight="1" x14ac:dyDescent="0.2">
      <c r="A168" s="15"/>
      <c r="B168" s="191" t="s">
        <v>166</v>
      </c>
      <c r="C168" s="192"/>
      <c r="D168" s="2" t="s">
        <v>165</v>
      </c>
      <c r="E168" s="18"/>
      <c r="F168" s="17"/>
      <c r="G168" s="17"/>
    </row>
    <row r="169" spans="1:14" ht="17.100000000000001" customHeight="1" x14ac:dyDescent="0.2">
      <c r="A169" s="15"/>
      <c r="B169" s="191" t="s">
        <v>167</v>
      </c>
      <c r="C169" s="192"/>
      <c r="D169" s="11" t="s">
        <v>136</v>
      </c>
      <c r="E169" s="18"/>
      <c r="F169" s="17"/>
      <c r="G169" s="17"/>
    </row>
    <row r="170" spans="1:14" ht="24" customHeight="1" x14ac:dyDescent="0.2">
      <c r="A170" s="19"/>
      <c r="B170" s="20" t="s">
        <v>136</v>
      </c>
      <c r="C170" s="20" t="s">
        <v>168</v>
      </c>
      <c r="D170" s="20" t="s">
        <v>169</v>
      </c>
      <c r="E170" s="19"/>
      <c r="F170" s="19"/>
      <c r="G170" s="19"/>
    </row>
    <row r="171" spans="1:14" ht="18" customHeight="1" x14ac:dyDescent="0.2">
      <c r="A171" s="19"/>
      <c r="B171" s="21" t="s">
        <v>170</v>
      </c>
      <c r="C171" s="20" t="s">
        <v>171</v>
      </c>
      <c r="D171" s="20" t="s">
        <v>172</v>
      </c>
      <c r="E171" s="19"/>
      <c r="F171" s="19"/>
      <c r="G171" s="19"/>
    </row>
    <row r="172" spans="1:14" ht="17.100000000000001" customHeight="1" x14ac:dyDescent="0.2">
      <c r="A172" s="19"/>
      <c r="B172" s="3" t="s">
        <v>173</v>
      </c>
      <c r="C172" s="22">
        <v>57.862000000000002</v>
      </c>
      <c r="D172" s="22">
        <v>57.4587</v>
      </c>
      <c r="E172" s="19"/>
      <c r="F172" s="16"/>
      <c r="G172" s="23"/>
    </row>
    <row r="173" spans="1:14" ht="17.100000000000001" customHeight="1" x14ac:dyDescent="0.2">
      <c r="A173" s="19"/>
      <c r="B173" s="3" t="s">
        <v>1053</v>
      </c>
      <c r="C173" s="22">
        <v>14.2751</v>
      </c>
      <c r="D173" s="22">
        <v>14.175599999999999</v>
      </c>
      <c r="E173" s="19"/>
      <c r="F173" s="16"/>
      <c r="G173" s="23"/>
    </row>
    <row r="174" spans="1:14" ht="17.100000000000001" customHeight="1" x14ac:dyDescent="0.2">
      <c r="A174" s="19"/>
      <c r="B174" s="3" t="s">
        <v>1048</v>
      </c>
      <c r="C174" s="22">
        <v>20.808700000000002</v>
      </c>
      <c r="D174" s="22">
        <v>20.663699999999999</v>
      </c>
      <c r="E174" s="19"/>
      <c r="F174" s="16"/>
      <c r="G174" s="23"/>
    </row>
    <row r="175" spans="1:14" ht="17.100000000000001" customHeight="1" x14ac:dyDescent="0.2">
      <c r="A175" s="19"/>
      <c r="B175" s="3" t="s">
        <v>174</v>
      </c>
      <c r="C175" s="22">
        <v>51.883099999999999</v>
      </c>
      <c r="D175" s="22">
        <v>51.449399999999997</v>
      </c>
      <c r="E175" s="19"/>
      <c r="F175" s="16"/>
      <c r="G175" s="23"/>
    </row>
    <row r="176" spans="1:14" ht="17.100000000000001" customHeight="1" x14ac:dyDescent="0.2">
      <c r="A176" s="19"/>
      <c r="B176" s="3" t="s">
        <v>1054</v>
      </c>
      <c r="C176" s="22">
        <v>13.8523</v>
      </c>
      <c r="D176" s="22">
        <v>13.736499999999999</v>
      </c>
      <c r="E176" s="19"/>
      <c r="F176" s="16"/>
      <c r="G176" s="23"/>
      <c r="I176" s="111"/>
    </row>
    <row r="177" spans="1:14" ht="17.100000000000001" customHeight="1" x14ac:dyDescent="0.2">
      <c r="A177" s="19"/>
      <c r="B177" s="3" t="s">
        <v>1050</v>
      </c>
      <c r="C177" s="22">
        <v>14.9168</v>
      </c>
      <c r="D177" s="22">
        <v>14.7921</v>
      </c>
      <c r="E177" s="19"/>
      <c r="F177" s="16"/>
      <c r="G177" s="23"/>
    </row>
    <row r="178" spans="1:14" ht="14.1" customHeight="1" x14ac:dyDescent="0.2">
      <c r="A178" s="19"/>
      <c r="B178" s="19"/>
      <c r="C178" s="19"/>
      <c r="D178" s="19"/>
      <c r="E178" s="19"/>
      <c r="F178" s="19"/>
      <c r="G178" s="19"/>
      <c r="I178" s="111"/>
      <c r="J178" s="111"/>
      <c r="K178" s="111"/>
      <c r="L178" s="111"/>
      <c r="M178" s="111"/>
      <c r="N178" s="111"/>
    </row>
    <row r="179" spans="1:14" ht="17.100000000000001" customHeight="1" x14ac:dyDescent="0.2">
      <c r="A179" s="19"/>
      <c r="B179" s="191" t="s">
        <v>1044</v>
      </c>
      <c r="C179" s="192"/>
      <c r="D179" s="2" t="s">
        <v>165</v>
      </c>
      <c r="E179" s="19"/>
      <c r="F179" s="19"/>
      <c r="G179" s="19"/>
    </row>
    <row r="180" spans="1:14" ht="18" customHeight="1" x14ac:dyDescent="0.2">
      <c r="A180" s="19"/>
      <c r="B180" s="24"/>
      <c r="C180" s="24"/>
      <c r="D180" s="24"/>
      <c r="E180" s="19"/>
      <c r="F180" s="19"/>
      <c r="G180" s="19"/>
    </row>
    <row r="181" spans="1:14" ht="29.1" customHeight="1" x14ac:dyDescent="0.2">
      <c r="A181" s="19"/>
      <c r="B181" s="191" t="s">
        <v>175</v>
      </c>
      <c r="C181" s="192"/>
      <c r="D181" s="112" t="s">
        <v>998</v>
      </c>
      <c r="E181" s="25"/>
      <c r="F181" s="19"/>
      <c r="G181" s="19"/>
    </row>
    <row r="182" spans="1:14" ht="29.1" customHeight="1" x14ac:dyDescent="0.2">
      <c r="A182" s="19"/>
      <c r="B182" s="191" t="s">
        <v>176</v>
      </c>
      <c r="C182" s="192"/>
      <c r="D182" s="2" t="s">
        <v>165</v>
      </c>
      <c r="E182" s="25"/>
      <c r="F182" s="19"/>
      <c r="G182" s="19"/>
    </row>
    <row r="183" spans="1:14" ht="17.100000000000001" customHeight="1" x14ac:dyDescent="0.2">
      <c r="A183" s="19"/>
      <c r="B183" s="191" t="s">
        <v>177</v>
      </c>
      <c r="C183" s="192"/>
      <c r="D183" s="2" t="s">
        <v>165</v>
      </c>
      <c r="E183" s="25"/>
      <c r="F183" s="19"/>
      <c r="G183" s="19"/>
    </row>
    <row r="184" spans="1:14" ht="17.100000000000001" customHeight="1" x14ac:dyDescent="0.2">
      <c r="A184" s="19"/>
      <c r="B184" s="191" t="s">
        <v>178</v>
      </c>
      <c r="C184" s="192"/>
      <c r="D184" s="26">
        <v>3.9557753126102773</v>
      </c>
      <c r="E184" s="19"/>
      <c r="F184" s="16"/>
      <c r="G184" s="23"/>
    </row>
    <row r="185" spans="1:14" ht="14.1" customHeight="1" x14ac:dyDescent="0.2">
      <c r="A185" s="24"/>
      <c r="B185" s="24"/>
      <c r="C185" s="24"/>
      <c r="D185" s="24"/>
      <c r="E185" s="24"/>
      <c r="F185" s="24"/>
      <c r="G185" s="24"/>
    </row>
    <row r="186" spans="1:14" x14ac:dyDescent="0.2">
      <c r="B186" s="208" t="s">
        <v>1026</v>
      </c>
      <c r="C186" s="209"/>
      <c r="D186" s="210"/>
    </row>
    <row r="187" spans="1:14" ht="25.5" x14ac:dyDescent="0.2">
      <c r="B187" s="197" t="s">
        <v>1027</v>
      </c>
      <c r="C187" s="197"/>
      <c r="D187" s="140" t="s">
        <v>698</v>
      </c>
    </row>
    <row r="188" spans="1:14" x14ac:dyDescent="0.2">
      <c r="B188" s="197" t="s">
        <v>1028</v>
      </c>
      <c r="C188" s="197"/>
      <c r="D188" s="147"/>
    </row>
    <row r="189" spans="1:14" x14ac:dyDescent="0.2">
      <c r="B189" s="198"/>
      <c r="C189" s="199"/>
      <c r="D189" s="141"/>
    </row>
    <row r="190" spans="1:14" x14ac:dyDescent="0.2">
      <c r="B190" s="197" t="s">
        <v>1029</v>
      </c>
      <c r="C190" s="197"/>
      <c r="D190" s="142">
        <v>6.9852136324245357</v>
      </c>
    </row>
    <row r="191" spans="1:14" x14ac:dyDescent="0.2">
      <c r="B191" s="198"/>
      <c r="C191" s="199"/>
      <c r="D191" s="141"/>
    </row>
    <row r="192" spans="1:14" x14ac:dyDescent="0.2">
      <c r="B192" s="197" t="s">
        <v>1030</v>
      </c>
      <c r="C192" s="197"/>
      <c r="D192" s="142">
        <v>0.56329600335595709</v>
      </c>
    </row>
    <row r="193" spans="2:4" x14ac:dyDescent="0.2">
      <c r="B193" s="197" t="s">
        <v>1031</v>
      </c>
      <c r="C193" s="197"/>
      <c r="D193" s="142">
        <v>0.59474007773851667</v>
      </c>
    </row>
    <row r="194" spans="2:4" x14ac:dyDescent="0.2">
      <c r="B194" s="198"/>
      <c r="C194" s="199"/>
      <c r="D194" s="141"/>
    </row>
    <row r="195" spans="2:4" x14ac:dyDescent="0.2">
      <c r="B195" s="197" t="s">
        <v>1032</v>
      </c>
      <c r="C195" s="197"/>
      <c r="D195" s="143">
        <v>44985</v>
      </c>
    </row>
    <row r="196" spans="2:4" ht="12.75" customHeight="1" x14ac:dyDescent="0.2">
      <c r="B196" s="198" t="s">
        <v>1033</v>
      </c>
      <c r="C196" s="200"/>
      <c r="D196" s="199"/>
    </row>
  </sheetData>
  <mergeCells count="28">
    <mergeCell ref="J2:N2"/>
    <mergeCell ref="B169:C169"/>
    <mergeCell ref="B166:D166"/>
    <mergeCell ref="B167:C167"/>
    <mergeCell ref="B168:C168"/>
    <mergeCell ref="B163:F163"/>
    <mergeCell ref="B162:F162"/>
    <mergeCell ref="B164:F164"/>
    <mergeCell ref="A1:H1"/>
    <mergeCell ref="A2:H2"/>
    <mergeCell ref="A3:H3"/>
    <mergeCell ref="B161:F161"/>
    <mergeCell ref="B183:C183"/>
    <mergeCell ref="B184:C184"/>
    <mergeCell ref="B179:C179"/>
    <mergeCell ref="B181:C181"/>
    <mergeCell ref="B182:C182"/>
    <mergeCell ref="B186:D186"/>
    <mergeCell ref="B187:C187"/>
    <mergeCell ref="B188:C188"/>
    <mergeCell ref="B189:C189"/>
    <mergeCell ref="B190:C190"/>
    <mergeCell ref="B196:D196"/>
    <mergeCell ref="B191:C191"/>
    <mergeCell ref="B192:C192"/>
    <mergeCell ref="B193:C193"/>
    <mergeCell ref="B194:C194"/>
    <mergeCell ref="B195:C195"/>
  </mergeCells>
  <hyperlinks>
    <hyperlink ref="I1" location="Index!B27" display="Index" xr:uid="{2AC3D5BB-7FBB-44AA-B6EB-3B96F9DB0649}"/>
  </hyperlinks>
  <pageMargins left="5.000000074505806E-2" right="5.000000074505806E-2" top="0.30000001192092896" bottom="0.20000000298023224" header="0" footer="0"/>
  <pageSetup paperSize="9" orientation="landscape" r:id="rId1"/>
  <headerFooter alignWithMargins="0"/>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N119"/>
  <sheetViews>
    <sheetView showGridLines="0" workbookViewId="0">
      <selection sqref="A1:H1"/>
    </sheetView>
  </sheetViews>
  <sheetFormatPr defaultRowHeight="12.75" x14ac:dyDescent="0.2"/>
  <cols>
    <col min="1" max="1" width="5.42578125" bestFit="1"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7" t="s">
        <v>0</v>
      </c>
      <c r="B1" s="187"/>
      <c r="C1" s="187"/>
      <c r="D1" s="187"/>
      <c r="E1" s="187"/>
      <c r="F1" s="187"/>
      <c r="G1" s="187"/>
      <c r="H1" s="187"/>
      <c r="I1" s="167" t="s">
        <v>1055</v>
      </c>
    </row>
    <row r="2" spans="1:14" ht="17.100000000000001" customHeight="1" x14ac:dyDescent="0.2">
      <c r="A2" s="188" t="s">
        <v>713</v>
      </c>
      <c r="B2" s="189"/>
      <c r="C2" s="189"/>
      <c r="D2" s="189"/>
      <c r="E2" s="189"/>
      <c r="F2" s="189"/>
      <c r="G2" s="189"/>
      <c r="H2" s="190"/>
      <c r="J2" s="186" t="s">
        <v>1056</v>
      </c>
      <c r="K2" s="186"/>
      <c r="L2" s="186"/>
      <c r="M2" s="186"/>
      <c r="N2" s="186"/>
    </row>
    <row r="3" spans="1:14" ht="21" customHeight="1" x14ac:dyDescent="0.2">
      <c r="A3" s="187" t="s">
        <v>1052</v>
      </c>
      <c r="B3" s="187"/>
      <c r="C3" s="187"/>
      <c r="D3" s="187"/>
      <c r="E3" s="187"/>
      <c r="F3" s="187"/>
      <c r="G3" s="187"/>
      <c r="H3" s="187"/>
    </row>
    <row r="4" spans="1:14" ht="30" x14ac:dyDescent="0.2">
      <c r="A4" s="163" t="s">
        <v>2</v>
      </c>
      <c r="B4" s="164" t="s">
        <v>3</v>
      </c>
      <c r="C4" s="164" t="s">
        <v>4</v>
      </c>
      <c r="D4" s="164" t="s">
        <v>5</v>
      </c>
      <c r="E4" s="164" t="s">
        <v>6</v>
      </c>
      <c r="F4" s="164" t="s">
        <v>7</v>
      </c>
      <c r="G4" s="164" t="s">
        <v>8</v>
      </c>
      <c r="H4" s="120" t="s">
        <v>881</v>
      </c>
      <c r="I4" s="165"/>
      <c r="J4" s="165"/>
      <c r="K4" s="165"/>
      <c r="L4" s="165"/>
      <c r="M4" s="165"/>
      <c r="N4" s="165"/>
    </row>
    <row r="5" spans="1:14" ht="14.1" customHeight="1" x14ac:dyDescent="0.2">
      <c r="A5" s="99"/>
      <c r="B5" s="1"/>
      <c r="C5" s="2" t="s">
        <v>9</v>
      </c>
      <c r="D5" s="1"/>
      <c r="E5" s="1"/>
      <c r="F5" s="1"/>
      <c r="G5" s="1"/>
      <c r="H5" s="109"/>
    </row>
    <row r="6" spans="1:14" ht="24" customHeight="1" x14ac:dyDescent="0.2">
      <c r="A6" s="99"/>
      <c r="B6" s="1"/>
      <c r="C6" s="2" t="s">
        <v>10</v>
      </c>
      <c r="D6" s="1"/>
      <c r="E6" s="1"/>
      <c r="F6" s="1"/>
      <c r="G6" s="1"/>
      <c r="H6" s="109"/>
    </row>
    <row r="7" spans="1:14" ht="17.100000000000001" customHeight="1" x14ac:dyDescent="0.2">
      <c r="A7" s="100">
        <v>1</v>
      </c>
      <c r="B7" s="3" t="s">
        <v>20</v>
      </c>
      <c r="C7" s="3" t="s">
        <v>21</v>
      </c>
      <c r="D7" s="3" t="s">
        <v>22</v>
      </c>
      <c r="E7" s="4">
        <v>713000</v>
      </c>
      <c r="F7" s="5">
        <v>6095.0805</v>
      </c>
      <c r="G7" s="6">
        <v>7.9016039999999996E-2</v>
      </c>
      <c r="H7" s="109"/>
    </row>
    <row r="8" spans="1:14" ht="17.100000000000001" customHeight="1" x14ac:dyDescent="0.2">
      <c r="A8" s="100">
        <v>2</v>
      </c>
      <c r="B8" s="3" t="s">
        <v>17</v>
      </c>
      <c r="C8" s="3" t="s">
        <v>18</v>
      </c>
      <c r="D8" s="3" t="s">
        <v>19</v>
      </c>
      <c r="E8" s="4">
        <v>243000</v>
      </c>
      <c r="F8" s="5">
        <v>5643.7965000000004</v>
      </c>
      <c r="G8" s="6">
        <v>7.3165640000000004E-2</v>
      </c>
      <c r="H8" s="109"/>
    </row>
    <row r="9" spans="1:14" ht="17.100000000000001" customHeight="1" x14ac:dyDescent="0.2">
      <c r="A9" s="100">
        <v>3</v>
      </c>
      <c r="B9" s="3" t="s">
        <v>293</v>
      </c>
      <c r="C9" s="3" t="s">
        <v>294</v>
      </c>
      <c r="D9" s="3" t="s">
        <v>996</v>
      </c>
      <c r="E9" s="4">
        <v>363000</v>
      </c>
      <c r="F9" s="5">
        <v>5399.8064999999997</v>
      </c>
      <c r="G9" s="6">
        <v>7.0002579999999995E-2</v>
      </c>
      <c r="H9" s="109"/>
    </row>
    <row r="10" spans="1:14" ht="29.1" customHeight="1" x14ac:dyDescent="0.2">
      <c r="A10" s="100">
        <v>4</v>
      </c>
      <c r="B10" s="3" t="s">
        <v>295</v>
      </c>
      <c r="C10" s="3" t="s">
        <v>296</v>
      </c>
      <c r="D10" s="3" t="s">
        <v>120</v>
      </c>
      <c r="E10" s="4">
        <v>206000</v>
      </c>
      <c r="F10" s="5">
        <v>5375.4669999999996</v>
      </c>
      <c r="G10" s="6">
        <v>6.9687040000000006E-2</v>
      </c>
      <c r="H10" s="109"/>
    </row>
    <row r="11" spans="1:14" ht="17.100000000000001" customHeight="1" x14ac:dyDescent="0.2">
      <c r="A11" s="100">
        <v>5</v>
      </c>
      <c r="B11" s="3" t="s">
        <v>338</v>
      </c>
      <c r="C11" s="3" t="s">
        <v>339</v>
      </c>
      <c r="D11" s="3" t="s">
        <v>22</v>
      </c>
      <c r="E11" s="4">
        <v>1248000</v>
      </c>
      <c r="F11" s="5">
        <v>3488.7840000000001</v>
      </c>
      <c r="G11" s="6">
        <v>4.5228259999999999E-2</v>
      </c>
      <c r="H11" s="109"/>
    </row>
    <row r="12" spans="1:14" ht="17.100000000000001" customHeight="1" x14ac:dyDescent="0.2">
      <c r="A12" s="100">
        <v>6</v>
      </c>
      <c r="B12" s="3" t="s">
        <v>11</v>
      </c>
      <c r="C12" s="3" t="s">
        <v>12</v>
      </c>
      <c r="D12" s="3" t="s">
        <v>13</v>
      </c>
      <c r="E12" s="4">
        <v>156000</v>
      </c>
      <c r="F12" s="5">
        <v>3290.2739999999999</v>
      </c>
      <c r="G12" s="6">
        <v>4.26548E-2</v>
      </c>
      <c r="H12" s="109"/>
    </row>
    <row r="13" spans="1:14" ht="17.100000000000001" customHeight="1" x14ac:dyDescent="0.2">
      <c r="A13" s="100">
        <v>7</v>
      </c>
      <c r="B13" s="3" t="s">
        <v>32</v>
      </c>
      <c r="C13" s="3" t="s">
        <v>33</v>
      </c>
      <c r="D13" s="3" t="s">
        <v>22</v>
      </c>
      <c r="E13" s="4">
        <v>565000</v>
      </c>
      <c r="F13" s="5">
        <v>2953.82</v>
      </c>
      <c r="G13" s="6">
        <v>3.829304E-2</v>
      </c>
      <c r="H13" s="109"/>
    </row>
    <row r="14" spans="1:14" ht="17.100000000000001" customHeight="1" x14ac:dyDescent="0.2">
      <c r="A14" s="100">
        <v>8</v>
      </c>
      <c r="B14" s="3" t="s">
        <v>356</v>
      </c>
      <c r="C14" s="3" t="s">
        <v>357</v>
      </c>
      <c r="D14" s="3" t="s">
        <v>203</v>
      </c>
      <c r="E14" s="4">
        <v>72000</v>
      </c>
      <c r="F14" s="5">
        <v>2460.2040000000002</v>
      </c>
      <c r="G14" s="6">
        <v>3.1893850000000001E-2</v>
      </c>
      <c r="H14" s="109"/>
      <c r="J14" s="169" t="s">
        <v>1075</v>
      </c>
    </row>
    <row r="15" spans="1:14" ht="17.100000000000001" customHeight="1" x14ac:dyDescent="0.2">
      <c r="A15" s="100">
        <v>9</v>
      </c>
      <c r="B15" s="3" t="s">
        <v>45</v>
      </c>
      <c r="C15" s="3" t="s">
        <v>46</v>
      </c>
      <c r="D15" s="3" t="s">
        <v>47</v>
      </c>
      <c r="E15" s="4">
        <v>1625000</v>
      </c>
      <c r="F15" s="5">
        <v>2364.375</v>
      </c>
      <c r="G15" s="6">
        <v>3.065153E-2</v>
      </c>
      <c r="H15" s="109"/>
    </row>
    <row r="16" spans="1:14" ht="17.100000000000001" customHeight="1" x14ac:dyDescent="0.2">
      <c r="A16" s="100">
        <v>10</v>
      </c>
      <c r="B16" s="3" t="s">
        <v>69</v>
      </c>
      <c r="C16" s="3" t="s">
        <v>70</v>
      </c>
      <c r="D16" s="3" t="s">
        <v>71</v>
      </c>
      <c r="E16" s="4">
        <v>25000</v>
      </c>
      <c r="F16" s="5">
        <v>2156.0875000000001</v>
      </c>
      <c r="G16" s="6">
        <v>2.795131E-2</v>
      </c>
      <c r="H16" s="109"/>
    </row>
    <row r="17" spans="1:10" ht="17.100000000000001" customHeight="1" x14ac:dyDescent="0.2">
      <c r="A17" s="100">
        <v>11</v>
      </c>
      <c r="B17" s="3" t="s">
        <v>344</v>
      </c>
      <c r="C17" s="3" t="s">
        <v>345</v>
      </c>
      <c r="D17" s="3" t="s">
        <v>120</v>
      </c>
      <c r="E17" s="4">
        <v>160000</v>
      </c>
      <c r="F17" s="5">
        <v>2135.84</v>
      </c>
      <c r="G17" s="6">
        <v>2.7688830000000001E-2</v>
      </c>
      <c r="H17" s="109"/>
    </row>
    <row r="18" spans="1:10" ht="17.100000000000001" customHeight="1" x14ac:dyDescent="0.2">
      <c r="A18" s="100">
        <v>12</v>
      </c>
      <c r="B18" s="3" t="s">
        <v>63</v>
      </c>
      <c r="C18" s="3" t="s">
        <v>64</v>
      </c>
      <c r="D18" s="3" t="s">
        <v>36</v>
      </c>
      <c r="E18" s="4">
        <v>662365</v>
      </c>
      <c r="F18" s="5">
        <v>2103.3400575000001</v>
      </c>
      <c r="G18" s="6">
        <v>2.72675E-2</v>
      </c>
      <c r="H18" s="109"/>
    </row>
    <row r="19" spans="1:10" ht="29.1" customHeight="1" x14ac:dyDescent="0.2">
      <c r="A19" s="100">
        <v>13</v>
      </c>
      <c r="B19" s="3" t="s">
        <v>118</v>
      </c>
      <c r="C19" s="3" t="s">
        <v>119</v>
      </c>
      <c r="D19" s="3" t="s">
        <v>120</v>
      </c>
      <c r="E19" s="4">
        <v>273000</v>
      </c>
      <c r="F19" s="5">
        <v>2065.2449999999999</v>
      </c>
      <c r="G19" s="6">
        <v>2.6773640000000001E-2</v>
      </c>
      <c r="H19" s="109"/>
    </row>
    <row r="20" spans="1:10" ht="17.100000000000001" customHeight="1" x14ac:dyDescent="0.2">
      <c r="A20" s="100">
        <v>14</v>
      </c>
      <c r="B20" s="3" t="s">
        <v>502</v>
      </c>
      <c r="C20" s="3" t="s">
        <v>503</v>
      </c>
      <c r="D20" s="3" t="s">
        <v>334</v>
      </c>
      <c r="E20" s="4">
        <v>45000</v>
      </c>
      <c r="F20" s="5">
        <v>2004.3225</v>
      </c>
      <c r="G20" s="6">
        <v>2.5983849999999999E-2</v>
      </c>
      <c r="H20" s="109"/>
    </row>
    <row r="21" spans="1:10" ht="29.1" customHeight="1" x14ac:dyDescent="0.2">
      <c r="A21" s="100">
        <v>15</v>
      </c>
      <c r="B21" s="3" t="s">
        <v>50</v>
      </c>
      <c r="C21" s="3" t="s">
        <v>51</v>
      </c>
      <c r="D21" s="3" t="s">
        <v>52</v>
      </c>
      <c r="E21" s="4">
        <v>2100000</v>
      </c>
      <c r="F21" s="5">
        <v>1986.6</v>
      </c>
      <c r="G21" s="6">
        <v>2.575409E-2</v>
      </c>
      <c r="H21" s="109"/>
      <c r="J21" s="169" t="s">
        <v>1076</v>
      </c>
    </row>
    <row r="22" spans="1:10" ht="17.100000000000001" customHeight="1" x14ac:dyDescent="0.2">
      <c r="A22" s="100">
        <v>16</v>
      </c>
      <c r="B22" s="3" t="s">
        <v>224</v>
      </c>
      <c r="C22" s="3" t="s">
        <v>225</v>
      </c>
      <c r="D22" s="3" t="s">
        <v>196</v>
      </c>
      <c r="E22" s="4">
        <v>134000</v>
      </c>
      <c r="F22" s="5">
        <v>1938.846</v>
      </c>
      <c r="G22" s="6">
        <v>2.5135020000000001E-2</v>
      </c>
      <c r="H22" s="109"/>
    </row>
    <row r="23" spans="1:10" ht="17.100000000000001" customHeight="1" x14ac:dyDescent="0.2">
      <c r="A23" s="100">
        <v>17</v>
      </c>
      <c r="B23" s="3" t="s">
        <v>348</v>
      </c>
      <c r="C23" s="3" t="s">
        <v>349</v>
      </c>
      <c r="D23" s="3" t="s">
        <v>71</v>
      </c>
      <c r="E23" s="4">
        <v>450000</v>
      </c>
      <c r="F23" s="5">
        <v>1893.15</v>
      </c>
      <c r="G23" s="6">
        <v>2.4542620000000001E-2</v>
      </c>
      <c r="H23" s="109"/>
    </row>
    <row r="24" spans="1:10" ht="17.100000000000001" customHeight="1" x14ac:dyDescent="0.2">
      <c r="A24" s="100">
        <v>18</v>
      </c>
      <c r="B24" s="3" t="s">
        <v>102</v>
      </c>
      <c r="C24" s="3" t="s">
        <v>103</v>
      </c>
      <c r="D24" s="3" t="s">
        <v>47</v>
      </c>
      <c r="E24" s="4">
        <v>143000</v>
      </c>
      <c r="F24" s="5">
        <v>1778.8485000000001</v>
      </c>
      <c r="G24" s="6">
        <v>2.3060819999999999E-2</v>
      </c>
      <c r="H24" s="109"/>
    </row>
    <row r="25" spans="1:10" ht="17.100000000000001" customHeight="1" x14ac:dyDescent="0.2">
      <c r="A25" s="100">
        <v>19</v>
      </c>
      <c r="B25" s="3" t="s">
        <v>34</v>
      </c>
      <c r="C25" s="3" t="s">
        <v>35</v>
      </c>
      <c r="D25" s="3" t="s">
        <v>36</v>
      </c>
      <c r="E25" s="4">
        <v>54000</v>
      </c>
      <c r="F25" s="5">
        <v>1737.3689999999999</v>
      </c>
      <c r="G25" s="6">
        <v>2.2523089999999999E-2</v>
      </c>
      <c r="H25" s="109"/>
    </row>
    <row r="26" spans="1:10" ht="29.1" customHeight="1" x14ac:dyDescent="0.2">
      <c r="A26" s="100">
        <v>20</v>
      </c>
      <c r="B26" s="3" t="s">
        <v>186</v>
      </c>
      <c r="C26" s="3" t="s">
        <v>187</v>
      </c>
      <c r="D26" s="3" t="s">
        <v>188</v>
      </c>
      <c r="E26" s="4">
        <v>40584</v>
      </c>
      <c r="F26" s="5">
        <v>1675.3481039999999</v>
      </c>
      <c r="G26" s="6">
        <v>2.171905E-2</v>
      </c>
      <c r="H26" s="109"/>
    </row>
    <row r="27" spans="1:10" ht="17.100000000000001" customHeight="1" x14ac:dyDescent="0.2">
      <c r="A27" s="100">
        <v>21</v>
      </c>
      <c r="B27" s="3" t="s">
        <v>98</v>
      </c>
      <c r="C27" s="3" t="s">
        <v>99</v>
      </c>
      <c r="D27" s="3" t="s">
        <v>97</v>
      </c>
      <c r="E27" s="4">
        <v>193000</v>
      </c>
      <c r="F27" s="5">
        <v>1654.7819999999999</v>
      </c>
      <c r="G27" s="6">
        <v>2.145244E-2</v>
      </c>
      <c r="H27" s="109"/>
    </row>
    <row r="28" spans="1:10" ht="17.100000000000001" customHeight="1" x14ac:dyDescent="0.2">
      <c r="A28" s="100">
        <v>22</v>
      </c>
      <c r="B28" s="3" t="s">
        <v>264</v>
      </c>
      <c r="C28" s="3" t="s">
        <v>265</v>
      </c>
      <c r="D28" s="3" t="s">
        <v>996</v>
      </c>
      <c r="E28" s="4">
        <v>33000</v>
      </c>
      <c r="F28" s="5">
        <v>1558.2764999999999</v>
      </c>
      <c r="G28" s="6">
        <v>2.020135E-2</v>
      </c>
      <c r="H28" s="109"/>
    </row>
    <row r="29" spans="1:10" ht="17.100000000000001" customHeight="1" x14ac:dyDescent="0.2">
      <c r="A29" s="100">
        <v>23</v>
      </c>
      <c r="B29" s="3" t="s">
        <v>340</v>
      </c>
      <c r="C29" s="3" t="s">
        <v>341</v>
      </c>
      <c r="D29" s="3" t="s">
        <v>235</v>
      </c>
      <c r="E29" s="4">
        <v>463000</v>
      </c>
      <c r="F29" s="5">
        <v>1438.7725</v>
      </c>
      <c r="G29" s="6">
        <v>1.865211E-2</v>
      </c>
      <c r="H29" s="109"/>
    </row>
    <row r="30" spans="1:10" ht="17.100000000000001" customHeight="1" x14ac:dyDescent="0.2">
      <c r="A30" s="100">
        <v>24</v>
      </c>
      <c r="B30" s="3" t="s">
        <v>358</v>
      </c>
      <c r="C30" s="3" t="s">
        <v>359</v>
      </c>
      <c r="D30" s="3" t="s">
        <v>36</v>
      </c>
      <c r="E30" s="4">
        <v>1945000</v>
      </c>
      <c r="F30" s="5">
        <v>1357.61</v>
      </c>
      <c r="G30" s="6">
        <v>1.759993E-2</v>
      </c>
      <c r="H30" s="109"/>
    </row>
    <row r="31" spans="1:10" ht="17.100000000000001" customHeight="1" x14ac:dyDescent="0.2">
      <c r="A31" s="100">
        <v>25</v>
      </c>
      <c r="B31" s="3" t="s">
        <v>104</v>
      </c>
      <c r="C31" s="3" t="s">
        <v>105</v>
      </c>
      <c r="D31" s="3" t="s">
        <v>80</v>
      </c>
      <c r="E31" s="4">
        <v>271788</v>
      </c>
      <c r="F31" s="5">
        <v>1217.882028</v>
      </c>
      <c r="G31" s="6">
        <v>1.5788509999999999E-2</v>
      </c>
      <c r="H31" s="109"/>
    </row>
    <row r="32" spans="1:10" ht="17.100000000000001" customHeight="1" x14ac:dyDescent="0.2">
      <c r="A32" s="100">
        <v>26</v>
      </c>
      <c r="B32" s="3" t="s">
        <v>226</v>
      </c>
      <c r="C32" s="3" t="s">
        <v>227</v>
      </c>
      <c r="D32" s="3" t="s">
        <v>228</v>
      </c>
      <c r="E32" s="4">
        <v>3000</v>
      </c>
      <c r="F32" s="5">
        <v>1139.0895</v>
      </c>
      <c r="G32" s="6">
        <v>1.476705E-2</v>
      </c>
      <c r="H32" s="109"/>
    </row>
    <row r="33" spans="1:8" ht="17.100000000000001" customHeight="1" x14ac:dyDescent="0.2">
      <c r="A33" s="100">
        <v>27</v>
      </c>
      <c r="B33" s="3" t="s">
        <v>208</v>
      </c>
      <c r="C33" s="3" t="s">
        <v>209</v>
      </c>
      <c r="D33" s="3" t="s">
        <v>210</v>
      </c>
      <c r="E33" s="4">
        <v>404000</v>
      </c>
      <c r="F33" s="5">
        <v>1079.69</v>
      </c>
      <c r="G33" s="6">
        <v>1.3997000000000001E-2</v>
      </c>
      <c r="H33" s="109"/>
    </row>
    <row r="34" spans="1:8" ht="17.100000000000001" customHeight="1" x14ac:dyDescent="0.2">
      <c r="A34" s="100">
        <v>28</v>
      </c>
      <c r="B34" s="3" t="s">
        <v>290</v>
      </c>
      <c r="C34" s="3" t="s">
        <v>291</v>
      </c>
      <c r="D34" s="3" t="s">
        <v>115</v>
      </c>
      <c r="E34" s="4">
        <v>28000</v>
      </c>
      <c r="F34" s="5">
        <v>809.38199999999995</v>
      </c>
      <c r="G34" s="6">
        <v>1.049275E-2</v>
      </c>
      <c r="H34" s="109"/>
    </row>
    <row r="35" spans="1:8" ht="17.100000000000001" customHeight="1" x14ac:dyDescent="0.2">
      <c r="A35" s="100">
        <v>29</v>
      </c>
      <c r="B35" s="3" t="s">
        <v>130</v>
      </c>
      <c r="C35" s="3" t="s">
        <v>131</v>
      </c>
      <c r="D35" s="3" t="s">
        <v>120</v>
      </c>
      <c r="E35" s="4">
        <v>143000</v>
      </c>
      <c r="F35" s="5">
        <v>323.62329999999997</v>
      </c>
      <c r="G35" s="6">
        <v>4.1954200000000001E-3</v>
      </c>
      <c r="H35" s="109"/>
    </row>
    <row r="36" spans="1:8" ht="14.1" customHeight="1" x14ac:dyDescent="0.2">
      <c r="A36" s="99"/>
      <c r="B36" s="1"/>
      <c r="C36" s="2" t="s">
        <v>135</v>
      </c>
      <c r="D36" s="1"/>
      <c r="E36" s="1" t="s">
        <v>136</v>
      </c>
      <c r="F36" s="8">
        <v>69125.711989500007</v>
      </c>
      <c r="G36" s="9">
        <v>0.89613916000000005</v>
      </c>
      <c r="H36" s="109"/>
    </row>
    <row r="37" spans="1:8" ht="14.1" customHeight="1" x14ac:dyDescent="0.2">
      <c r="A37" s="99"/>
      <c r="B37" s="1"/>
      <c r="C37" s="10"/>
      <c r="D37" s="1"/>
      <c r="E37" s="1"/>
      <c r="F37" s="11"/>
      <c r="G37" s="11"/>
      <c r="H37" s="109"/>
    </row>
    <row r="38" spans="1:8" ht="14.1" customHeight="1" x14ac:dyDescent="0.2">
      <c r="A38" s="99"/>
      <c r="B38" s="1"/>
      <c r="C38" s="2" t="s">
        <v>137</v>
      </c>
      <c r="D38" s="1"/>
      <c r="E38" s="1"/>
      <c r="F38" s="1"/>
      <c r="G38" s="1"/>
      <c r="H38" s="109"/>
    </row>
    <row r="39" spans="1:8" ht="14.1" customHeight="1" x14ac:dyDescent="0.2">
      <c r="A39" s="99"/>
      <c r="B39" s="1"/>
      <c r="C39" s="2" t="s">
        <v>135</v>
      </c>
      <c r="D39" s="1"/>
      <c r="E39" s="1" t="s">
        <v>136</v>
      </c>
      <c r="F39" s="115">
        <v>0</v>
      </c>
      <c r="G39" s="9">
        <v>0</v>
      </c>
      <c r="H39" s="109"/>
    </row>
    <row r="40" spans="1:8" ht="14.1" customHeight="1" x14ac:dyDescent="0.2">
      <c r="A40" s="99"/>
      <c r="B40" s="1"/>
      <c r="C40" s="10"/>
      <c r="D40" s="1"/>
      <c r="E40" s="1"/>
      <c r="F40" s="11"/>
      <c r="G40" s="11"/>
      <c r="H40" s="109"/>
    </row>
    <row r="41" spans="1:8" ht="14.1" customHeight="1" x14ac:dyDescent="0.2">
      <c r="A41" s="99"/>
      <c r="B41" s="1"/>
      <c r="C41" s="2" t="s">
        <v>138</v>
      </c>
      <c r="D41" s="1"/>
      <c r="E41" s="1"/>
      <c r="F41" s="1"/>
      <c r="G41" s="1"/>
      <c r="H41" s="109"/>
    </row>
    <row r="42" spans="1:8" ht="14.1" customHeight="1" x14ac:dyDescent="0.2">
      <c r="A42" s="99"/>
      <c r="B42" s="1"/>
      <c r="C42" s="2" t="s">
        <v>135</v>
      </c>
      <c r="D42" s="1"/>
      <c r="E42" s="1" t="s">
        <v>136</v>
      </c>
      <c r="F42" s="115">
        <v>0</v>
      </c>
      <c r="G42" s="9">
        <v>0</v>
      </c>
      <c r="H42" s="109"/>
    </row>
    <row r="43" spans="1:8" ht="14.1" customHeight="1" x14ac:dyDescent="0.2">
      <c r="A43" s="99"/>
      <c r="B43" s="1"/>
      <c r="C43" s="10"/>
      <c r="D43" s="1"/>
      <c r="E43" s="1"/>
      <c r="F43" s="11"/>
      <c r="G43" s="11"/>
      <c r="H43" s="109"/>
    </row>
    <row r="44" spans="1:8" ht="14.1" customHeight="1" x14ac:dyDescent="0.2">
      <c r="A44" s="99"/>
      <c r="B44" s="1"/>
      <c r="C44" s="2" t="s">
        <v>139</v>
      </c>
      <c r="D44" s="1"/>
      <c r="E44" s="1"/>
      <c r="F44" s="1"/>
      <c r="G44" s="1"/>
      <c r="H44" s="109"/>
    </row>
    <row r="45" spans="1:8" ht="14.1" customHeight="1" x14ac:dyDescent="0.2">
      <c r="A45" s="99"/>
      <c r="B45" s="1"/>
      <c r="C45" s="2" t="s">
        <v>135</v>
      </c>
      <c r="D45" s="1"/>
      <c r="E45" s="1" t="s">
        <v>136</v>
      </c>
      <c r="F45" s="115">
        <v>0</v>
      </c>
      <c r="G45" s="9">
        <v>0</v>
      </c>
      <c r="H45" s="109"/>
    </row>
    <row r="46" spans="1:8" ht="14.1" customHeight="1" x14ac:dyDescent="0.2">
      <c r="A46" s="99"/>
      <c r="B46" s="1"/>
      <c r="C46" s="10"/>
      <c r="D46" s="1"/>
      <c r="E46" s="1"/>
      <c r="F46" s="11"/>
      <c r="G46" s="11"/>
      <c r="H46" s="109"/>
    </row>
    <row r="47" spans="1:8" ht="14.1" customHeight="1" x14ac:dyDescent="0.2">
      <c r="A47" s="99"/>
      <c r="B47" s="1"/>
      <c r="C47" s="2" t="s">
        <v>140</v>
      </c>
      <c r="D47" s="1"/>
      <c r="E47" s="1"/>
      <c r="F47" s="11"/>
      <c r="G47" s="11"/>
      <c r="H47" s="109"/>
    </row>
    <row r="48" spans="1:8" ht="14.1" customHeight="1" x14ac:dyDescent="0.2">
      <c r="A48" s="99"/>
      <c r="B48" s="1"/>
      <c r="C48" s="2" t="s">
        <v>135</v>
      </c>
      <c r="D48" s="1"/>
      <c r="E48" s="1" t="s">
        <v>136</v>
      </c>
      <c r="F48" s="115">
        <v>0</v>
      </c>
      <c r="G48" s="9">
        <v>0</v>
      </c>
      <c r="H48" s="109"/>
    </row>
    <row r="49" spans="1:8" ht="14.1" customHeight="1" x14ac:dyDescent="0.2">
      <c r="A49" s="99"/>
      <c r="B49" s="1"/>
      <c r="C49" s="10"/>
      <c r="D49" s="1"/>
      <c r="E49" s="1"/>
      <c r="F49" s="11"/>
      <c r="G49" s="11"/>
      <c r="H49" s="109"/>
    </row>
    <row r="50" spans="1:8" ht="14.1" customHeight="1" x14ac:dyDescent="0.2">
      <c r="A50" s="99"/>
      <c r="B50" s="1"/>
      <c r="C50" s="2" t="s">
        <v>141</v>
      </c>
      <c r="D50" s="1"/>
      <c r="E50" s="1"/>
      <c r="F50" s="11"/>
      <c r="G50" s="11"/>
      <c r="H50" s="109"/>
    </row>
    <row r="51" spans="1:8" ht="14.1" customHeight="1" x14ac:dyDescent="0.2">
      <c r="A51" s="99"/>
      <c r="B51" s="1"/>
      <c r="C51" s="2" t="s">
        <v>135</v>
      </c>
      <c r="D51" s="1"/>
      <c r="E51" s="1" t="s">
        <v>136</v>
      </c>
      <c r="F51" s="115">
        <v>0</v>
      </c>
      <c r="G51" s="9">
        <v>0</v>
      </c>
      <c r="H51" s="109"/>
    </row>
    <row r="52" spans="1:8" ht="14.1" customHeight="1" x14ac:dyDescent="0.2">
      <c r="A52" s="99"/>
      <c r="B52" s="1"/>
      <c r="C52" s="10"/>
      <c r="D52" s="1"/>
      <c r="E52" s="1"/>
      <c r="F52" s="11"/>
      <c r="G52" s="11"/>
      <c r="H52" s="109"/>
    </row>
    <row r="53" spans="1:8" ht="18" customHeight="1" x14ac:dyDescent="0.2">
      <c r="A53" s="99"/>
      <c r="B53" s="1"/>
      <c r="C53" s="2" t="s">
        <v>142</v>
      </c>
      <c r="D53" s="1"/>
      <c r="E53" s="1"/>
      <c r="F53" s="8">
        <v>69125.711989500007</v>
      </c>
      <c r="G53" s="9">
        <v>0.89613916000000005</v>
      </c>
      <c r="H53" s="109"/>
    </row>
    <row r="54" spans="1:8" ht="14.1" customHeight="1" x14ac:dyDescent="0.2">
      <c r="A54" s="99"/>
      <c r="B54" s="1"/>
      <c r="C54" s="10"/>
      <c r="D54" s="1"/>
      <c r="E54" s="1"/>
      <c r="F54" s="11"/>
      <c r="G54" s="11"/>
      <c r="H54" s="109"/>
    </row>
    <row r="55" spans="1:8" ht="14.1" customHeight="1" x14ac:dyDescent="0.2">
      <c r="A55" s="99"/>
      <c r="B55" s="1"/>
      <c r="C55" s="2" t="s">
        <v>143</v>
      </c>
      <c r="D55" s="1"/>
      <c r="E55" s="1"/>
      <c r="F55" s="11"/>
      <c r="G55" s="11"/>
      <c r="H55" s="109"/>
    </row>
    <row r="56" spans="1:8" ht="24" customHeight="1" x14ac:dyDescent="0.2">
      <c r="A56" s="99"/>
      <c r="B56" s="1"/>
      <c r="C56" s="2" t="s">
        <v>10</v>
      </c>
      <c r="D56" s="1"/>
      <c r="E56" s="1"/>
      <c r="F56" s="11"/>
      <c r="G56" s="11"/>
      <c r="H56" s="109"/>
    </row>
    <row r="57" spans="1:8" ht="14.1" customHeight="1" x14ac:dyDescent="0.2">
      <c r="A57" s="99"/>
      <c r="B57" s="1"/>
      <c r="C57" s="2" t="s">
        <v>135</v>
      </c>
      <c r="D57" s="1"/>
      <c r="E57" s="1" t="s">
        <v>136</v>
      </c>
      <c r="F57" s="115">
        <v>0</v>
      </c>
      <c r="G57" s="9">
        <v>0</v>
      </c>
      <c r="H57" s="109"/>
    </row>
    <row r="58" spans="1:8" ht="14.1" customHeight="1" x14ac:dyDescent="0.2">
      <c r="A58" s="99"/>
      <c r="B58" s="1"/>
      <c r="C58" s="10"/>
      <c r="D58" s="1"/>
      <c r="E58" s="1"/>
      <c r="F58" s="11"/>
      <c r="G58" s="11"/>
      <c r="H58" s="109"/>
    </row>
    <row r="59" spans="1:8" ht="14.1" customHeight="1" x14ac:dyDescent="0.2">
      <c r="A59" s="99"/>
      <c r="B59" s="1"/>
      <c r="C59" s="2" t="s">
        <v>144</v>
      </c>
      <c r="D59" s="1"/>
      <c r="E59" s="1"/>
      <c r="F59" s="1"/>
      <c r="G59" s="1"/>
      <c r="H59" s="109"/>
    </row>
    <row r="60" spans="1:8" ht="14.1" customHeight="1" x14ac:dyDescent="0.2">
      <c r="A60" s="99"/>
      <c r="B60" s="1"/>
      <c r="C60" s="2" t="s">
        <v>135</v>
      </c>
      <c r="D60" s="1"/>
      <c r="E60" s="1" t="s">
        <v>136</v>
      </c>
      <c r="F60" s="115">
        <v>0</v>
      </c>
      <c r="G60" s="9">
        <v>0</v>
      </c>
      <c r="H60" s="109"/>
    </row>
    <row r="61" spans="1:8" ht="14.1" customHeight="1" x14ac:dyDescent="0.2">
      <c r="A61" s="99"/>
      <c r="B61" s="1"/>
      <c r="C61" s="10"/>
      <c r="D61" s="1"/>
      <c r="E61" s="1"/>
      <c r="F61" s="11"/>
      <c r="G61" s="11"/>
      <c r="H61" s="109"/>
    </row>
    <row r="62" spans="1:8" ht="14.1" customHeight="1" x14ac:dyDescent="0.2">
      <c r="A62" s="99"/>
      <c r="B62" s="1"/>
      <c r="C62" s="2" t="s">
        <v>145</v>
      </c>
      <c r="D62" s="1"/>
      <c r="E62" s="1"/>
      <c r="F62" s="1"/>
      <c r="G62" s="1"/>
      <c r="H62" s="109"/>
    </row>
    <row r="63" spans="1:8" ht="14.1" customHeight="1" x14ac:dyDescent="0.2">
      <c r="A63" s="99"/>
      <c r="B63" s="1"/>
      <c r="C63" s="2" t="s">
        <v>135</v>
      </c>
      <c r="D63" s="1"/>
      <c r="E63" s="1" t="s">
        <v>136</v>
      </c>
      <c r="F63" s="115">
        <v>0</v>
      </c>
      <c r="G63" s="9">
        <v>0</v>
      </c>
      <c r="H63" s="109"/>
    </row>
    <row r="64" spans="1:8" ht="14.1" customHeight="1" x14ac:dyDescent="0.2">
      <c r="A64" s="99"/>
      <c r="B64" s="1"/>
      <c r="C64" s="10"/>
      <c r="D64" s="1"/>
      <c r="E64" s="1"/>
      <c r="F64" s="11"/>
      <c r="G64" s="11"/>
      <c r="H64" s="109"/>
    </row>
    <row r="65" spans="1:8" ht="14.1" customHeight="1" x14ac:dyDescent="0.2">
      <c r="A65" s="99"/>
      <c r="B65" s="1"/>
      <c r="C65" s="2" t="s">
        <v>146</v>
      </c>
      <c r="D65" s="1"/>
      <c r="E65" s="1"/>
      <c r="F65" s="11"/>
      <c r="G65" s="11"/>
      <c r="H65" s="109"/>
    </row>
    <row r="66" spans="1:8" ht="14.1" customHeight="1" x14ac:dyDescent="0.2">
      <c r="A66" s="99"/>
      <c r="B66" s="1"/>
      <c r="C66" s="2" t="s">
        <v>135</v>
      </c>
      <c r="D66" s="1"/>
      <c r="E66" s="1" t="s">
        <v>136</v>
      </c>
      <c r="F66" s="115">
        <v>0</v>
      </c>
      <c r="G66" s="9">
        <v>0</v>
      </c>
      <c r="H66" s="109"/>
    </row>
    <row r="67" spans="1:8" ht="14.1" customHeight="1" x14ac:dyDescent="0.2">
      <c r="A67" s="99"/>
      <c r="B67" s="1"/>
      <c r="C67" s="10"/>
      <c r="D67" s="1"/>
      <c r="E67" s="1"/>
      <c r="F67" s="11"/>
      <c r="G67" s="11"/>
      <c r="H67" s="109"/>
    </row>
    <row r="68" spans="1:8" ht="14.1" customHeight="1" x14ac:dyDescent="0.2">
      <c r="A68" s="99"/>
      <c r="B68" s="1"/>
      <c r="C68" s="2" t="s">
        <v>147</v>
      </c>
      <c r="D68" s="1"/>
      <c r="E68" s="1"/>
      <c r="F68" s="8">
        <v>0</v>
      </c>
      <c r="G68" s="9">
        <v>0</v>
      </c>
      <c r="H68" s="109"/>
    </row>
    <row r="69" spans="1:8" ht="14.1" customHeight="1" x14ac:dyDescent="0.2">
      <c r="A69" s="99"/>
      <c r="B69" s="1"/>
      <c r="C69" s="10"/>
      <c r="D69" s="1"/>
      <c r="E69" s="1"/>
      <c r="F69" s="11"/>
      <c r="G69" s="11"/>
      <c r="H69" s="109"/>
    </row>
    <row r="70" spans="1:8" ht="14.1" customHeight="1" x14ac:dyDescent="0.2">
      <c r="A70" s="99"/>
      <c r="B70" s="1"/>
      <c r="C70" s="2" t="s">
        <v>148</v>
      </c>
      <c r="D70" s="1"/>
      <c r="E70" s="1"/>
      <c r="F70" s="11"/>
      <c r="G70" s="11"/>
      <c r="H70" s="109"/>
    </row>
    <row r="71" spans="1:8" ht="14.1" customHeight="1" x14ac:dyDescent="0.2">
      <c r="A71" s="99"/>
      <c r="B71" s="1"/>
      <c r="C71" s="2" t="s">
        <v>149</v>
      </c>
      <c r="D71" s="1"/>
      <c r="E71" s="1"/>
      <c r="F71" s="11"/>
      <c r="G71" s="11"/>
      <c r="H71" s="109"/>
    </row>
    <row r="72" spans="1:8" ht="14.1" customHeight="1" x14ac:dyDescent="0.2">
      <c r="A72" s="99"/>
      <c r="B72" s="1"/>
      <c r="C72" s="2" t="s">
        <v>135</v>
      </c>
      <c r="D72" s="1"/>
      <c r="E72" s="1" t="s">
        <v>136</v>
      </c>
      <c r="F72" s="115">
        <v>0</v>
      </c>
      <c r="G72" s="9">
        <v>0</v>
      </c>
      <c r="H72" s="109"/>
    </row>
    <row r="73" spans="1:8" ht="14.1" customHeight="1" x14ac:dyDescent="0.2">
      <c r="A73" s="99"/>
      <c r="B73" s="1"/>
      <c r="C73" s="10"/>
      <c r="D73" s="1"/>
      <c r="E73" s="1"/>
      <c r="F73" s="11"/>
      <c r="G73" s="11"/>
      <c r="H73" s="109"/>
    </row>
    <row r="74" spans="1:8" ht="14.1" customHeight="1" x14ac:dyDescent="0.2">
      <c r="A74" s="99"/>
      <c r="B74" s="1"/>
      <c r="C74" s="2" t="s">
        <v>150</v>
      </c>
      <c r="D74" s="1"/>
      <c r="E74" s="1"/>
      <c r="F74" s="11"/>
      <c r="G74" s="11"/>
      <c r="H74" s="109"/>
    </row>
    <row r="75" spans="1:8" ht="14.1" customHeight="1" x14ac:dyDescent="0.2">
      <c r="A75" s="99"/>
      <c r="B75" s="1"/>
      <c r="C75" s="2" t="s">
        <v>135</v>
      </c>
      <c r="D75" s="1"/>
      <c r="E75" s="1" t="s">
        <v>136</v>
      </c>
      <c r="F75" s="115">
        <v>0</v>
      </c>
      <c r="G75" s="9">
        <v>0</v>
      </c>
      <c r="H75" s="109"/>
    </row>
    <row r="76" spans="1:8" ht="14.1" customHeight="1" x14ac:dyDescent="0.2">
      <c r="A76" s="99"/>
      <c r="B76" s="1"/>
      <c r="C76" s="10"/>
      <c r="D76" s="1"/>
      <c r="E76" s="1"/>
      <c r="F76" s="11"/>
      <c r="G76" s="11"/>
      <c r="H76" s="109"/>
    </row>
    <row r="77" spans="1:8" ht="14.1" customHeight="1" x14ac:dyDescent="0.2">
      <c r="A77" s="99"/>
      <c r="B77" s="1"/>
      <c r="C77" s="2" t="s">
        <v>151</v>
      </c>
      <c r="D77" s="1"/>
      <c r="E77" s="1"/>
      <c r="F77" s="11"/>
      <c r="G77" s="11"/>
      <c r="H77" s="109"/>
    </row>
    <row r="78" spans="1:8" ht="14.1" customHeight="1" x14ac:dyDescent="0.2">
      <c r="A78" s="99"/>
      <c r="B78" s="1"/>
      <c r="C78" s="2" t="s">
        <v>135</v>
      </c>
      <c r="D78" s="1"/>
      <c r="E78" s="1" t="s">
        <v>136</v>
      </c>
      <c r="F78" s="115">
        <v>0</v>
      </c>
      <c r="G78" s="9">
        <v>0</v>
      </c>
      <c r="H78" s="109"/>
    </row>
    <row r="79" spans="1:8" ht="14.1" customHeight="1" x14ac:dyDescent="0.2">
      <c r="A79" s="99"/>
      <c r="B79" s="1"/>
      <c r="C79" s="10"/>
      <c r="D79" s="1"/>
      <c r="E79" s="1"/>
      <c r="F79" s="11"/>
      <c r="G79" s="11"/>
      <c r="H79" s="109"/>
    </row>
    <row r="80" spans="1:8" ht="14.1" customHeight="1" x14ac:dyDescent="0.2">
      <c r="A80" s="99"/>
      <c r="B80" s="1"/>
      <c r="C80" s="2" t="s">
        <v>152</v>
      </c>
      <c r="D80" s="1"/>
      <c r="E80" s="1"/>
      <c r="F80" s="11"/>
      <c r="G80" s="11"/>
      <c r="H80" s="109"/>
    </row>
    <row r="81" spans="1:8" ht="17.100000000000001" customHeight="1" x14ac:dyDescent="0.2">
      <c r="A81" s="100">
        <v>1</v>
      </c>
      <c r="B81" s="3"/>
      <c r="C81" s="3" t="s">
        <v>153</v>
      </c>
      <c r="D81" s="3"/>
      <c r="E81" s="7"/>
      <c r="F81" s="5">
        <v>8183.6128919800003</v>
      </c>
      <c r="G81" s="6">
        <v>0.10609158</v>
      </c>
      <c r="H81" s="109">
        <v>6.6015165706411798</v>
      </c>
    </row>
    <row r="82" spans="1:8" ht="14.1" customHeight="1" x14ac:dyDescent="0.2">
      <c r="A82" s="99"/>
      <c r="B82" s="1"/>
      <c r="C82" s="2" t="s">
        <v>135</v>
      </c>
      <c r="D82" s="1"/>
      <c r="E82" s="1" t="s">
        <v>136</v>
      </c>
      <c r="F82" s="8">
        <v>8183.6128919800003</v>
      </c>
      <c r="G82" s="9">
        <v>0.10609158</v>
      </c>
      <c r="H82" s="109"/>
    </row>
    <row r="83" spans="1:8" ht="14.1" customHeight="1" x14ac:dyDescent="0.2">
      <c r="A83" s="99"/>
      <c r="B83" s="1"/>
      <c r="C83" s="10"/>
      <c r="D83" s="1"/>
      <c r="E83" s="1"/>
      <c r="F83" s="11"/>
      <c r="G83" s="11"/>
      <c r="H83" s="109"/>
    </row>
    <row r="84" spans="1:8" ht="14.1" customHeight="1" x14ac:dyDescent="0.2">
      <c r="A84" s="99"/>
      <c r="B84" s="1"/>
      <c r="C84" s="2" t="s">
        <v>154</v>
      </c>
      <c r="D84" s="1"/>
      <c r="E84" s="1"/>
      <c r="F84" s="8">
        <v>8183.6128919800003</v>
      </c>
      <c r="G84" s="9">
        <v>0.10609158</v>
      </c>
      <c r="H84" s="109"/>
    </row>
    <row r="85" spans="1:8" ht="14.1" customHeight="1" x14ac:dyDescent="0.2">
      <c r="A85" s="99"/>
      <c r="B85" s="1"/>
      <c r="C85" s="11"/>
      <c r="D85" s="1"/>
      <c r="E85" s="1"/>
      <c r="F85" s="1"/>
      <c r="G85" s="1"/>
      <c r="H85" s="109"/>
    </row>
    <row r="86" spans="1:8" ht="14.1" customHeight="1" x14ac:dyDescent="0.2">
      <c r="A86" s="99"/>
      <c r="B86" s="1"/>
      <c r="C86" s="2" t="s">
        <v>155</v>
      </c>
      <c r="D86" s="1"/>
      <c r="E86" s="1"/>
      <c r="F86" s="1"/>
      <c r="G86" s="1"/>
      <c r="H86" s="109"/>
    </row>
    <row r="87" spans="1:8" ht="14.1" customHeight="1" x14ac:dyDescent="0.2">
      <c r="A87" s="99"/>
      <c r="B87" s="1"/>
      <c r="C87" s="2" t="s">
        <v>156</v>
      </c>
      <c r="D87" s="1"/>
      <c r="E87" s="1"/>
      <c r="F87" s="1"/>
      <c r="G87" s="1"/>
      <c r="H87" s="109"/>
    </row>
    <row r="88" spans="1:8" ht="14.1" customHeight="1" x14ac:dyDescent="0.2">
      <c r="A88" s="99"/>
      <c r="B88" s="1"/>
      <c r="C88" s="2" t="s">
        <v>135</v>
      </c>
      <c r="D88" s="1"/>
      <c r="E88" s="1" t="s">
        <v>136</v>
      </c>
      <c r="F88" s="115">
        <v>0</v>
      </c>
      <c r="G88" s="9">
        <v>0</v>
      </c>
      <c r="H88" s="109"/>
    </row>
    <row r="89" spans="1:8" ht="14.1" customHeight="1" x14ac:dyDescent="0.2">
      <c r="A89" s="99"/>
      <c r="B89" s="1"/>
      <c r="C89" s="10"/>
      <c r="D89" s="1"/>
      <c r="E89" s="1"/>
      <c r="F89" s="11"/>
      <c r="G89" s="11"/>
      <c r="H89" s="109"/>
    </row>
    <row r="90" spans="1:8" ht="14.1" customHeight="1" x14ac:dyDescent="0.2">
      <c r="A90" s="99"/>
      <c r="B90" s="1"/>
      <c r="C90" s="2" t="s">
        <v>157</v>
      </c>
      <c r="D90" s="1"/>
      <c r="E90" s="1"/>
      <c r="F90" s="1"/>
      <c r="G90" s="1"/>
      <c r="H90" s="109"/>
    </row>
    <row r="91" spans="1:8" ht="14.1" customHeight="1" x14ac:dyDescent="0.2">
      <c r="A91" s="99"/>
      <c r="B91" s="1"/>
      <c r="C91" s="2" t="s">
        <v>158</v>
      </c>
      <c r="D91" s="1"/>
      <c r="E91" s="1"/>
      <c r="F91" s="1"/>
      <c r="G91" s="1"/>
      <c r="H91" s="109"/>
    </row>
    <row r="92" spans="1:8" ht="14.1" customHeight="1" x14ac:dyDescent="0.2">
      <c r="A92" s="99"/>
      <c r="B92" s="1"/>
      <c r="C92" s="2" t="s">
        <v>135</v>
      </c>
      <c r="D92" s="1"/>
      <c r="E92" s="1" t="s">
        <v>136</v>
      </c>
      <c r="F92" s="115">
        <v>0</v>
      </c>
      <c r="G92" s="9">
        <v>0</v>
      </c>
      <c r="H92" s="109"/>
    </row>
    <row r="93" spans="1:8" ht="14.1" customHeight="1" x14ac:dyDescent="0.2">
      <c r="A93" s="99"/>
      <c r="B93" s="1"/>
      <c r="C93" s="10"/>
      <c r="D93" s="1"/>
      <c r="E93" s="1"/>
      <c r="F93" s="11"/>
      <c r="G93" s="11"/>
      <c r="H93" s="109"/>
    </row>
    <row r="94" spans="1:8" ht="24" customHeight="1" x14ac:dyDescent="0.2">
      <c r="A94" s="99"/>
      <c r="B94" s="1"/>
      <c r="C94" s="2" t="s">
        <v>159</v>
      </c>
      <c r="D94" s="1"/>
      <c r="E94" s="1"/>
      <c r="F94" s="11"/>
      <c r="G94" s="11"/>
      <c r="H94" s="109"/>
    </row>
    <row r="95" spans="1:8" ht="14.1" customHeight="1" x14ac:dyDescent="0.2">
      <c r="A95" s="99"/>
      <c r="B95" s="1"/>
      <c r="C95" s="2" t="s">
        <v>135</v>
      </c>
      <c r="D95" s="1"/>
      <c r="E95" s="1" t="s">
        <v>136</v>
      </c>
      <c r="F95" s="115">
        <v>0</v>
      </c>
      <c r="G95" s="9">
        <v>0</v>
      </c>
      <c r="H95" s="109"/>
    </row>
    <row r="96" spans="1:8" ht="14.1" customHeight="1" x14ac:dyDescent="0.2">
      <c r="A96" s="99"/>
      <c r="B96" s="1"/>
      <c r="C96" s="10"/>
      <c r="D96" s="1"/>
      <c r="E96" s="1"/>
      <c r="F96" s="11"/>
      <c r="G96" s="11"/>
      <c r="H96" s="109"/>
    </row>
    <row r="97" spans="1:8" ht="14.1" customHeight="1" x14ac:dyDescent="0.2">
      <c r="A97" s="99"/>
      <c r="B97" s="3"/>
      <c r="C97" s="3"/>
      <c r="D97" s="2"/>
      <c r="E97" s="1"/>
      <c r="F97" s="3"/>
      <c r="G97" s="7"/>
      <c r="H97" s="109"/>
    </row>
    <row r="98" spans="1:8" ht="18" customHeight="1" x14ac:dyDescent="0.2">
      <c r="A98" s="101"/>
      <c r="B98" s="3"/>
      <c r="C98" s="3" t="s">
        <v>160</v>
      </c>
      <c r="D98" s="3"/>
      <c r="E98" s="7"/>
      <c r="F98" s="5">
        <v>-172.07326534000001</v>
      </c>
      <c r="G98" s="6">
        <v>-2.2307400000000002E-3</v>
      </c>
      <c r="H98" s="109"/>
    </row>
    <row r="99" spans="1:8" ht="14.1" customHeight="1" x14ac:dyDescent="0.2">
      <c r="A99" s="102"/>
      <c r="B99" s="10"/>
      <c r="C99" s="2" t="s">
        <v>161</v>
      </c>
      <c r="D99" s="11"/>
      <c r="E99" s="11"/>
      <c r="F99" s="8">
        <v>77137.251616139998</v>
      </c>
      <c r="G99" s="12">
        <v>1</v>
      </c>
      <c r="H99" s="109"/>
    </row>
    <row r="100" spans="1:8" ht="14.1" customHeight="1" x14ac:dyDescent="0.2">
      <c r="A100" s="13"/>
      <c r="B100" s="13"/>
      <c r="C100" s="13"/>
      <c r="D100" s="14"/>
      <c r="E100" s="14"/>
      <c r="F100" s="14"/>
      <c r="G100" s="14"/>
    </row>
    <row r="101" spans="1:8" ht="14.1" customHeight="1" x14ac:dyDescent="0.2">
      <c r="A101" s="15"/>
      <c r="B101" s="15"/>
      <c r="C101" s="15"/>
      <c r="D101" s="17"/>
      <c r="E101" s="17"/>
      <c r="F101" s="17"/>
      <c r="G101" s="17"/>
    </row>
    <row r="102" spans="1:8" ht="14.1" customHeight="1" x14ac:dyDescent="0.2">
      <c r="A102" s="15"/>
      <c r="B102" s="194" t="s">
        <v>163</v>
      </c>
      <c r="C102" s="195"/>
      <c r="D102" s="196"/>
      <c r="E102" s="18"/>
      <c r="F102" s="17"/>
      <c r="G102" s="17"/>
    </row>
    <row r="103" spans="1:8" ht="29.1" customHeight="1" x14ac:dyDescent="0.2">
      <c r="A103" s="15"/>
      <c r="B103" s="191" t="s">
        <v>164</v>
      </c>
      <c r="C103" s="192"/>
      <c r="D103" s="2" t="s">
        <v>165</v>
      </c>
      <c r="E103" s="18"/>
      <c r="F103" s="17"/>
      <c r="G103" s="17"/>
    </row>
    <row r="104" spans="1:8" ht="17.100000000000001" customHeight="1" x14ac:dyDescent="0.2">
      <c r="A104" s="15"/>
      <c r="B104" s="191" t="s">
        <v>166</v>
      </c>
      <c r="C104" s="192"/>
      <c r="D104" s="2" t="s">
        <v>165</v>
      </c>
      <c r="E104" s="18"/>
      <c r="F104" s="17"/>
      <c r="G104" s="17"/>
    </row>
    <row r="105" spans="1:8" ht="17.100000000000001" customHeight="1" x14ac:dyDescent="0.2">
      <c r="A105" s="15"/>
      <c r="B105" s="191" t="s">
        <v>167</v>
      </c>
      <c r="C105" s="192"/>
      <c r="D105" s="11" t="s">
        <v>136</v>
      </c>
      <c r="E105" s="18"/>
      <c r="F105" s="17"/>
      <c r="G105" s="17"/>
    </row>
    <row r="106" spans="1:8" ht="24" customHeight="1" x14ac:dyDescent="0.2">
      <c r="A106" s="19"/>
      <c r="B106" s="20" t="s">
        <v>136</v>
      </c>
      <c r="C106" s="20" t="s">
        <v>168</v>
      </c>
      <c r="D106" s="20" t="s">
        <v>169</v>
      </c>
      <c r="E106" s="19"/>
      <c r="F106" s="19"/>
      <c r="G106" s="19"/>
    </row>
    <row r="107" spans="1:8" ht="18" customHeight="1" x14ac:dyDescent="0.2">
      <c r="A107" s="19"/>
      <c r="B107" s="21" t="s">
        <v>170</v>
      </c>
      <c r="C107" s="20" t="s">
        <v>171</v>
      </c>
      <c r="D107" s="20" t="s">
        <v>172</v>
      </c>
      <c r="E107" s="19"/>
      <c r="F107" s="19"/>
      <c r="G107" s="19"/>
    </row>
    <row r="108" spans="1:8" ht="17.100000000000001" customHeight="1" x14ac:dyDescent="0.2">
      <c r="A108" s="19"/>
      <c r="B108" s="3" t="s">
        <v>173</v>
      </c>
      <c r="C108" s="22">
        <v>114.693</v>
      </c>
      <c r="D108" s="22">
        <v>113.621</v>
      </c>
      <c r="E108" s="19"/>
      <c r="F108" s="16"/>
      <c r="G108" s="23"/>
    </row>
    <row r="109" spans="1:8" ht="29.1" customHeight="1" x14ac:dyDescent="0.2">
      <c r="A109" s="19"/>
      <c r="B109" s="3" t="s">
        <v>1045</v>
      </c>
      <c r="C109" s="22">
        <v>34.990499999999997</v>
      </c>
      <c r="D109" s="22">
        <v>34.663400000000003</v>
      </c>
      <c r="E109" s="19"/>
      <c r="F109" s="16"/>
      <c r="G109" s="23"/>
    </row>
    <row r="110" spans="1:8" ht="17.100000000000001" customHeight="1" x14ac:dyDescent="0.2">
      <c r="A110" s="19"/>
      <c r="B110" s="3" t="s">
        <v>174</v>
      </c>
      <c r="C110" s="22">
        <v>106.21259999999999</v>
      </c>
      <c r="D110" s="22">
        <v>105.12050000000001</v>
      </c>
      <c r="E110" s="19"/>
      <c r="F110" s="16"/>
      <c r="G110" s="23"/>
    </row>
    <row r="111" spans="1:8" ht="29.1" customHeight="1" x14ac:dyDescent="0.2">
      <c r="A111" s="19"/>
      <c r="B111" s="3" t="s">
        <v>1046</v>
      </c>
      <c r="C111" s="22">
        <v>33.003599999999999</v>
      </c>
      <c r="D111" s="22">
        <v>32.664200000000001</v>
      </c>
      <c r="E111" s="19"/>
      <c r="F111" s="16"/>
      <c r="G111" s="23"/>
    </row>
    <row r="112" spans="1:8" ht="14.1" customHeight="1" x14ac:dyDescent="0.2">
      <c r="A112" s="19"/>
      <c r="B112" s="19"/>
      <c r="C112" s="19"/>
      <c r="D112" s="19"/>
      <c r="E112" s="19"/>
      <c r="F112" s="19"/>
      <c r="G112" s="19"/>
    </row>
    <row r="113" spans="1:7" ht="17.100000000000001" customHeight="1" x14ac:dyDescent="0.2">
      <c r="A113" s="19"/>
      <c r="B113" s="191" t="s">
        <v>1044</v>
      </c>
      <c r="C113" s="192"/>
      <c r="D113" s="2" t="s">
        <v>165</v>
      </c>
      <c r="E113" s="19"/>
      <c r="F113" s="19"/>
      <c r="G113" s="19"/>
    </row>
    <row r="114" spans="1:7" ht="18" customHeight="1" x14ac:dyDescent="0.2">
      <c r="A114" s="19"/>
      <c r="B114" s="24"/>
      <c r="C114" s="24"/>
      <c r="D114" s="24"/>
      <c r="E114" s="19"/>
      <c r="F114" s="19"/>
      <c r="G114" s="19"/>
    </row>
    <row r="115" spans="1:7" ht="29.1" customHeight="1" x14ac:dyDescent="0.2">
      <c r="A115" s="19"/>
      <c r="B115" s="191" t="s">
        <v>175</v>
      </c>
      <c r="C115" s="192"/>
      <c r="D115" s="2" t="s">
        <v>165</v>
      </c>
      <c r="E115" s="25"/>
      <c r="F115" s="19"/>
      <c r="G115" s="19"/>
    </row>
    <row r="116" spans="1:7" ht="29.1" customHeight="1" x14ac:dyDescent="0.2">
      <c r="A116" s="19"/>
      <c r="B116" s="191" t="s">
        <v>176</v>
      </c>
      <c r="C116" s="192"/>
      <c r="D116" s="2" t="s">
        <v>165</v>
      </c>
      <c r="E116" s="25"/>
      <c r="F116" s="19"/>
      <c r="G116" s="19"/>
    </row>
    <row r="117" spans="1:7" ht="17.100000000000001" customHeight="1" x14ac:dyDescent="0.2">
      <c r="A117" s="19"/>
      <c r="B117" s="191" t="s">
        <v>177</v>
      </c>
      <c r="C117" s="192"/>
      <c r="D117" s="2" t="s">
        <v>165</v>
      </c>
      <c r="E117" s="25"/>
      <c r="F117" s="19"/>
      <c r="G117" s="19"/>
    </row>
    <row r="118" spans="1:7" ht="17.100000000000001" customHeight="1" x14ac:dyDescent="0.2">
      <c r="A118" s="19"/>
      <c r="B118" s="191" t="s">
        <v>178</v>
      </c>
      <c r="C118" s="192"/>
      <c r="D118" s="26">
        <v>0.28094466672612911</v>
      </c>
      <c r="E118" s="19"/>
      <c r="F118" s="16"/>
      <c r="G118" s="23"/>
    </row>
    <row r="119" spans="1:7" ht="14.1" customHeight="1" x14ac:dyDescent="0.2">
      <c r="A119" s="24"/>
      <c r="B119" s="24"/>
      <c r="C119" s="24"/>
      <c r="D119" s="24"/>
      <c r="E119" s="24"/>
      <c r="F119" s="24"/>
      <c r="G119" s="24"/>
    </row>
  </sheetData>
  <mergeCells count="13">
    <mergeCell ref="J2:N2"/>
    <mergeCell ref="B105:C105"/>
    <mergeCell ref="B102:D102"/>
    <mergeCell ref="B103:C103"/>
    <mergeCell ref="B104:C104"/>
    <mergeCell ref="A1:H1"/>
    <mergeCell ref="A2:H2"/>
    <mergeCell ref="A3:H3"/>
    <mergeCell ref="B118:C118"/>
    <mergeCell ref="B115:C115"/>
    <mergeCell ref="B116:C116"/>
    <mergeCell ref="B117:C117"/>
    <mergeCell ref="B113:C113"/>
  </mergeCells>
  <hyperlinks>
    <hyperlink ref="I1" location="Index!B28" display="Index" xr:uid="{06632352-D973-4AD0-B621-324BA8E43165}"/>
  </hyperlinks>
  <pageMargins left="5.000000074505806E-2" right="5.000000074505806E-2" top="0.30000001192092896" bottom="0.20000000298023224" header="0" footer="0"/>
  <pageSetup paperSize="9" orientation="landscape" r:id="rId1"/>
  <headerFooter alignWithMargins="0"/>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N161"/>
  <sheetViews>
    <sheetView showGridLines="0" workbookViewId="0">
      <selection sqref="A1:H1"/>
    </sheetView>
  </sheetViews>
  <sheetFormatPr defaultRowHeight="12.75" x14ac:dyDescent="0.2"/>
  <cols>
    <col min="1" max="1" width="5.42578125" bestFit="1"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7" t="s">
        <v>0</v>
      </c>
      <c r="B1" s="187"/>
      <c r="C1" s="187"/>
      <c r="D1" s="187"/>
      <c r="E1" s="187"/>
      <c r="F1" s="187"/>
      <c r="G1" s="187"/>
      <c r="H1" s="187"/>
      <c r="I1" s="167" t="s">
        <v>1055</v>
      </c>
    </row>
    <row r="2" spans="1:14" ht="17.100000000000001" customHeight="1" x14ac:dyDescent="0.2">
      <c r="A2" s="188" t="s">
        <v>714</v>
      </c>
      <c r="B2" s="189"/>
      <c r="C2" s="189"/>
      <c r="D2" s="189"/>
      <c r="E2" s="189"/>
      <c r="F2" s="189"/>
      <c r="G2" s="189"/>
      <c r="H2" s="190"/>
      <c r="J2" s="186" t="s">
        <v>1056</v>
      </c>
      <c r="K2" s="186"/>
      <c r="L2" s="186"/>
      <c r="M2" s="186"/>
      <c r="N2" s="186"/>
    </row>
    <row r="3" spans="1:14" ht="21" customHeight="1" x14ac:dyDescent="0.2">
      <c r="A3" s="187" t="s">
        <v>1052</v>
      </c>
      <c r="B3" s="187"/>
      <c r="C3" s="187"/>
      <c r="D3" s="187"/>
      <c r="E3" s="187"/>
      <c r="F3" s="187"/>
      <c r="G3" s="187"/>
      <c r="H3" s="187"/>
    </row>
    <row r="4" spans="1:14" ht="30" x14ac:dyDescent="0.2">
      <c r="A4" s="163" t="s">
        <v>2</v>
      </c>
      <c r="B4" s="164" t="s">
        <v>3</v>
      </c>
      <c r="C4" s="164" t="s">
        <v>4</v>
      </c>
      <c r="D4" s="164" t="s">
        <v>5</v>
      </c>
      <c r="E4" s="164" t="s">
        <v>6</v>
      </c>
      <c r="F4" s="164" t="s">
        <v>7</v>
      </c>
      <c r="G4" s="164" t="s">
        <v>8</v>
      </c>
      <c r="H4" s="120" t="s">
        <v>881</v>
      </c>
      <c r="I4" s="165"/>
      <c r="J4" s="165"/>
      <c r="K4" s="165"/>
      <c r="L4" s="165"/>
      <c r="M4" s="165"/>
      <c r="N4" s="165"/>
    </row>
    <row r="5" spans="1:14" ht="14.1" customHeight="1" x14ac:dyDescent="0.2">
      <c r="A5" s="99"/>
      <c r="B5" s="1"/>
      <c r="C5" s="2" t="s">
        <v>9</v>
      </c>
      <c r="D5" s="1"/>
      <c r="E5" s="1"/>
      <c r="F5" s="1"/>
      <c r="G5" s="1"/>
      <c r="H5" s="109"/>
    </row>
    <row r="6" spans="1:14" ht="24" customHeight="1" x14ac:dyDescent="0.2">
      <c r="A6" s="99"/>
      <c r="B6" s="1"/>
      <c r="C6" s="2" t="s">
        <v>10</v>
      </c>
      <c r="D6" s="1"/>
      <c r="E6" s="1"/>
      <c r="F6" s="1"/>
      <c r="G6" s="1"/>
      <c r="H6" s="109"/>
    </row>
    <row r="7" spans="1:14" ht="17.100000000000001" customHeight="1" x14ac:dyDescent="0.2">
      <c r="A7" s="100">
        <v>1</v>
      </c>
      <c r="B7" s="3" t="s">
        <v>20</v>
      </c>
      <c r="C7" s="3" t="s">
        <v>21</v>
      </c>
      <c r="D7" s="3" t="s">
        <v>22</v>
      </c>
      <c r="E7" s="4">
        <v>1174228</v>
      </c>
      <c r="F7" s="5">
        <v>10037.888058</v>
      </c>
      <c r="G7" s="6">
        <v>5.5917880000000003E-2</v>
      </c>
      <c r="H7" s="109"/>
    </row>
    <row r="8" spans="1:14" ht="17.100000000000001" customHeight="1" x14ac:dyDescent="0.2">
      <c r="A8" s="100">
        <v>2</v>
      </c>
      <c r="B8" s="3" t="s">
        <v>17</v>
      </c>
      <c r="C8" s="3" t="s">
        <v>18</v>
      </c>
      <c r="D8" s="3" t="s">
        <v>19</v>
      </c>
      <c r="E8" s="4">
        <v>422955</v>
      </c>
      <c r="F8" s="5">
        <v>9823.3413524999996</v>
      </c>
      <c r="G8" s="6">
        <v>5.4722710000000001E-2</v>
      </c>
      <c r="H8" s="109"/>
    </row>
    <row r="9" spans="1:14" ht="17.100000000000001" customHeight="1" x14ac:dyDescent="0.2">
      <c r="A9" s="100">
        <v>3</v>
      </c>
      <c r="B9" s="3" t="s">
        <v>297</v>
      </c>
      <c r="C9" s="3" t="s">
        <v>298</v>
      </c>
      <c r="D9" s="3" t="s">
        <v>22</v>
      </c>
      <c r="E9" s="4">
        <v>530246</v>
      </c>
      <c r="F9" s="5">
        <v>8481.8150160000005</v>
      </c>
      <c r="G9" s="6">
        <v>4.72495E-2</v>
      </c>
      <c r="H9" s="109"/>
    </row>
    <row r="10" spans="1:14" ht="17.100000000000001" customHeight="1" x14ac:dyDescent="0.2">
      <c r="A10" s="100">
        <v>4</v>
      </c>
      <c r="B10" s="3" t="s">
        <v>32</v>
      </c>
      <c r="C10" s="3" t="s">
        <v>33</v>
      </c>
      <c r="D10" s="3" t="s">
        <v>22</v>
      </c>
      <c r="E10" s="4">
        <v>1357380</v>
      </c>
      <c r="F10" s="5">
        <v>7096.3826399999998</v>
      </c>
      <c r="G10" s="6">
        <v>3.9531690000000001E-2</v>
      </c>
      <c r="H10" s="109"/>
    </row>
    <row r="11" spans="1:14" ht="17.100000000000001" customHeight="1" x14ac:dyDescent="0.2">
      <c r="A11" s="100">
        <v>5</v>
      </c>
      <c r="B11" s="3" t="s">
        <v>293</v>
      </c>
      <c r="C11" s="3" t="s">
        <v>294</v>
      </c>
      <c r="D11" s="3" t="s">
        <v>996</v>
      </c>
      <c r="E11" s="4">
        <v>462087</v>
      </c>
      <c r="F11" s="5">
        <v>6873.7751685000003</v>
      </c>
      <c r="G11" s="6">
        <v>3.8291619999999998E-2</v>
      </c>
      <c r="H11" s="109"/>
    </row>
    <row r="12" spans="1:14" ht="17.100000000000001" customHeight="1" x14ac:dyDescent="0.2">
      <c r="A12" s="100">
        <v>6</v>
      </c>
      <c r="B12" s="3" t="s">
        <v>197</v>
      </c>
      <c r="C12" s="3" t="s">
        <v>198</v>
      </c>
      <c r="D12" s="3" t="s">
        <v>22</v>
      </c>
      <c r="E12" s="4">
        <v>635098</v>
      </c>
      <c r="F12" s="5">
        <v>5360.8622180000002</v>
      </c>
      <c r="G12" s="6">
        <v>2.986366E-2</v>
      </c>
      <c r="H12" s="109"/>
    </row>
    <row r="13" spans="1:14" ht="17.100000000000001" customHeight="1" x14ac:dyDescent="0.2">
      <c r="A13" s="100">
        <v>7</v>
      </c>
      <c r="B13" s="3" t="s">
        <v>307</v>
      </c>
      <c r="C13" s="3" t="s">
        <v>308</v>
      </c>
      <c r="D13" s="3" t="s">
        <v>309</v>
      </c>
      <c r="E13" s="4">
        <v>172869</v>
      </c>
      <c r="F13" s="5">
        <v>4253.7010485000001</v>
      </c>
      <c r="G13" s="6">
        <v>2.3696020000000002E-2</v>
      </c>
      <c r="H13" s="109"/>
    </row>
    <row r="14" spans="1:14" ht="29.1" customHeight="1" x14ac:dyDescent="0.2">
      <c r="A14" s="100">
        <v>8</v>
      </c>
      <c r="B14" s="3" t="s">
        <v>512</v>
      </c>
      <c r="C14" s="3" t="s">
        <v>513</v>
      </c>
      <c r="D14" s="3" t="s">
        <v>221</v>
      </c>
      <c r="E14" s="4">
        <v>878213</v>
      </c>
      <c r="F14" s="5">
        <v>4214.9832935000004</v>
      </c>
      <c r="G14" s="6">
        <v>2.3480330000000001E-2</v>
      </c>
      <c r="H14" s="109"/>
      <c r="J14" s="169" t="s">
        <v>1077</v>
      </c>
    </row>
    <row r="15" spans="1:14" ht="17.100000000000001" customHeight="1" x14ac:dyDescent="0.2">
      <c r="A15" s="100">
        <v>9</v>
      </c>
      <c r="B15" s="3" t="s">
        <v>502</v>
      </c>
      <c r="C15" s="3" t="s">
        <v>503</v>
      </c>
      <c r="D15" s="3" t="s">
        <v>334</v>
      </c>
      <c r="E15" s="4">
        <v>94134</v>
      </c>
      <c r="F15" s="5">
        <v>4192.7754269999996</v>
      </c>
      <c r="G15" s="6">
        <v>2.3356620000000002E-2</v>
      </c>
      <c r="H15" s="109"/>
    </row>
    <row r="16" spans="1:14" ht="17.100000000000001" customHeight="1" x14ac:dyDescent="0.2">
      <c r="A16" s="100">
        <v>10</v>
      </c>
      <c r="B16" s="3" t="s">
        <v>29</v>
      </c>
      <c r="C16" s="3" t="s">
        <v>30</v>
      </c>
      <c r="D16" s="3" t="s">
        <v>31</v>
      </c>
      <c r="E16" s="4">
        <v>199452</v>
      </c>
      <c r="F16" s="5">
        <v>3820.8022380000002</v>
      </c>
      <c r="G16" s="6">
        <v>2.128447E-2</v>
      </c>
      <c r="H16" s="109"/>
    </row>
    <row r="17" spans="1:10" ht="17.100000000000001" customHeight="1" x14ac:dyDescent="0.2">
      <c r="A17" s="100">
        <v>11</v>
      </c>
      <c r="B17" s="3" t="s">
        <v>14</v>
      </c>
      <c r="C17" s="3" t="s">
        <v>15</v>
      </c>
      <c r="D17" s="3" t="s">
        <v>16</v>
      </c>
      <c r="E17" s="4">
        <v>503797</v>
      </c>
      <c r="F17" s="5">
        <v>3739.4332325</v>
      </c>
      <c r="G17" s="6">
        <v>2.0831189999999999E-2</v>
      </c>
      <c r="H17" s="109"/>
    </row>
    <row r="18" spans="1:10" ht="17.100000000000001" customHeight="1" x14ac:dyDescent="0.2">
      <c r="A18" s="100">
        <v>12</v>
      </c>
      <c r="B18" s="3" t="s">
        <v>45</v>
      </c>
      <c r="C18" s="3" t="s">
        <v>46</v>
      </c>
      <c r="D18" s="3" t="s">
        <v>47</v>
      </c>
      <c r="E18" s="4">
        <v>2538355</v>
      </c>
      <c r="F18" s="5">
        <v>3693.306525</v>
      </c>
      <c r="G18" s="6">
        <v>2.0574240000000001E-2</v>
      </c>
      <c r="H18" s="109"/>
    </row>
    <row r="19" spans="1:10" ht="17.100000000000001" customHeight="1" x14ac:dyDescent="0.2">
      <c r="A19" s="100">
        <v>13</v>
      </c>
      <c r="B19" s="3" t="s">
        <v>260</v>
      </c>
      <c r="C19" s="3" t="s">
        <v>261</v>
      </c>
      <c r="D19" s="3" t="s">
        <v>120</v>
      </c>
      <c r="E19" s="4">
        <v>200097</v>
      </c>
      <c r="F19" s="5">
        <v>3657.5730629999998</v>
      </c>
      <c r="G19" s="6">
        <v>2.037518E-2</v>
      </c>
      <c r="H19" s="109"/>
    </row>
    <row r="20" spans="1:10" ht="17.100000000000001" customHeight="1" x14ac:dyDescent="0.2">
      <c r="A20" s="100">
        <v>14</v>
      </c>
      <c r="B20" s="3" t="s">
        <v>208</v>
      </c>
      <c r="C20" s="3" t="s">
        <v>209</v>
      </c>
      <c r="D20" s="3" t="s">
        <v>210</v>
      </c>
      <c r="E20" s="4">
        <v>1357571</v>
      </c>
      <c r="F20" s="5">
        <v>3628.1084974999999</v>
      </c>
      <c r="G20" s="6">
        <v>2.021104E-2</v>
      </c>
      <c r="H20" s="109"/>
    </row>
    <row r="21" spans="1:10" ht="17.100000000000001" customHeight="1" x14ac:dyDescent="0.2">
      <c r="A21" s="100">
        <v>15</v>
      </c>
      <c r="B21" s="3" t="s">
        <v>78</v>
      </c>
      <c r="C21" s="3" t="s">
        <v>79</v>
      </c>
      <c r="D21" s="3" t="s">
        <v>80</v>
      </c>
      <c r="E21" s="4">
        <v>119045</v>
      </c>
      <c r="F21" s="5">
        <v>3549.7433325000002</v>
      </c>
      <c r="G21" s="6">
        <v>1.9774489999999999E-2</v>
      </c>
      <c r="H21" s="109"/>
    </row>
    <row r="22" spans="1:10" ht="17.100000000000001" customHeight="1" x14ac:dyDescent="0.2">
      <c r="A22" s="100">
        <v>16</v>
      </c>
      <c r="B22" s="3" t="s">
        <v>43</v>
      </c>
      <c r="C22" s="3" t="s">
        <v>44</v>
      </c>
      <c r="D22" s="3" t="s">
        <v>31</v>
      </c>
      <c r="E22" s="4">
        <v>113415</v>
      </c>
      <c r="F22" s="5">
        <v>3494.7131024999999</v>
      </c>
      <c r="G22" s="6">
        <v>1.946794E-2</v>
      </c>
      <c r="H22" s="109"/>
      <c r="J22" s="169" t="s">
        <v>1078</v>
      </c>
    </row>
    <row r="23" spans="1:10" ht="29.1" customHeight="1" x14ac:dyDescent="0.2">
      <c r="A23" s="100">
        <v>17</v>
      </c>
      <c r="B23" s="3" t="s">
        <v>204</v>
      </c>
      <c r="C23" s="3" t="s">
        <v>205</v>
      </c>
      <c r="D23" s="3" t="s">
        <v>115</v>
      </c>
      <c r="E23" s="4">
        <v>1134000</v>
      </c>
      <c r="F23" s="5">
        <v>3445.6590000000001</v>
      </c>
      <c r="G23" s="6">
        <v>1.919467E-2</v>
      </c>
      <c r="H23" s="109"/>
    </row>
    <row r="24" spans="1:10" ht="17.100000000000001" customHeight="1" x14ac:dyDescent="0.2">
      <c r="A24" s="100">
        <v>18</v>
      </c>
      <c r="B24" s="3" t="s">
        <v>69</v>
      </c>
      <c r="C24" s="3" t="s">
        <v>70</v>
      </c>
      <c r="D24" s="3" t="s">
        <v>71</v>
      </c>
      <c r="E24" s="4">
        <v>39000</v>
      </c>
      <c r="F24" s="5">
        <v>3363.4965000000002</v>
      </c>
      <c r="G24" s="6">
        <v>1.8736969999999999E-2</v>
      </c>
      <c r="H24" s="109"/>
    </row>
    <row r="25" spans="1:10" ht="17.100000000000001" customHeight="1" x14ac:dyDescent="0.2">
      <c r="A25" s="100">
        <v>19</v>
      </c>
      <c r="B25" s="3" t="s">
        <v>299</v>
      </c>
      <c r="C25" s="3" t="s">
        <v>300</v>
      </c>
      <c r="D25" s="3" t="s">
        <v>996</v>
      </c>
      <c r="E25" s="4">
        <v>101500</v>
      </c>
      <c r="F25" s="5">
        <v>3362.5427500000001</v>
      </c>
      <c r="G25" s="6">
        <v>1.8731660000000001E-2</v>
      </c>
      <c r="H25" s="109"/>
    </row>
    <row r="26" spans="1:10" ht="17.100000000000001" customHeight="1" x14ac:dyDescent="0.2">
      <c r="A26" s="100">
        <v>20</v>
      </c>
      <c r="B26" s="3" t="s">
        <v>72</v>
      </c>
      <c r="C26" s="3" t="s">
        <v>73</v>
      </c>
      <c r="D26" s="3" t="s">
        <v>31</v>
      </c>
      <c r="E26" s="4">
        <v>205288</v>
      </c>
      <c r="F26" s="5">
        <v>3336.4432200000001</v>
      </c>
      <c r="G26" s="6">
        <v>1.858626E-2</v>
      </c>
      <c r="H26" s="109"/>
    </row>
    <row r="27" spans="1:10" ht="17.100000000000001" customHeight="1" x14ac:dyDescent="0.2">
      <c r="A27" s="100">
        <v>21</v>
      </c>
      <c r="B27" s="3" t="s">
        <v>95</v>
      </c>
      <c r="C27" s="3" t="s">
        <v>96</v>
      </c>
      <c r="D27" s="3" t="s">
        <v>97</v>
      </c>
      <c r="E27" s="4">
        <v>679527</v>
      </c>
      <c r="F27" s="5">
        <v>3313.7134154999999</v>
      </c>
      <c r="G27" s="6">
        <v>1.8459639999999999E-2</v>
      </c>
      <c r="H27" s="109"/>
    </row>
    <row r="28" spans="1:10" ht="29.1" customHeight="1" x14ac:dyDescent="0.2">
      <c r="A28" s="100">
        <v>22</v>
      </c>
      <c r="B28" s="3" t="s">
        <v>186</v>
      </c>
      <c r="C28" s="3" t="s">
        <v>187</v>
      </c>
      <c r="D28" s="3" t="s">
        <v>188</v>
      </c>
      <c r="E28" s="4">
        <v>76479</v>
      </c>
      <c r="F28" s="5">
        <v>3157.1295989999999</v>
      </c>
      <c r="G28" s="6">
        <v>1.7587370000000001E-2</v>
      </c>
      <c r="H28" s="109"/>
    </row>
    <row r="29" spans="1:10" ht="29.1" customHeight="1" x14ac:dyDescent="0.2">
      <c r="A29" s="100">
        <v>23</v>
      </c>
      <c r="B29" s="3" t="s">
        <v>118</v>
      </c>
      <c r="C29" s="3" t="s">
        <v>119</v>
      </c>
      <c r="D29" s="3" t="s">
        <v>120</v>
      </c>
      <c r="E29" s="4">
        <v>388492</v>
      </c>
      <c r="F29" s="5">
        <v>2938.9419800000001</v>
      </c>
      <c r="G29" s="6">
        <v>1.637191E-2</v>
      </c>
      <c r="H29" s="109"/>
    </row>
    <row r="30" spans="1:10" ht="17.100000000000001" customHeight="1" x14ac:dyDescent="0.2">
      <c r="A30" s="100">
        <v>24</v>
      </c>
      <c r="B30" s="3" t="s">
        <v>224</v>
      </c>
      <c r="C30" s="3" t="s">
        <v>225</v>
      </c>
      <c r="D30" s="3" t="s">
        <v>196</v>
      </c>
      <c r="E30" s="4">
        <v>190589</v>
      </c>
      <c r="F30" s="5">
        <v>2757.6322409999998</v>
      </c>
      <c r="G30" s="6">
        <v>1.536189E-2</v>
      </c>
      <c r="H30" s="109"/>
    </row>
    <row r="31" spans="1:10" ht="17.100000000000001" customHeight="1" x14ac:dyDescent="0.2">
      <c r="A31" s="100">
        <v>25</v>
      </c>
      <c r="B31" s="3" t="s">
        <v>301</v>
      </c>
      <c r="C31" s="3" t="s">
        <v>302</v>
      </c>
      <c r="D31" s="3" t="s">
        <v>216</v>
      </c>
      <c r="E31" s="4">
        <v>232912</v>
      </c>
      <c r="F31" s="5">
        <v>2610.9435199999998</v>
      </c>
      <c r="G31" s="6">
        <v>1.454474E-2</v>
      </c>
      <c r="H31" s="109"/>
    </row>
    <row r="32" spans="1:10" ht="17.100000000000001" customHeight="1" x14ac:dyDescent="0.2">
      <c r="A32" s="100">
        <v>26</v>
      </c>
      <c r="B32" s="3" t="s">
        <v>352</v>
      </c>
      <c r="C32" s="3" t="s">
        <v>353</v>
      </c>
      <c r="D32" s="3" t="s">
        <v>57</v>
      </c>
      <c r="E32" s="4">
        <v>165258</v>
      </c>
      <c r="F32" s="5">
        <v>2610.4153679999999</v>
      </c>
      <c r="G32" s="6">
        <v>1.4541790000000001E-2</v>
      </c>
      <c r="H32" s="109"/>
    </row>
    <row r="33" spans="1:8" ht="17.100000000000001" customHeight="1" x14ac:dyDescent="0.2">
      <c r="A33" s="100">
        <v>27</v>
      </c>
      <c r="B33" s="3" t="s">
        <v>262</v>
      </c>
      <c r="C33" s="3" t="s">
        <v>263</v>
      </c>
      <c r="D33" s="3" t="s">
        <v>115</v>
      </c>
      <c r="E33" s="4">
        <v>314277</v>
      </c>
      <c r="F33" s="5">
        <v>2580.0570315</v>
      </c>
      <c r="G33" s="6">
        <v>1.4372680000000001E-2</v>
      </c>
      <c r="H33" s="109"/>
    </row>
    <row r="34" spans="1:8" ht="29.1" customHeight="1" x14ac:dyDescent="0.2">
      <c r="A34" s="100">
        <v>28</v>
      </c>
      <c r="B34" s="3" t="s">
        <v>254</v>
      </c>
      <c r="C34" s="3" t="s">
        <v>255</v>
      </c>
      <c r="D34" s="3" t="s">
        <v>188</v>
      </c>
      <c r="E34" s="4">
        <v>118102</v>
      </c>
      <c r="F34" s="5">
        <v>2561.1009210000002</v>
      </c>
      <c r="G34" s="6">
        <v>1.426708E-2</v>
      </c>
      <c r="H34" s="109"/>
    </row>
    <row r="35" spans="1:8" ht="29.1" customHeight="1" x14ac:dyDescent="0.2">
      <c r="A35" s="100">
        <v>29</v>
      </c>
      <c r="B35" s="3" t="s">
        <v>448</v>
      </c>
      <c r="C35" s="3" t="s">
        <v>449</v>
      </c>
      <c r="D35" s="3" t="s">
        <v>221</v>
      </c>
      <c r="E35" s="4">
        <v>130672</v>
      </c>
      <c r="F35" s="5">
        <v>2533.338064</v>
      </c>
      <c r="G35" s="6">
        <v>1.4112420000000001E-2</v>
      </c>
      <c r="H35" s="109"/>
    </row>
    <row r="36" spans="1:8" ht="17.100000000000001" customHeight="1" x14ac:dyDescent="0.2">
      <c r="A36" s="100">
        <v>30</v>
      </c>
      <c r="B36" s="3" t="s">
        <v>715</v>
      </c>
      <c r="C36" s="3" t="s">
        <v>716</v>
      </c>
      <c r="D36" s="3" t="s">
        <v>717</v>
      </c>
      <c r="E36" s="4">
        <v>11067</v>
      </c>
      <c r="F36" s="5">
        <v>2533.1090294999999</v>
      </c>
      <c r="G36" s="6">
        <v>1.4111149999999999E-2</v>
      </c>
      <c r="H36" s="109"/>
    </row>
    <row r="37" spans="1:8" ht="17.100000000000001" customHeight="1" x14ac:dyDescent="0.2">
      <c r="A37" s="100">
        <v>31</v>
      </c>
      <c r="B37" s="3" t="s">
        <v>104</v>
      </c>
      <c r="C37" s="3" t="s">
        <v>105</v>
      </c>
      <c r="D37" s="3" t="s">
        <v>80</v>
      </c>
      <c r="E37" s="4">
        <v>546254</v>
      </c>
      <c r="F37" s="5">
        <v>2447.7641739999999</v>
      </c>
      <c r="G37" s="6">
        <v>1.363572E-2</v>
      </c>
      <c r="H37" s="109"/>
    </row>
    <row r="38" spans="1:8" ht="29.1" customHeight="1" x14ac:dyDescent="0.2">
      <c r="A38" s="100">
        <v>32</v>
      </c>
      <c r="B38" s="3" t="s">
        <v>236</v>
      </c>
      <c r="C38" s="3" t="s">
        <v>237</v>
      </c>
      <c r="D38" s="3" t="s">
        <v>80</v>
      </c>
      <c r="E38" s="4">
        <v>23034</v>
      </c>
      <c r="F38" s="5">
        <v>2430.386442</v>
      </c>
      <c r="G38" s="6">
        <v>1.3538909999999999E-2</v>
      </c>
      <c r="H38" s="109"/>
    </row>
    <row r="39" spans="1:8" ht="29.1" customHeight="1" x14ac:dyDescent="0.2">
      <c r="A39" s="100">
        <v>33</v>
      </c>
      <c r="B39" s="3" t="s">
        <v>295</v>
      </c>
      <c r="C39" s="3" t="s">
        <v>296</v>
      </c>
      <c r="D39" s="3" t="s">
        <v>120</v>
      </c>
      <c r="E39" s="4">
        <v>92333</v>
      </c>
      <c r="F39" s="5">
        <v>2409.3834685000002</v>
      </c>
      <c r="G39" s="6">
        <v>1.342191E-2</v>
      </c>
      <c r="H39" s="109"/>
    </row>
    <row r="40" spans="1:8" ht="17.100000000000001" customHeight="1" x14ac:dyDescent="0.2">
      <c r="A40" s="100">
        <v>34</v>
      </c>
      <c r="B40" s="3" t="s">
        <v>48</v>
      </c>
      <c r="C40" s="3" t="s">
        <v>49</v>
      </c>
      <c r="D40" s="3" t="s">
        <v>13</v>
      </c>
      <c r="E40" s="4">
        <v>871340</v>
      </c>
      <c r="F40" s="5">
        <v>2384.8575799999999</v>
      </c>
      <c r="G40" s="6">
        <v>1.328528E-2</v>
      </c>
      <c r="H40" s="109"/>
    </row>
    <row r="41" spans="1:8" ht="17.100000000000001" customHeight="1" x14ac:dyDescent="0.2">
      <c r="A41" s="100">
        <v>35</v>
      </c>
      <c r="B41" s="3" t="s">
        <v>437</v>
      </c>
      <c r="C41" s="3" t="s">
        <v>438</v>
      </c>
      <c r="D41" s="3" t="s">
        <v>115</v>
      </c>
      <c r="E41" s="4">
        <v>156000</v>
      </c>
      <c r="F41" s="5">
        <v>2240.6280000000002</v>
      </c>
      <c r="G41" s="6">
        <v>1.2481829999999999E-2</v>
      </c>
      <c r="H41" s="109"/>
    </row>
    <row r="42" spans="1:8" ht="17.100000000000001" customHeight="1" x14ac:dyDescent="0.2">
      <c r="A42" s="100">
        <v>36</v>
      </c>
      <c r="B42" s="3" t="s">
        <v>305</v>
      </c>
      <c r="C42" s="3" t="s">
        <v>306</v>
      </c>
      <c r="D42" s="3" t="s">
        <v>242</v>
      </c>
      <c r="E42" s="4">
        <v>146195</v>
      </c>
      <c r="F42" s="5">
        <v>2219.5324900000001</v>
      </c>
      <c r="G42" s="6">
        <v>1.236431E-2</v>
      </c>
      <c r="H42" s="109"/>
    </row>
    <row r="43" spans="1:8" ht="17.100000000000001" customHeight="1" x14ac:dyDescent="0.2">
      <c r="A43" s="100">
        <v>37</v>
      </c>
      <c r="B43" s="3" t="s">
        <v>233</v>
      </c>
      <c r="C43" s="3" t="s">
        <v>234</v>
      </c>
      <c r="D43" s="3" t="s">
        <v>235</v>
      </c>
      <c r="E43" s="4">
        <v>485642</v>
      </c>
      <c r="F43" s="5">
        <v>2140.952757</v>
      </c>
      <c r="G43" s="6">
        <v>1.1926569999999999E-2</v>
      </c>
      <c r="H43" s="109"/>
    </row>
    <row r="44" spans="1:8" ht="29.1" customHeight="1" x14ac:dyDescent="0.2">
      <c r="A44" s="100">
        <v>38</v>
      </c>
      <c r="B44" s="3" t="s">
        <v>268</v>
      </c>
      <c r="C44" s="3" t="s">
        <v>269</v>
      </c>
      <c r="D44" s="3" t="s">
        <v>221</v>
      </c>
      <c r="E44" s="4">
        <v>162230</v>
      </c>
      <c r="F44" s="5">
        <v>2138.2725150000001</v>
      </c>
      <c r="G44" s="6">
        <v>1.1911639999999999E-2</v>
      </c>
      <c r="H44" s="109"/>
    </row>
    <row r="45" spans="1:8" ht="29.1" customHeight="1" x14ac:dyDescent="0.2">
      <c r="A45" s="100">
        <v>39</v>
      </c>
      <c r="B45" s="3" t="s">
        <v>486</v>
      </c>
      <c r="C45" s="3" t="s">
        <v>487</v>
      </c>
      <c r="D45" s="3" t="s">
        <v>25</v>
      </c>
      <c r="E45" s="4">
        <v>232081</v>
      </c>
      <c r="F45" s="5">
        <v>2020.1490644999999</v>
      </c>
      <c r="G45" s="6">
        <v>1.1253610000000001E-2</v>
      </c>
      <c r="H45" s="109"/>
    </row>
    <row r="46" spans="1:8" ht="29.1" customHeight="1" x14ac:dyDescent="0.2">
      <c r="A46" s="100">
        <v>40</v>
      </c>
      <c r="B46" s="3" t="s">
        <v>504</v>
      </c>
      <c r="C46" s="3" t="s">
        <v>505</v>
      </c>
      <c r="D46" s="3" t="s">
        <v>188</v>
      </c>
      <c r="E46" s="4">
        <v>152819</v>
      </c>
      <c r="F46" s="5">
        <v>1935.1469970000001</v>
      </c>
      <c r="G46" s="6">
        <v>1.0780090000000001E-2</v>
      </c>
      <c r="H46" s="109"/>
    </row>
    <row r="47" spans="1:8" ht="17.100000000000001" customHeight="1" x14ac:dyDescent="0.2">
      <c r="A47" s="100">
        <v>41</v>
      </c>
      <c r="B47" s="3" t="s">
        <v>433</v>
      </c>
      <c r="C47" s="3" t="s">
        <v>434</v>
      </c>
      <c r="D47" s="3" t="s">
        <v>997</v>
      </c>
      <c r="E47" s="4">
        <v>204026</v>
      </c>
      <c r="F47" s="5">
        <v>1926.617518</v>
      </c>
      <c r="G47" s="6">
        <v>1.073257E-2</v>
      </c>
      <c r="H47" s="109"/>
    </row>
    <row r="48" spans="1:8" ht="17.100000000000001" customHeight="1" x14ac:dyDescent="0.2">
      <c r="A48" s="100">
        <v>42</v>
      </c>
      <c r="B48" s="3" t="s">
        <v>113</v>
      </c>
      <c r="C48" s="3" t="s">
        <v>114</v>
      </c>
      <c r="D48" s="3" t="s">
        <v>115</v>
      </c>
      <c r="E48" s="4">
        <v>674234</v>
      </c>
      <c r="F48" s="5">
        <v>1890.8892530000001</v>
      </c>
      <c r="G48" s="6">
        <v>1.0533539999999999E-2</v>
      </c>
      <c r="H48" s="109"/>
    </row>
    <row r="49" spans="1:8" ht="17.100000000000001" customHeight="1" x14ac:dyDescent="0.2">
      <c r="A49" s="100">
        <v>43</v>
      </c>
      <c r="B49" s="3" t="s">
        <v>278</v>
      </c>
      <c r="C49" s="3" t="s">
        <v>279</v>
      </c>
      <c r="D49" s="3" t="s">
        <v>115</v>
      </c>
      <c r="E49" s="4">
        <v>170074</v>
      </c>
      <c r="F49" s="5">
        <v>1827.700241</v>
      </c>
      <c r="G49" s="6">
        <v>1.0181539999999999E-2</v>
      </c>
      <c r="H49" s="109"/>
    </row>
    <row r="50" spans="1:8" ht="17.100000000000001" customHeight="1" x14ac:dyDescent="0.2">
      <c r="A50" s="100">
        <v>44</v>
      </c>
      <c r="B50" s="3" t="s">
        <v>123</v>
      </c>
      <c r="C50" s="3" t="s">
        <v>124</v>
      </c>
      <c r="D50" s="3" t="s">
        <v>115</v>
      </c>
      <c r="E50" s="4">
        <v>91386</v>
      </c>
      <c r="F50" s="5">
        <v>1723.3114949999999</v>
      </c>
      <c r="G50" s="6">
        <v>9.6000200000000008E-3</v>
      </c>
      <c r="H50" s="109"/>
    </row>
    <row r="51" spans="1:8" ht="17.100000000000001" customHeight="1" x14ac:dyDescent="0.2">
      <c r="A51" s="100">
        <v>45</v>
      </c>
      <c r="B51" s="3" t="s">
        <v>37</v>
      </c>
      <c r="C51" s="3" t="s">
        <v>38</v>
      </c>
      <c r="D51" s="3" t="s">
        <v>31</v>
      </c>
      <c r="E51" s="4">
        <v>93808</v>
      </c>
      <c r="F51" s="5">
        <v>1692.952976</v>
      </c>
      <c r="G51" s="6">
        <v>9.4309000000000007E-3</v>
      </c>
      <c r="H51" s="109"/>
    </row>
    <row r="52" spans="1:8" ht="29.1" customHeight="1" x14ac:dyDescent="0.2">
      <c r="A52" s="100">
        <v>46</v>
      </c>
      <c r="B52" s="3" t="s">
        <v>258</v>
      </c>
      <c r="C52" s="3" t="s">
        <v>259</v>
      </c>
      <c r="D52" s="3" t="s">
        <v>191</v>
      </c>
      <c r="E52" s="4">
        <v>54319</v>
      </c>
      <c r="F52" s="5">
        <v>1683.6445644999999</v>
      </c>
      <c r="G52" s="6">
        <v>9.3790499999999999E-3</v>
      </c>
      <c r="H52" s="109"/>
    </row>
    <row r="53" spans="1:8" ht="17.100000000000001" customHeight="1" x14ac:dyDescent="0.2">
      <c r="A53" s="100">
        <v>47</v>
      </c>
      <c r="B53" s="3" t="s">
        <v>251</v>
      </c>
      <c r="C53" s="3" t="s">
        <v>252</v>
      </c>
      <c r="D53" s="3" t="s">
        <v>253</v>
      </c>
      <c r="E53" s="4">
        <v>182189</v>
      </c>
      <c r="F53" s="5">
        <v>1639.8831889999999</v>
      </c>
      <c r="G53" s="6">
        <v>9.1352699999999992E-3</v>
      </c>
      <c r="H53" s="109"/>
    </row>
    <row r="54" spans="1:8" ht="17.100000000000001" customHeight="1" x14ac:dyDescent="0.2">
      <c r="A54" s="100">
        <v>48</v>
      </c>
      <c r="B54" s="3" t="s">
        <v>356</v>
      </c>
      <c r="C54" s="3" t="s">
        <v>357</v>
      </c>
      <c r="D54" s="3" t="s">
        <v>203</v>
      </c>
      <c r="E54" s="4">
        <v>45000</v>
      </c>
      <c r="F54" s="5">
        <v>1537.6275000000001</v>
      </c>
      <c r="G54" s="6">
        <v>8.5656299999999994E-3</v>
      </c>
      <c r="H54" s="109"/>
    </row>
    <row r="55" spans="1:8" ht="17.100000000000001" customHeight="1" x14ac:dyDescent="0.2">
      <c r="A55" s="100">
        <v>49</v>
      </c>
      <c r="B55" s="3" t="s">
        <v>226</v>
      </c>
      <c r="C55" s="3" t="s">
        <v>227</v>
      </c>
      <c r="D55" s="3" t="s">
        <v>228</v>
      </c>
      <c r="E55" s="4">
        <v>3709</v>
      </c>
      <c r="F55" s="5">
        <v>1408.2943184999999</v>
      </c>
      <c r="G55" s="6">
        <v>7.8451600000000003E-3</v>
      </c>
      <c r="H55" s="109"/>
    </row>
    <row r="56" spans="1:8" ht="29.1" customHeight="1" x14ac:dyDescent="0.2">
      <c r="A56" s="100">
        <v>50</v>
      </c>
      <c r="B56" s="3" t="s">
        <v>87</v>
      </c>
      <c r="C56" s="3" t="s">
        <v>88</v>
      </c>
      <c r="D56" s="3" t="s">
        <v>25</v>
      </c>
      <c r="E56" s="4">
        <v>44808</v>
      </c>
      <c r="F56" s="5">
        <v>1238.761968</v>
      </c>
      <c r="G56" s="6">
        <v>6.9007499999999998E-3</v>
      </c>
      <c r="H56" s="109"/>
    </row>
    <row r="57" spans="1:8" ht="17.100000000000001" customHeight="1" x14ac:dyDescent="0.2">
      <c r="A57" s="100">
        <v>51</v>
      </c>
      <c r="B57" s="3" t="s">
        <v>346</v>
      </c>
      <c r="C57" s="3" t="s">
        <v>347</v>
      </c>
      <c r="D57" s="3" t="s">
        <v>120</v>
      </c>
      <c r="E57" s="4">
        <v>20000</v>
      </c>
      <c r="F57" s="5">
        <v>1222.42</v>
      </c>
      <c r="G57" s="6">
        <v>6.8097100000000001E-3</v>
      </c>
      <c r="H57" s="109"/>
    </row>
    <row r="58" spans="1:8" ht="17.100000000000001" customHeight="1" x14ac:dyDescent="0.2">
      <c r="A58" s="100">
        <v>52</v>
      </c>
      <c r="B58" s="3" t="s">
        <v>74</v>
      </c>
      <c r="C58" s="3" t="s">
        <v>75</v>
      </c>
      <c r="D58" s="3" t="s">
        <v>31</v>
      </c>
      <c r="E58" s="4">
        <v>85238</v>
      </c>
      <c r="F58" s="5">
        <v>1013.692915</v>
      </c>
      <c r="G58" s="6">
        <v>5.6469600000000003E-3</v>
      </c>
      <c r="H58" s="109"/>
    </row>
    <row r="59" spans="1:8" ht="17.100000000000001" customHeight="1" x14ac:dyDescent="0.2">
      <c r="A59" s="100">
        <v>53</v>
      </c>
      <c r="B59" s="3" t="s">
        <v>245</v>
      </c>
      <c r="C59" s="3" t="s">
        <v>246</v>
      </c>
      <c r="D59" s="3" t="s">
        <v>120</v>
      </c>
      <c r="E59" s="4">
        <v>173044</v>
      </c>
      <c r="F59" s="5">
        <v>994.91647799999998</v>
      </c>
      <c r="G59" s="6">
        <v>5.5423599999999996E-3</v>
      </c>
      <c r="H59" s="109"/>
    </row>
    <row r="60" spans="1:8" ht="17.100000000000001" customHeight="1" x14ac:dyDescent="0.2">
      <c r="A60" s="100">
        <v>54</v>
      </c>
      <c r="B60" s="3" t="s">
        <v>264</v>
      </c>
      <c r="C60" s="3" t="s">
        <v>265</v>
      </c>
      <c r="D60" s="3" t="s">
        <v>996</v>
      </c>
      <c r="E60" s="4">
        <v>14949</v>
      </c>
      <c r="F60" s="5">
        <v>705.89925449999998</v>
      </c>
      <c r="G60" s="6">
        <v>3.9323400000000003E-3</v>
      </c>
      <c r="H60" s="109"/>
    </row>
    <row r="61" spans="1:8" ht="17.100000000000001" customHeight="1" x14ac:dyDescent="0.2">
      <c r="A61" s="100">
        <v>55</v>
      </c>
      <c r="B61" s="3" t="s">
        <v>338</v>
      </c>
      <c r="C61" s="3" t="s">
        <v>339</v>
      </c>
      <c r="D61" s="3" t="s">
        <v>22</v>
      </c>
      <c r="E61" s="4">
        <v>194996</v>
      </c>
      <c r="F61" s="5">
        <v>545.11131799999998</v>
      </c>
      <c r="G61" s="6">
        <v>3.0366400000000002E-3</v>
      </c>
      <c r="H61" s="109"/>
    </row>
    <row r="62" spans="1:8" ht="17.100000000000001" customHeight="1" x14ac:dyDescent="0.2">
      <c r="A62" s="100">
        <v>56</v>
      </c>
      <c r="B62" s="3" t="s">
        <v>373</v>
      </c>
      <c r="C62" s="3" t="s">
        <v>374</v>
      </c>
      <c r="D62" s="3" t="s">
        <v>997</v>
      </c>
      <c r="E62" s="4">
        <v>50981</v>
      </c>
      <c r="F62" s="5">
        <v>522.12191150000001</v>
      </c>
      <c r="G62" s="6">
        <v>2.90858E-3</v>
      </c>
      <c r="H62" s="109"/>
    </row>
    <row r="63" spans="1:8" ht="17.100000000000001" customHeight="1" x14ac:dyDescent="0.2">
      <c r="A63" s="100">
        <v>57</v>
      </c>
      <c r="B63" s="3" t="s">
        <v>243</v>
      </c>
      <c r="C63" s="3" t="s">
        <v>244</v>
      </c>
      <c r="D63" s="3" t="s">
        <v>31</v>
      </c>
      <c r="E63" s="4">
        <v>25352</v>
      </c>
      <c r="F63" s="5">
        <v>478.77251999999999</v>
      </c>
      <c r="G63" s="6">
        <v>2.66709E-3</v>
      </c>
      <c r="H63" s="109"/>
    </row>
    <row r="64" spans="1:8" ht="17.100000000000001" customHeight="1" x14ac:dyDescent="0.2">
      <c r="A64" s="100">
        <v>58</v>
      </c>
      <c r="B64" s="3" t="s">
        <v>270</v>
      </c>
      <c r="C64" s="3" t="s">
        <v>901</v>
      </c>
      <c r="D64" s="3" t="s">
        <v>235</v>
      </c>
      <c r="E64" s="4">
        <v>116108</v>
      </c>
      <c r="F64" s="5">
        <v>425.768036</v>
      </c>
      <c r="G64" s="6">
        <v>2.3718200000000002E-3</v>
      </c>
      <c r="H64" s="109"/>
    </row>
    <row r="65" spans="1:9" ht="17.100000000000001" customHeight="1" x14ac:dyDescent="0.2">
      <c r="A65" s="100">
        <v>59</v>
      </c>
      <c r="B65" s="3" t="s">
        <v>130</v>
      </c>
      <c r="C65" s="3" t="s">
        <v>131</v>
      </c>
      <c r="D65" s="3" t="s">
        <v>120</v>
      </c>
      <c r="E65" s="4">
        <v>177729</v>
      </c>
      <c r="F65" s="5">
        <v>402.21849989999998</v>
      </c>
      <c r="G65" s="6">
        <v>2.24063E-3</v>
      </c>
      <c r="H65" s="109"/>
    </row>
    <row r="66" spans="1:9" ht="14.1" customHeight="1" x14ac:dyDescent="0.2">
      <c r="A66" s="99"/>
      <c r="B66" s="1"/>
      <c r="C66" s="2" t="s">
        <v>135</v>
      </c>
      <c r="D66" s="1"/>
      <c r="E66" s="1" t="s">
        <v>136</v>
      </c>
      <c r="F66" s="8">
        <v>172271.4042964</v>
      </c>
      <c r="G66" s="9">
        <v>0.9596692400000002</v>
      </c>
      <c r="H66" s="109"/>
    </row>
    <row r="67" spans="1:9" ht="14.1" customHeight="1" x14ac:dyDescent="0.2">
      <c r="A67" s="99"/>
      <c r="B67" s="1"/>
      <c r="C67" s="10"/>
      <c r="D67" s="1"/>
      <c r="E67" s="1"/>
      <c r="F67" s="11"/>
      <c r="G67" s="11"/>
      <c r="H67" s="109"/>
    </row>
    <row r="68" spans="1:9" ht="14.1" customHeight="1" x14ac:dyDescent="0.2">
      <c r="A68" s="99"/>
      <c r="B68" s="1"/>
      <c r="C68" s="2" t="s">
        <v>137</v>
      </c>
      <c r="D68" s="1"/>
      <c r="E68" s="1"/>
      <c r="F68" s="1"/>
      <c r="G68" s="1"/>
      <c r="H68" s="109"/>
    </row>
    <row r="69" spans="1:9" ht="14.1" customHeight="1" x14ac:dyDescent="0.2">
      <c r="A69" s="99"/>
      <c r="B69" s="1"/>
      <c r="C69" s="2" t="s">
        <v>135</v>
      </c>
      <c r="D69" s="1"/>
      <c r="E69" s="1" t="s">
        <v>136</v>
      </c>
      <c r="F69" s="115">
        <v>0</v>
      </c>
      <c r="G69" s="9">
        <v>0</v>
      </c>
      <c r="H69" s="109"/>
    </row>
    <row r="70" spans="1:9" ht="14.1" customHeight="1" x14ac:dyDescent="0.2">
      <c r="A70" s="99"/>
      <c r="B70" s="1"/>
      <c r="C70" s="10"/>
      <c r="D70" s="1"/>
      <c r="E70" s="1"/>
      <c r="F70" s="11"/>
      <c r="G70" s="11"/>
      <c r="H70" s="109"/>
    </row>
    <row r="71" spans="1:9" ht="14.1" customHeight="1" x14ac:dyDescent="0.2">
      <c r="A71" s="99"/>
      <c r="B71" s="1"/>
      <c r="C71" s="2" t="s">
        <v>138</v>
      </c>
      <c r="D71" s="1"/>
      <c r="E71" s="1"/>
      <c r="F71" s="1"/>
      <c r="G71" s="1"/>
      <c r="H71" s="109"/>
    </row>
    <row r="72" spans="1:9" ht="25.5" customHeight="1" x14ac:dyDescent="0.2">
      <c r="A72" s="100">
        <v>1</v>
      </c>
      <c r="B72" s="3" t="s">
        <v>553</v>
      </c>
      <c r="C72" s="3" t="s">
        <v>923</v>
      </c>
      <c r="D72" s="3" t="s">
        <v>924</v>
      </c>
      <c r="E72" s="4">
        <v>511578</v>
      </c>
      <c r="F72" s="5">
        <v>27.062476199999999</v>
      </c>
      <c r="G72" s="6">
        <v>1.5076E-4</v>
      </c>
      <c r="H72" s="109"/>
    </row>
    <row r="73" spans="1:9" ht="17.100000000000001" customHeight="1" x14ac:dyDescent="0.2">
      <c r="A73" s="100">
        <v>2</v>
      </c>
      <c r="B73" s="3" t="s">
        <v>718</v>
      </c>
      <c r="C73" s="3" t="s">
        <v>934</v>
      </c>
      <c r="D73" s="3" t="s">
        <v>334</v>
      </c>
      <c r="E73" s="4">
        <v>39500</v>
      </c>
      <c r="F73" s="5">
        <v>23.237850000000002</v>
      </c>
      <c r="G73" s="6">
        <v>1.2945E-4</v>
      </c>
      <c r="H73" s="109"/>
    </row>
    <row r="74" spans="1:9" ht="29.1" customHeight="1" x14ac:dyDescent="0.2">
      <c r="A74" s="100">
        <v>3</v>
      </c>
      <c r="B74" s="3" t="s">
        <v>719</v>
      </c>
      <c r="C74" s="3" t="s">
        <v>935</v>
      </c>
      <c r="D74" s="3" t="s">
        <v>936</v>
      </c>
      <c r="E74" s="4">
        <v>50800</v>
      </c>
      <c r="F74" s="5">
        <v>5.0800000000000003E-3</v>
      </c>
      <c r="G74" s="6" t="s">
        <v>134</v>
      </c>
      <c r="H74" s="109"/>
    </row>
    <row r="75" spans="1:9" ht="17.100000000000001" customHeight="1" x14ac:dyDescent="0.2">
      <c r="A75" s="100">
        <v>4</v>
      </c>
      <c r="B75" s="3" t="s">
        <v>720</v>
      </c>
      <c r="C75" s="3" t="s">
        <v>939</v>
      </c>
      <c r="D75" s="3"/>
      <c r="E75" s="4">
        <v>93200</v>
      </c>
      <c r="F75" s="5">
        <v>9.3200000000000003E-7</v>
      </c>
      <c r="G75" s="7" t="s">
        <v>134</v>
      </c>
      <c r="H75" s="109"/>
    </row>
    <row r="76" spans="1:9" ht="17.100000000000001" customHeight="1" x14ac:dyDescent="0.2">
      <c r="A76" s="100">
        <v>5</v>
      </c>
      <c r="B76" s="3" t="s">
        <v>721</v>
      </c>
      <c r="C76" s="3" t="s">
        <v>942</v>
      </c>
      <c r="D76" s="3"/>
      <c r="E76" s="4">
        <v>176305</v>
      </c>
      <c r="F76" s="5">
        <v>1.7630000000000001E-6</v>
      </c>
      <c r="G76" s="7" t="s">
        <v>134</v>
      </c>
      <c r="H76" s="109"/>
      <c r="I76" s="172"/>
    </row>
    <row r="77" spans="1:9" ht="29.1" customHeight="1" x14ac:dyDescent="0.2">
      <c r="A77" s="100">
        <v>6</v>
      </c>
      <c r="B77" s="3" t="s">
        <v>722</v>
      </c>
      <c r="C77" s="3" t="s">
        <v>937</v>
      </c>
      <c r="D77" s="3" t="s">
        <v>57</v>
      </c>
      <c r="E77" s="4">
        <v>54000</v>
      </c>
      <c r="F77" s="5">
        <v>5.4000000000000002E-7</v>
      </c>
      <c r="G77" s="7" t="s">
        <v>134</v>
      </c>
      <c r="H77" s="109"/>
      <c r="I77" s="172"/>
    </row>
    <row r="78" spans="1:9" ht="17.100000000000001" customHeight="1" x14ac:dyDescent="0.2">
      <c r="A78" s="100">
        <v>7</v>
      </c>
      <c r="B78" s="3" t="s">
        <v>723</v>
      </c>
      <c r="C78" s="3" t="s">
        <v>938</v>
      </c>
      <c r="D78" s="3"/>
      <c r="E78" s="4">
        <v>200</v>
      </c>
      <c r="F78" s="5">
        <v>2.0000000000000001E-9</v>
      </c>
      <c r="G78" s="7" t="s">
        <v>134</v>
      </c>
      <c r="H78" s="109"/>
      <c r="I78" s="172"/>
    </row>
    <row r="79" spans="1:9" ht="41.1" customHeight="1" x14ac:dyDescent="0.2">
      <c r="A79" s="100">
        <v>8</v>
      </c>
      <c r="B79" s="3" t="s">
        <v>724</v>
      </c>
      <c r="C79" s="3" t="s">
        <v>940</v>
      </c>
      <c r="D79" s="3" t="s">
        <v>941</v>
      </c>
      <c r="E79" s="4">
        <v>200000</v>
      </c>
      <c r="F79" s="5">
        <v>1.9999999999999999E-6</v>
      </c>
      <c r="G79" s="7" t="s">
        <v>134</v>
      </c>
      <c r="H79" s="109"/>
      <c r="I79" s="172"/>
    </row>
    <row r="80" spans="1:9" ht="14.1" customHeight="1" x14ac:dyDescent="0.2">
      <c r="A80" s="99"/>
      <c r="B80" s="1"/>
      <c r="C80" s="2" t="s">
        <v>135</v>
      </c>
      <c r="D80" s="1"/>
      <c r="E80" s="1" t="s">
        <v>136</v>
      </c>
      <c r="F80" s="8">
        <v>50.305411436999997</v>
      </c>
      <c r="G80" s="9">
        <v>2.8024000000000001E-4</v>
      </c>
      <c r="H80" s="109"/>
      <c r="I80" s="172"/>
    </row>
    <row r="81" spans="1:9" ht="14.1" customHeight="1" x14ac:dyDescent="0.2">
      <c r="A81" s="99"/>
      <c r="B81" s="1"/>
      <c r="C81" s="10"/>
      <c r="D81" s="1"/>
      <c r="E81" s="1"/>
      <c r="F81" s="11"/>
      <c r="G81" s="11"/>
      <c r="H81" s="109"/>
      <c r="I81" s="172"/>
    </row>
    <row r="82" spans="1:9" ht="14.1" customHeight="1" x14ac:dyDescent="0.2">
      <c r="A82" s="99"/>
      <c r="B82" s="1"/>
      <c r="C82" s="2" t="s">
        <v>139</v>
      </c>
      <c r="D82" s="1"/>
      <c r="E82" s="1"/>
      <c r="F82" s="1"/>
      <c r="G82" s="1"/>
      <c r="H82" s="109"/>
      <c r="I82" s="172"/>
    </row>
    <row r="83" spans="1:9" ht="14.1" customHeight="1" x14ac:dyDescent="0.2">
      <c r="A83" s="99"/>
      <c r="B83" s="1"/>
      <c r="C83" s="2" t="s">
        <v>135</v>
      </c>
      <c r="D83" s="1"/>
      <c r="E83" s="1" t="s">
        <v>136</v>
      </c>
      <c r="F83" s="115">
        <v>0</v>
      </c>
      <c r="G83" s="9">
        <v>0</v>
      </c>
      <c r="H83" s="109"/>
      <c r="I83" s="172"/>
    </row>
    <row r="84" spans="1:9" ht="14.1" customHeight="1" x14ac:dyDescent="0.2">
      <c r="A84" s="99"/>
      <c r="B84" s="1"/>
      <c r="C84" s="10"/>
      <c r="D84" s="1"/>
      <c r="E84" s="1"/>
      <c r="F84" s="11"/>
      <c r="G84" s="11"/>
      <c r="H84" s="109"/>
    </row>
    <row r="85" spans="1:9" ht="14.1" customHeight="1" x14ac:dyDescent="0.2">
      <c r="A85" s="99"/>
      <c r="B85" s="1"/>
      <c r="C85" s="2" t="s">
        <v>140</v>
      </c>
      <c r="D85" s="1"/>
      <c r="E85" s="1"/>
      <c r="F85" s="11"/>
      <c r="G85" s="11"/>
      <c r="H85" s="109"/>
    </row>
    <row r="86" spans="1:9" ht="14.1" customHeight="1" x14ac:dyDescent="0.2">
      <c r="A86" s="99"/>
      <c r="B86" s="1"/>
      <c r="C86" s="2" t="s">
        <v>135</v>
      </c>
      <c r="D86" s="1"/>
      <c r="E86" s="1" t="s">
        <v>136</v>
      </c>
      <c r="F86" s="115">
        <v>0</v>
      </c>
      <c r="G86" s="9">
        <v>0</v>
      </c>
      <c r="H86" s="109"/>
    </row>
    <row r="87" spans="1:9" ht="14.1" customHeight="1" x14ac:dyDescent="0.2">
      <c r="A87" s="99"/>
      <c r="B87" s="1"/>
      <c r="C87" s="10"/>
      <c r="D87" s="1"/>
      <c r="E87" s="1"/>
      <c r="F87" s="11"/>
      <c r="G87" s="11"/>
      <c r="H87" s="109"/>
    </row>
    <row r="88" spans="1:9" ht="14.1" customHeight="1" x14ac:dyDescent="0.2">
      <c r="A88" s="99"/>
      <c r="B88" s="1"/>
      <c r="C88" s="2" t="s">
        <v>141</v>
      </c>
      <c r="D88" s="1"/>
      <c r="E88" s="1"/>
      <c r="F88" s="11"/>
      <c r="G88" s="11"/>
      <c r="H88" s="109"/>
    </row>
    <row r="89" spans="1:9" ht="14.1" customHeight="1" x14ac:dyDescent="0.2">
      <c r="A89" s="99"/>
      <c r="B89" s="1"/>
      <c r="C89" s="2" t="s">
        <v>135</v>
      </c>
      <c r="D89" s="1"/>
      <c r="E89" s="1" t="s">
        <v>136</v>
      </c>
      <c r="F89" s="115">
        <v>0</v>
      </c>
      <c r="G89" s="9">
        <v>0</v>
      </c>
      <c r="H89" s="109"/>
    </row>
    <row r="90" spans="1:9" ht="14.1" customHeight="1" x14ac:dyDescent="0.2">
      <c r="A90" s="99"/>
      <c r="B90" s="1"/>
      <c r="C90" s="10"/>
      <c r="D90" s="1"/>
      <c r="E90" s="1"/>
      <c r="F90" s="11"/>
      <c r="G90" s="11"/>
      <c r="H90" s="109"/>
    </row>
    <row r="91" spans="1:9" ht="18" customHeight="1" x14ac:dyDescent="0.2">
      <c r="A91" s="99"/>
      <c r="B91" s="1"/>
      <c r="C91" s="2" t="s">
        <v>142</v>
      </c>
      <c r="D91" s="1"/>
      <c r="E91" s="1"/>
      <c r="F91" s="8">
        <v>172321.709707837</v>
      </c>
      <c r="G91" s="9">
        <v>0.95994948000000002</v>
      </c>
      <c r="H91" s="109"/>
    </row>
    <row r="92" spans="1:9" ht="14.1" customHeight="1" x14ac:dyDescent="0.2">
      <c r="A92" s="99"/>
      <c r="B92" s="1"/>
      <c r="C92" s="10"/>
      <c r="D92" s="1"/>
      <c r="E92" s="1"/>
      <c r="F92" s="11"/>
      <c r="G92" s="11"/>
      <c r="H92" s="109"/>
    </row>
    <row r="93" spans="1:9" ht="14.1" customHeight="1" x14ac:dyDescent="0.2">
      <c r="A93" s="99"/>
      <c r="B93" s="1"/>
      <c r="C93" s="2" t="s">
        <v>143</v>
      </c>
      <c r="D93" s="1"/>
      <c r="E93" s="1"/>
      <c r="F93" s="11"/>
      <c r="G93" s="11"/>
      <c r="H93" s="109"/>
    </row>
    <row r="94" spans="1:9" ht="24" customHeight="1" x14ac:dyDescent="0.2">
      <c r="A94" s="99"/>
      <c r="B94" s="1"/>
      <c r="C94" s="2" t="s">
        <v>10</v>
      </c>
      <c r="D94" s="1"/>
      <c r="E94" s="1"/>
      <c r="F94" s="11"/>
      <c r="G94" s="11"/>
      <c r="H94" s="109"/>
    </row>
    <row r="95" spans="1:9" ht="14.1" customHeight="1" x14ac:dyDescent="0.2">
      <c r="A95" s="99"/>
      <c r="B95" s="1"/>
      <c r="C95" s="2" t="s">
        <v>135</v>
      </c>
      <c r="D95" s="1"/>
      <c r="E95" s="1" t="s">
        <v>136</v>
      </c>
      <c r="F95" s="115">
        <v>0</v>
      </c>
      <c r="G95" s="9">
        <v>0</v>
      </c>
      <c r="H95" s="109"/>
    </row>
    <row r="96" spans="1:9" ht="14.1" customHeight="1" x14ac:dyDescent="0.2">
      <c r="A96" s="99"/>
      <c r="B96" s="1"/>
      <c r="C96" s="10"/>
      <c r="D96" s="1"/>
      <c r="E96" s="1"/>
      <c r="F96" s="11"/>
      <c r="G96" s="11"/>
      <c r="H96" s="109"/>
    </row>
    <row r="97" spans="1:8" ht="14.1" customHeight="1" x14ac:dyDescent="0.2">
      <c r="A97" s="99"/>
      <c r="B97" s="1"/>
      <c r="C97" s="2" t="s">
        <v>144</v>
      </c>
      <c r="D97" s="1"/>
      <c r="E97" s="1"/>
      <c r="F97" s="1"/>
      <c r="G97" s="1"/>
      <c r="H97" s="109"/>
    </row>
    <row r="98" spans="1:8" ht="14.1" customHeight="1" x14ac:dyDescent="0.2">
      <c r="A98" s="99"/>
      <c r="B98" s="1"/>
      <c r="C98" s="2" t="s">
        <v>135</v>
      </c>
      <c r="D98" s="1"/>
      <c r="E98" s="1" t="s">
        <v>136</v>
      </c>
      <c r="F98" s="115">
        <v>0</v>
      </c>
      <c r="G98" s="9">
        <v>0</v>
      </c>
      <c r="H98" s="109"/>
    </row>
    <row r="99" spans="1:8" ht="14.1" customHeight="1" x14ac:dyDescent="0.2">
      <c r="A99" s="99"/>
      <c r="B99" s="1"/>
      <c r="C99" s="10"/>
      <c r="D99" s="1"/>
      <c r="E99" s="1"/>
      <c r="F99" s="11"/>
      <c r="G99" s="11"/>
      <c r="H99" s="109"/>
    </row>
    <row r="100" spans="1:8" ht="14.1" customHeight="1" x14ac:dyDescent="0.2">
      <c r="A100" s="99"/>
      <c r="B100" s="1"/>
      <c r="C100" s="2" t="s">
        <v>145</v>
      </c>
      <c r="D100" s="1"/>
      <c r="E100" s="1"/>
      <c r="F100" s="1"/>
      <c r="G100" s="1"/>
      <c r="H100" s="109"/>
    </row>
    <row r="101" spans="1:8" ht="14.1" customHeight="1" x14ac:dyDescent="0.2">
      <c r="A101" s="99"/>
      <c r="B101" s="1"/>
      <c r="C101" s="2" t="s">
        <v>135</v>
      </c>
      <c r="D101" s="1"/>
      <c r="E101" s="1" t="s">
        <v>136</v>
      </c>
      <c r="F101" s="115">
        <v>0</v>
      </c>
      <c r="G101" s="9">
        <v>0</v>
      </c>
      <c r="H101" s="109"/>
    </row>
    <row r="102" spans="1:8" ht="14.1" customHeight="1" x14ac:dyDescent="0.2">
      <c r="A102" s="99"/>
      <c r="B102" s="1"/>
      <c r="C102" s="10"/>
      <c r="D102" s="1"/>
      <c r="E102" s="1"/>
      <c r="F102" s="11"/>
      <c r="G102" s="11"/>
      <c r="H102" s="109"/>
    </row>
    <row r="103" spans="1:8" ht="14.1" customHeight="1" x14ac:dyDescent="0.2">
      <c r="A103" s="99"/>
      <c r="B103" s="1"/>
      <c r="C103" s="2" t="s">
        <v>146</v>
      </c>
      <c r="D103" s="1"/>
      <c r="E103" s="1"/>
      <c r="F103" s="11"/>
      <c r="G103" s="11"/>
      <c r="H103" s="109"/>
    </row>
    <row r="104" spans="1:8" ht="14.1" customHeight="1" x14ac:dyDescent="0.2">
      <c r="A104" s="99"/>
      <c r="B104" s="1"/>
      <c r="C104" s="2" t="s">
        <v>135</v>
      </c>
      <c r="D104" s="1"/>
      <c r="E104" s="1" t="s">
        <v>136</v>
      </c>
      <c r="F104" s="115">
        <v>0</v>
      </c>
      <c r="G104" s="9">
        <v>0</v>
      </c>
      <c r="H104" s="109"/>
    </row>
    <row r="105" spans="1:8" ht="14.1" customHeight="1" x14ac:dyDescent="0.2">
      <c r="A105" s="99"/>
      <c r="B105" s="1"/>
      <c r="C105" s="10"/>
      <c r="D105" s="1"/>
      <c r="E105" s="1"/>
      <c r="F105" s="11"/>
      <c r="G105" s="11"/>
      <c r="H105" s="109"/>
    </row>
    <row r="106" spans="1:8" ht="14.1" customHeight="1" x14ac:dyDescent="0.2">
      <c r="A106" s="99"/>
      <c r="B106" s="1"/>
      <c r="C106" s="2" t="s">
        <v>147</v>
      </c>
      <c r="D106" s="1"/>
      <c r="E106" s="1"/>
      <c r="F106" s="8">
        <v>0</v>
      </c>
      <c r="G106" s="9">
        <v>0</v>
      </c>
      <c r="H106" s="109"/>
    </row>
    <row r="107" spans="1:8" ht="14.1" customHeight="1" x14ac:dyDescent="0.2">
      <c r="A107" s="99"/>
      <c r="B107" s="1"/>
      <c r="C107" s="10"/>
      <c r="D107" s="1"/>
      <c r="E107" s="1"/>
      <c r="F107" s="11"/>
      <c r="G107" s="11"/>
      <c r="H107" s="109"/>
    </row>
    <row r="108" spans="1:8" ht="14.1" customHeight="1" x14ac:dyDescent="0.2">
      <c r="A108" s="99"/>
      <c r="B108" s="1"/>
      <c r="C108" s="2" t="s">
        <v>148</v>
      </c>
      <c r="D108" s="1"/>
      <c r="E108" s="1"/>
      <c r="F108" s="11"/>
      <c r="G108" s="11"/>
      <c r="H108" s="109"/>
    </row>
    <row r="109" spans="1:8" ht="14.1" customHeight="1" x14ac:dyDescent="0.2">
      <c r="A109" s="99"/>
      <c r="B109" s="1"/>
      <c r="C109" s="2" t="s">
        <v>149</v>
      </c>
      <c r="D109" s="1"/>
      <c r="E109" s="1"/>
      <c r="F109" s="11"/>
      <c r="G109" s="11"/>
      <c r="H109" s="109"/>
    </row>
    <row r="110" spans="1:8" ht="14.1" customHeight="1" x14ac:dyDescent="0.2">
      <c r="A110" s="99"/>
      <c r="B110" s="1"/>
      <c r="C110" s="2" t="s">
        <v>135</v>
      </c>
      <c r="D110" s="1"/>
      <c r="E110" s="1" t="s">
        <v>136</v>
      </c>
      <c r="F110" s="115">
        <v>0</v>
      </c>
      <c r="G110" s="9">
        <v>0</v>
      </c>
      <c r="H110" s="109"/>
    </row>
    <row r="111" spans="1:8" ht="14.1" customHeight="1" x14ac:dyDescent="0.2">
      <c r="A111" s="99"/>
      <c r="B111" s="1"/>
      <c r="C111" s="10"/>
      <c r="D111" s="1"/>
      <c r="E111" s="1"/>
      <c r="F111" s="11"/>
      <c r="G111" s="11"/>
      <c r="H111" s="109"/>
    </row>
    <row r="112" spans="1:8" ht="14.1" customHeight="1" x14ac:dyDescent="0.2">
      <c r="A112" s="99"/>
      <c r="B112" s="1"/>
      <c r="C112" s="2" t="s">
        <v>150</v>
      </c>
      <c r="D112" s="1"/>
      <c r="E112" s="1"/>
      <c r="F112" s="11"/>
      <c r="G112" s="11"/>
      <c r="H112" s="109"/>
    </row>
    <row r="113" spans="1:8" ht="14.1" customHeight="1" x14ac:dyDescent="0.2">
      <c r="A113" s="99"/>
      <c r="B113" s="1"/>
      <c r="C113" s="2" t="s">
        <v>135</v>
      </c>
      <c r="D113" s="1"/>
      <c r="E113" s="1" t="s">
        <v>136</v>
      </c>
      <c r="F113" s="115">
        <v>0</v>
      </c>
      <c r="G113" s="9">
        <v>0</v>
      </c>
      <c r="H113" s="109"/>
    </row>
    <row r="114" spans="1:8" ht="14.1" customHeight="1" x14ac:dyDescent="0.2">
      <c r="A114" s="99"/>
      <c r="B114" s="1"/>
      <c r="C114" s="10"/>
      <c r="D114" s="1"/>
      <c r="E114" s="1"/>
      <c r="F114" s="11"/>
      <c r="G114" s="11"/>
      <c r="H114" s="109"/>
    </row>
    <row r="115" spans="1:8" ht="14.1" customHeight="1" x14ac:dyDescent="0.2">
      <c r="A115" s="99"/>
      <c r="B115" s="1"/>
      <c r="C115" s="2" t="s">
        <v>151</v>
      </c>
      <c r="D115" s="1"/>
      <c r="E115" s="1"/>
      <c r="F115" s="11"/>
      <c r="G115" s="11"/>
      <c r="H115" s="109"/>
    </row>
    <row r="116" spans="1:8" ht="14.1" customHeight="1" x14ac:dyDescent="0.2">
      <c r="A116" s="99"/>
      <c r="B116" s="1"/>
      <c r="C116" s="2" t="s">
        <v>135</v>
      </c>
      <c r="D116" s="1"/>
      <c r="E116" s="1" t="s">
        <v>136</v>
      </c>
      <c r="F116" s="115">
        <v>0</v>
      </c>
      <c r="G116" s="9">
        <v>0</v>
      </c>
      <c r="H116" s="109"/>
    </row>
    <row r="117" spans="1:8" ht="14.1" customHeight="1" x14ac:dyDescent="0.2">
      <c r="A117" s="99"/>
      <c r="B117" s="1"/>
      <c r="C117" s="10"/>
      <c r="D117" s="1"/>
      <c r="E117" s="1"/>
      <c r="F117" s="11"/>
      <c r="G117" s="11"/>
      <c r="H117" s="109"/>
    </row>
    <row r="118" spans="1:8" ht="14.1" customHeight="1" x14ac:dyDescent="0.2">
      <c r="A118" s="99"/>
      <c r="B118" s="1"/>
      <c r="C118" s="2" t="s">
        <v>152</v>
      </c>
      <c r="D118" s="1"/>
      <c r="E118" s="1"/>
      <c r="F118" s="11"/>
      <c r="G118" s="11"/>
      <c r="H118" s="109"/>
    </row>
    <row r="119" spans="1:8" ht="17.100000000000001" customHeight="1" x14ac:dyDescent="0.2">
      <c r="A119" s="100">
        <v>1</v>
      </c>
      <c r="B119" s="3"/>
      <c r="C119" s="3" t="s">
        <v>153</v>
      </c>
      <c r="D119" s="3"/>
      <c r="E119" s="7"/>
      <c r="F119" s="5">
        <v>7412.8560189769996</v>
      </c>
      <c r="G119" s="6">
        <v>4.1294659999999997E-2</v>
      </c>
      <c r="H119" s="109">
        <v>6.6015165706411798</v>
      </c>
    </row>
    <row r="120" spans="1:8" ht="14.1" customHeight="1" x14ac:dyDescent="0.2">
      <c r="A120" s="99"/>
      <c r="B120" s="1"/>
      <c r="C120" s="2" t="s">
        <v>135</v>
      </c>
      <c r="D120" s="1"/>
      <c r="E120" s="1" t="s">
        <v>136</v>
      </c>
      <c r="F120" s="8">
        <v>7412.8560189769996</v>
      </c>
      <c r="G120" s="9">
        <v>4.1294659999999997E-2</v>
      </c>
      <c r="H120" s="109"/>
    </row>
    <row r="121" spans="1:8" ht="14.1" customHeight="1" x14ac:dyDescent="0.2">
      <c r="A121" s="99"/>
      <c r="B121" s="1"/>
      <c r="C121" s="10"/>
      <c r="D121" s="1"/>
      <c r="E121" s="1"/>
      <c r="F121" s="11"/>
      <c r="G121" s="11"/>
      <c r="H121" s="109"/>
    </row>
    <row r="122" spans="1:8" ht="14.1" customHeight="1" x14ac:dyDescent="0.2">
      <c r="A122" s="99"/>
      <c r="B122" s="1"/>
      <c r="C122" s="2" t="s">
        <v>154</v>
      </c>
      <c r="D122" s="1"/>
      <c r="E122" s="1"/>
      <c r="F122" s="8">
        <v>7412.8560189769996</v>
      </c>
      <c r="G122" s="9">
        <v>4.1294659999999997E-2</v>
      </c>
      <c r="H122" s="109"/>
    </row>
    <row r="123" spans="1:8" ht="14.1" customHeight="1" x14ac:dyDescent="0.2">
      <c r="A123" s="99"/>
      <c r="B123" s="1"/>
      <c r="C123" s="11"/>
      <c r="D123" s="1"/>
      <c r="E123" s="1"/>
      <c r="F123" s="1"/>
      <c r="G123" s="1"/>
      <c r="H123" s="109"/>
    </row>
    <row r="124" spans="1:8" ht="14.1" customHeight="1" x14ac:dyDescent="0.2">
      <c r="A124" s="99"/>
      <c r="B124" s="1"/>
      <c r="C124" s="2" t="s">
        <v>155</v>
      </c>
      <c r="D124" s="1"/>
      <c r="E124" s="1"/>
      <c r="F124" s="1"/>
      <c r="G124" s="1"/>
      <c r="H124" s="109"/>
    </row>
    <row r="125" spans="1:8" ht="14.1" customHeight="1" x14ac:dyDescent="0.2">
      <c r="A125" s="99"/>
      <c r="B125" s="1"/>
      <c r="C125" s="2" t="s">
        <v>156</v>
      </c>
      <c r="D125" s="1"/>
      <c r="E125" s="1"/>
      <c r="F125" s="1"/>
      <c r="G125" s="1"/>
      <c r="H125" s="109"/>
    </row>
    <row r="126" spans="1:8" ht="14.1" customHeight="1" x14ac:dyDescent="0.2">
      <c r="A126" s="99"/>
      <c r="B126" s="1"/>
      <c r="C126" s="2" t="s">
        <v>135</v>
      </c>
      <c r="D126" s="1"/>
      <c r="E126" s="1" t="s">
        <v>136</v>
      </c>
      <c r="F126" s="115">
        <v>0</v>
      </c>
      <c r="G126" s="9">
        <v>0</v>
      </c>
      <c r="H126" s="109"/>
    </row>
    <row r="127" spans="1:8" ht="14.1" customHeight="1" x14ac:dyDescent="0.2">
      <c r="A127" s="99"/>
      <c r="B127" s="1"/>
      <c r="C127" s="10"/>
      <c r="D127" s="1"/>
      <c r="E127" s="1"/>
      <c r="F127" s="11"/>
      <c r="G127" s="11"/>
      <c r="H127" s="109"/>
    </row>
    <row r="128" spans="1:8" ht="14.1" customHeight="1" x14ac:dyDescent="0.2">
      <c r="A128" s="99"/>
      <c r="B128" s="1"/>
      <c r="C128" s="2" t="s">
        <v>157</v>
      </c>
      <c r="D128" s="1"/>
      <c r="E128" s="1"/>
      <c r="F128" s="1"/>
      <c r="G128" s="1"/>
      <c r="H128" s="109"/>
    </row>
    <row r="129" spans="1:8" ht="14.1" customHeight="1" x14ac:dyDescent="0.2">
      <c r="A129" s="99"/>
      <c r="B129" s="1"/>
      <c r="C129" s="2" t="s">
        <v>158</v>
      </c>
      <c r="D129" s="1"/>
      <c r="E129" s="1"/>
      <c r="F129" s="1"/>
      <c r="G129" s="1"/>
      <c r="H129" s="109"/>
    </row>
    <row r="130" spans="1:8" ht="14.1" customHeight="1" x14ac:dyDescent="0.2">
      <c r="A130" s="99"/>
      <c r="B130" s="1"/>
      <c r="C130" s="2" t="s">
        <v>135</v>
      </c>
      <c r="D130" s="1"/>
      <c r="E130" s="1" t="s">
        <v>136</v>
      </c>
      <c r="F130" s="115">
        <v>0</v>
      </c>
      <c r="G130" s="9">
        <v>0</v>
      </c>
      <c r="H130" s="109"/>
    </row>
    <row r="131" spans="1:8" ht="14.1" customHeight="1" x14ac:dyDescent="0.2">
      <c r="A131" s="99"/>
      <c r="B131" s="1"/>
      <c r="C131" s="10"/>
      <c r="D131" s="1"/>
      <c r="E131" s="1"/>
      <c r="F131" s="11"/>
      <c r="G131" s="11"/>
      <c r="H131" s="109"/>
    </row>
    <row r="132" spans="1:8" ht="24" customHeight="1" x14ac:dyDescent="0.2">
      <c r="A132" s="99"/>
      <c r="B132" s="1"/>
      <c r="C132" s="2" t="s">
        <v>159</v>
      </c>
      <c r="D132" s="1"/>
      <c r="E132" s="1"/>
      <c r="F132" s="11"/>
      <c r="G132" s="11"/>
      <c r="H132" s="109"/>
    </row>
    <row r="133" spans="1:8" ht="14.1" customHeight="1" x14ac:dyDescent="0.2">
      <c r="A133" s="99"/>
      <c r="B133" s="1"/>
      <c r="C133" s="2" t="s">
        <v>135</v>
      </c>
      <c r="D133" s="1"/>
      <c r="E133" s="1" t="s">
        <v>136</v>
      </c>
      <c r="F133" s="115">
        <v>0</v>
      </c>
      <c r="G133" s="9">
        <v>0</v>
      </c>
      <c r="H133" s="109"/>
    </row>
    <row r="134" spans="1:8" ht="14.1" customHeight="1" x14ac:dyDescent="0.2">
      <c r="A134" s="99"/>
      <c r="B134" s="1"/>
      <c r="C134" s="10"/>
      <c r="D134" s="1"/>
      <c r="E134" s="1"/>
      <c r="F134" s="11"/>
      <c r="G134" s="11"/>
      <c r="H134" s="109"/>
    </row>
    <row r="135" spans="1:8" ht="14.1" customHeight="1" x14ac:dyDescent="0.2">
      <c r="A135" s="99"/>
      <c r="B135" s="3"/>
      <c r="C135" s="3"/>
      <c r="D135" s="2"/>
      <c r="E135" s="1"/>
      <c r="F135" s="3"/>
      <c r="G135" s="7"/>
      <c r="H135" s="109"/>
    </row>
    <row r="136" spans="1:8" ht="18" customHeight="1" x14ac:dyDescent="0.2">
      <c r="A136" s="101"/>
      <c r="B136" s="3"/>
      <c r="C136" s="3" t="s">
        <v>160</v>
      </c>
      <c r="D136" s="3"/>
      <c r="E136" s="7"/>
      <c r="F136" s="5">
        <v>-223.33294952</v>
      </c>
      <c r="G136" s="6">
        <v>-1.24412E-3</v>
      </c>
      <c r="H136" s="109"/>
    </row>
    <row r="137" spans="1:8" ht="14.1" customHeight="1" x14ac:dyDescent="0.2">
      <c r="A137" s="102"/>
      <c r="B137" s="10"/>
      <c r="C137" s="2" t="s">
        <v>161</v>
      </c>
      <c r="D137" s="11"/>
      <c r="E137" s="11"/>
      <c r="F137" s="8">
        <v>179511.232777294</v>
      </c>
      <c r="G137" s="12">
        <v>1.0000000200000001</v>
      </c>
      <c r="H137" s="109"/>
    </row>
    <row r="138" spans="1:8" ht="14.1" customHeight="1" x14ac:dyDescent="0.2">
      <c r="A138" s="13"/>
      <c r="B138" s="13"/>
      <c r="C138" s="13"/>
      <c r="D138" s="14"/>
      <c r="E138" s="14"/>
      <c r="F138" s="14"/>
      <c r="G138" s="14"/>
    </row>
    <row r="139" spans="1:8" ht="17.100000000000001" customHeight="1" x14ac:dyDescent="0.2">
      <c r="A139" s="15"/>
      <c r="B139" s="193" t="s">
        <v>162</v>
      </c>
      <c r="C139" s="193"/>
      <c r="D139" s="193"/>
      <c r="E139" s="193"/>
      <c r="F139" s="193"/>
      <c r="G139" s="17"/>
    </row>
    <row r="140" spans="1:8" ht="14.1" customHeight="1" x14ac:dyDescent="0.2">
      <c r="A140" s="15"/>
      <c r="B140" s="15"/>
      <c r="C140" s="15"/>
      <c r="D140" s="17"/>
      <c r="E140" s="17"/>
      <c r="F140" s="17"/>
      <c r="G140" s="17"/>
    </row>
    <row r="141" spans="1:8" ht="14.1" customHeight="1" x14ac:dyDescent="0.2">
      <c r="A141" s="15"/>
      <c r="B141" s="194" t="s">
        <v>163</v>
      </c>
      <c r="C141" s="195"/>
      <c r="D141" s="196"/>
      <c r="E141" s="18"/>
      <c r="F141" s="17"/>
      <c r="G141" s="17"/>
    </row>
    <row r="142" spans="1:8" ht="29.1" customHeight="1" x14ac:dyDescent="0.2">
      <c r="A142" s="15"/>
      <c r="B142" s="191" t="s">
        <v>164</v>
      </c>
      <c r="C142" s="192"/>
      <c r="D142" s="2" t="s">
        <v>1035</v>
      </c>
      <c r="E142" s="18"/>
      <c r="F142" s="17"/>
      <c r="G142" s="17"/>
    </row>
    <row r="143" spans="1:8" ht="17.100000000000001" customHeight="1" x14ac:dyDescent="0.2">
      <c r="A143" s="15"/>
      <c r="B143" s="191" t="s">
        <v>915</v>
      </c>
      <c r="C143" s="192"/>
      <c r="D143" s="2" t="s">
        <v>943</v>
      </c>
      <c r="E143" s="18"/>
      <c r="F143" s="17"/>
      <c r="G143" s="17"/>
    </row>
    <row r="144" spans="1:8" ht="17.100000000000001" customHeight="1" x14ac:dyDescent="0.2">
      <c r="A144" s="15"/>
      <c r="B144" s="191" t="s">
        <v>167</v>
      </c>
      <c r="C144" s="192"/>
      <c r="D144" s="11" t="s">
        <v>136</v>
      </c>
      <c r="E144" s="18"/>
      <c r="F144" s="17"/>
      <c r="G144" s="17"/>
    </row>
    <row r="145" spans="1:7" ht="24" customHeight="1" x14ac:dyDescent="0.2">
      <c r="A145" s="19"/>
      <c r="B145" s="20" t="s">
        <v>136</v>
      </c>
      <c r="C145" s="20" t="s">
        <v>168</v>
      </c>
      <c r="D145" s="20" t="s">
        <v>169</v>
      </c>
      <c r="E145" s="19"/>
      <c r="F145" s="19"/>
      <c r="G145" s="19"/>
    </row>
    <row r="146" spans="1:7" ht="18" customHeight="1" x14ac:dyDescent="0.2">
      <c r="A146" s="19"/>
      <c r="B146" s="21" t="s">
        <v>170</v>
      </c>
      <c r="C146" s="20" t="s">
        <v>171</v>
      </c>
      <c r="D146" s="20" t="s">
        <v>172</v>
      </c>
      <c r="E146" s="19"/>
      <c r="F146" s="19"/>
      <c r="G146" s="19"/>
    </row>
    <row r="147" spans="1:7" ht="17.100000000000001" customHeight="1" x14ac:dyDescent="0.2">
      <c r="A147" s="19"/>
      <c r="B147" s="3" t="s">
        <v>173</v>
      </c>
      <c r="C147" s="22">
        <v>252.0239</v>
      </c>
      <c r="D147" s="22">
        <v>248.99209999999999</v>
      </c>
      <c r="E147" s="19"/>
      <c r="F147" s="16"/>
      <c r="G147" s="23"/>
    </row>
    <row r="148" spans="1:7" ht="29.1" customHeight="1" x14ac:dyDescent="0.2">
      <c r="A148" s="19"/>
      <c r="B148" s="3" t="s">
        <v>1045</v>
      </c>
      <c r="C148" s="22">
        <v>64.552999999999997</v>
      </c>
      <c r="D148" s="22">
        <v>63.775799999999997</v>
      </c>
      <c r="E148" s="19"/>
      <c r="F148" s="16"/>
      <c r="G148" s="23"/>
    </row>
    <row r="149" spans="1:7" ht="17.100000000000001" customHeight="1" x14ac:dyDescent="0.2">
      <c r="A149" s="19"/>
      <c r="B149" s="3" t="s">
        <v>174</v>
      </c>
      <c r="C149" s="22">
        <v>232.5753</v>
      </c>
      <c r="D149" s="22">
        <v>229.5694</v>
      </c>
      <c r="E149" s="19"/>
      <c r="F149" s="16"/>
      <c r="G149" s="23"/>
    </row>
    <row r="150" spans="1:7" ht="29.1" customHeight="1" x14ac:dyDescent="0.2">
      <c r="A150" s="19"/>
      <c r="B150" s="3" t="s">
        <v>1046</v>
      </c>
      <c r="C150" s="22">
        <v>49.182200000000002</v>
      </c>
      <c r="D150" s="22">
        <v>48.546100000000003</v>
      </c>
      <c r="E150" s="19"/>
      <c r="F150" s="16"/>
      <c r="G150" s="23"/>
    </row>
    <row r="151" spans="1:7" ht="14.1" customHeight="1" x14ac:dyDescent="0.2">
      <c r="A151" s="19"/>
      <c r="B151" s="19"/>
      <c r="C151" s="19"/>
      <c r="D151" s="19"/>
      <c r="E151" s="19"/>
      <c r="F151" s="19"/>
      <c r="G151" s="19"/>
    </row>
    <row r="152" spans="1:7" ht="17.100000000000001" customHeight="1" x14ac:dyDescent="0.2">
      <c r="A152" s="19"/>
      <c r="B152" s="191" t="s">
        <v>1044</v>
      </c>
      <c r="C152" s="192"/>
      <c r="D152" s="2" t="s">
        <v>165</v>
      </c>
      <c r="E152" s="19"/>
      <c r="F152" s="19"/>
      <c r="G152" s="19"/>
    </row>
    <row r="153" spans="1:7" ht="18" customHeight="1" x14ac:dyDescent="0.2">
      <c r="A153" s="19"/>
      <c r="B153" s="24"/>
      <c r="C153" s="24"/>
      <c r="D153" s="24"/>
      <c r="E153" s="19"/>
      <c r="F153" s="19"/>
      <c r="G153" s="19"/>
    </row>
    <row r="154" spans="1:7" ht="29.1" customHeight="1" x14ac:dyDescent="0.2">
      <c r="A154" s="19"/>
      <c r="B154" s="191" t="s">
        <v>175</v>
      </c>
      <c r="C154" s="192"/>
      <c r="D154" s="2" t="s">
        <v>165</v>
      </c>
      <c r="E154" s="25"/>
      <c r="F154" s="19"/>
      <c r="G154" s="19"/>
    </row>
    <row r="155" spans="1:7" ht="29.1" customHeight="1" x14ac:dyDescent="0.2">
      <c r="A155" s="19"/>
      <c r="B155" s="191" t="s">
        <v>176</v>
      </c>
      <c r="C155" s="192"/>
      <c r="D155" s="2" t="s">
        <v>165</v>
      </c>
      <c r="E155" s="25"/>
      <c r="F155" s="19"/>
      <c r="G155" s="19"/>
    </row>
    <row r="156" spans="1:7" ht="17.100000000000001" customHeight="1" x14ac:dyDescent="0.2">
      <c r="A156" s="19"/>
      <c r="B156" s="191" t="s">
        <v>177</v>
      </c>
      <c r="C156" s="192"/>
      <c r="D156" s="2" t="s">
        <v>165</v>
      </c>
      <c r="E156" s="25"/>
      <c r="F156" s="19"/>
      <c r="G156" s="19"/>
    </row>
    <row r="157" spans="1:7" ht="17.100000000000001" customHeight="1" x14ac:dyDescent="0.2">
      <c r="A157" s="19"/>
      <c r="B157" s="191" t="s">
        <v>178</v>
      </c>
      <c r="C157" s="192"/>
      <c r="D157" s="26">
        <v>0.71232930866309052</v>
      </c>
      <c r="E157" s="19"/>
      <c r="F157" s="16"/>
      <c r="G157" s="23"/>
    </row>
    <row r="158" spans="1:7" ht="14.1" customHeight="1" x14ac:dyDescent="0.2">
      <c r="A158" s="24"/>
      <c r="B158" s="24"/>
      <c r="C158" s="24"/>
      <c r="D158" s="24"/>
      <c r="E158" s="24"/>
      <c r="F158" s="24"/>
      <c r="G158" s="24"/>
    </row>
    <row r="159" spans="1:7" x14ac:dyDescent="0.2">
      <c r="B159" s="157" t="s">
        <v>1040</v>
      </c>
    </row>
    <row r="160" spans="1:7" ht="38.25" x14ac:dyDescent="0.2">
      <c r="B160" s="123" t="s">
        <v>1007</v>
      </c>
      <c r="C160" s="123" t="s">
        <v>1008</v>
      </c>
      <c r="D160" s="123" t="s">
        <v>1009</v>
      </c>
      <c r="E160" s="123" t="s">
        <v>1010</v>
      </c>
      <c r="F160" s="123" t="s">
        <v>1011</v>
      </c>
    </row>
    <row r="161" spans="2:6" x14ac:dyDescent="0.2">
      <c r="B161" s="158" t="s">
        <v>1039</v>
      </c>
      <c r="C161" s="153" t="s">
        <v>1037</v>
      </c>
      <c r="D161" s="154">
        <v>0</v>
      </c>
      <c r="E161" s="155">
        <v>0</v>
      </c>
      <c r="F161" s="156">
        <v>29.407129999999999</v>
      </c>
    </row>
  </sheetData>
  <mergeCells count="14">
    <mergeCell ref="J2:N2"/>
    <mergeCell ref="A1:H1"/>
    <mergeCell ref="A2:H2"/>
    <mergeCell ref="A3:H3"/>
    <mergeCell ref="B156:C156"/>
    <mergeCell ref="B139:F139"/>
    <mergeCell ref="B141:D141"/>
    <mergeCell ref="B142:C142"/>
    <mergeCell ref="B157:C157"/>
    <mergeCell ref="B152:C152"/>
    <mergeCell ref="B154:C154"/>
    <mergeCell ref="B155:C155"/>
    <mergeCell ref="B143:C143"/>
    <mergeCell ref="B144:C144"/>
  </mergeCells>
  <hyperlinks>
    <hyperlink ref="I1" location="Index!B29" display="Index" xr:uid="{74F4F02A-FA41-473D-99DC-AE02A1924633}"/>
  </hyperlinks>
  <pageMargins left="5.000000074505806E-2" right="5.000000074505806E-2" top="0.30000001192092896" bottom="0.20000000298023224" header="0" footer="0"/>
  <pageSetup paperSize="9" orientation="landscape" horizontalDpi="1200" verticalDpi="1200" r:id="rId1"/>
  <headerFooter alignWithMargins="0"/>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N196"/>
  <sheetViews>
    <sheetView showGridLines="0" workbookViewId="0">
      <selection sqref="A1:H1"/>
    </sheetView>
  </sheetViews>
  <sheetFormatPr defaultRowHeight="12.75" x14ac:dyDescent="0.2"/>
  <cols>
    <col min="1" max="1" width="5.42578125" bestFit="1"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7" t="s">
        <v>0</v>
      </c>
      <c r="B1" s="187"/>
      <c r="C1" s="187"/>
      <c r="D1" s="187"/>
      <c r="E1" s="187"/>
      <c r="F1" s="187"/>
      <c r="G1" s="187"/>
      <c r="H1" s="187"/>
      <c r="I1" s="167" t="s">
        <v>1055</v>
      </c>
    </row>
    <row r="2" spans="1:14" ht="17.100000000000001" customHeight="1" x14ac:dyDescent="0.2">
      <c r="A2" s="188" t="s">
        <v>725</v>
      </c>
      <c r="B2" s="189"/>
      <c r="C2" s="189"/>
      <c r="D2" s="189"/>
      <c r="E2" s="189"/>
      <c r="F2" s="189"/>
      <c r="G2" s="189"/>
      <c r="H2" s="190"/>
      <c r="J2" s="186" t="s">
        <v>1056</v>
      </c>
      <c r="K2" s="186"/>
      <c r="L2" s="186"/>
      <c r="M2" s="186"/>
      <c r="N2" s="186"/>
    </row>
    <row r="3" spans="1:14" ht="21" customHeight="1" x14ac:dyDescent="0.2">
      <c r="A3" s="187" t="s">
        <v>1052</v>
      </c>
      <c r="B3" s="187"/>
      <c r="C3" s="187"/>
      <c r="D3" s="187"/>
      <c r="E3" s="187"/>
      <c r="F3" s="187"/>
      <c r="G3" s="187"/>
      <c r="H3" s="187"/>
    </row>
    <row r="4" spans="1:14" ht="30" x14ac:dyDescent="0.2">
      <c r="A4" s="163" t="s">
        <v>2</v>
      </c>
      <c r="B4" s="164" t="s">
        <v>3</v>
      </c>
      <c r="C4" s="164" t="s">
        <v>4</v>
      </c>
      <c r="D4" s="164" t="s">
        <v>5</v>
      </c>
      <c r="E4" s="164" t="s">
        <v>6</v>
      </c>
      <c r="F4" s="164" t="s">
        <v>7</v>
      </c>
      <c r="G4" s="164" t="s">
        <v>8</v>
      </c>
      <c r="H4" s="120" t="s">
        <v>881</v>
      </c>
      <c r="I4" s="165"/>
      <c r="J4" s="165"/>
      <c r="K4" s="165"/>
      <c r="L4" s="165"/>
      <c r="M4" s="165"/>
      <c r="N4" s="165"/>
    </row>
    <row r="5" spans="1:14" ht="14.1" customHeight="1" x14ac:dyDescent="0.2">
      <c r="A5" s="99"/>
      <c r="B5" s="1"/>
      <c r="C5" s="2" t="s">
        <v>9</v>
      </c>
      <c r="D5" s="1"/>
      <c r="E5" s="1"/>
      <c r="F5" s="1"/>
      <c r="G5" s="1"/>
      <c r="H5" s="109"/>
    </row>
    <row r="6" spans="1:14" ht="24" customHeight="1" x14ac:dyDescent="0.2">
      <c r="A6" s="99"/>
      <c r="B6" s="1"/>
      <c r="C6" s="2" t="s">
        <v>10</v>
      </c>
      <c r="D6" s="1"/>
      <c r="E6" s="1"/>
      <c r="F6" s="1"/>
      <c r="G6" s="1"/>
      <c r="H6" s="109"/>
    </row>
    <row r="7" spans="1:14" ht="29.1" customHeight="1" x14ac:dyDescent="0.2">
      <c r="A7" s="100">
        <v>1</v>
      </c>
      <c r="B7" s="3" t="s">
        <v>726</v>
      </c>
      <c r="C7" s="3" t="s">
        <v>727</v>
      </c>
      <c r="D7" s="3" t="s">
        <v>728</v>
      </c>
      <c r="E7" s="4">
        <v>10689</v>
      </c>
      <c r="F7" s="5">
        <v>63.840052499999999</v>
      </c>
      <c r="G7" s="6">
        <v>1.212182E-2</v>
      </c>
      <c r="H7" s="109"/>
    </row>
    <row r="8" spans="1:14" ht="17.100000000000001" customHeight="1" x14ac:dyDescent="0.2">
      <c r="A8" s="100">
        <v>2</v>
      </c>
      <c r="B8" s="3" t="s">
        <v>53</v>
      </c>
      <c r="C8" s="3" t="s">
        <v>54</v>
      </c>
      <c r="D8" s="3" t="s">
        <v>36</v>
      </c>
      <c r="E8" s="4">
        <v>1923</v>
      </c>
      <c r="F8" s="5">
        <v>62.432118000000003</v>
      </c>
      <c r="G8" s="6">
        <v>1.1854480000000001E-2</v>
      </c>
      <c r="H8" s="109"/>
    </row>
    <row r="9" spans="1:14" ht="17.100000000000001" customHeight="1" x14ac:dyDescent="0.2">
      <c r="A9" s="100">
        <v>3</v>
      </c>
      <c r="B9" s="3" t="s">
        <v>312</v>
      </c>
      <c r="C9" s="3" t="s">
        <v>313</v>
      </c>
      <c r="D9" s="3" t="s">
        <v>309</v>
      </c>
      <c r="E9" s="4">
        <v>16388</v>
      </c>
      <c r="F9" s="5">
        <v>61.733595999999999</v>
      </c>
      <c r="G9" s="6">
        <v>1.1721850000000001E-2</v>
      </c>
      <c r="H9" s="109"/>
    </row>
    <row r="10" spans="1:14" ht="17.100000000000001" customHeight="1" x14ac:dyDescent="0.2">
      <c r="A10" s="100">
        <v>4</v>
      </c>
      <c r="B10" s="3" t="s">
        <v>322</v>
      </c>
      <c r="C10" s="3" t="s">
        <v>323</v>
      </c>
      <c r="D10" s="3" t="s">
        <v>996</v>
      </c>
      <c r="E10" s="4">
        <v>5461</v>
      </c>
      <c r="F10" s="5">
        <v>60.084652499999997</v>
      </c>
      <c r="G10" s="6">
        <v>1.140875E-2</v>
      </c>
      <c r="H10" s="109"/>
    </row>
    <row r="11" spans="1:14" ht="17.100000000000001" customHeight="1" x14ac:dyDescent="0.2">
      <c r="A11" s="100">
        <v>5</v>
      </c>
      <c r="B11" s="3" t="s">
        <v>729</v>
      </c>
      <c r="C11" s="3" t="s">
        <v>730</v>
      </c>
      <c r="D11" s="3" t="s">
        <v>80</v>
      </c>
      <c r="E11" s="4">
        <v>74680</v>
      </c>
      <c r="F11" s="5">
        <v>59.482619999999997</v>
      </c>
      <c r="G11" s="6">
        <v>1.1294439999999999E-2</v>
      </c>
      <c r="H11" s="109"/>
    </row>
    <row r="12" spans="1:14" ht="29.1" customHeight="1" x14ac:dyDescent="0.2">
      <c r="A12" s="100">
        <v>6</v>
      </c>
      <c r="B12" s="3" t="s">
        <v>85</v>
      </c>
      <c r="C12" s="3" t="s">
        <v>86</v>
      </c>
      <c r="D12" s="3" t="s">
        <v>25</v>
      </c>
      <c r="E12" s="4">
        <v>228</v>
      </c>
      <c r="F12" s="5">
        <v>59.480525999999998</v>
      </c>
      <c r="G12" s="6">
        <v>1.129404E-2</v>
      </c>
      <c r="H12" s="109"/>
    </row>
    <row r="13" spans="1:14" ht="17.100000000000001" customHeight="1" x14ac:dyDescent="0.2">
      <c r="A13" s="100">
        <v>7</v>
      </c>
      <c r="B13" s="3" t="s">
        <v>264</v>
      </c>
      <c r="C13" s="3" t="s">
        <v>265</v>
      </c>
      <c r="D13" s="3" t="s">
        <v>996</v>
      </c>
      <c r="E13" s="4">
        <v>1257</v>
      </c>
      <c r="F13" s="5">
        <v>59.356168500000003</v>
      </c>
      <c r="G13" s="6">
        <v>1.127043E-2</v>
      </c>
      <c r="H13" s="109"/>
      <c r="J13" s="169" t="s">
        <v>1079</v>
      </c>
    </row>
    <row r="14" spans="1:14" ht="17.100000000000001" customHeight="1" x14ac:dyDescent="0.2">
      <c r="A14" s="100">
        <v>8</v>
      </c>
      <c r="B14" s="3" t="s">
        <v>89</v>
      </c>
      <c r="C14" s="3" t="s">
        <v>90</v>
      </c>
      <c r="D14" s="3" t="s">
        <v>91</v>
      </c>
      <c r="E14" s="4">
        <v>57710</v>
      </c>
      <c r="F14" s="5">
        <v>59.239314999999998</v>
      </c>
      <c r="G14" s="6">
        <v>1.124824E-2</v>
      </c>
      <c r="H14" s="109"/>
    </row>
    <row r="15" spans="1:14" ht="17.100000000000001" customHeight="1" x14ac:dyDescent="0.2">
      <c r="A15" s="100">
        <v>9</v>
      </c>
      <c r="B15" s="3" t="s">
        <v>731</v>
      </c>
      <c r="C15" s="3" t="s">
        <v>732</v>
      </c>
      <c r="D15" s="3" t="s">
        <v>115</v>
      </c>
      <c r="E15" s="4">
        <v>4941</v>
      </c>
      <c r="F15" s="5">
        <v>59.146240499999998</v>
      </c>
      <c r="G15" s="6">
        <v>1.123057E-2</v>
      </c>
      <c r="H15" s="109"/>
    </row>
    <row r="16" spans="1:14" ht="17.100000000000001" customHeight="1" x14ac:dyDescent="0.2">
      <c r="A16" s="100">
        <v>10</v>
      </c>
      <c r="B16" s="3" t="s">
        <v>733</v>
      </c>
      <c r="C16" s="3" t="s">
        <v>734</v>
      </c>
      <c r="D16" s="3" t="s">
        <v>120</v>
      </c>
      <c r="E16" s="4">
        <v>940</v>
      </c>
      <c r="F16" s="5">
        <v>58.789009999999998</v>
      </c>
      <c r="G16" s="6">
        <v>1.1162740000000001E-2</v>
      </c>
      <c r="H16" s="109"/>
    </row>
    <row r="17" spans="1:8" ht="29.1" customHeight="1" x14ac:dyDescent="0.2">
      <c r="A17" s="100">
        <v>11</v>
      </c>
      <c r="B17" s="3" t="s">
        <v>118</v>
      </c>
      <c r="C17" s="3" t="s">
        <v>119</v>
      </c>
      <c r="D17" s="3" t="s">
        <v>120</v>
      </c>
      <c r="E17" s="4">
        <v>7762</v>
      </c>
      <c r="F17" s="5">
        <v>58.719529999999999</v>
      </c>
      <c r="G17" s="6">
        <v>1.1149539999999999E-2</v>
      </c>
      <c r="H17" s="109"/>
    </row>
    <row r="18" spans="1:8" ht="17.100000000000001" customHeight="1" x14ac:dyDescent="0.2">
      <c r="A18" s="100">
        <v>12</v>
      </c>
      <c r="B18" s="3" t="s">
        <v>348</v>
      </c>
      <c r="C18" s="3" t="s">
        <v>349</v>
      </c>
      <c r="D18" s="3" t="s">
        <v>71</v>
      </c>
      <c r="E18" s="4">
        <v>13929</v>
      </c>
      <c r="F18" s="5">
        <v>58.599302999999999</v>
      </c>
      <c r="G18" s="6">
        <v>1.112671E-2</v>
      </c>
      <c r="H18" s="109"/>
    </row>
    <row r="19" spans="1:8" ht="17.100000000000001" customHeight="1" x14ac:dyDescent="0.2">
      <c r="A19" s="100">
        <v>13</v>
      </c>
      <c r="B19" s="3" t="s">
        <v>284</v>
      </c>
      <c r="C19" s="3" t="s">
        <v>285</v>
      </c>
      <c r="D19" s="3" t="s">
        <v>996</v>
      </c>
      <c r="E19" s="4">
        <v>2856</v>
      </c>
      <c r="F19" s="5">
        <v>58.131023999999996</v>
      </c>
      <c r="G19" s="6">
        <v>1.10378E-2</v>
      </c>
      <c r="H19" s="109"/>
    </row>
    <row r="20" spans="1:8" ht="17.100000000000001" customHeight="1" x14ac:dyDescent="0.2">
      <c r="A20" s="100">
        <v>14</v>
      </c>
      <c r="B20" s="3" t="s">
        <v>735</v>
      </c>
      <c r="C20" s="3" t="s">
        <v>736</v>
      </c>
      <c r="D20" s="3" t="s">
        <v>80</v>
      </c>
      <c r="E20" s="4">
        <v>319</v>
      </c>
      <c r="F20" s="5">
        <v>57.408037499999999</v>
      </c>
      <c r="G20" s="6">
        <v>1.090052E-2</v>
      </c>
      <c r="H20" s="109"/>
    </row>
    <row r="21" spans="1:8" ht="17.100000000000001" customHeight="1" x14ac:dyDescent="0.2">
      <c r="A21" s="100">
        <v>15</v>
      </c>
      <c r="B21" s="3" t="s">
        <v>41</v>
      </c>
      <c r="C21" s="3" t="s">
        <v>42</v>
      </c>
      <c r="D21" s="3" t="s">
        <v>28</v>
      </c>
      <c r="E21" s="4">
        <v>25747</v>
      </c>
      <c r="F21" s="5">
        <v>57.222707499999999</v>
      </c>
      <c r="G21" s="6">
        <v>1.0865329999999999E-2</v>
      </c>
      <c r="H21" s="109"/>
    </row>
    <row r="22" spans="1:8" ht="17.100000000000001" customHeight="1" x14ac:dyDescent="0.2">
      <c r="A22" s="100">
        <v>16</v>
      </c>
      <c r="B22" s="3" t="s">
        <v>92</v>
      </c>
      <c r="C22" s="3" t="s">
        <v>93</v>
      </c>
      <c r="D22" s="3" t="s">
        <v>94</v>
      </c>
      <c r="E22" s="4">
        <v>37617</v>
      </c>
      <c r="F22" s="5">
        <v>57.196648500000002</v>
      </c>
      <c r="G22" s="6">
        <v>1.0860379999999999E-2</v>
      </c>
      <c r="H22" s="109"/>
    </row>
    <row r="23" spans="1:8" ht="17.100000000000001" customHeight="1" x14ac:dyDescent="0.2">
      <c r="A23" s="100">
        <v>17</v>
      </c>
      <c r="B23" s="3" t="s">
        <v>314</v>
      </c>
      <c r="C23" s="3" t="s">
        <v>315</v>
      </c>
      <c r="D23" s="3" t="s">
        <v>996</v>
      </c>
      <c r="E23" s="4">
        <v>5305</v>
      </c>
      <c r="F23" s="5">
        <v>57.166679999999999</v>
      </c>
      <c r="G23" s="6">
        <v>1.085469E-2</v>
      </c>
      <c r="H23" s="109"/>
    </row>
    <row r="24" spans="1:8" ht="17.100000000000001" customHeight="1" x14ac:dyDescent="0.2">
      <c r="A24" s="100">
        <v>18</v>
      </c>
      <c r="B24" s="3" t="s">
        <v>547</v>
      </c>
      <c r="C24" s="3" t="s">
        <v>548</v>
      </c>
      <c r="D24" s="3" t="s">
        <v>277</v>
      </c>
      <c r="E24" s="4">
        <v>6162</v>
      </c>
      <c r="F24" s="5">
        <v>56.893746</v>
      </c>
      <c r="G24" s="6">
        <v>1.0802869999999999E-2</v>
      </c>
      <c r="H24" s="109"/>
    </row>
    <row r="25" spans="1:8" ht="17.100000000000001" customHeight="1" x14ac:dyDescent="0.2">
      <c r="A25" s="100">
        <v>19</v>
      </c>
      <c r="B25" s="3" t="s">
        <v>69</v>
      </c>
      <c r="C25" s="3" t="s">
        <v>70</v>
      </c>
      <c r="D25" s="3" t="s">
        <v>71</v>
      </c>
      <c r="E25" s="4">
        <v>659</v>
      </c>
      <c r="F25" s="5">
        <v>56.834466499999998</v>
      </c>
      <c r="G25" s="6">
        <v>1.079161E-2</v>
      </c>
      <c r="H25" s="109"/>
    </row>
    <row r="26" spans="1:8" ht="17.100000000000001" customHeight="1" x14ac:dyDescent="0.2">
      <c r="A26" s="100">
        <v>20</v>
      </c>
      <c r="B26" s="3" t="s">
        <v>26</v>
      </c>
      <c r="C26" s="3" t="s">
        <v>27</v>
      </c>
      <c r="D26" s="3" t="s">
        <v>28</v>
      </c>
      <c r="E26" s="4">
        <v>33323</v>
      </c>
      <c r="F26" s="5">
        <v>56.815714999999997</v>
      </c>
      <c r="G26" s="6">
        <v>1.078805E-2</v>
      </c>
      <c r="H26" s="109"/>
    </row>
    <row r="27" spans="1:8" ht="17.100000000000001" customHeight="1" x14ac:dyDescent="0.2">
      <c r="A27" s="100">
        <v>21</v>
      </c>
      <c r="B27" s="3" t="s">
        <v>299</v>
      </c>
      <c r="C27" s="3" t="s">
        <v>300</v>
      </c>
      <c r="D27" s="3" t="s">
        <v>996</v>
      </c>
      <c r="E27" s="4">
        <v>1690</v>
      </c>
      <c r="F27" s="5">
        <v>55.987164999999997</v>
      </c>
      <c r="G27" s="6">
        <v>1.063073E-2</v>
      </c>
      <c r="H27" s="109"/>
    </row>
    <row r="28" spans="1:8" ht="17.100000000000001" customHeight="1" x14ac:dyDescent="0.2">
      <c r="A28" s="100">
        <v>22</v>
      </c>
      <c r="B28" s="3" t="s">
        <v>310</v>
      </c>
      <c r="C28" s="3" t="s">
        <v>311</v>
      </c>
      <c r="D28" s="3" t="s">
        <v>71</v>
      </c>
      <c r="E28" s="4">
        <v>4408</v>
      </c>
      <c r="F28" s="5">
        <v>55.963968000000001</v>
      </c>
      <c r="G28" s="6">
        <v>1.062632E-2</v>
      </c>
      <c r="H28" s="109"/>
    </row>
    <row r="29" spans="1:8" ht="17.100000000000001" customHeight="1" x14ac:dyDescent="0.2">
      <c r="A29" s="100">
        <v>23</v>
      </c>
      <c r="B29" s="3" t="s">
        <v>679</v>
      </c>
      <c r="C29" s="3" t="s">
        <v>680</v>
      </c>
      <c r="D29" s="3" t="s">
        <v>71</v>
      </c>
      <c r="E29" s="4">
        <v>1526</v>
      </c>
      <c r="F29" s="5">
        <v>55.869911999999999</v>
      </c>
      <c r="G29" s="6">
        <v>1.060846E-2</v>
      </c>
      <c r="H29" s="109"/>
    </row>
    <row r="30" spans="1:8" ht="29.1" customHeight="1" x14ac:dyDescent="0.2">
      <c r="A30" s="100">
        <v>24</v>
      </c>
      <c r="B30" s="3" t="s">
        <v>23</v>
      </c>
      <c r="C30" s="3" t="s">
        <v>24</v>
      </c>
      <c r="D30" s="3" t="s">
        <v>25</v>
      </c>
      <c r="E30" s="4">
        <v>769</v>
      </c>
      <c r="F30" s="5">
        <v>55.839396999999998</v>
      </c>
      <c r="G30" s="6">
        <v>1.060267E-2</v>
      </c>
      <c r="H30" s="109"/>
    </row>
    <row r="31" spans="1:8" ht="29.1" customHeight="1" x14ac:dyDescent="0.2">
      <c r="A31" s="100">
        <v>25</v>
      </c>
      <c r="B31" s="3" t="s">
        <v>737</v>
      </c>
      <c r="C31" s="3" t="s">
        <v>738</v>
      </c>
      <c r="D31" s="3" t="s">
        <v>52</v>
      </c>
      <c r="E31" s="4">
        <v>2165</v>
      </c>
      <c r="F31" s="5">
        <v>55.733595000000001</v>
      </c>
      <c r="G31" s="6">
        <v>1.0582579999999999E-2</v>
      </c>
      <c r="H31" s="109"/>
    </row>
    <row r="32" spans="1:8" ht="17.100000000000001" customHeight="1" x14ac:dyDescent="0.2">
      <c r="A32" s="100">
        <v>26</v>
      </c>
      <c r="B32" s="3" t="s">
        <v>681</v>
      </c>
      <c r="C32" s="3" t="s">
        <v>682</v>
      </c>
      <c r="D32" s="3" t="s">
        <v>253</v>
      </c>
      <c r="E32" s="4">
        <v>1248</v>
      </c>
      <c r="F32" s="5">
        <v>55.682639999999999</v>
      </c>
      <c r="G32" s="6">
        <v>1.05729E-2</v>
      </c>
      <c r="H32" s="109"/>
    </row>
    <row r="33" spans="1:8" ht="29.1" customHeight="1" x14ac:dyDescent="0.2">
      <c r="A33" s="100">
        <v>27</v>
      </c>
      <c r="B33" s="3" t="s">
        <v>739</v>
      </c>
      <c r="C33" s="3" t="s">
        <v>740</v>
      </c>
      <c r="D33" s="3" t="s">
        <v>221</v>
      </c>
      <c r="E33" s="4">
        <v>1289</v>
      </c>
      <c r="F33" s="5">
        <v>55.640974</v>
      </c>
      <c r="G33" s="6">
        <v>1.056499E-2</v>
      </c>
      <c r="H33" s="109"/>
    </row>
    <row r="34" spans="1:8" ht="17.100000000000001" customHeight="1" x14ac:dyDescent="0.2">
      <c r="A34" s="100">
        <v>28</v>
      </c>
      <c r="B34" s="3" t="s">
        <v>741</v>
      </c>
      <c r="C34" s="3" t="s">
        <v>742</v>
      </c>
      <c r="D34" s="3" t="s">
        <v>19</v>
      </c>
      <c r="E34" s="4">
        <v>72854</v>
      </c>
      <c r="F34" s="5">
        <v>55.405467000000002</v>
      </c>
      <c r="G34" s="6">
        <v>1.052028E-2</v>
      </c>
      <c r="H34" s="109"/>
    </row>
    <row r="35" spans="1:8" ht="17.100000000000001" customHeight="1" x14ac:dyDescent="0.2">
      <c r="A35" s="100">
        <v>29</v>
      </c>
      <c r="B35" s="3" t="s">
        <v>316</v>
      </c>
      <c r="C35" s="3" t="s">
        <v>317</v>
      </c>
      <c r="D35" s="3" t="s">
        <v>996</v>
      </c>
      <c r="E35" s="4">
        <v>14228</v>
      </c>
      <c r="F35" s="5">
        <v>55.069474</v>
      </c>
      <c r="G35" s="6">
        <v>1.0456480000000001E-2</v>
      </c>
      <c r="H35" s="109"/>
    </row>
    <row r="36" spans="1:8" ht="17.100000000000001" customHeight="1" x14ac:dyDescent="0.2">
      <c r="A36" s="100">
        <v>30</v>
      </c>
      <c r="B36" s="3" t="s">
        <v>11</v>
      </c>
      <c r="C36" s="3" t="s">
        <v>12</v>
      </c>
      <c r="D36" s="3" t="s">
        <v>13</v>
      </c>
      <c r="E36" s="4">
        <v>2581</v>
      </c>
      <c r="F36" s="5">
        <v>54.437161500000002</v>
      </c>
      <c r="G36" s="6">
        <v>1.0336420000000001E-2</v>
      </c>
      <c r="H36" s="109"/>
    </row>
    <row r="37" spans="1:8" ht="17.100000000000001" customHeight="1" x14ac:dyDescent="0.2">
      <c r="A37" s="100">
        <v>31</v>
      </c>
      <c r="B37" s="3" t="s">
        <v>293</v>
      </c>
      <c r="C37" s="3" t="s">
        <v>294</v>
      </c>
      <c r="D37" s="3" t="s">
        <v>996</v>
      </c>
      <c r="E37" s="4">
        <v>3629</v>
      </c>
      <c r="F37" s="5">
        <v>53.983189500000002</v>
      </c>
      <c r="G37" s="6">
        <v>1.0250220000000001E-2</v>
      </c>
      <c r="H37" s="109"/>
    </row>
    <row r="38" spans="1:8" ht="17.100000000000001" customHeight="1" x14ac:dyDescent="0.2">
      <c r="A38" s="100">
        <v>32</v>
      </c>
      <c r="B38" s="3" t="s">
        <v>743</v>
      </c>
      <c r="C38" s="3" t="s">
        <v>744</v>
      </c>
      <c r="D38" s="3" t="s">
        <v>115</v>
      </c>
      <c r="E38" s="4">
        <v>9305</v>
      </c>
      <c r="F38" s="5">
        <v>53.931780000000003</v>
      </c>
      <c r="G38" s="6">
        <v>1.024046E-2</v>
      </c>
      <c r="H38" s="109"/>
    </row>
    <row r="39" spans="1:8" ht="17.100000000000001" customHeight="1" x14ac:dyDescent="0.2">
      <c r="A39" s="100">
        <v>33</v>
      </c>
      <c r="B39" s="3" t="s">
        <v>297</v>
      </c>
      <c r="C39" s="3" t="s">
        <v>298</v>
      </c>
      <c r="D39" s="3" t="s">
        <v>22</v>
      </c>
      <c r="E39" s="4">
        <v>3363</v>
      </c>
      <c r="F39" s="5">
        <v>53.794547999999999</v>
      </c>
      <c r="G39" s="6">
        <v>1.02144E-2</v>
      </c>
      <c r="H39" s="109"/>
    </row>
    <row r="40" spans="1:8" ht="17.100000000000001" customHeight="1" x14ac:dyDescent="0.2">
      <c r="A40" s="100">
        <v>34</v>
      </c>
      <c r="B40" s="3" t="s">
        <v>745</v>
      </c>
      <c r="C40" s="3" t="s">
        <v>746</v>
      </c>
      <c r="D40" s="3" t="s">
        <v>22</v>
      </c>
      <c r="E40" s="4">
        <v>23236</v>
      </c>
      <c r="F40" s="5">
        <v>53.651924000000001</v>
      </c>
      <c r="G40" s="6">
        <v>1.018732E-2</v>
      </c>
      <c r="H40" s="109"/>
    </row>
    <row r="41" spans="1:8" ht="29.1" customHeight="1" x14ac:dyDescent="0.2">
      <c r="A41" s="100">
        <v>35</v>
      </c>
      <c r="B41" s="3" t="s">
        <v>295</v>
      </c>
      <c r="C41" s="3" t="s">
        <v>296</v>
      </c>
      <c r="D41" s="3" t="s">
        <v>120</v>
      </c>
      <c r="E41" s="4">
        <v>2056</v>
      </c>
      <c r="F41" s="5">
        <v>53.650292</v>
      </c>
      <c r="G41" s="6">
        <v>1.018701E-2</v>
      </c>
      <c r="H41" s="109"/>
    </row>
    <row r="42" spans="1:8" ht="29.1" customHeight="1" x14ac:dyDescent="0.2">
      <c r="A42" s="100">
        <v>36</v>
      </c>
      <c r="B42" s="3" t="s">
        <v>551</v>
      </c>
      <c r="C42" s="3" t="s">
        <v>552</v>
      </c>
      <c r="D42" s="3" t="s">
        <v>277</v>
      </c>
      <c r="E42" s="4">
        <v>389</v>
      </c>
      <c r="F42" s="5">
        <v>53.570551500000001</v>
      </c>
      <c r="G42" s="6">
        <v>1.017187E-2</v>
      </c>
      <c r="H42" s="109"/>
    </row>
    <row r="43" spans="1:8" ht="17.100000000000001" customHeight="1" x14ac:dyDescent="0.2">
      <c r="A43" s="100">
        <v>37</v>
      </c>
      <c r="B43" s="3" t="s">
        <v>116</v>
      </c>
      <c r="C43" s="3" t="s">
        <v>117</v>
      </c>
      <c r="D43" s="3" t="s">
        <v>19</v>
      </c>
      <c r="E43" s="4">
        <v>16844</v>
      </c>
      <c r="F43" s="5">
        <v>53.454433999999999</v>
      </c>
      <c r="G43" s="6">
        <v>1.014982E-2</v>
      </c>
      <c r="H43" s="109"/>
    </row>
    <row r="44" spans="1:8" ht="17.100000000000001" customHeight="1" x14ac:dyDescent="0.2">
      <c r="A44" s="100">
        <v>38</v>
      </c>
      <c r="B44" s="3" t="s">
        <v>67</v>
      </c>
      <c r="C44" s="3" t="s">
        <v>68</v>
      </c>
      <c r="D44" s="3" t="s">
        <v>28</v>
      </c>
      <c r="E44" s="4">
        <v>26390</v>
      </c>
      <c r="F44" s="5">
        <v>53.452945</v>
      </c>
      <c r="G44" s="6">
        <v>1.014953E-2</v>
      </c>
      <c r="H44" s="109"/>
    </row>
    <row r="45" spans="1:8" ht="17.100000000000001" customHeight="1" x14ac:dyDescent="0.2">
      <c r="A45" s="100">
        <v>39</v>
      </c>
      <c r="B45" s="3" t="s">
        <v>674</v>
      </c>
      <c r="C45" s="3" t="s">
        <v>675</v>
      </c>
      <c r="D45" s="3" t="s">
        <v>676</v>
      </c>
      <c r="E45" s="4">
        <v>24765</v>
      </c>
      <c r="F45" s="5">
        <v>53.343809999999998</v>
      </c>
      <c r="G45" s="6">
        <v>1.012881E-2</v>
      </c>
      <c r="H45" s="109"/>
    </row>
    <row r="46" spans="1:8" ht="29.1" customHeight="1" x14ac:dyDescent="0.2">
      <c r="A46" s="100">
        <v>40</v>
      </c>
      <c r="B46" s="3" t="s">
        <v>747</v>
      </c>
      <c r="C46" s="3" t="s">
        <v>748</v>
      </c>
      <c r="D46" s="3" t="s">
        <v>191</v>
      </c>
      <c r="E46" s="4">
        <v>7663</v>
      </c>
      <c r="F46" s="5">
        <v>53.196545999999998</v>
      </c>
      <c r="G46" s="6">
        <v>1.010085E-2</v>
      </c>
      <c r="H46" s="109"/>
    </row>
    <row r="47" spans="1:8" ht="17.100000000000001" customHeight="1" x14ac:dyDescent="0.2">
      <c r="A47" s="100">
        <v>41</v>
      </c>
      <c r="B47" s="3" t="s">
        <v>549</v>
      </c>
      <c r="C47" s="3" t="s">
        <v>550</v>
      </c>
      <c r="D47" s="3" t="s">
        <v>71</v>
      </c>
      <c r="E47" s="4">
        <v>1710</v>
      </c>
      <c r="F47" s="5">
        <v>53.110889999999998</v>
      </c>
      <c r="G47" s="6">
        <v>1.0084589999999999E-2</v>
      </c>
      <c r="H47" s="109"/>
    </row>
    <row r="48" spans="1:8" ht="29.1" customHeight="1" x14ac:dyDescent="0.2">
      <c r="A48" s="100">
        <v>42</v>
      </c>
      <c r="B48" s="3" t="s">
        <v>749</v>
      </c>
      <c r="C48" s="3" t="s">
        <v>750</v>
      </c>
      <c r="D48" s="3" t="s">
        <v>235</v>
      </c>
      <c r="E48" s="4">
        <v>8678</v>
      </c>
      <c r="F48" s="5">
        <v>52.870714999999997</v>
      </c>
      <c r="G48" s="6">
        <v>1.0038979999999999E-2</v>
      </c>
      <c r="H48" s="109"/>
    </row>
    <row r="49" spans="1:8" ht="29.1" customHeight="1" x14ac:dyDescent="0.2">
      <c r="A49" s="100">
        <v>43</v>
      </c>
      <c r="B49" s="3" t="s">
        <v>303</v>
      </c>
      <c r="C49" s="3" t="s">
        <v>304</v>
      </c>
      <c r="D49" s="3" t="s">
        <v>221</v>
      </c>
      <c r="E49" s="4">
        <v>5488</v>
      </c>
      <c r="F49" s="5">
        <v>52.498207999999998</v>
      </c>
      <c r="G49" s="6">
        <v>9.9682499999999997E-3</v>
      </c>
      <c r="H49" s="109"/>
    </row>
    <row r="50" spans="1:8" ht="17.100000000000001" customHeight="1" x14ac:dyDescent="0.2">
      <c r="A50" s="100">
        <v>44</v>
      </c>
      <c r="B50" s="3" t="s">
        <v>751</v>
      </c>
      <c r="C50" s="3" t="s">
        <v>752</v>
      </c>
      <c r="D50" s="3" t="s">
        <v>277</v>
      </c>
      <c r="E50" s="4">
        <v>10598</v>
      </c>
      <c r="F50" s="5">
        <v>52.131562000000002</v>
      </c>
      <c r="G50" s="6">
        <v>9.8986300000000003E-3</v>
      </c>
      <c r="H50" s="109"/>
    </row>
    <row r="51" spans="1:8" ht="17.100000000000001" customHeight="1" x14ac:dyDescent="0.2">
      <c r="A51" s="100">
        <v>45</v>
      </c>
      <c r="B51" s="3" t="s">
        <v>324</v>
      </c>
      <c r="C51" s="3" t="s">
        <v>325</v>
      </c>
      <c r="D51" s="3" t="s">
        <v>22</v>
      </c>
      <c r="E51" s="4">
        <v>3011</v>
      </c>
      <c r="F51" s="5">
        <v>52.067717500000001</v>
      </c>
      <c r="G51" s="6">
        <v>9.8865099999999994E-3</v>
      </c>
      <c r="H51" s="109"/>
    </row>
    <row r="52" spans="1:8" ht="17.100000000000001" customHeight="1" x14ac:dyDescent="0.2">
      <c r="A52" s="100">
        <v>46</v>
      </c>
      <c r="B52" s="3" t="s">
        <v>20</v>
      </c>
      <c r="C52" s="3" t="s">
        <v>21</v>
      </c>
      <c r="D52" s="3" t="s">
        <v>22</v>
      </c>
      <c r="E52" s="4">
        <v>6087</v>
      </c>
      <c r="F52" s="5">
        <v>52.034719500000001</v>
      </c>
      <c r="G52" s="6">
        <v>9.8802500000000001E-3</v>
      </c>
      <c r="H52" s="109"/>
    </row>
    <row r="53" spans="1:8" ht="17.100000000000001" customHeight="1" x14ac:dyDescent="0.2">
      <c r="A53" s="100">
        <v>47</v>
      </c>
      <c r="B53" s="3" t="s">
        <v>307</v>
      </c>
      <c r="C53" s="3" t="s">
        <v>308</v>
      </c>
      <c r="D53" s="3" t="s">
        <v>309</v>
      </c>
      <c r="E53" s="4">
        <v>2110</v>
      </c>
      <c r="F53" s="5">
        <v>51.919714999999997</v>
      </c>
      <c r="G53" s="6">
        <v>9.8584099999999997E-3</v>
      </c>
      <c r="H53" s="109"/>
    </row>
    <row r="54" spans="1:8" ht="17.100000000000001" customHeight="1" x14ac:dyDescent="0.2">
      <c r="A54" s="100">
        <v>48</v>
      </c>
      <c r="B54" s="3" t="s">
        <v>238</v>
      </c>
      <c r="C54" s="3" t="s">
        <v>239</v>
      </c>
      <c r="D54" s="3" t="s">
        <v>210</v>
      </c>
      <c r="E54" s="4">
        <v>1178</v>
      </c>
      <c r="F54" s="5">
        <v>51.851436999999997</v>
      </c>
      <c r="G54" s="6">
        <v>9.8454400000000004E-3</v>
      </c>
      <c r="H54" s="109"/>
    </row>
    <row r="55" spans="1:8" ht="17.100000000000001" customHeight="1" x14ac:dyDescent="0.2">
      <c r="A55" s="100">
        <v>49</v>
      </c>
      <c r="B55" s="3" t="s">
        <v>354</v>
      </c>
      <c r="C55" s="3" t="s">
        <v>355</v>
      </c>
      <c r="D55" s="3" t="s">
        <v>115</v>
      </c>
      <c r="E55" s="4">
        <v>2181</v>
      </c>
      <c r="F55" s="5">
        <v>51.750768000000001</v>
      </c>
      <c r="G55" s="6">
        <v>9.8263299999999994E-3</v>
      </c>
      <c r="H55" s="109"/>
    </row>
    <row r="56" spans="1:8" ht="29.1" customHeight="1" x14ac:dyDescent="0.2">
      <c r="A56" s="100">
        <v>50</v>
      </c>
      <c r="B56" s="3" t="s">
        <v>50</v>
      </c>
      <c r="C56" s="3" t="s">
        <v>51</v>
      </c>
      <c r="D56" s="3" t="s">
        <v>52</v>
      </c>
      <c r="E56" s="4">
        <v>54688</v>
      </c>
      <c r="F56" s="5">
        <v>51.734848</v>
      </c>
      <c r="G56" s="6">
        <v>9.82331E-3</v>
      </c>
      <c r="H56" s="109"/>
    </row>
    <row r="57" spans="1:8" ht="17.100000000000001" customHeight="1" x14ac:dyDescent="0.2">
      <c r="A57" s="100">
        <v>51</v>
      </c>
      <c r="B57" s="3" t="s">
        <v>753</v>
      </c>
      <c r="C57" s="3" t="s">
        <v>754</v>
      </c>
      <c r="D57" s="3" t="s">
        <v>253</v>
      </c>
      <c r="E57" s="4">
        <v>277</v>
      </c>
      <c r="F57" s="5">
        <v>51.715899999999998</v>
      </c>
      <c r="G57" s="6">
        <v>9.8197100000000006E-3</v>
      </c>
      <c r="H57" s="109"/>
    </row>
    <row r="58" spans="1:8" ht="17.100000000000001" customHeight="1" x14ac:dyDescent="0.2">
      <c r="A58" s="100">
        <v>52</v>
      </c>
      <c r="B58" s="3" t="s">
        <v>631</v>
      </c>
      <c r="C58" s="3" t="s">
        <v>632</v>
      </c>
      <c r="D58" s="3" t="s">
        <v>97</v>
      </c>
      <c r="E58" s="4">
        <v>14669</v>
      </c>
      <c r="F58" s="5">
        <v>51.583538500000003</v>
      </c>
      <c r="G58" s="6">
        <v>9.7945800000000006E-3</v>
      </c>
      <c r="H58" s="109"/>
    </row>
    <row r="59" spans="1:8" ht="17.100000000000001" customHeight="1" x14ac:dyDescent="0.2">
      <c r="A59" s="100">
        <v>53</v>
      </c>
      <c r="B59" s="3" t="s">
        <v>755</v>
      </c>
      <c r="C59" s="3" t="s">
        <v>756</v>
      </c>
      <c r="D59" s="3" t="s">
        <v>120</v>
      </c>
      <c r="E59" s="4">
        <v>6867</v>
      </c>
      <c r="F59" s="5">
        <v>51.533401499999997</v>
      </c>
      <c r="G59" s="6">
        <v>9.7850599999999999E-3</v>
      </c>
      <c r="H59" s="109"/>
    </row>
    <row r="60" spans="1:8" ht="17.100000000000001" customHeight="1" x14ac:dyDescent="0.2">
      <c r="A60" s="100">
        <v>54</v>
      </c>
      <c r="B60" s="3" t="s">
        <v>757</v>
      </c>
      <c r="C60" s="3" t="s">
        <v>758</v>
      </c>
      <c r="D60" s="3" t="s">
        <v>277</v>
      </c>
      <c r="E60" s="4">
        <v>3487</v>
      </c>
      <c r="F60" s="5">
        <v>51.380944999999997</v>
      </c>
      <c r="G60" s="6">
        <v>9.7561100000000001E-3</v>
      </c>
      <c r="H60" s="109"/>
    </row>
    <row r="61" spans="1:8" ht="17.100000000000001" customHeight="1" x14ac:dyDescent="0.2">
      <c r="A61" s="100">
        <v>55</v>
      </c>
      <c r="B61" s="3" t="s">
        <v>346</v>
      </c>
      <c r="C61" s="3" t="s">
        <v>347</v>
      </c>
      <c r="D61" s="3" t="s">
        <v>120</v>
      </c>
      <c r="E61" s="4">
        <v>840</v>
      </c>
      <c r="F61" s="5">
        <v>51.341639999999998</v>
      </c>
      <c r="G61" s="6">
        <v>9.7486399999999994E-3</v>
      </c>
      <c r="H61" s="109"/>
    </row>
    <row r="62" spans="1:8" ht="17.100000000000001" customHeight="1" x14ac:dyDescent="0.2">
      <c r="A62" s="100">
        <v>56</v>
      </c>
      <c r="B62" s="3" t="s">
        <v>366</v>
      </c>
      <c r="C62" s="3" t="s">
        <v>367</v>
      </c>
      <c r="D62" s="3" t="s">
        <v>203</v>
      </c>
      <c r="E62" s="4">
        <v>36570</v>
      </c>
      <c r="F62" s="5">
        <v>51.179715000000002</v>
      </c>
      <c r="G62" s="6">
        <v>9.7178999999999998E-3</v>
      </c>
      <c r="H62" s="109"/>
    </row>
    <row r="63" spans="1:8" ht="17.100000000000001" customHeight="1" x14ac:dyDescent="0.2">
      <c r="A63" s="100">
        <v>57</v>
      </c>
      <c r="B63" s="3" t="s">
        <v>326</v>
      </c>
      <c r="C63" s="3" t="s">
        <v>327</v>
      </c>
      <c r="D63" s="3" t="s">
        <v>213</v>
      </c>
      <c r="E63" s="4">
        <v>49225</v>
      </c>
      <c r="F63" s="5">
        <v>51.169387499999999</v>
      </c>
      <c r="G63" s="6">
        <v>9.7159399999999993E-3</v>
      </c>
      <c r="H63" s="109"/>
    </row>
    <row r="64" spans="1:8" ht="29.1" customHeight="1" x14ac:dyDescent="0.2">
      <c r="A64" s="100">
        <v>58</v>
      </c>
      <c r="B64" s="3" t="s">
        <v>254</v>
      </c>
      <c r="C64" s="3" t="s">
        <v>255</v>
      </c>
      <c r="D64" s="3" t="s">
        <v>188</v>
      </c>
      <c r="E64" s="4">
        <v>2350</v>
      </c>
      <c r="F64" s="5">
        <v>50.960925000000003</v>
      </c>
      <c r="G64" s="6">
        <v>9.6763600000000002E-3</v>
      </c>
      <c r="H64" s="109"/>
    </row>
    <row r="65" spans="1:8" ht="17.100000000000001" customHeight="1" x14ac:dyDescent="0.2">
      <c r="A65" s="100">
        <v>59</v>
      </c>
      <c r="B65" s="3" t="s">
        <v>635</v>
      </c>
      <c r="C65" s="3" t="s">
        <v>636</v>
      </c>
      <c r="D65" s="3" t="s">
        <v>277</v>
      </c>
      <c r="E65" s="4">
        <v>9554</v>
      </c>
      <c r="F65" s="5">
        <v>50.884604000000003</v>
      </c>
      <c r="G65" s="6">
        <v>9.6618599999999995E-3</v>
      </c>
      <c r="H65" s="109"/>
    </row>
    <row r="66" spans="1:8" ht="29.1" customHeight="1" x14ac:dyDescent="0.2">
      <c r="A66" s="100">
        <v>60</v>
      </c>
      <c r="B66" s="3" t="s">
        <v>759</v>
      </c>
      <c r="C66" s="3" t="s">
        <v>760</v>
      </c>
      <c r="D66" s="3" t="s">
        <v>221</v>
      </c>
      <c r="E66" s="4">
        <v>3473</v>
      </c>
      <c r="F66" s="5">
        <v>50.700590499999997</v>
      </c>
      <c r="G66" s="6">
        <v>9.6269200000000006E-3</v>
      </c>
      <c r="H66" s="109"/>
    </row>
    <row r="67" spans="1:8" ht="29.1" customHeight="1" x14ac:dyDescent="0.2">
      <c r="A67" s="100">
        <v>61</v>
      </c>
      <c r="B67" s="3" t="s">
        <v>488</v>
      </c>
      <c r="C67" s="3" t="s">
        <v>489</v>
      </c>
      <c r="D67" s="3" t="s">
        <v>445</v>
      </c>
      <c r="E67" s="4">
        <v>7057</v>
      </c>
      <c r="F67" s="5">
        <v>50.478721</v>
      </c>
      <c r="G67" s="6">
        <v>9.5847999999999992E-3</v>
      </c>
      <c r="H67" s="109"/>
    </row>
    <row r="68" spans="1:8" ht="17.100000000000001" customHeight="1" x14ac:dyDescent="0.2">
      <c r="A68" s="100">
        <v>62</v>
      </c>
      <c r="B68" s="3" t="s">
        <v>17</v>
      </c>
      <c r="C68" s="3" t="s">
        <v>18</v>
      </c>
      <c r="D68" s="3" t="s">
        <v>19</v>
      </c>
      <c r="E68" s="4">
        <v>2152</v>
      </c>
      <c r="F68" s="5">
        <v>49.981276000000001</v>
      </c>
      <c r="G68" s="6">
        <v>9.4903399999999999E-3</v>
      </c>
      <c r="H68" s="109"/>
    </row>
    <row r="69" spans="1:8" ht="17.100000000000001" customHeight="1" x14ac:dyDescent="0.2">
      <c r="A69" s="100">
        <v>63</v>
      </c>
      <c r="B69" s="3" t="s">
        <v>100</v>
      </c>
      <c r="C69" s="3" t="s">
        <v>101</v>
      </c>
      <c r="D69" s="3" t="s">
        <v>57</v>
      </c>
      <c r="E69" s="4">
        <v>2691</v>
      </c>
      <c r="F69" s="5">
        <v>49.954378499999997</v>
      </c>
      <c r="G69" s="6">
        <v>9.4852300000000007E-3</v>
      </c>
      <c r="H69" s="109"/>
    </row>
    <row r="70" spans="1:8" ht="17.100000000000001" customHeight="1" x14ac:dyDescent="0.2">
      <c r="A70" s="100">
        <v>64</v>
      </c>
      <c r="B70" s="3" t="s">
        <v>761</v>
      </c>
      <c r="C70" s="3" t="s">
        <v>762</v>
      </c>
      <c r="D70" s="3" t="s">
        <v>120</v>
      </c>
      <c r="E70" s="4">
        <v>5127</v>
      </c>
      <c r="F70" s="5">
        <v>49.865201999999996</v>
      </c>
      <c r="G70" s="6">
        <v>9.4683000000000007E-3</v>
      </c>
      <c r="H70" s="109"/>
    </row>
    <row r="71" spans="1:8" ht="29.1" customHeight="1" x14ac:dyDescent="0.2">
      <c r="A71" s="100">
        <v>65</v>
      </c>
      <c r="B71" s="3" t="s">
        <v>763</v>
      </c>
      <c r="C71" s="3" t="s">
        <v>764</v>
      </c>
      <c r="D71" s="3" t="s">
        <v>216</v>
      </c>
      <c r="E71" s="4">
        <v>12194</v>
      </c>
      <c r="F71" s="5">
        <v>49.861266000000001</v>
      </c>
      <c r="G71" s="6">
        <v>9.4675499999999999E-3</v>
      </c>
      <c r="H71" s="109"/>
    </row>
    <row r="72" spans="1:8" ht="17.100000000000001" customHeight="1" x14ac:dyDescent="0.2">
      <c r="A72" s="100">
        <v>66</v>
      </c>
      <c r="B72" s="3" t="s">
        <v>633</v>
      </c>
      <c r="C72" s="3" t="s">
        <v>634</v>
      </c>
      <c r="D72" s="3" t="s">
        <v>115</v>
      </c>
      <c r="E72" s="4">
        <v>1762</v>
      </c>
      <c r="F72" s="5">
        <v>49.843456000000003</v>
      </c>
      <c r="G72" s="6">
        <v>9.4641699999999992E-3</v>
      </c>
      <c r="H72" s="109"/>
    </row>
    <row r="73" spans="1:8" ht="17.100000000000001" customHeight="1" x14ac:dyDescent="0.2">
      <c r="A73" s="100">
        <v>67</v>
      </c>
      <c r="B73" s="3" t="s">
        <v>14</v>
      </c>
      <c r="C73" s="3" t="s">
        <v>15</v>
      </c>
      <c r="D73" s="3" t="s">
        <v>16</v>
      </c>
      <c r="E73" s="4">
        <v>6714</v>
      </c>
      <c r="F73" s="5">
        <v>49.834665000000001</v>
      </c>
      <c r="G73" s="6">
        <v>9.4625000000000004E-3</v>
      </c>
      <c r="H73" s="109"/>
    </row>
    <row r="74" spans="1:8" ht="17.100000000000001" customHeight="1" x14ac:dyDescent="0.2">
      <c r="A74" s="100">
        <v>68</v>
      </c>
      <c r="B74" s="3" t="s">
        <v>765</v>
      </c>
      <c r="C74" s="3" t="s">
        <v>766</v>
      </c>
      <c r="D74" s="3" t="s">
        <v>203</v>
      </c>
      <c r="E74" s="4">
        <v>93127</v>
      </c>
      <c r="F74" s="5">
        <v>49.822944999999997</v>
      </c>
      <c r="G74" s="6">
        <v>9.4602799999999997E-3</v>
      </c>
      <c r="H74" s="109"/>
    </row>
    <row r="75" spans="1:8" ht="29.1" customHeight="1" x14ac:dyDescent="0.2">
      <c r="A75" s="100">
        <v>69</v>
      </c>
      <c r="B75" s="3" t="s">
        <v>767</v>
      </c>
      <c r="C75" s="3" t="s">
        <v>768</v>
      </c>
      <c r="D75" s="3" t="s">
        <v>25</v>
      </c>
      <c r="E75" s="4">
        <v>3143</v>
      </c>
      <c r="F75" s="5">
        <v>49.613826500000002</v>
      </c>
      <c r="G75" s="6">
        <v>9.4205699999999996E-3</v>
      </c>
      <c r="H75" s="109"/>
    </row>
    <row r="76" spans="1:8" ht="29.1" customHeight="1" x14ac:dyDescent="0.2">
      <c r="A76" s="100">
        <v>70</v>
      </c>
      <c r="B76" s="3" t="s">
        <v>769</v>
      </c>
      <c r="C76" s="3" t="s">
        <v>770</v>
      </c>
      <c r="D76" s="3" t="s">
        <v>188</v>
      </c>
      <c r="E76" s="4">
        <v>2154</v>
      </c>
      <c r="F76" s="5">
        <v>49.559232000000002</v>
      </c>
      <c r="G76" s="6">
        <v>9.4102000000000005E-3</v>
      </c>
      <c r="H76" s="109"/>
    </row>
    <row r="77" spans="1:8" ht="17.100000000000001" customHeight="1" x14ac:dyDescent="0.2">
      <c r="A77" s="100">
        <v>71</v>
      </c>
      <c r="B77" s="3" t="s">
        <v>197</v>
      </c>
      <c r="C77" s="3" t="s">
        <v>198</v>
      </c>
      <c r="D77" s="3" t="s">
        <v>22</v>
      </c>
      <c r="E77" s="4">
        <v>5871</v>
      </c>
      <c r="F77" s="5">
        <v>49.557110999999999</v>
      </c>
      <c r="G77" s="6">
        <v>9.4097999999999994E-3</v>
      </c>
      <c r="H77" s="109"/>
    </row>
    <row r="78" spans="1:8" ht="17.100000000000001" customHeight="1" x14ac:dyDescent="0.2">
      <c r="A78" s="100">
        <v>72</v>
      </c>
      <c r="B78" s="3" t="s">
        <v>301</v>
      </c>
      <c r="C78" s="3" t="s">
        <v>302</v>
      </c>
      <c r="D78" s="3" t="s">
        <v>216</v>
      </c>
      <c r="E78" s="4">
        <v>4412</v>
      </c>
      <c r="F78" s="5">
        <v>49.45852</v>
      </c>
      <c r="G78" s="6">
        <v>9.3910799999999996E-3</v>
      </c>
      <c r="H78" s="109"/>
    </row>
    <row r="79" spans="1:8" ht="17.100000000000001" customHeight="1" x14ac:dyDescent="0.2">
      <c r="A79" s="100">
        <v>73</v>
      </c>
      <c r="B79" s="3" t="s">
        <v>771</v>
      </c>
      <c r="C79" s="3" t="s">
        <v>772</v>
      </c>
      <c r="D79" s="3" t="s">
        <v>71</v>
      </c>
      <c r="E79" s="4">
        <v>2031</v>
      </c>
      <c r="F79" s="5">
        <v>49.131920999999998</v>
      </c>
      <c r="G79" s="6">
        <v>9.3290700000000001E-3</v>
      </c>
      <c r="H79" s="109"/>
    </row>
    <row r="80" spans="1:8" ht="17.100000000000001" customHeight="1" x14ac:dyDescent="0.2">
      <c r="A80" s="100">
        <v>74</v>
      </c>
      <c r="B80" s="3" t="s">
        <v>328</v>
      </c>
      <c r="C80" s="3" t="s">
        <v>329</v>
      </c>
      <c r="D80" s="3" t="s">
        <v>22</v>
      </c>
      <c r="E80" s="4">
        <v>4558</v>
      </c>
      <c r="F80" s="5">
        <v>49.121566000000001</v>
      </c>
      <c r="G80" s="6">
        <v>9.3270999999999996E-3</v>
      </c>
      <c r="H80" s="109"/>
    </row>
    <row r="81" spans="1:8" ht="17.100000000000001" customHeight="1" x14ac:dyDescent="0.2">
      <c r="A81" s="100">
        <v>75</v>
      </c>
      <c r="B81" s="3" t="s">
        <v>222</v>
      </c>
      <c r="C81" s="3" t="s">
        <v>223</v>
      </c>
      <c r="D81" s="3" t="s">
        <v>22</v>
      </c>
      <c r="E81" s="4">
        <v>30820</v>
      </c>
      <c r="F81" s="5">
        <v>49.003799999999998</v>
      </c>
      <c r="G81" s="6">
        <v>9.3047400000000006E-3</v>
      </c>
      <c r="H81" s="109"/>
    </row>
    <row r="82" spans="1:8" ht="17.100000000000001" customHeight="1" x14ac:dyDescent="0.2">
      <c r="A82" s="100">
        <v>76</v>
      </c>
      <c r="B82" s="3" t="s">
        <v>773</v>
      </c>
      <c r="C82" s="3" t="s">
        <v>774</v>
      </c>
      <c r="D82" s="3" t="s">
        <v>203</v>
      </c>
      <c r="E82" s="4">
        <v>1402</v>
      </c>
      <c r="F82" s="5">
        <v>48.953634000000001</v>
      </c>
      <c r="G82" s="6">
        <v>9.2952099999999999E-3</v>
      </c>
      <c r="H82" s="109"/>
    </row>
    <row r="83" spans="1:8" ht="29.1" customHeight="1" x14ac:dyDescent="0.2">
      <c r="A83" s="100">
        <v>77</v>
      </c>
      <c r="B83" s="3" t="s">
        <v>258</v>
      </c>
      <c r="C83" s="3" t="s">
        <v>259</v>
      </c>
      <c r="D83" s="3" t="s">
        <v>191</v>
      </c>
      <c r="E83" s="4">
        <v>1570</v>
      </c>
      <c r="F83" s="5">
        <v>48.662934999999997</v>
      </c>
      <c r="G83" s="6">
        <v>9.2400199999999998E-3</v>
      </c>
      <c r="H83" s="109"/>
    </row>
    <row r="84" spans="1:8" ht="29.1" customHeight="1" x14ac:dyDescent="0.2">
      <c r="A84" s="100">
        <v>78</v>
      </c>
      <c r="B84" s="3" t="s">
        <v>775</v>
      </c>
      <c r="C84" s="3" t="s">
        <v>776</v>
      </c>
      <c r="D84" s="3" t="s">
        <v>216</v>
      </c>
      <c r="E84" s="4">
        <v>4416</v>
      </c>
      <c r="F84" s="5">
        <v>48.657696000000001</v>
      </c>
      <c r="G84" s="6">
        <v>9.2390200000000006E-3</v>
      </c>
      <c r="H84" s="109"/>
    </row>
    <row r="85" spans="1:8" ht="17.100000000000001" customHeight="1" x14ac:dyDescent="0.2">
      <c r="A85" s="100">
        <v>79</v>
      </c>
      <c r="B85" s="3" t="s">
        <v>777</v>
      </c>
      <c r="C85" s="3" t="s">
        <v>778</v>
      </c>
      <c r="D85" s="3" t="s">
        <v>16</v>
      </c>
      <c r="E85" s="4">
        <v>28319</v>
      </c>
      <c r="F85" s="5">
        <v>48.397171</v>
      </c>
      <c r="G85" s="6">
        <v>9.1895499999999995E-3</v>
      </c>
      <c r="H85" s="109"/>
    </row>
    <row r="86" spans="1:8" ht="17.100000000000001" customHeight="1" x14ac:dyDescent="0.2">
      <c r="A86" s="100">
        <v>80</v>
      </c>
      <c r="B86" s="3" t="s">
        <v>779</v>
      </c>
      <c r="C86" s="3" t="s">
        <v>780</v>
      </c>
      <c r="D86" s="3" t="s">
        <v>213</v>
      </c>
      <c r="E86" s="4">
        <v>7183</v>
      </c>
      <c r="F86" s="5">
        <v>47.924976000000001</v>
      </c>
      <c r="G86" s="6">
        <v>9.0998999999999993E-3</v>
      </c>
      <c r="H86" s="109"/>
    </row>
    <row r="87" spans="1:8" ht="17.100000000000001" customHeight="1" x14ac:dyDescent="0.2">
      <c r="A87" s="100">
        <v>81</v>
      </c>
      <c r="B87" s="3" t="s">
        <v>702</v>
      </c>
      <c r="C87" s="3" t="s">
        <v>703</v>
      </c>
      <c r="D87" s="3" t="s">
        <v>704</v>
      </c>
      <c r="E87" s="4">
        <v>17827</v>
      </c>
      <c r="F87" s="5">
        <v>47.8387545</v>
      </c>
      <c r="G87" s="6">
        <v>9.0835199999999994E-3</v>
      </c>
      <c r="H87" s="109"/>
    </row>
    <row r="88" spans="1:8" ht="17.100000000000001" customHeight="1" x14ac:dyDescent="0.2">
      <c r="A88" s="100">
        <v>82</v>
      </c>
      <c r="B88" s="3" t="s">
        <v>32</v>
      </c>
      <c r="C88" s="3" t="s">
        <v>33</v>
      </c>
      <c r="D88" s="3" t="s">
        <v>22</v>
      </c>
      <c r="E88" s="4">
        <v>9116</v>
      </c>
      <c r="F88" s="5">
        <v>47.658448</v>
      </c>
      <c r="G88" s="6">
        <v>9.0492899999999998E-3</v>
      </c>
      <c r="H88" s="109"/>
    </row>
    <row r="89" spans="1:8" ht="17.100000000000001" customHeight="1" x14ac:dyDescent="0.2">
      <c r="A89" s="100">
        <v>83</v>
      </c>
      <c r="B89" s="3" t="s">
        <v>344</v>
      </c>
      <c r="C89" s="3" t="s">
        <v>345</v>
      </c>
      <c r="D89" s="3" t="s">
        <v>120</v>
      </c>
      <c r="E89" s="4">
        <v>3563</v>
      </c>
      <c r="F89" s="5">
        <v>47.562486999999997</v>
      </c>
      <c r="G89" s="6">
        <v>9.0310700000000004E-3</v>
      </c>
      <c r="H89" s="109"/>
    </row>
    <row r="90" spans="1:8" ht="29.1" customHeight="1" x14ac:dyDescent="0.2">
      <c r="A90" s="100">
        <v>84</v>
      </c>
      <c r="B90" s="3" t="s">
        <v>781</v>
      </c>
      <c r="C90" s="3" t="s">
        <v>782</v>
      </c>
      <c r="D90" s="3" t="s">
        <v>221</v>
      </c>
      <c r="E90" s="4">
        <v>20707</v>
      </c>
      <c r="F90" s="5">
        <v>47.450090500000002</v>
      </c>
      <c r="G90" s="6">
        <v>9.0097300000000005E-3</v>
      </c>
      <c r="H90" s="109"/>
    </row>
    <row r="91" spans="1:8" ht="17.100000000000001" customHeight="1" x14ac:dyDescent="0.2">
      <c r="A91" s="100">
        <v>85</v>
      </c>
      <c r="B91" s="3" t="s">
        <v>705</v>
      </c>
      <c r="C91" s="3" t="s">
        <v>706</v>
      </c>
      <c r="D91" s="3" t="s">
        <v>216</v>
      </c>
      <c r="E91" s="4">
        <v>9604</v>
      </c>
      <c r="F91" s="5">
        <v>46.944352000000002</v>
      </c>
      <c r="G91" s="6">
        <v>8.9137000000000001E-3</v>
      </c>
      <c r="H91" s="109"/>
    </row>
    <row r="92" spans="1:8" ht="17.100000000000001" customHeight="1" x14ac:dyDescent="0.2">
      <c r="A92" s="100">
        <v>86</v>
      </c>
      <c r="B92" s="3" t="s">
        <v>106</v>
      </c>
      <c r="C92" s="3" t="s">
        <v>107</v>
      </c>
      <c r="D92" s="3" t="s">
        <v>108</v>
      </c>
      <c r="E92" s="4">
        <v>11663</v>
      </c>
      <c r="F92" s="5">
        <v>46.558695999999998</v>
      </c>
      <c r="G92" s="6">
        <v>8.8404699999999996E-3</v>
      </c>
      <c r="H92" s="109"/>
    </row>
    <row r="93" spans="1:8" ht="17.100000000000001" customHeight="1" x14ac:dyDescent="0.2">
      <c r="A93" s="100">
        <v>87</v>
      </c>
      <c r="B93" s="3" t="s">
        <v>545</v>
      </c>
      <c r="C93" s="3" t="s">
        <v>546</v>
      </c>
      <c r="D93" s="3" t="s">
        <v>196</v>
      </c>
      <c r="E93" s="4">
        <v>6239</v>
      </c>
      <c r="F93" s="5">
        <v>46.206034000000002</v>
      </c>
      <c r="G93" s="6">
        <v>8.77351E-3</v>
      </c>
      <c r="H93" s="109"/>
    </row>
    <row r="94" spans="1:8" ht="17.100000000000001" customHeight="1" x14ac:dyDescent="0.2">
      <c r="A94" s="100">
        <v>88</v>
      </c>
      <c r="B94" s="3" t="s">
        <v>356</v>
      </c>
      <c r="C94" s="3" t="s">
        <v>357</v>
      </c>
      <c r="D94" s="3" t="s">
        <v>203</v>
      </c>
      <c r="E94" s="4">
        <v>1346</v>
      </c>
      <c r="F94" s="5">
        <v>45.992147000000003</v>
      </c>
      <c r="G94" s="6">
        <v>8.7328900000000001E-3</v>
      </c>
      <c r="H94" s="109"/>
    </row>
    <row r="95" spans="1:8" ht="17.100000000000001" customHeight="1" x14ac:dyDescent="0.2">
      <c r="A95" s="100">
        <v>89</v>
      </c>
      <c r="B95" s="3" t="s">
        <v>783</v>
      </c>
      <c r="C95" s="3" t="s">
        <v>784</v>
      </c>
      <c r="D95" s="3" t="s">
        <v>334</v>
      </c>
      <c r="E95" s="4">
        <v>2540</v>
      </c>
      <c r="F95" s="5">
        <v>45.967649999999999</v>
      </c>
      <c r="G95" s="6">
        <v>8.72824E-3</v>
      </c>
      <c r="H95" s="109"/>
    </row>
    <row r="96" spans="1:8" ht="17.100000000000001" customHeight="1" x14ac:dyDescent="0.2">
      <c r="A96" s="100">
        <v>90</v>
      </c>
      <c r="B96" s="3" t="s">
        <v>785</v>
      </c>
      <c r="C96" s="3" t="s">
        <v>786</v>
      </c>
      <c r="D96" s="3" t="s">
        <v>216</v>
      </c>
      <c r="E96" s="4">
        <v>7911</v>
      </c>
      <c r="F96" s="5">
        <v>45.757224000000001</v>
      </c>
      <c r="G96" s="6">
        <v>8.6882899999999996E-3</v>
      </c>
      <c r="H96" s="109"/>
    </row>
    <row r="97" spans="1:8" ht="29.1" customHeight="1" x14ac:dyDescent="0.2">
      <c r="A97" s="100">
        <v>91</v>
      </c>
      <c r="B97" s="3" t="s">
        <v>484</v>
      </c>
      <c r="C97" s="3" t="s">
        <v>485</v>
      </c>
      <c r="D97" s="3" t="s">
        <v>221</v>
      </c>
      <c r="E97" s="4">
        <v>5016</v>
      </c>
      <c r="F97" s="5">
        <v>45.465024</v>
      </c>
      <c r="G97" s="6">
        <v>8.6327999999999995E-3</v>
      </c>
      <c r="H97" s="109"/>
    </row>
    <row r="98" spans="1:8" ht="29.1" customHeight="1" x14ac:dyDescent="0.2">
      <c r="A98" s="100">
        <v>92</v>
      </c>
      <c r="B98" s="3" t="s">
        <v>268</v>
      </c>
      <c r="C98" s="3" t="s">
        <v>269</v>
      </c>
      <c r="D98" s="3" t="s">
        <v>221</v>
      </c>
      <c r="E98" s="4">
        <v>3432</v>
      </c>
      <c r="F98" s="5">
        <v>45.235475999999998</v>
      </c>
      <c r="G98" s="6">
        <v>8.5892199999999998E-3</v>
      </c>
      <c r="H98" s="109"/>
    </row>
    <row r="99" spans="1:8" ht="29.1" customHeight="1" x14ac:dyDescent="0.2">
      <c r="A99" s="100">
        <v>93</v>
      </c>
      <c r="B99" s="3" t="s">
        <v>350</v>
      </c>
      <c r="C99" s="3" t="s">
        <v>351</v>
      </c>
      <c r="D99" s="3" t="s">
        <v>221</v>
      </c>
      <c r="E99" s="4">
        <v>1582</v>
      </c>
      <c r="F99" s="5">
        <v>44.700991999999999</v>
      </c>
      <c r="G99" s="6">
        <v>8.4877300000000006E-3</v>
      </c>
      <c r="H99" s="109"/>
    </row>
    <row r="100" spans="1:8" ht="29.1" customHeight="1" x14ac:dyDescent="0.2">
      <c r="A100" s="100">
        <v>94</v>
      </c>
      <c r="B100" s="3" t="s">
        <v>127</v>
      </c>
      <c r="C100" s="3" t="s">
        <v>128</v>
      </c>
      <c r="D100" s="3" t="s">
        <v>129</v>
      </c>
      <c r="E100" s="4">
        <v>6686</v>
      </c>
      <c r="F100" s="5">
        <v>39.611207</v>
      </c>
      <c r="G100" s="6">
        <v>7.5212899999999999E-3</v>
      </c>
      <c r="H100" s="109"/>
    </row>
    <row r="101" spans="1:8" ht="29.1" customHeight="1" x14ac:dyDescent="0.2">
      <c r="A101" s="100">
        <v>95</v>
      </c>
      <c r="B101" s="3" t="s">
        <v>787</v>
      </c>
      <c r="C101" s="3" t="s">
        <v>788</v>
      </c>
      <c r="D101" s="3" t="s">
        <v>25</v>
      </c>
      <c r="E101" s="4">
        <v>2209</v>
      </c>
      <c r="F101" s="5">
        <v>38.253253000000001</v>
      </c>
      <c r="G101" s="6">
        <v>7.2634500000000003E-3</v>
      </c>
      <c r="H101" s="109"/>
    </row>
    <row r="102" spans="1:8" ht="29.1" customHeight="1" x14ac:dyDescent="0.2">
      <c r="A102" s="100">
        <v>96</v>
      </c>
      <c r="B102" s="3" t="s">
        <v>125</v>
      </c>
      <c r="C102" s="3" t="s">
        <v>126</v>
      </c>
      <c r="D102" s="3" t="s">
        <v>25</v>
      </c>
      <c r="E102" s="4">
        <v>10400</v>
      </c>
      <c r="F102" s="5">
        <v>35.578400000000002</v>
      </c>
      <c r="G102" s="6">
        <v>6.7555499999999999E-3</v>
      </c>
      <c r="H102" s="109"/>
    </row>
    <row r="103" spans="1:8" ht="29.1" customHeight="1" x14ac:dyDescent="0.2">
      <c r="A103" s="100">
        <v>97</v>
      </c>
      <c r="B103" s="3" t="s">
        <v>789</v>
      </c>
      <c r="C103" s="3" t="s">
        <v>790</v>
      </c>
      <c r="D103" s="3" t="s">
        <v>791</v>
      </c>
      <c r="E103" s="4">
        <v>1454</v>
      </c>
      <c r="F103" s="5">
        <v>19.830379000000001</v>
      </c>
      <c r="G103" s="6">
        <v>3.7653500000000002E-3</v>
      </c>
      <c r="H103" s="109"/>
    </row>
    <row r="104" spans="1:8" ht="17.100000000000001" customHeight="1" x14ac:dyDescent="0.2">
      <c r="A104" s="100">
        <v>98</v>
      </c>
      <c r="B104" s="3" t="s">
        <v>792</v>
      </c>
      <c r="C104" s="3" t="s">
        <v>793</v>
      </c>
      <c r="D104" s="3" t="s">
        <v>28</v>
      </c>
      <c r="E104" s="4">
        <v>2188</v>
      </c>
      <c r="F104" s="5">
        <v>14.066651999999999</v>
      </c>
      <c r="G104" s="6">
        <v>2.6709500000000001E-3</v>
      </c>
      <c r="H104" s="109"/>
    </row>
    <row r="105" spans="1:8" ht="17.100000000000001" customHeight="1" x14ac:dyDescent="0.2">
      <c r="A105" s="100">
        <v>99</v>
      </c>
      <c r="B105" s="3" t="s">
        <v>794</v>
      </c>
      <c r="C105" s="3" t="s">
        <v>795</v>
      </c>
      <c r="D105" s="3" t="s">
        <v>28</v>
      </c>
      <c r="E105" s="4">
        <v>2871</v>
      </c>
      <c r="F105" s="5">
        <v>13.932963000000001</v>
      </c>
      <c r="G105" s="6">
        <v>2.6455599999999999E-3</v>
      </c>
      <c r="H105" s="109"/>
    </row>
    <row r="106" spans="1:8" ht="17.100000000000001" customHeight="1" x14ac:dyDescent="0.2">
      <c r="A106" s="100">
        <v>100</v>
      </c>
      <c r="B106" s="3" t="s">
        <v>796</v>
      </c>
      <c r="C106" s="3" t="s">
        <v>797</v>
      </c>
      <c r="D106" s="3" t="s">
        <v>91</v>
      </c>
      <c r="E106" s="4">
        <v>1632</v>
      </c>
      <c r="F106" s="5">
        <v>11.073936</v>
      </c>
      <c r="G106" s="6">
        <v>2.1026999999999999E-3</v>
      </c>
      <c r="H106" s="109"/>
    </row>
    <row r="107" spans="1:8" ht="14.1" customHeight="1" x14ac:dyDescent="0.2">
      <c r="A107" s="99"/>
      <c r="B107" s="1"/>
      <c r="C107" s="2" t="s">
        <v>135</v>
      </c>
      <c r="D107" s="1"/>
      <c r="E107" s="1" t="s">
        <v>136</v>
      </c>
      <c r="F107" s="8">
        <v>5068.0216207659996</v>
      </c>
      <c r="G107" s="9">
        <v>0.96230550000000004</v>
      </c>
      <c r="H107" s="109"/>
    </row>
    <row r="108" spans="1:8" ht="14.1" customHeight="1" x14ac:dyDescent="0.2">
      <c r="A108" s="99"/>
      <c r="B108" s="1"/>
      <c r="C108" s="10"/>
      <c r="D108" s="1"/>
      <c r="E108" s="1"/>
      <c r="F108" s="11"/>
      <c r="G108" s="11"/>
      <c r="H108" s="109"/>
    </row>
    <row r="109" spans="1:8" ht="14.1" customHeight="1" x14ac:dyDescent="0.2">
      <c r="A109" s="99"/>
      <c r="B109" s="1"/>
      <c r="C109" s="2" t="s">
        <v>137</v>
      </c>
      <c r="D109" s="1"/>
      <c r="E109" s="1"/>
      <c r="F109" s="1"/>
      <c r="G109" s="1"/>
      <c r="H109" s="109"/>
    </row>
    <row r="110" spans="1:8" ht="14.1" customHeight="1" x14ac:dyDescent="0.2">
      <c r="A110" s="99"/>
      <c r="B110" s="1"/>
      <c r="C110" s="2" t="s">
        <v>135</v>
      </c>
      <c r="D110" s="1"/>
      <c r="E110" s="1" t="s">
        <v>136</v>
      </c>
      <c r="F110" s="8">
        <v>0</v>
      </c>
      <c r="G110" s="9">
        <v>0</v>
      </c>
      <c r="H110" s="109"/>
    </row>
    <row r="111" spans="1:8" ht="14.1" customHeight="1" x14ac:dyDescent="0.2">
      <c r="A111" s="99"/>
      <c r="B111" s="1"/>
      <c r="C111" s="10"/>
      <c r="D111" s="1"/>
      <c r="E111" s="1"/>
      <c r="F111" s="11"/>
      <c r="G111" s="11"/>
      <c r="H111" s="109"/>
    </row>
    <row r="112" spans="1:8" ht="14.1" customHeight="1" x14ac:dyDescent="0.2">
      <c r="A112" s="99"/>
      <c r="B112" s="1"/>
      <c r="C112" s="2" t="s">
        <v>138</v>
      </c>
      <c r="D112" s="1"/>
      <c r="E112" s="1"/>
      <c r="F112" s="1"/>
      <c r="G112" s="1"/>
      <c r="H112" s="109"/>
    </row>
    <row r="113" spans="1:8" ht="17.100000000000001" customHeight="1" x14ac:dyDescent="0.2">
      <c r="A113" s="100">
        <v>1</v>
      </c>
      <c r="B113" s="3" t="s">
        <v>798</v>
      </c>
      <c r="C113" s="107" t="s">
        <v>944</v>
      </c>
      <c r="D113" s="3" t="s">
        <v>22</v>
      </c>
      <c r="E113" s="4">
        <v>26586</v>
      </c>
      <c r="F113" s="5">
        <v>2.6600000000000003E-7</v>
      </c>
      <c r="G113" s="7" t="s">
        <v>134</v>
      </c>
      <c r="H113" s="109"/>
    </row>
    <row r="114" spans="1:8" ht="14.1" customHeight="1" x14ac:dyDescent="0.2">
      <c r="A114" s="99"/>
      <c r="B114" s="1"/>
      <c r="C114" s="2" t="s">
        <v>135</v>
      </c>
      <c r="D114" s="1"/>
      <c r="E114" s="1" t="s">
        <v>136</v>
      </c>
      <c r="F114" s="8">
        <f>SUM(F113)</f>
        <v>2.6600000000000003E-7</v>
      </c>
      <c r="G114" s="9">
        <v>0</v>
      </c>
      <c r="H114" s="109"/>
    </row>
    <row r="115" spans="1:8" ht="14.1" customHeight="1" x14ac:dyDescent="0.2">
      <c r="A115" s="99"/>
      <c r="B115" s="1"/>
      <c r="C115" s="10"/>
      <c r="D115" s="1"/>
      <c r="E115" s="1"/>
      <c r="F115" s="11"/>
      <c r="G115" s="11"/>
      <c r="H115" s="109"/>
    </row>
    <row r="116" spans="1:8" ht="14.1" customHeight="1" x14ac:dyDescent="0.2">
      <c r="A116" s="99"/>
      <c r="B116" s="1"/>
      <c r="C116" s="2" t="s">
        <v>139</v>
      </c>
      <c r="D116" s="1"/>
      <c r="E116" s="1"/>
      <c r="F116" s="1"/>
      <c r="G116" s="1"/>
      <c r="H116" s="109"/>
    </row>
    <row r="117" spans="1:8" ht="14.1" customHeight="1" x14ac:dyDescent="0.2">
      <c r="A117" s="99"/>
      <c r="B117" s="1"/>
      <c r="C117" s="2" t="s">
        <v>135</v>
      </c>
      <c r="D117" s="1"/>
      <c r="E117" s="1" t="s">
        <v>136</v>
      </c>
      <c r="F117" s="115">
        <v>0</v>
      </c>
      <c r="G117" s="9">
        <v>0</v>
      </c>
      <c r="H117" s="109"/>
    </row>
    <row r="118" spans="1:8" ht="14.1" customHeight="1" x14ac:dyDescent="0.2">
      <c r="A118" s="99"/>
      <c r="B118" s="1"/>
      <c r="C118" s="10"/>
      <c r="D118" s="1"/>
      <c r="E118" s="1"/>
      <c r="F118" s="11"/>
      <c r="G118" s="11"/>
      <c r="H118" s="109"/>
    </row>
    <row r="119" spans="1:8" ht="14.1" customHeight="1" x14ac:dyDescent="0.2">
      <c r="A119" s="99"/>
      <c r="B119" s="1"/>
      <c r="C119" s="2" t="s">
        <v>140</v>
      </c>
      <c r="D119" s="1"/>
      <c r="E119" s="1"/>
      <c r="F119" s="11"/>
      <c r="G119" s="11"/>
      <c r="H119" s="109"/>
    </row>
    <row r="120" spans="1:8" ht="14.1" customHeight="1" x14ac:dyDescent="0.2">
      <c r="A120" s="99"/>
      <c r="B120" s="1"/>
      <c r="C120" s="2" t="s">
        <v>135</v>
      </c>
      <c r="D120" s="1"/>
      <c r="E120" s="1" t="s">
        <v>136</v>
      </c>
      <c r="F120" s="115">
        <v>0</v>
      </c>
      <c r="G120" s="9">
        <v>0</v>
      </c>
      <c r="H120" s="109"/>
    </row>
    <row r="121" spans="1:8" ht="14.1" customHeight="1" x14ac:dyDescent="0.2">
      <c r="A121" s="99"/>
      <c r="B121" s="1"/>
      <c r="C121" s="10"/>
      <c r="D121" s="1"/>
      <c r="E121" s="1"/>
      <c r="F121" s="11"/>
      <c r="G121" s="11"/>
      <c r="H121" s="109"/>
    </row>
    <row r="122" spans="1:8" ht="14.1" customHeight="1" x14ac:dyDescent="0.2">
      <c r="A122" s="99"/>
      <c r="B122" s="1"/>
      <c r="C122" s="2" t="s">
        <v>141</v>
      </c>
      <c r="D122" s="1"/>
      <c r="E122" s="1"/>
      <c r="F122" s="11"/>
      <c r="G122" s="11"/>
      <c r="H122" s="109"/>
    </row>
    <row r="123" spans="1:8" ht="14.1" customHeight="1" x14ac:dyDescent="0.2">
      <c r="A123" s="99"/>
      <c r="B123" s="1"/>
      <c r="C123" s="2" t="s">
        <v>135</v>
      </c>
      <c r="D123" s="1"/>
      <c r="E123" s="1" t="s">
        <v>136</v>
      </c>
      <c r="F123" s="115">
        <v>0</v>
      </c>
      <c r="G123" s="9">
        <v>0</v>
      </c>
      <c r="H123" s="109"/>
    </row>
    <row r="124" spans="1:8" ht="14.1" customHeight="1" x14ac:dyDescent="0.2">
      <c r="A124" s="99"/>
      <c r="B124" s="1"/>
      <c r="C124" s="10"/>
      <c r="D124" s="1"/>
      <c r="E124" s="1"/>
      <c r="F124" s="11"/>
      <c r="G124" s="11"/>
      <c r="H124" s="109"/>
    </row>
    <row r="125" spans="1:8" ht="18" customHeight="1" x14ac:dyDescent="0.2">
      <c r="A125" s="99"/>
      <c r="B125" s="1"/>
      <c r="C125" s="2" t="s">
        <v>142</v>
      </c>
      <c r="D125" s="1"/>
      <c r="E125" s="1"/>
      <c r="F125" s="8">
        <v>5068.0216207659996</v>
      </c>
      <c r="G125" s="9">
        <v>0.96230550000000004</v>
      </c>
      <c r="H125" s="109"/>
    </row>
    <row r="126" spans="1:8" ht="14.1" customHeight="1" x14ac:dyDescent="0.2">
      <c r="A126" s="99"/>
      <c r="B126" s="1"/>
      <c r="C126" s="10"/>
      <c r="D126" s="1"/>
      <c r="E126" s="1"/>
      <c r="F126" s="11"/>
      <c r="G126" s="11"/>
      <c r="H126" s="109"/>
    </row>
    <row r="127" spans="1:8" ht="14.1" customHeight="1" x14ac:dyDescent="0.2">
      <c r="A127" s="99"/>
      <c r="B127" s="1"/>
      <c r="C127" s="2" t="s">
        <v>143</v>
      </c>
      <c r="D127" s="1"/>
      <c r="E127" s="1"/>
      <c r="F127" s="11"/>
      <c r="G127" s="11"/>
      <c r="H127" s="109"/>
    </row>
    <row r="128" spans="1:8" ht="24" customHeight="1" x14ac:dyDescent="0.2">
      <c r="A128" s="99"/>
      <c r="B128" s="1"/>
      <c r="C128" s="2" t="s">
        <v>10</v>
      </c>
      <c r="D128" s="1"/>
      <c r="E128" s="1"/>
      <c r="F128" s="11"/>
      <c r="G128" s="11"/>
      <c r="H128" s="109"/>
    </row>
    <row r="129" spans="1:8" ht="29.1" customHeight="1" x14ac:dyDescent="0.2">
      <c r="A129" s="100">
        <v>1</v>
      </c>
      <c r="B129" s="3" t="s">
        <v>696</v>
      </c>
      <c r="C129" s="3" t="s">
        <v>697</v>
      </c>
      <c r="D129" s="3" t="s">
        <v>556</v>
      </c>
      <c r="E129" s="4">
        <v>828</v>
      </c>
      <c r="F129" s="5">
        <v>0.23329002700000001</v>
      </c>
      <c r="G129" s="6" t="s">
        <v>134</v>
      </c>
      <c r="H129" s="109">
        <v>7.93</v>
      </c>
    </row>
    <row r="130" spans="1:8" ht="14.1" customHeight="1" x14ac:dyDescent="0.2">
      <c r="A130" s="99"/>
      <c r="B130" s="1"/>
      <c r="C130" s="2" t="s">
        <v>135</v>
      </c>
      <c r="D130" s="1"/>
      <c r="E130" s="1" t="s">
        <v>136</v>
      </c>
      <c r="F130" s="8">
        <v>0.23329002700000001</v>
      </c>
      <c r="G130" s="9">
        <v>4.4299999999999999E-5</v>
      </c>
      <c r="H130" s="109"/>
    </row>
    <row r="131" spans="1:8" ht="14.1" customHeight="1" x14ac:dyDescent="0.2">
      <c r="A131" s="99"/>
      <c r="B131" s="1"/>
      <c r="C131" s="10"/>
      <c r="D131" s="1"/>
      <c r="E131" s="1"/>
      <c r="F131" s="11"/>
      <c r="G131" s="11"/>
      <c r="H131" s="109"/>
    </row>
    <row r="132" spans="1:8" ht="14.1" customHeight="1" x14ac:dyDescent="0.2">
      <c r="A132" s="99"/>
      <c r="B132" s="1"/>
      <c r="C132" s="2" t="s">
        <v>144</v>
      </c>
      <c r="D132" s="1"/>
      <c r="E132" s="1"/>
      <c r="F132" s="1"/>
      <c r="G132" s="1"/>
      <c r="H132" s="109"/>
    </row>
    <row r="133" spans="1:8" ht="14.1" customHeight="1" x14ac:dyDescent="0.2">
      <c r="A133" s="99"/>
      <c r="B133" s="1"/>
      <c r="C133" s="2" t="s">
        <v>135</v>
      </c>
      <c r="D133" s="1"/>
      <c r="E133" s="1" t="s">
        <v>136</v>
      </c>
      <c r="F133" s="115">
        <v>0</v>
      </c>
      <c r="G133" s="9">
        <v>0</v>
      </c>
      <c r="H133" s="109"/>
    </row>
    <row r="134" spans="1:8" ht="14.1" customHeight="1" x14ac:dyDescent="0.2">
      <c r="A134" s="99"/>
      <c r="B134" s="1"/>
      <c r="C134" s="10"/>
      <c r="D134" s="1"/>
      <c r="E134" s="1"/>
      <c r="F134" s="11"/>
      <c r="G134" s="11"/>
      <c r="H134" s="109"/>
    </row>
    <row r="135" spans="1:8" ht="14.1" customHeight="1" x14ac:dyDescent="0.2">
      <c r="A135" s="99"/>
      <c r="B135" s="1"/>
      <c r="C135" s="2" t="s">
        <v>145</v>
      </c>
      <c r="D135" s="1"/>
      <c r="E135" s="1"/>
      <c r="F135" s="1"/>
      <c r="G135" s="1"/>
      <c r="H135" s="109"/>
    </row>
    <row r="136" spans="1:8" ht="14.1" customHeight="1" x14ac:dyDescent="0.2">
      <c r="A136" s="99"/>
      <c r="B136" s="1"/>
      <c r="C136" s="2" t="s">
        <v>135</v>
      </c>
      <c r="D136" s="1"/>
      <c r="E136" s="1" t="s">
        <v>136</v>
      </c>
      <c r="F136" s="115">
        <v>0</v>
      </c>
      <c r="G136" s="9">
        <v>0</v>
      </c>
      <c r="H136" s="109"/>
    </row>
    <row r="137" spans="1:8" ht="14.1" customHeight="1" x14ac:dyDescent="0.2">
      <c r="A137" s="99"/>
      <c r="B137" s="1"/>
      <c r="C137" s="10"/>
      <c r="D137" s="1"/>
      <c r="E137" s="1"/>
      <c r="F137" s="11"/>
      <c r="G137" s="11"/>
      <c r="H137" s="109"/>
    </row>
    <row r="138" spans="1:8" ht="14.1" customHeight="1" x14ac:dyDescent="0.2">
      <c r="A138" s="99"/>
      <c r="B138" s="1"/>
      <c r="C138" s="2" t="s">
        <v>146</v>
      </c>
      <c r="D138" s="1"/>
      <c r="E138" s="1"/>
      <c r="F138" s="11"/>
      <c r="G138" s="11"/>
      <c r="H138" s="109"/>
    </row>
    <row r="139" spans="1:8" ht="14.1" customHeight="1" x14ac:dyDescent="0.2">
      <c r="A139" s="99"/>
      <c r="B139" s="1"/>
      <c r="C139" s="2" t="s">
        <v>135</v>
      </c>
      <c r="D139" s="1"/>
      <c r="E139" s="1" t="s">
        <v>136</v>
      </c>
      <c r="F139" s="115">
        <v>0</v>
      </c>
      <c r="G139" s="9">
        <v>0</v>
      </c>
      <c r="H139" s="109"/>
    </row>
    <row r="140" spans="1:8" ht="14.1" customHeight="1" x14ac:dyDescent="0.2">
      <c r="A140" s="99"/>
      <c r="B140" s="1"/>
      <c r="C140" s="10"/>
      <c r="D140" s="1"/>
      <c r="E140" s="1"/>
      <c r="F140" s="11"/>
      <c r="G140" s="11"/>
      <c r="H140" s="109"/>
    </row>
    <row r="141" spans="1:8" ht="14.1" customHeight="1" x14ac:dyDescent="0.2">
      <c r="A141" s="99"/>
      <c r="B141" s="1"/>
      <c r="C141" s="2" t="s">
        <v>147</v>
      </c>
      <c r="D141" s="1"/>
      <c r="E141" s="1"/>
      <c r="F141" s="8">
        <v>0.23329002700000001</v>
      </c>
      <c r="G141" s="9">
        <v>4.4299999999999999E-5</v>
      </c>
      <c r="H141" s="109"/>
    </row>
    <row r="142" spans="1:8" ht="14.1" customHeight="1" x14ac:dyDescent="0.2">
      <c r="A142" s="99"/>
      <c r="B142" s="1"/>
      <c r="C142" s="10"/>
      <c r="D142" s="1"/>
      <c r="E142" s="1"/>
      <c r="F142" s="11"/>
      <c r="G142" s="11"/>
      <c r="H142" s="109"/>
    </row>
    <row r="143" spans="1:8" ht="14.1" customHeight="1" x14ac:dyDescent="0.2">
      <c r="A143" s="99"/>
      <c r="B143" s="1"/>
      <c r="C143" s="2" t="s">
        <v>148</v>
      </c>
      <c r="D143" s="1"/>
      <c r="E143" s="1"/>
      <c r="F143" s="11"/>
      <c r="G143" s="11"/>
      <c r="H143" s="109"/>
    </row>
    <row r="144" spans="1:8" ht="14.1" customHeight="1" x14ac:dyDescent="0.2">
      <c r="A144" s="99"/>
      <c r="B144" s="1"/>
      <c r="C144" s="2" t="s">
        <v>149</v>
      </c>
      <c r="D144" s="1"/>
      <c r="E144" s="1"/>
      <c r="F144" s="11"/>
      <c r="G144" s="11"/>
      <c r="H144" s="109"/>
    </row>
    <row r="145" spans="1:8" ht="14.1" customHeight="1" x14ac:dyDescent="0.2">
      <c r="A145" s="99"/>
      <c r="B145" s="1"/>
      <c r="C145" s="2" t="s">
        <v>135</v>
      </c>
      <c r="D145" s="1"/>
      <c r="E145" s="1" t="s">
        <v>136</v>
      </c>
      <c r="F145" s="115">
        <v>0</v>
      </c>
      <c r="G145" s="9">
        <v>0</v>
      </c>
      <c r="H145" s="109"/>
    </row>
    <row r="146" spans="1:8" ht="14.1" customHeight="1" x14ac:dyDescent="0.2">
      <c r="A146" s="99"/>
      <c r="B146" s="1"/>
      <c r="C146" s="10"/>
      <c r="D146" s="1"/>
      <c r="E146" s="1"/>
      <c r="F146" s="11"/>
      <c r="G146" s="11"/>
      <c r="H146" s="109"/>
    </row>
    <row r="147" spans="1:8" ht="14.1" customHeight="1" x14ac:dyDescent="0.2">
      <c r="A147" s="99"/>
      <c r="B147" s="1"/>
      <c r="C147" s="2" t="s">
        <v>150</v>
      </c>
      <c r="D147" s="1"/>
      <c r="E147" s="1"/>
      <c r="F147" s="11"/>
      <c r="G147" s="11"/>
      <c r="H147" s="109"/>
    </row>
    <row r="148" spans="1:8" ht="14.1" customHeight="1" x14ac:dyDescent="0.2">
      <c r="A148" s="99"/>
      <c r="B148" s="1"/>
      <c r="C148" s="2" t="s">
        <v>135</v>
      </c>
      <c r="D148" s="1"/>
      <c r="E148" s="1" t="s">
        <v>136</v>
      </c>
      <c r="F148" s="115">
        <v>0</v>
      </c>
      <c r="G148" s="9">
        <v>0</v>
      </c>
      <c r="H148" s="109"/>
    </row>
    <row r="149" spans="1:8" ht="14.1" customHeight="1" x14ac:dyDescent="0.2">
      <c r="A149" s="99"/>
      <c r="B149" s="1"/>
      <c r="C149" s="10"/>
      <c r="D149" s="1"/>
      <c r="E149" s="1"/>
      <c r="F149" s="11"/>
      <c r="G149" s="11"/>
      <c r="H149" s="109"/>
    </row>
    <row r="150" spans="1:8" ht="14.1" customHeight="1" x14ac:dyDescent="0.2">
      <c r="A150" s="99"/>
      <c r="B150" s="1"/>
      <c r="C150" s="2" t="s">
        <v>151</v>
      </c>
      <c r="D150" s="1"/>
      <c r="E150" s="1"/>
      <c r="F150" s="11"/>
      <c r="G150" s="11"/>
      <c r="H150" s="109"/>
    </row>
    <row r="151" spans="1:8" ht="14.1" customHeight="1" x14ac:dyDescent="0.2">
      <c r="A151" s="99"/>
      <c r="B151" s="1"/>
      <c r="C151" s="2" t="s">
        <v>135</v>
      </c>
      <c r="D151" s="1"/>
      <c r="E151" s="1" t="s">
        <v>136</v>
      </c>
      <c r="F151" s="115">
        <v>0</v>
      </c>
      <c r="G151" s="9">
        <v>0</v>
      </c>
      <c r="H151" s="109"/>
    </row>
    <row r="152" spans="1:8" ht="14.1" customHeight="1" x14ac:dyDescent="0.2">
      <c r="A152" s="99"/>
      <c r="B152" s="1"/>
      <c r="C152" s="10"/>
      <c r="D152" s="1"/>
      <c r="E152" s="1"/>
      <c r="F152" s="11"/>
      <c r="G152" s="11"/>
      <c r="H152" s="109"/>
    </row>
    <row r="153" spans="1:8" ht="14.1" customHeight="1" x14ac:dyDescent="0.2">
      <c r="A153" s="99"/>
      <c r="B153" s="1"/>
      <c r="C153" s="2" t="s">
        <v>152</v>
      </c>
      <c r="D153" s="1"/>
      <c r="E153" s="1"/>
      <c r="F153" s="11"/>
      <c r="G153" s="11"/>
      <c r="H153" s="109"/>
    </row>
    <row r="154" spans="1:8" ht="17.100000000000001" customHeight="1" x14ac:dyDescent="0.2">
      <c r="A154" s="100">
        <v>1</v>
      </c>
      <c r="B154" s="3"/>
      <c r="C154" s="3" t="s">
        <v>153</v>
      </c>
      <c r="D154" s="3"/>
      <c r="E154" s="7"/>
      <c r="F154" s="5">
        <v>212.230419001</v>
      </c>
      <c r="G154" s="6">
        <v>4.029787E-2</v>
      </c>
      <c r="H154" s="109">
        <v>6.6015165706411798</v>
      </c>
    </row>
    <row r="155" spans="1:8" ht="14.1" customHeight="1" x14ac:dyDescent="0.2">
      <c r="A155" s="99"/>
      <c r="B155" s="1"/>
      <c r="C155" s="2" t="s">
        <v>135</v>
      </c>
      <c r="D155" s="1"/>
      <c r="E155" s="1" t="s">
        <v>136</v>
      </c>
      <c r="F155" s="8">
        <v>212.230419001</v>
      </c>
      <c r="G155" s="9">
        <v>4.029787E-2</v>
      </c>
      <c r="H155" s="109"/>
    </row>
    <row r="156" spans="1:8" ht="14.1" customHeight="1" x14ac:dyDescent="0.2">
      <c r="A156" s="99"/>
      <c r="B156" s="1"/>
      <c r="C156" s="10"/>
      <c r="D156" s="1"/>
      <c r="E156" s="1"/>
      <c r="F156" s="11"/>
      <c r="G156" s="11"/>
      <c r="H156" s="109"/>
    </row>
    <row r="157" spans="1:8" ht="14.1" customHeight="1" x14ac:dyDescent="0.2">
      <c r="A157" s="99"/>
      <c r="B157" s="1"/>
      <c r="C157" s="2" t="s">
        <v>154</v>
      </c>
      <c r="D157" s="1"/>
      <c r="E157" s="1"/>
      <c r="F157" s="8">
        <v>212.230419001</v>
      </c>
      <c r="G157" s="9">
        <v>4.029787E-2</v>
      </c>
      <c r="H157" s="109"/>
    </row>
    <row r="158" spans="1:8" ht="14.1" customHeight="1" x14ac:dyDescent="0.2">
      <c r="A158" s="99"/>
      <c r="B158" s="1"/>
      <c r="C158" s="11"/>
      <c r="D158" s="1"/>
      <c r="E158" s="1"/>
      <c r="F158" s="1"/>
      <c r="G158" s="1"/>
      <c r="H158" s="109"/>
    </row>
    <row r="159" spans="1:8" ht="14.1" customHeight="1" x14ac:dyDescent="0.2">
      <c r="A159" s="99"/>
      <c r="B159" s="1"/>
      <c r="C159" s="2" t="s">
        <v>155</v>
      </c>
      <c r="D159" s="1"/>
      <c r="E159" s="1"/>
      <c r="F159" s="1"/>
      <c r="G159" s="1"/>
      <c r="H159" s="109"/>
    </row>
    <row r="160" spans="1:8" ht="14.1" customHeight="1" x14ac:dyDescent="0.2">
      <c r="A160" s="99"/>
      <c r="B160" s="1"/>
      <c r="C160" s="2" t="s">
        <v>156</v>
      </c>
      <c r="D160" s="1"/>
      <c r="E160" s="1"/>
      <c r="F160" s="1"/>
      <c r="G160" s="1"/>
      <c r="H160" s="109"/>
    </row>
    <row r="161" spans="1:14" ht="14.1" customHeight="1" x14ac:dyDescent="0.2">
      <c r="A161" s="99"/>
      <c r="B161" s="1"/>
      <c r="C161" s="2" t="s">
        <v>135</v>
      </c>
      <c r="D161" s="1"/>
      <c r="E161" s="1" t="s">
        <v>136</v>
      </c>
      <c r="F161" s="115">
        <v>0</v>
      </c>
      <c r="G161" s="9">
        <v>0</v>
      </c>
      <c r="H161" s="109"/>
    </row>
    <row r="162" spans="1:14" ht="14.1" customHeight="1" x14ac:dyDescent="0.2">
      <c r="A162" s="99"/>
      <c r="B162" s="1"/>
      <c r="C162" s="10"/>
      <c r="D162" s="1"/>
      <c r="E162" s="1"/>
      <c r="F162" s="11"/>
      <c r="G162" s="11"/>
      <c r="H162" s="109"/>
    </row>
    <row r="163" spans="1:14" ht="14.1" customHeight="1" x14ac:dyDescent="0.2">
      <c r="A163" s="99"/>
      <c r="B163" s="1"/>
      <c r="C163" s="2" t="s">
        <v>157</v>
      </c>
      <c r="D163" s="1"/>
      <c r="E163" s="1"/>
      <c r="F163" s="1"/>
      <c r="G163" s="1"/>
      <c r="H163" s="109"/>
    </row>
    <row r="164" spans="1:14" ht="14.1" customHeight="1" x14ac:dyDescent="0.2">
      <c r="A164" s="99"/>
      <c r="B164" s="1"/>
      <c r="C164" s="2" t="s">
        <v>158</v>
      </c>
      <c r="D164" s="1"/>
      <c r="E164" s="1"/>
      <c r="F164" s="1"/>
      <c r="G164" s="1"/>
      <c r="H164" s="109"/>
    </row>
    <row r="165" spans="1:14" ht="14.1" customHeight="1" x14ac:dyDescent="0.2">
      <c r="A165" s="99"/>
      <c r="B165" s="1"/>
      <c r="C165" s="2" t="s">
        <v>135</v>
      </c>
      <c r="D165" s="1"/>
      <c r="E165" s="1" t="s">
        <v>136</v>
      </c>
      <c r="F165" s="115">
        <v>0</v>
      </c>
      <c r="G165" s="9">
        <v>0</v>
      </c>
      <c r="H165" s="109"/>
    </row>
    <row r="166" spans="1:14" ht="14.1" customHeight="1" x14ac:dyDescent="0.2">
      <c r="A166" s="99"/>
      <c r="B166" s="1"/>
      <c r="C166" s="10"/>
      <c r="D166" s="1"/>
      <c r="E166" s="1"/>
      <c r="F166" s="11"/>
      <c r="G166" s="11"/>
      <c r="H166" s="109"/>
    </row>
    <row r="167" spans="1:14" ht="24" customHeight="1" x14ac:dyDescent="0.2">
      <c r="A167" s="99"/>
      <c r="B167" s="1"/>
      <c r="C167" s="2" t="s">
        <v>159</v>
      </c>
      <c r="D167" s="1"/>
      <c r="E167" s="1"/>
      <c r="F167" s="11"/>
      <c r="G167" s="11"/>
      <c r="H167" s="109"/>
    </row>
    <row r="168" spans="1:14" ht="14.1" customHeight="1" x14ac:dyDescent="0.2">
      <c r="A168" s="99"/>
      <c r="B168" s="1"/>
      <c r="C168" s="2" t="s">
        <v>135</v>
      </c>
      <c r="D168" s="1"/>
      <c r="E168" s="1" t="s">
        <v>136</v>
      </c>
      <c r="F168" s="115">
        <v>0</v>
      </c>
      <c r="G168" s="9">
        <v>0</v>
      </c>
      <c r="H168" s="109"/>
    </row>
    <row r="169" spans="1:14" ht="14.1" customHeight="1" x14ac:dyDescent="0.2">
      <c r="A169" s="99"/>
      <c r="B169" s="1"/>
      <c r="C169" s="10"/>
      <c r="D169" s="1"/>
      <c r="E169" s="1"/>
      <c r="F169" s="11"/>
      <c r="G169" s="11"/>
      <c r="H169" s="109"/>
    </row>
    <row r="170" spans="1:14" ht="14.1" customHeight="1" x14ac:dyDescent="0.2">
      <c r="A170" s="99"/>
      <c r="B170" s="3"/>
      <c r="C170" s="3"/>
      <c r="D170" s="2"/>
      <c r="E170" s="1"/>
      <c r="F170" s="3"/>
      <c r="G170" s="7"/>
      <c r="H170" s="109"/>
    </row>
    <row r="171" spans="1:14" ht="18" customHeight="1" x14ac:dyDescent="0.2">
      <c r="A171" s="101"/>
      <c r="B171" s="3"/>
      <c r="C171" s="3" t="s">
        <v>933</v>
      </c>
      <c r="D171" s="3"/>
      <c r="E171" s="7"/>
      <c r="F171" s="5">
        <v>-13.94370427</v>
      </c>
      <c r="G171" s="6">
        <v>-2.6476E-3</v>
      </c>
      <c r="H171" s="109"/>
    </row>
    <row r="172" spans="1:14" ht="14.1" customHeight="1" x14ac:dyDescent="0.2">
      <c r="A172" s="102"/>
      <c r="B172" s="10"/>
      <c r="C172" s="2" t="s">
        <v>161</v>
      </c>
      <c r="D172" s="11"/>
      <c r="E172" s="11"/>
      <c r="F172" s="8">
        <v>5266.5416255239998</v>
      </c>
      <c r="G172" s="12">
        <v>1.00000007</v>
      </c>
      <c r="H172" s="109"/>
    </row>
    <row r="173" spans="1:14" ht="14.1" customHeight="1" x14ac:dyDescent="0.2">
      <c r="A173" s="13"/>
      <c r="B173" s="13"/>
      <c r="C173" s="13"/>
      <c r="D173" s="14"/>
      <c r="E173" s="14"/>
      <c r="F173" s="14"/>
      <c r="G173" s="14"/>
    </row>
    <row r="174" spans="1:14" ht="14.1" customHeight="1" x14ac:dyDescent="0.2">
      <c r="A174" s="15"/>
      <c r="B174" s="193" t="s">
        <v>931</v>
      </c>
      <c r="C174" s="193"/>
      <c r="D174" s="193"/>
      <c r="E174" s="193"/>
      <c r="F174" s="193"/>
      <c r="G174" s="17"/>
    </row>
    <row r="175" spans="1:14" ht="14.1" customHeight="1" x14ac:dyDescent="0.2">
      <c r="A175" s="15"/>
      <c r="B175" s="193" t="s">
        <v>932</v>
      </c>
      <c r="C175" s="193"/>
      <c r="D175" s="193"/>
      <c r="E175" s="193"/>
      <c r="F175" s="193"/>
      <c r="G175" s="17"/>
    </row>
    <row r="176" spans="1:14" ht="17.100000000000001" customHeight="1" x14ac:dyDescent="0.2">
      <c r="A176" s="15"/>
      <c r="B176" s="193" t="s">
        <v>162</v>
      </c>
      <c r="C176" s="193"/>
      <c r="D176" s="193"/>
      <c r="E176" s="193"/>
      <c r="F176" s="193"/>
      <c r="G176" s="17"/>
      <c r="I176" s="111"/>
      <c r="J176" s="111"/>
      <c r="K176" s="111"/>
      <c r="L176" s="111"/>
      <c r="M176" s="111"/>
      <c r="N176" s="111"/>
    </row>
    <row r="177" spans="1:7" ht="17.100000000000001" customHeight="1" x14ac:dyDescent="0.2">
      <c r="A177" s="15"/>
      <c r="B177" s="113" t="s">
        <v>945</v>
      </c>
      <c r="C177" s="16"/>
      <c r="D177" s="16"/>
      <c r="E177" s="16"/>
      <c r="F177" s="16"/>
      <c r="G177" s="17"/>
    </row>
    <row r="178" spans="1:7" ht="14.1" customHeight="1" x14ac:dyDescent="0.2">
      <c r="A178" s="15"/>
      <c r="B178" s="15"/>
      <c r="C178" s="15"/>
      <c r="D178" s="17"/>
      <c r="E178" s="17"/>
      <c r="F178" s="17"/>
      <c r="G178" s="17"/>
    </row>
    <row r="179" spans="1:7" ht="14.1" customHeight="1" x14ac:dyDescent="0.2">
      <c r="A179" s="15"/>
      <c r="B179" s="194" t="s">
        <v>163</v>
      </c>
      <c r="C179" s="195"/>
      <c r="D179" s="196"/>
      <c r="E179" s="18"/>
      <c r="F179" s="17"/>
      <c r="G179" s="17"/>
    </row>
    <row r="180" spans="1:7" ht="29.1" customHeight="1" x14ac:dyDescent="0.2">
      <c r="A180" s="15"/>
      <c r="B180" s="191" t="s">
        <v>164</v>
      </c>
      <c r="C180" s="192"/>
      <c r="D180" s="2" t="s">
        <v>165</v>
      </c>
      <c r="E180" s="18"/>
      <c r="F180" s="17"/>
      <c r="G180" s="17"/>
    </row>
    <row r="181" spans="1:7" ht="17.100000000000001" customHeight="1" x14ac:dyDescent="0.2">
      <c r="A181" s="15"/>
      <c r="B181" s="191" t="s">
        <v>166</v>
      </c>
      <c r="C181" s="192"/>
      <c r="D181" s="2" t="s">
        <v>165</v>
      </c>
      <c r="E181" s="18"/>
      <c r="F181" s="17"/>
      <c r="G181" s="17"/>
    </row>
    <row r="182" spans="1:7" ht="17.100000000000001" customHeight="1" x14ac:dyDescent="0.2">
      <c r="A182" s="15"/>
      <c r="B182" s="191" t="s">
        <v>167</v>
      </c>
      <c r="C182" s="192"/>
      <c r="D182" s="11" t="s">
        <v>136</v>
      </c>
      <c r="E182" s="18"/>
      <c r="F182" s="17"/>
      <c r="G182" s="17"/>
    </row>
    <row r="183" spans="1:7" ht="24" customHeight="1" x14ac:dyDescent="0.2">
      <c r="A183" s="19"/>
      <c r="B183" s="20" t="s">
        <v>136</v>
      </c>
      <c r="C183" s="20" t="s">
        <v>168</v>
      </c>
      <c r="D183" s="20" t="s">
        <v>169</v>
      </c>
      <c r="E183" s="19"/>
      <c r="F183" s="19"/>
      <c r="G183" s="19"/>
    </row>
    <row r="184" spans="1:7" ht="18" customHeight="1" x14ac:dyDescent="0.2">
      <c r="A184" s="19"/>
      <c r="B184" s="21" t="s">
        <v>170</v>
      </c>
      <c r="C184" s="20" t="s">
        <v>171</v>
      </c>
      <c r="D184" s="20" t="s">
        <v>172</v>
      </c>
      <c r="E184" s="19"/>
      <c r="F184" s="19"/>
      <c r="G184" s="19"/>
    </row>
    <row r="185" spans="1:7" ht="17.100000000000001" customHeight="1" x14ac:dyDescent="0.2">
      <c r="A185" s="19"/>
      <c r="B185" s="3" t="s">
        <v>173</v>
      </c>
      <c r="C185" s="22">
        <v>110.7487</v>
      </c>
      <c r="D185" s="22">
        <v>107.04989999999999</v>
      </c>
      <c r="E185" s="19"/>
      <c r="F185" s="16"/>
      <c r="G185" s="23"/>
    </row>
    <row r="186" spans="1:7" ht="17.100000000000001" customHeight="1" x14ac:dyDescent="0.2">
      <c r="A186" s="19"/>
      <c r="B186" s="3" t="s">
        <v>994</v>
      </c>
      <c r="C186" s="22">
        <v>60.508800000000001</v>
      </c>
      <c r="D186" s="22">
        <v>58.487900000000003</v>
      </c>
      <c r="E186" s="19"/>
      <c r="F186" s="16"/>
      <c r="G186" s="23"/>
    </row>
    <row r="187" spans="1:7" ht="17.100000000000001" customHeight="1" x14ac:dyDescent="0.2">
      <c r="A187" s="19"/>
      <c r="B187" s="3" t="s">
        <v>174</v>
      </c>
      <c r="C187" s="22">
        <v>106.3883</v>
      </c>
      <c r="D187" s="22">
        <v>102.79640000000001</v>
      </c>
      <c r="E187" s="19"/>
      <c r="F187" s="16"/>
      <c r="G187" s="23"/>
    </row>
    <row r="188" spans="1:7" ht="17.100000000000001" customHeight="1" x14ac:dyDescent="0.2">
      <c r="A188" s="19"/>
      <c r="B188" s="3" t="s">
        <v>995</v>
      </c>
      <c r="C188" s="22">
        <v>58.129399999999997</v>
      </c>
      <c r="D188" s="22">
        <v>56.166899999999998</v>
      </c>
      <c r="E188" s="19"/>
      <c r="F188" s="16"/>
      <c r="G188" s="23"/>
    </row>
    <row r="189" spans="1:7" ht="14.1" customHeight="1" x14ac:dyDescent="0.2">
      <c r="A189" s="19"/>
      <c r="B189" s="19"/>
      <c r="C189" s="19"/>
      <c r="D189" s="19"/>
      <c r="E189" s="19"/>
      <c r="F189" s="19"/>
      <c r="G189" s="19"/>
    </row>
    <row r="190" spans="1:7" ht="17.100000000000001" customHeight="1" x14ac:dyDescent="0.2">
      <c r="A190" s="19"/>
      <c r="B190" s="191" t="s">
        <v>1044</v>
      </c>
      <c r="C190" s="192"/>
      <c r="D190" s="2" t="s">
        <v>165</v>
      </c>
      <c r="E190" s="19"/>
      <c r="F190" s="19"/>
      <c r="G190" s="19"/>
    </row>
    <row r="191" spans="1:7" ht="18" customHeight="1" x14ac:dyDescent="0.2">
      <c r="A191" s="19"/>
      <c r="B191" s="24"/>
      <c r="C191" s="24"/>
      <c r="D191" s="24"/>
      <c r="E191" s="19"/>
      <c r="F191" s="19"/>
      <c r="G191" s="19"/>
    </row>
    <row r="192" spans="1:7" ht="29.1" customHeight="1" x14ac:dyDescent="0.2">
      <c r="A192" s="19"/>
      <c r="B192" s="191" t="s">
        <v>175</v>
      </c>
      <c r="C192" s="192"/>
      <c r="D192" s="2" t="s">
        <v>165</v>
      </c>
      <c r="E192" s="25"/>
      <c r="F192" s="19"/>
      <c r="G192" s="19"/>
    </row>
    <row r="193" spans="1:7" ht="29.1" customHeight="1" x14ac:dyDescent="0.2">
      <c r="A193" s="19"/>
      <c r="B193" s="191" t="s">
        <v>176</v>
      </c>
      <c r="C193" s="192"/>
      <c r="D193" s="2" t="s">
        <v>165</v>
      </c>
      <c r="E193" s="25"/>
      <c r="F193" s="19"/>
      <c r="G193" s="19"/>
    </row>
    <row r="194" spans="1:7" ht="17.100000000000001" customHeight="1" x14ac:dyDescent="0.2">
      <c r="A194" s="19"/>
      <c r="B194" s="191" t="s">
        <v>177</v>
      </c>
      <c r="C194" s="192"/>
      <c r="D194" s="2" t="s">
        <v>165</v>
      </c>
      <c r="E194" s="25"/>
      <c r="F194" s="19"/>
      <c r="G194" s="19"/>
    </row>
    <row r="195" spans="1:7" ht="17.100000000000001" customHeight="1" x14ac:dyDescent="0.2">
      <c r="A195" s="19"/>
      <c r="B195" s="191" t="s">
        <v>178</v>
      </c>
      <c r="C195" s="192"/>
      <c r="D195" s="26">
        <v>0.40526553846236818</v>
      </c>
      <c r="E195" s="19"/>
      <c r="F195" s="16"/>
      <c r="G195" s="23"/>
    </row>
    <row r="196" spans="1:7" ht="14.1" customHeight="1" x14ac:dyDescent="0.2">
      <c r="A196" s="24"/>
      <c r="B196" s="24"/>
      <c r="C196" s="24"/>
      <c r="D196" s="24"/>
      <c r="E196" s="24"/>
      <c r="F196" s="24"/>
      <c r="G196" s="24"/>
    </row>
  </sheetData>
  <mergeCells count="16">
    <mergeCell ref="J2:N2"/>
    <mergeCell ref="B174:F174"/>
    <mergeCell ref="B175:F175"/>
    <mergeCell ref="A1:H1"/>
    <mergeCell ref="A2:H2"/>
    <mergeCell ref="A3:H3"/>
    <mergeCell ref="B181:C181"/>
    <mergeCell ref="B182:C182"/>
    <mergeCell ref="B176:F176"/>
    <mergeCell ref="B179:D179"/>
    <mergeCell ref="B180:C180"/>
    <mergeCell ref="B194:C194"/>
    <mergeCell ref="B195:C195"/>
    <mergeCell ref="B190:C190"/>
    <mergeCell ref="B192:C192"/>
    <mergeCell ref="B193:C193"/>
  </mergeCells>
  <hyperlinks>
    <hyperlink ref="I1" location="Index!B30" display="Index" xr:uid="{1B82E9D4-97DE-4191-ABA0-5E7CD2FB141E}"/>
  </hyperlinks>
  <pageMargins left="5.000000074505806E-2" right="5.000000074505806E-2" top="0.30000001192092896" bottom="0.20000000298023224" header="0" footer="0"/>
  <pageSetup paperSize="9" orientation="landscape" r:id="rId1"/>
  <headerFooter alignWithMargins="0"/>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N159"/>
  <sheetViews>
    <sheetView showGridLines="0" workbookViewId="0">
      <selection sqref="A1:H1"/>
    </sheetView>
  </sheetViews>
  <sheetFormatPr defaultRowHeight="12.75" x14ac:dyDescent="0.2"/>
  <cols>
    <col min="1" max="1" width="6.2851562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7" t="s">
        <v>0</v>
      </c>
      <c r="B1" s="187"/>
      <c r="C1" s="187"/>
      <c r="D1" s="187"/>
      <c r="E1" s="187"/>
      <c r="F1" s="187"/>
      <c r="G1" s="187"/>
      <c r="H1" s="187"/>
      <c r="I1" s="167" t="s">
        <v>1055</v>
      </c>
    </row>
    <row r="2" spans="1:14" ht="17.100000000000001" customHeight="1" x14ac:dyDescent="0.2">
      <c r="A2" s="188" t="s">
        <v>799</v>
      </c>
      <c r="B2" s="189"/>
      <c r="C2" s="189"/>
      <c r="D2" s="189"/>
      <c r="E2" s="189"/>
      <c r="F2" s="189"/>
      <c r="G2" s="189"/>
      <c r="H2" s="190"/>
      <c r="J2" s="186" t="s">
        <v>1056</v>
      </c>
      <c r="K2" s="186"/>
      <c r="L2" s="186"/>
      <c r="M2" s="186"/>
      <c r="N2" s="186"/>
    </row>
    <row r="3" spans="1:14" ht="21" customHeight="1" x14ac:dyDescent="0.2">
      <c r="A3" s="187" t="s">
        <v>1052</v>
      </c>
      <c r="B3" s="187"/>
      <c r="C3" s="187"/>
      <c r="D3" s="187"/>
      <c r="E3" s="187"/>
      <c r="F3" s="187"/>
      <c r="G3" s="187"/>
      <c r="H3" s="187"/>
    </row>
    <row r="4" spans="1:14" ht="30" x14ac:dyDescent="0.2">
      <c r="A4" s="163" t="s">
        <v>2</v>
      </c>
      <c r="B4" s="164" t="s">
        <v>3</v>
      </c>
      <c r="C4" s="164" t="s">
        <v>4</v>
      </c>
      <c r="D4" s="164" t="s">
        <v>5</v>
      </c>
      <c r="E4" s="164" t="s">
        <v>6</v>
      </c>
      <c r="F4" s="164" t="s">
        <v>7</v>
      </c>
      <c r="G4" s="164" t="s">
        <v>8</v>
      </c>
      <c r="H4" s="120" t="s">
        <v>881</v>
      </c>
      <c r="I4" s="165"/>
      <c r="J4" s="165"/>
      <c r="K4" s="165"/>
      <c r="L4" s="165"/>
      <c r="M4" s="165"/>
      <c r="N4" s="165"/>
    </row>
    <row r="5" spans="1:14" ht="14.1" customHeight="1" x14ac:dyDescent="0.2">
      <c r="A5" s="99"/>
      <c r="B5" s="1"/>
      <c r="C5" s="2" t="s">
        <v>9</v>
      </c>
      <c r="D5" s="1"/>
      <c r="E5" s="1"/>
      <c r="F5" s="1"/>
      <c r="G5" s="1"/>
      <c r="H5" s="109"/>
    </row>
    <row r="6" spans="1:14" ht="24" customHeight="1" x14ac:dyDescent="0.2">
      <c r="A6" s="99"/>
      <c r="B6" s="1"/>
      <c r="C6" s="2" t="s">
        <v>10</v>
      </c>
      <c r="D6" s="1"/>
      <c r="E6" s="1"/>
      <c r="F6" s="1"/>
      <c r="G6" s="1"/>
      <c r="H6" s="109"/>
    </row>
    <row r="7" spans="1:14" ht="17.100000000000001" customHeight="1" x14ac:dyDescent="0.2">
      <c r="A7" s="100">
        <v>1</v>
      </c>
      <c r="B7" s="3" t="s">
        <v>20</v>
      </c>
      <c r="C7" s="3" t="s">
        <v>21</v>
      </c>
      <c r="D7" s="3" t="s">
        <v>22</v>
      </c>
      <c r="E7" s="4">
        <v>803000</v>
      </c>
      <c r="F7" s="5">
        <v>6864.4454999999998</v>
      </c>
      <c r="G7" s="6">
        <v>7.3746279999999997E-2</v>
      </c>
      <c r="H7" s="109"/>
    </row>
    <row r="8" spans="1:14" ht="17.100000000000001" customHeight="1" x14ac:dyDescent="0.2">
      <c r="A8" s="100">
        <v>2</v>
      </c>
      <c r="B8" s="3" t="s">
        <v>17</v>
      </c>
      <c r="C8" s="3" t="s">
        <v>18</v>
      </c>
      <c r="D8" s="3" t="s">
        <v>19</v>
      </c>
      <c r="E8" s="4">
        <v>258000</v>
      </c>
      <c r="F8" s="5">
        <v>5992.1790000000001</v>
      </c>
      <c r="G8" s="6">
        <v>6.4375329999999995E-2</v>
      </c>
      <c r="H8" s="109"/>
    </row>
    <row r="9" spans="1:14" ht="17.100000000000001" customHeight="1" x14ac:dyDescent="0.2">
      <c r="A9" s="100">
        <v>3</v>
      </c>
      <c r="B9" s="3" t="s">
        <v>297</v>
      </c>
      <c r="C9" s="3" t="s">
        <v>298</v>
      </c>
      <c r="D9" s="3" t="s">
        <v>22</v>
      </c>
      <c r="E9" s="4">
        <v>335117</v>
      </c>
      <c r="F9" s="5">
        <v>5360.531532</v>
      </c>
      <c r="G9" s="6">
        <v>5.7589399999999999E-2</v>
      </c>
      <c r="H9" s="109"/>
    </row>
    <row r="10" spans="1:14" ht="17.100000000000001" customHeight="1" x14ac:dyDescent="0.2">
      <c r="A10" s="100">
        <v>4</v>
      </c>
      <c r="B10" s="3" t="s">
        <v>293</v>
      </c>
      <c r="C10" s="3" t="s">
        <v>294</v>
      </c>
      <c r="D10" s="3" t="s">
        <v>996</v>
      </c>
      <c r="E10" s="4">
        <v>318000</v>
      </c>
      <c r="F10" s="5">
        <v>4730.4089999999997</v>
      </c>
      <c r="G10" s="6">
        <v>5.081985E-2</v>
      </c>
      <c r="H10" s="109"/>
    </row>
    <row r="11" spans="1:14" ht="29.1" customHeight="1" x14ac:dyDescent="0.2">
      <c r="A11" s="100">
        <v>5</v>
      </c>
      <c r="B11" s="3" t="s">
        <v>295</v>
      </c>
      <c r="C11" s="3" t="s">
        <v>296</v>
      </c>
      <c r="D11" s="3" t="s">
        <v>120</v>
      </c>
      <c r="E11" s="4">
        <v>157000</v>
      </c>
      <c r="F11" s="5">
        <v>4096.8365000000003</v>
      </c>
      <c r="G11" s="6">
        <v>4.4013240000000002E-2</v>
      </c>
      <c r="H11" s="109"/>
    </row>
    <row r="12" spans="1:14" ht="17.100000000000001" customHeight="1" x14ac:dyDescent="0.2">
      <c r="A12" s="100">
        <v>6</v>
      </c>
      <c r="B12" s="3" t="s">
        <v>32</v>
      </c>
      <c r="C12" s="3" t="s">
        <v>33</v>
      </c>
      <c r="D12" s="3" t="s">
        <v>22</v>
      </c>
      <c r="E12" s="4">
        <v>683000</v>
      </c>
      <c r="F12" s="5">
        <v>3570.7240000000002</v>
      </c>
      <c r="G12" s="6">
        <v>3.836109E-2</v>
      </c>
      <c r="H12" s="109"/>
    </row>
    <row r="13" spans="1:14" ht="17.100000000000001" customHeight="1" x14ac:dyDescent="0.2">
      <c r="A13" s="100">
        <v>7</v>
      </c>
      <c r="B13" s="3" t="s">
        <v>197</v>
      </c>
      <c r="C13" s="3" t="s">
        <v>198</v>
      </c>
      <c r="D13" s="3" t="s">
        <v>22</v>
      </c>
      <c r="E13" s="4">
        <v>356000</v>
      </c>
      <c r="F13" s="5">
        <v>3004.9960000000001</v>
      </c>
      <c r="G13" s="6">
        <v>3.2283350000000002E-2</v>
      </c>
      <c r="H13" s="109"/>
      <c r="J13" s="169" t="s">
        <v>1072</v>
      </c>
    </row>
    <row r="14" spans="1:14" ht="17.100000000000001" customHeight="1" x14ac:dyDescent="0.2">
      <c r="A14" s="100">
        <v>8</v>
      </c>
      <c r="B14" s="3" t="s">
        <v>45</v>
      </c>
      <c r="C14" s="3" t="s">
        <v>46</v>
      </c>
      <c r="D14" s="3" t="s">
        <v>47</v>
      </c>
      <c r="E14" s="4">
        <v>1825000</v>
      </c>
      <c r="F14" s="5">
        <v>2655.375</v>
      </c>
      <c r="G14" s="6">
        <v>2.852729E-2</v>
      </c>
      <c r="H14" s="109"/>
    </row>
    <row r="15" spans="1:14" ht="17.100000000000001" customHeight="1" x14ac:dyDescent="0.2">
      <c r="A15" s="100">
        <v>9</v>
      </c>
      <c r="B15" s="3" t="s">
        <v>299</v>
      </c>
      <c r="C15" s="3" t="s">
        <v>300</v>
      </c>
      <c r="D15" s="3" t="s">
        <v>996</v>
      </c>
      <c r="E15" s="4">
        <v>78000</v>
      </c>
      <c r="F15" s="5">
        <v>2584.0230000000001</v>
      </c>
      <c r="G15" s="6">
        <v>2.7760739999999999E-2</v>
      </c>
      <c r="H15" s="109"/>
    </row>
    <row r="16" spans="1:14" ht="17.100000000000001" customHeight="1" x14ac:dyDescent="0.2">
      <c r="A16" s="100">
        <v>10</v>
      </c>
      <c r="B16" s="3" t="s">
        <v>43</v>
      </c>
      <c r="C16" s="3" t="s">
        <v>44</v>
      </c>
      <c r="D16" s="3" t="s">
        <v>31</v>
      </c>
      <c r="E16" s="4">
        <v>77000</v>
      </c>
      <c r="F16" s="5">
        <v>2372.6395000000002</v>
      </c>
      <c r="G16" s="6">
        <v>2.54898E-2</v>
      </c>
      <c r="H16" s="109"/>
    </row>
    <row r="17" spans="1:10" ht="17.100000000000001" customHeight="1" x14ac:dyDescent="0.2">
      <c r="A17" s="100">
        <v>11</v>
      </c>
      <c r="B17" s="3" t="s">
        <v>69</v>
      </c>
      <c r="C17" s="3" t="s">
        <v>70</v>
      </c>
      <c r="D17" s="3" t="s">
        <v>71</v>
      </c>
      <c r="E17" s="4">
        <v>25000</v>
      </c>
      <c r="F17" s="5">
        <v>2156.0875000000001</v>
      </c>
      <c r="G17" s="6">
        <v>2.3163329999999999E-2</v>
      </c>
      <c r="H17" s="109"/>
    </row>
    <row r="18" spans="1:10" ht="17.100000000000001" customHeight="1" x14ac:dyDescent="0.2">
      <c r="A18" s="100">
        <v>12</v>
      </c>
      <c r="B18" s="3" t="s">
        <v>307</v>
      </c>
      <c r="C18" s="3" t="s">
        <v>308</v>
      </c>
      <c r="D18" s="3" t="s">
        <v>309</v>
      </c>
      <c r="E18" s="4">
        <v>86900</v>
      </c>
      <c r="F18" s="5">
        <v>2138.30485</v>
      </c>
      <c r="G18" s="6">
        <v>2.2972289999999999E-2</v>
      </c>
      <c r="H18" s="109"/>
    </row>
    <row r="19" spans="1:10" ht="29.1" customHeight="1" x14ac:dyDescent="0.2">
      <c r="A19" s="100">
        <v>13</v>
      </c>
      <c r="B19" s="3" t="s">
        <v>303</v>
      </c>
      <c r="C19" s="3" t="s">
        <v>304</v>
      </c>
      <c r="D19" s="3" t="s">
        <v>221</v>
      </c>
      <c r="E19" s="4">
        <v>176000</v>
      </c>
      <c r="F19" s="5">
        <v>1683.616</v>
      </c>
      <c r="G19" s="6">
        <v>1.8087470000000001E-2</v>
      </c>
      <c r="H19" s="109"/>
    </row>
    <row r="20" spans="1:10" ht="17.100000000000001" customHeight="1" x14ac:dyDescent="0.2">
      <c r="A20" s="100">
        <v>14</v>
      </c>
      <c r="B20" s="3" t="s">
        <v>233</v>
      </c>
      <c r="C20" s="3" t="s">
        <v>234</v>
      </c>
      <c r="D20" s="3" t="s">
        <v>235</v>
      </c>
      <c r="E20" s="4">
        <v>361925</v>
      </c>
      <c r="F20" s="5">
        <v>1595.5463625</v>
      </c>
      <c r="G20" s="6">
        <v>1.714131E-2</v>
      </c>
      <c r="H20" s="109"/>
    </row>
    <row r="21" spans="1:10" ht="17.100000000000001" customHeight="1" x14ac:dyDescent="0.2">
      <c r="A21" s="100">
        <v>15</v>
      </c>
      <c r="B21" s="3" t="s">
        <v>348</v>
      </c>
      <c r="C21" s="3" t="s">
        <v>349</v>
      </c>
      <c r="D21" s="3" t="s">
        <v>71</v>
      </c>
      <c r="E21" s="4">
        <v>360000</v>
      </c>
      <c r="F21" s="5">
        <v>1514.52</v>
      </c>
      <c r="G21" s="6">
        <v>1.627083E-2</v>
      </c>
      <c r="H21" s="109"/>
    </row>
    <row r="22" spans="1:10" ht="17.100000000000001" customHeight="1" x14ac:dyDescent="0.2">
      <c r="A22" s="100">
        <v>16</v>
      </c>
      <c r="B22" s="3" t="s">
        <v>11</v>
      </c>
      <c r="C22" s="3" t="s">
        <v>12</v>
      </c>
      <c r="D22" s="3" t="s">
        <v>13</v>
      </c>
      <c r="E22" s="4">
        <v>70588</v>
      </c>
      <c r="F22" s="5">
        <v>1488.8068020000001</v>
      </c>
      <c r="G22" s="6">
        <v>1.599459E-2</v>
      </c>
      <c r="H22" s="109"/>
      <c r="J22" s="169" t="s">
        <v>1080</v>
      </c>
    </row>
    <row r="23" spans="1:10" ht="17.100000000000001" customHeight="1" x14ac:dyDescent="0.2">
      <c r="A23" s="100">
        <v>17</v>
      </c>
      <c r="B23" s="3" t="s">
        <v>502</v>
      </c>
      <c r="C23" s="3" t="s">
        <v>503</v>
      </c>
      <c r="D23" s="3" t="s">
        <v>334</v>
      </c>
      <c r="E23" s="4">
        <v>33000</v>
      </c>
      <c r="F23" s="5">
        <v>1469.8364999999999</v>
      </c>
      <c r="G23" s="6">
        <v>1.5790780000000001E-2</v>
      </c>
      <c r="H23" s="109"/>
    </row>
    <row r="24" spans="1:10" ht="17.100000000000001" customHeight="1" x14ac:dyDescent="0.2">
      <c r="A24" s="100">
        <v>18</v>
      </c>
      <c r="B24" s="3" t="s">
        <v>100</v>
      </c>
      <c r="C24" s="3" t="s">
        <v>101</v>
      </c>
      <c r="D24" s="3" t="s">
        <v>57</v>
      </c>
      <c r="E24" s="4">
        <v>78000</v>
      </c>
      <c r="F24" s="5">
        <v>1447.953</v>
      </c>
      <c r="G24" s="6">
        <v>1.555569E-2</v>
      </c>
      <c r="H24" s="109"/>
    </row>
    <row r="25" spans="1:10" ht="17.100000000000001" customHeight="1" x14ac:dyDescent="0.2">
      <c r="A25" s="100">
        <v>19</v>
      </c>
      <c r="B25" s="3" t="s">
        <v>34</v>
      </c>
      <c r="C25" s="3" t="s">
        <v>35</v>
      </c>
      <c r="D25" s="3" t="s">
        <v>36</v>
      </c>
      <c r="E25" s="4">
        <v>45000</v>
      </c>
      <c r="F25" s="5">
        <v>1447.8074999999999</v>
      </c>
      <c r="G25" s="6">
        <v>1.5554119999999999E-2</v>
      </c>
      <c r="H25" s="109"/>
    </row>
    <row r="26" spans="1:10" ht="17.100000000000001" customHeight="1" x14ac:dyDescent="0.2">
      <c r="A26" s="100">
        <v>20</v>
      </c>
      <c r="B26" s="3" t="s">
        <v>222</v>
      </c>
      <c r="C26" s="3" t="s">
        <v>223</v>
      </c>
      <c r="D26" s="3" t="s">
        <v>22</v>
      </c>
      <c r="E26" s="4">
        <v>906000</v>
      </c>
      <c r="F26" s="5">
        <v>1440.54</v>
      </c>
      <c r="G26" s="6">
        <v>1.547605E-2</v>
      </c>
      <c r="H26" s="109"/>
    </row>
    <row r="27" spans="1:10" ht="17.100000000000001" customHeight="1" x14ac:dyDescent="0.2">
      <c r="A27" s="100">
        <v>21</v>
      </c>
      <c r="B27" s="3" t="s">
        <v>102</v>
      </c>
      <c r="C27" s="3" t="s">
        <v>103</v>
      </c>
      <c r="D27" s="3" t="s">
        <v>47</v>
      </c>
      <c r="E27" s="4">
        <v>98510</v>
      </c>
      <c r="F27" s="5">
        <v>1225.4151449999999</v>
      </c>
      <c r="G27" s="6">
        <v>1.316491E-2</v>
      </c>
      <c r="H27" s="109"/>
    </row>
    <row r="28" spans="1:10" ht="17.100000000000001" customHeight="1" x14ac:dyDescent="0.2">
      <c r="A28" s="100">
        <v>22</v>
      </c>
      <c r="B28" s="3" t="s">
        <v>180</v>
      </c>
      <c r="C28" s="3" t="s">
        <v>181</v>
      </c>
      <c r="D28" s="3" t="s">
        <v>22</v>
      </c>
      <c r="E28" s="4">
        <v>932000</v>
      </c>
      <c r="F28" s="5">
        <v>1203.6780000000001</v>
      </c>
      <c r="G28" s="6">
        <v>1.2931379999999999E-2</v>
      </c>
      <c r="H28" s="109"/>
    </row>
    <row r="29" spans="1:10" ht="29.1" customHeight="1" x14ac:dyDescent="0.2">
      <c r="A29" s="100">
        <v>23</v>
      </c>
      <c r="B29" s="3" t="s">
        <v>204</v>
      </c>
      <c r="C29" s="3" t="s">
        <v>205</v>
      </c>
      <c r="D29" s="3" t="s">
        <v>115</v>
      </c>
      <c r="E29" s="4">
        <v>394000</v>
      </c>
      <c r="F29" s="5">
        <v>1197.1690000000001</v>
      </c>
      <c r="G29" s="6">
        <v>1.286146E-2</v>
      </c>
      <c r="H29" s="109"/>
    </row>
    <row r="30" spans="1:10" ht="29.1" customHeight="1" x14ac:dyDescent="0.2">
      <c r="A30" s="100">
        <v>24</v>
      </c>
      <c r="B30" s="3" t="s">
        <v>118</v>
      </c>
      <c r="C30" s="3" t="s">
        <v>119</v>
      </c>
      <c r="D30" s="3" t="s">
        <v>120</v>
      </c>
      <c r="E30" s="4">
        <v>157000</v>
      </c>
      <c r="F30" s="5">
        <v>1187.7049999999999</v>
      </c>
      <c r="G30" s="6">
        <v>1.275978E-2</v>
      </c>
      <c r="H30" s="109"/>
    </row>
    <row r="31" spans="1:10" ht="29.1" customHeight="1" x14ac:dyDescent="0.2">
      <c r="A31" s="100">
        <v>25</v>
      </c>
      <c r="B31" s="3" t="s">
        <v>23</v>
      </c>
      <c r="C31" s="3" t="s">
        <v>24</v>
      </c>
      <c r="D31" s="3" t="s">
        <v>25</v>
      </c>
      <c r="E31" s="4">
        <v>16000</v>
      </c>
      <c r="F31" s="5">
        <v>1161.808</v>
      </c>
      <c r="G31" s="6">
        <v>1.2481570000000001E-2</v>
      </c>
      <c r="H31" s="109"/>
    </row>
    <row r="32" spans="1:10" ht="17.100000000000001" customHeight="1" x14ac:dyDescent="0.2">
      <c r="A32" s="100">
        <v>26</v>
      </c>
      <c r="B32" s="3" t="s">
        <v>338</v>
      </c>
      <c r="C32" s="3" t="s">
        <v>339</v>
      </c>
      <c r="D32" s="3" t="s">
        <v>22</v>
      </c>
      <c r="E32" s="4">
        <v>394000</v>
      </c>
      <c r="F32" s="5">
        <v>1101.4269999999999</v>
      </c>
      <c r="G32" s="6">
        <v>1.183288E-2</v>
      </c>
      <c r="H32" s="109"/>
    </row>
    <row r="33" spans="1:8" ht="17.100000000000001" customHeight="1" x14ac:dyDescent="0.2">
      <c r="A33" s="100">
        <v>27</v>
      </c>
      <c r="B33" s="3" t="s">
        <v>344</v>
      </c>
      <c r="C33" s="3" t="s">
        <v>345</v>
      </c>
      <c r="D33" s="3" t="s">
        <v>120</v>
      </c>
      <c r="E33" s="4">
        <v>80000</v>
      </c>
      <c r="F33" s="5">
        <v>1067.92</v>
      </c>
      <c r="G33" s="6">
        <v>1.1472909999999999E-2</v>
      </c>
      <c r="H33" s="109"/>
    </row>
    <row r="34" spans="1:8" ht="17.100000000000001" customHeight="1" x14ac:dyDescent="0.2">
      <c r="A34" s="100">
        <v>28</v>
      </c>
      <c r="B34" s="3" t="s">
        <v>538</v>
      </c>
      <c r="C34" s="3" t="s">
        <v>539</v>
      </c>
      <c r="D34" s="3" t="s">
        <v>115</v>
      </c>
      <c r="E34" s="4">
        <v>165000</v>
      </c>
      <c r="F34" s="5">
        <v>1052.7</v>
      </c>
      <c r="G34" s="6">
        <v>1.1309390000000001E-2</v>
      </c>
      <c r="H34" s="109"/>
    </row>
    <row r="35" spans="1:8" ht="17.100000000000001" customHeight="1" x14ac:dyDescent="0.2">
      <c r="A35" s="100">
        <v>29</v>
      </c>
      <c r="B35" s="3" t="s">
        <v>335</v>
      </c>
      <c r="C35" s="3" t="s">
        <v>947</v>
      </c>
      <c r="D35" s="3" t="s">
        <v>16</v>
      </c>
      <c r="E35" s="4">
        <v>283000</v>
      </c>
      <c r="F35" s="5">
        <v>1024.0355</v>
      </c>
      <c r="G35" s="6">
        <v>1.1001439999999999E-2</v>
      </c>
      <c r="H35" s="109"/>
    </row>
    <row r="36" spans="1:8" ht="17.100000000000001" customHeight="1" x14ac:dyDescent="0.2">
      <c r="A36" s="100">
        <v>30</v>
      </c>
      <c r="B36" s="3" t="s">
        <v>98</v>
      </c>
      <c r="C36" s="3" t="s">
        <v>99</v>
      </c>
      <c r="D36" s="3" t="s">
        <v>97</v>
      </c>
      <c r="E36" s="4">
        <v>116000</v>
      </c>
      <c r="F36" s="5">
        <v>994.58399999999995</v>
      </c>
      <c r="G36" s="6">
        <v>1.068504E-2</v>
      </c>
      <c r="H36" s="109"/>
    </row>
    <row r="37" spans="1:8" ht="29.1" customHeight="1" x14ac:dyDescent="0.2">
      <c r="A37" s="100">
        <v>31</v>
      </c>
      <c r="B37" s="3" t="s">
        <v>186</v>
      </c>
      <c r="C37" s="3" t="s">
        <v>187</v>
      </c>
      <c r="D37" s="3" t="s">
        <v>188</v>
      </c>
      <c r="E37" s="4">
        <v>24000</v>
      </c>
      <c r="F37" s="5">
        <v>990.74400000000003</v>
      </c>
      <c r="G37" s="6">
        <v>1.064379E-2</v>
      </c>
      <c r="H37" s="109"/>
    </row>
    <row r="38" spans="1:8" ht="17.100000000000001" customHeight="1" x14ac:dyDescent="0.2">
      <c r="A38" s="100">
        <v>32</v>
      </c>
      <c r="B38" s="3" t="s">
        <v>264</v>
      </c>
      <c r="C38" s="3" t="s">
        <v>265</v>
      </c>
      <c r="D38" s="3" t="s">
        <v>996</v>
      </c>
      <c r="E38" s="4">
        <v>20000</v>
      </c>
      <c r="F38" s="5">
        <v>944.41</v>
      </c>
      <c r="G38" s="6">
        <v>1.014601E-2</v>
      </c>
      <c r="H38" s="109"/>
    </row>
    <row r="39" spans="1:8" ht="17.100000000000001" customHeight="1" x14ac:dyDescent="0.2">
      <c r="A39" s="100">
        <v>33</v>
      </c>
      <c r="B39" s="3" t="s">
        <v>214</v>
      </c>
      <c r="C39" s="3" t="s">
        <v>215</v>
      </c>
      <c r="D39" s="3" t="s">
        <v>216</v>
      </c>
      <c r="E39" s="4">
        <v>130000</v>
      </c>
      <c r="F39" s="5">
        <v>900.18499999999995</v>
      </c>
      <c r="G39" s="6">
        <v>9.6708899999999997E-3</v>
      </c>
      <c r="H39" s="109"/>
    </row>
    <row r="40" spans="1:8" ht="17.100000000000001" customHeight="1" x14ac:dyDescent="0.2">
      <c r="A40" s="100">
        <v>34</v>
      </c>
      <c r="B40" s="3" t="s">
        <v>356</v>
      </c>
      <c r="C40" s="3" t="s">
        <v>357</v>
      </c>
      <c r="D40" s="3" t="s">
        <v>203</v>
      </c>
      <c r="E40" s="4">
        <v>26000</v>
      </c>
      <c r="F40" s="5">
        <v>888.40700000000004</v>
      </c>
      <c r="G40" s="6">
        <v>9.54436E-3</v>
      </c>
      <c r="H40" s="109"/>
    </row>
    <row r="41" spans="1:8" ht="17.100000000000001" customHeight="1" x14ac:dyDescent="0.2">
      <c r="A41" s="100">
        <v>35</v>
      </c>
      <c r="B41" s="3" t="s">
        <v>402</v>
      </c>
      <c r="C41" s="3" t="s">
        <v>403</v>
      </c>
      <c r="D41" s="3" t="s">
        <v>120</v>
      </c>
      <c r="E41" s="4">
        <v>150000</v>
      </c>
      <c r="F41" s="5">
        <v>862.8</v>
      </c>
      <c r="G41" s="6">
        <v>9.2692499999999997E-3</v>
      </c>
      <c r="H41" s="109"/>
    </row>
    <row r="42" spans="1:8" ht="17.100000000000001" customHeight="1" x14ac:dyDescent="0.2">
      <c r="A42" s="100">
        <v>36</v>
      </c>
      <c r="B42" s="3" t="s">
        <v>354</v>
      </c>
      <c r="C42" s="3" t="s">
        <v>355</v>
      </c>
      <c r="D42" s="3" t="s">
        <v>115</v>
      </c>
      <c r="E42" s="4">
        <v>36000</v>
      </c>
      <c r="F42" s="5">
        <v>854.20799999999997</v>
      </c>
      <c r="G42" s="6">
        <v>9.1769499999999997E-3</v>
      </c>
      <c r="H42" s="109"/>
    </row>
    <row r="43" spans="1:8" ht="17.100000000000001" customHeight="1" x14ac:dyDescent="0.2">
      <c r="A43" s="100">
        <v>37</v>
      </c>
      <c r="B43" s="3" t="s">
        <v>328</v>
      </c>
      <c r="C43" s="3" t="s">
        <v>329</v>
      </c>
      <c r="D43" s="3" t="s">
        <v>22</v>
      </c>
      <c r="E43" s="4">
        <v>75000</v>
      </c>
      <c r="F43" s="5">
        <v>808.27499999999998</v>
      </c>
      <c r="G43" s="6">
        <v>8.6834800000000004E-3</v>
      </c>
      <c r="H43" s="109"/>
    </row>
    <row r="44" spans="1:8" ht="17.100000000000001" customHeight="1" x14ac:dyDescent="0.2">
      <c r="A44" s="100">
        <v>38</v>
      </c>
      <c r="B44" s="3" t="s">
        <v>534</v>
      </c>
      <c r="C44" s="3" t="s">
        <v>535</v>
      </c>
      <c r="D44" s="3" t="s">
        <v>80</v>
      </c>
      <c r="E44" s="4">
        <v>278622</v>
      </c>
      <c r="F44" s="5">
        <v>782.78850899999998</v>
      </c>
      <c r="G44" s="6">
        <v>8.4096699999999993E-3</v>
      </c>
      <c r="H44" s="109"/>
    </row>
    <row r="45" spans="1:8" ht="17.100000000000001" customHeight="1" x14ac:dyDescent="0.2">
      <c r="A45" s="100">
        <v>39</v>
      </c>
      <c r="B45" s="3" t="s">
        <v>226</v>
      </c>
      <c r="C45" s="3" t="s">
        <v>227</v>
      </c>
      <c r="D45" s="3" t="s">
        <v>228</v>
      </c>
      <c r="E45" s="4">
        <v>2000</v>
      </c>
      <c r="F45" s="5">
        <v>759.39300000000003</v>
      </c>
      <c r="G45" s="6">
        <v>8.1583300000000001E-3</v>
      </c>
      <c r="H45" s="109"/>
    </row>
    <row r="46" spans="1:8" ht="17.100000000000001" customHeight="1" x14ac:dyDescent="0.2">
      <c r="A46" s="100">
        <v>40</v>
      </c>
      <c r="B46" s="3" t="s">
        <v>683</v>
      </c>
      <c r="C46" s="3" t="s">
        <v>684</v>
      </c>
      <c r="D46" s="3" t="s">
        <v>996</v>
      </c>
      <c r="E46" s="4">
        <v>17000</v>
      </c>
      <c r="F46" s="5">
        <v>730.77049999999997</v>
      </c>
      <c r="G46" s="6">
        <v>7.8508299999999996E-3</v>
      </c>
      <c r="H46" s="109"/>
    </row>
    <row r="47" spans="1:8" ht="17.100000000000001" customHeight="1" x14ac:dyDescent="0.2">
      <c r="A47" s="100">
        <v>41</v>
      </c>
      <c r="B47" s="3" t="s">
        <v>326</v>
      </c>
      <c r="C47" s="3" t="s">
        <v>327</v>
      </c>
      <c r="D47" s="3" t="s">
        <v>213</v>
      </c>
      <c r="E47" s="4">
        <v>690000</v>
      </c>
      <c r="F47" s="5">
        <v>717.255</v>
      </c>
      <c r="G47" s="6">
        <v>7.7056299999999998E-3</v>
      </c>
      <c r="H47" s="109"/>
    </row>
    <row r="48" spans="1:8" ht="17.100000000000001" customHeight="1" x14ac:dyDescent="0.2">
      <c r="A48" s="100">
        <v>42</v>
      </c>
      <c r="B48" s="3" t="s">
        <v>78</v>
      </c>
      <c r="C48" s="3" t="s">
        <v>79</v>
      </c>
      <c r="D48" s="3" t="s">
        <v>80</v>
      </c>
      <c r="E48" s="4">
        <v>24000</v>
      </c>
      <c r="F48" s="5">
        <v>715.64400000000001</v>
      </c>
      <c r="G48" s="6">
        <v>7.6883200000000002E-3</v>
      </c>
      <c r="H48" s="109"/>
    </row>
    <row r="49" spans="1:8" ht="17.100000000000001" customHeight="1" x14ac:dyDescent="0.2">
      <c r="A49" s="100">
        <v>43</v>
      </c>
      <c r="B49" s="3" t="s">
        <v>528</v>
      </c>
      <c r="C49" s="3" t="s">
        <v>529</v>
      </c>
      <c r="D49" s="3" t="s">
        <v>71</v>
      </c>
      <c r="E49" s="4">
        <v>59013</v>
      </c>
      <c r="F49" s="5">
        <v>713.26062449999995</v>
      </c>
      <c r="G49" s="6">
        <v>7.6627199999999996E-3</v>
      </c>
      <c r="H49" s="109"/>
    </row>
    <row r="50" spans="1:8" ht="29.1" customHeight="1" x14ac:dyDescent="0.2">
      <c r="A50" s="100">
        <v>44</v>
      </c>
      <c r="B50" s="3" t="s">
        <v>700</v>
      </c>
      <c r="C50" s="3" t="s">
        <v>701</v>
      </c>
      <c r="D50" s="3" t="s">
        <v>188</v>
      </c>
      <c r="E50" s="4">
        <v>50000</v>
      </c>
      <c r="F50" s="5">
        <v>688.92499999999995</v>
      </c>
      <c r="G50" s="6">
        <v>7.4012799999999997E-3</v>
      </c>
      <c r="H50" s="109"/>
    </row>
    <row r="51" spans="1:8" ht="29.1" customHeight="1" x14ac:dyDescent="0.2">
      <c r="A51" s="100">
        <v>45</v>
      </c>
      <c r="B51" s="3" t="s">
        <v>488</v>
      </c>
      <c r="C51" s="3" t="s">
        <v>489</v>
      </c>
      <c r="D51" s="3" t="s">
        <v>445</v>
      </c>
      <c r="E51" s="4">
        <v>92000</v>
      </c>
      <c r="F51" s="5">
        <v>658.07600000000002</v>
      </c>
      <c r="G51" s="6">
        <v>7.0698599999999999E-3</v>
      </c>
      <c r="H51" s="109"/>
    </row>
    <row r="52" spans="1:8" ht="29.1" customHeight="1" x14ac:dyDescent="0.2">
      <c r="A52" s="100">
        <v>46</v>
      </c>
      <c r="B52" s="3" t="s">
        <v>247</v>
      </c>
      <c r="C52" s="3" t="s">
        <v>248</v>
      </c>
      <c r="D52" s="3" t="s">
        <v>221</v>
      </c>
      <c r="E52" s="4">
        <v>79880</v>
      </c>
      <c r="F52" s="5">
        <v>645.39045999999996</v>
      </c>
      <c r="G52" s="6">
        <v>6.93358E-3</v>
      </c>
      <c r="H52" s="109"/>
    </row>
    <row r="53" spans="1:8" ht="17.100000000000001" customHeight="1" x14ac:dyDescent="0.2">
      <c r="A53" s="100">
        <v>47</v>
      </c>
      <c r="B53" s="3" t="s">
        <v>316</v>
      </c>
      <c r="C53" s="3" t="s">
        <v>317</v>
      </c>
      <c r="D53" s="3" t="s">
        <v>996</v>
      </c>
      <c r="E53" s="4">
        <v>161000</v>
      </c>
      <c r="F53" s="5">
        <v>623.15049999999997</v>
      </c>
      <c r="G53" s="6">
        <v>6.6946499999999999E-3</v>
      </c>
      <c r="H53" s="109"/>
    </row>
    <row r="54" spans="1:8" ht="17.100000000000001" customHeight="1" x14ac:dyDescent="0.2">
      <c r="A54" s="100">
        <v>48</v>
      </c>
      <c r="B54" s="3" t="s">
        <v>517</v>
      </c>
      <c r="C54" s="3" t="s">
        <v>518</v>
      </c>
      <c r="D54" s="3" t="s">
        <v>996</v>
      </c>
      <c r="E54" s="4">
        <v>50504</v>
      </c>
      <c r="F54" s="5">
        <v>579.33138399999996</v>
      </c>
      <c r="G54" s="6">
        <v>6.2238900000000002E-3</v>
      </c>
      <c r="H54" s="109"/>
    </row>
    <row r="55" spans="1:8" ht="17.100000000000001" customHeight="1" x14ac:dyDescent="0.2">
      <c r="A55" s="100">
        <v>49</v>
      </c>
      <c r="B55" s="3" t="s">
        <v>224</v>
      </c>
      <c r="C55" s="3" t="s">
        <v>225</v>
      </c>
      <c r="D55" s="3" t="s">
        <v>196</v>
      </c>
      <c r="E55" s="4">
        <v>39000</v>
      </c>
      <c r="F55" s="5">
        <v>564.29100000000005</v>
      </c>
      <c r="G55" s="6">
        <v>6.0623099999999996E-3</v>
      </c>
      <c r="H55" s="109"/>
    </row>
    <row r="56" spans="1:8" ht="17.100000000000001" customHeight="1" x14ac:dyDescent="0.2">
      <c r="A56" s="100">
        <v>50</v>
      </c>
      <c r="B56" s="3" t="s">
        <v>208</v>
      </c>
      <c r="C56" s="3" t="s">
        <v>209</v>
      </c>
      <c r="D56" s="3" t="s">
        <v>210</v>
      </c>
      <c r="E56" s="4">
        <v>200000</v>
      </c>
      <c r="F56" s="5">
        <v>534.5</v>
      </c>
      <c r="G56" s="6">
        <v>5.74225E-3</v>
      </c>
      <c r="H56" s="109"/>
    </row>
    <row r="57" spans="1:8" ht="17.100000000000001" customHeight="1" x14ac:dyDescent="0.2">
      <c r="A57" s="100">
        <v>51</v>
      </c>
      <c r="B57" s="3" t="s">
        <v>312</v>
      </c>
      <c r="C57" s="3" t="s">
        <v>313</v>
      </c>
      <c r="D57" s="3" t="s">
        <v>309</v>
      </c>
      <c r="E57" s="4">
        <v>136000</v>
      </c>
      <c r="F57" s="5">
        <v>512.31200000000001</v>
      </c>
      <c r="G57" s="6">
        <v>5.5038800000000001E-3</v>
      </c>
      <c r="H57" s="109"/>
    </row>
    <row r="58" spans="1:8" ht="17.100000000000001" customHeight="1" x14ac:dyDescent="0.2">
      <c r="A58" s="100">
        <v>52</v>
      </c>
      <c r="B58" s="3" t="s">
        <v>800</v>
      </c>
      <c r="C58" s="3" t="s">
        <v>801</v>
      </c>
      <c r="D58" s="3" t="s">
        <v>253</v>
      </c>
      <c r="E58" s="4">
        <v>35000</v>
      </c>
      <c r="F58" s="5">
        <v>500.04500000000002</v>
      </c>
      <c r="G58" s="6">
        <v>5.3721000000000003E-3</v>
      </c>
      <c r="H58" s="109"/>
    </row>
    <row r="59" spans="1:8" ht="17.100000000000001" customHeight="1" x14ac:dyDescent="0.2">
      <c r="A59" s="100">
        <v>53</v>
      </c>
      <c r="B59" s="3" t="s">
        <v>681</v>
      </c>
      <c r="C59" s="3" t="s">
        <v>682</v>
      </c>
      <c r="D59" s="3" t="s">
        <v>253</v>
      </c>
      <c r="E59" s="4">
        <v>11000</v>
      </c>
      <c r="F59" s="5">
        <v>490.79250000000002</v>
      </c>
      <c r="G59" s="6">
        <v>5.27269E-3</v>
      </c>
      <c r="H59" s="109"/>
    </row>
    <row r="60" spans="1:8" ht="17.100000000000001" customHeight="1" x14ac:dyDescent="0.2">
      <c r="A60" s="100">
        <v>54</v>
      </c>
      <c r="B60" s="3" t="s">
        <v>318</v>
      </c>
      <c r="C60" s="3" t="s">
        <v>319</v>
      </c>
      <c r="D60" s="3" t="s">
        <v>235</v>
      </c>
      <c r="E60" s="4">
        <v>34000</v>
      </c>
      <c r="F60" s="5">
        <v>421.226</v>
      </c>
      <c r="G60" s="6">
        <v>4.5253300000000002E-3</v>
      </c>
      <c r="H60" s="109"/>
    </row>
    <row r="61" spans="1:8" ht="29.1" customHeight="1" x14ac:dyDescent="0.2">
      <c r="A61" s="100">
        <v>55</v>
      </c>
      <c r="B61" s="3" t="s">
        <v>350</v>
      </c>
      <c r="C61" s="3" t="s">
        <v>351</v>
      </c>
      <c r="D61" s="3" t="s">
        <v>221</v>
      </c>
      <c r="E61" s="4">
        <v>14839</v>
      </c>
      <c r="F61" s="5">
        <v>419.29078399999997</v>
      </c>
      <c r="G61" s="6">
        <v>4.5045399999999996E-3</v>
      </c>
      <c r="H61" s="109"/>
    </row>
    <row r="62" spans="1:8" ht="17.100000000000001" customHeight="1" x14ac:dyDescent="0.2">
      <c r="A62" s="100">
        <v>56</v>
      </c>
      <c r="B62" s="3" t="s">
        <v>104</v>
      </c>
      <c r="C62" s="3" t="s">
        <v>105</v>
      </c>
      <c r="D62" s="3" t="s">
        <v>80</v>
      </c>
      <c r="E62" s="4">
        <v>92083</v>
      </c>
      <c r="F62" s="5">
        <v>412.62392299999999</v>
      </c>
      <c r="G62" s="6">
        <v>4.43291E-3</v>
      </c>
      <c r="H62" s="109"/>
    </row>
    <row r="63" spans="1:8" ht="17.100000000000001" customHeight="1" x14ac:dyDescent="0.2">
      <c r="A63" s="100">
        <v>57</v>
      </c>
      <c r="B63" s="3" t="s">
        <v>229</v>
      </c>
      <c r="C63" s="3" t="s">
        <v>230</v>
      </c>
      <c r="D63" s="3" t="s">
        <v>115</v>
      </c>
      <c r="E63" s="4">
        <v>44000</v>
      </c>
      <c r="F63" s="5">
        <v>392.48</v>
      </c>
      <c r="G63" s="6">
        <v>4.2164999999999998E-3</v>
      </c>
      <c r="H63" s="109"/>
    </row>
    <row r="64" spans="1:8" ht="17.100000000000001" customHeight="1" x14ac:dyDescent="0.2">
      <c r="A64" s="100">
        <v>58</v>
      </c>
      <c r="B64" s="3" t="s">
        <v>545</v>
      </c>
      <c r="C64" s="3" t="s">
        <v>546</v>
      </c>
      <c r="D64" s="3" t="s">
        <v>196</v>
      </c>
      <c r="E64" s="4">
        <v>52000</v>
      </c>
      <c r="F64" s="5">
        <v>385.11200000000002</v>
      </c>
      <c r="G64" s="6">
        <v>4.1373499999999997E-3</v>
      </c>
      <c r="H64" s="109"/>
    </row>
    <row r="65" spans="1:8" ht="17.100000000000001" customHeight="1" x14ac:dyDescent="0.2">
      <c r="A65" s="100">
        <v>59</v>
      </c>
      <c r="B65" s="3" t="s">
        <v>63</v>
      </c>
      <c r="C65" s="3" t="s">
        <v>64</v>
      </c>
      <c r="D65" s="3" t="s">
        <v>36</v>
      </c>
      <c r="E65" s="4">
        <v>118000</v>
      </c>
      <c r="F65" s="5">
        <v>374.709</v>
      </c>
      <c r="G65" s="6">
        <v>4.02558E-3</v>
      </c>
      <c r="H65" s="109"/>
    </row>
    <row r="66" spans="1:8" ht="29.1" customHeight="1" x14ac:dyDescent="0.2">
      <c r="A66" s="100">
        <v>60</v>
      </c>
      <c r="B66" s="3" t="s">
        <v>484</v>
      </c>
      <c r="C66" s="3" t="s">
        <v>485</v>
      </c>
      <c r="D66" s="3" t="s">
        <v>221</v>
      </c>
      <c r="E66" s="4">
        <v>37000</v>
      </c>
      <c r="F66" s="5">
        <v>335.36799999999999</v>
      </c>
      <c r="G66" s="6">
        <v>3.6029299999999998E-3</v>
      </c>
      <c r="H66" s="109"/>
    </row>
    <row r="67" spans="1:8" ht="17.100000000000001" customHeight="1" x14ac:dyDescent="0.2">
      <c r="A67" s="100">
        <v>61</v>
      </c>
      <c r="B67" s="3" t="s">
        <v>290</v>
      </c>
      <c r="C67" s="3" t="s">
        <v>291</v>
      </c>
      <c r="D67" s="3" t="s">
        <v>115</v>
      </c>
      <c r="E67" s="4">
        <v>10000</v>
      </c>
      <c r="F67" s="5">
        <v>289.065</v>
      </c>
      <c r="G67" s="6">
        <v>3.1054899999999998E-3</v>
      </c>
      <c r="H67" s="109"/>
    </row>
    <row r="68" spans="1:8" ht="17.100000000000001" customHeight="1" x14ac:dyDescent="0.2">
      <c r="A68" s="100">
        <v>62</v>
      </c>
      <c r="B68" s="3" t="s">
        <v>130</v>
      </c>
      <c r="C68" s="3" t="s">
        <v>131</v>
      </c>
      <c r="D68" s="3" t="s">
        <v>120</v>
      </c>
      <c r="E68" s="4">
        <v>98510</v>
      </c>
      <c r="F68" s="5">
        <v>222.93798100000001</v>
      </c>
      <c r="G68" s="6">
        <v>2.39507E-3</v>
      </c>
      <c r="H68" s="109"/>
    </row>
    <row r="69" spans="1:8" ht="17.100000000000001" customHeight="1" x14ac:dyDescent="0.2">
      <c r="A69" s="100">
        <v>63</v>
      </c>
      <c r="B69" s="3" t="s">
        <v>765</v>
      </c>
      <c r="C69" s="3" t="s">
        <v>766</v>
      </c>
      <c r="D69" s="3" t="s">
        <v>203</v>
      </c>
      <c r="E69" s="4">
        <v>370890</v>
      </c>
      <c r="F69" s="5">
        <v>198.42615000000001</v>
      </c>
      <c r="G69" s="6">
        <v>2.13174E-3</v>
      </c>
      <c r="H69" s="109"/>
    </row>
    <row r="70" spans="1:8" ht="14.1" customHeight="1" x14ac:dyDescent="0.2">
      <c r="A70" s="99"/>
      <c r="B70" s="1"/>
      <c r="C70" s="2" t="s">
        <v>135</v>
      </c>
      <c r="D70" s="1"/>
      <c r="E70" s="1" t="s">
        <v>136</v>
      </c>
      <c r="F70" s="8">
        <v>88747.81250700001</v>
      </c>
      <c r="G70" s="9">
        <v>0.95343775000000008</v>
      </c>
      <c r="H70" s="109"/>
    </row>
    <row r="71" spans="1:8" ht="14.1" customHeight="1" x14ac:dyDescent="0.2">
      <c r="A71" s="99"/>
      <c r="B71" s="1"/>
      <c r="C71" s="10"/>
      <c r="D71" s="1"/>
      <c r="E71" s="1"/>
      <c r="F71" s="11"/>
      <c r="G71" s="11"/>
      <c r="H71" s="109"/>
    </row>
    <row r="72" spans="1:8" ht="14.1" customHeight="1" x14ac:dyDescent="0.2">
      <c r="A72" s="99"/>
      <c r="B72" s="1"/>
      <c r="C72" s="2" t="s">
        <v>137</v>
      </c>
      <c r="D72" s="1"/>
      <c r="E72" s="1"/>
      <c r="F72" s="1"/>
      <c r="G72" s="1"/>
      <c r="H72" s="109"/>
    </row>
    <row r="73" spans="1:8" ht="14.1" customHeight="1" x14ac:dyDescent="0.2">
      <c r="A73" s="99"/>
      <c r="B73" s="1"/>
      <c r="C73" s="2" t="s">
        <v>135</v>
      </c>
      <c r="D73" s="1"/>
      <c r="E73" s="1" t="s">
        <v>136</v>
      </c>
      <c r="F73" s="8">
        <v>0</v>
      </c>
      <c r="G73" s="9">
        <v>0</v>
      </c>
      <c r="H73" s="109"/>
    </row>
    <row r="74" spans="1:8" ht="14.1" customHeight="1" x14ac:dyDescent="0.2">
      <c r="A74" s="99"/>
      <c r="B74" s="1"/>
      <c r="C74" s="10"/>
      <c r="D74" s="1"/>
      <c r="E74" s="1"/>
      <c r="F74" s="11"/>
      <c r="G74" s="11"/>
      <c r="H74" s="109"/>
    </row>
    <row r="75" spans="1:8" ht="14.1" customHeight="1" x14ac:dyDescent="0.2">
      <c r="A75" s="99"/>
      <c r="B75" s="1"/>
      <c r="C75" s="2" t="s">
        <v>138</v>
      </c>
      <c r="D75" s="1"/>
      <c r="E75" s="1"/>
      <c r="F75" s="1"/>
      <c r="G75" s="1"/>
      <c r="H75" s="109"/>
    </row>
    <row r="76" spans="1:8" ht="23.45" customHeight="1" x14ac:dyDescent="0.2">
      <c r="A76" s="100">
        <v>1</v>
      </c>
      <c r="B76" s="3" t="s">
        <v>553</v>
      </c>
      <c r="C76" s="3" t="s">
        <v>923</v>
      </c>
      <c r="D76" s="3" t="s">
        <v>924</v>
      </c>
      <c r="E76" s="4">
        <v>374002</v>
      </c>
      <c r="F76" s="5">
        <v>19.784705800000001</v>
      </c>
      <c r="G76" s="6">
        <v>2.1254999999999999E-4</v>
      </c>
      <c r="H76" s="109"/>
    </row>
    <row r="77" spans="1:8" ht="17.100000000000001" customHeight="1" x14ac:dyDescent="0.2">
      <c r="A77" s="100">
        <v>2</v>
      </c>
      <c r="B77" s="3" t="s">
        <v>721</v>
      </c>
      <c r="C77" s="3" t="s">
        <v>942</v>
      </c>
      <c r="D77" s="3"/>
      <c r="E77" s="4">
        <v>200000</v>
      </c>
      <c r="F77" s="5">
        <v>1.9999999999999999E-6</v>
      </c>
      <c r="G77" s="7" t="s">
        <v>134</v>
      </c>
      <c r="H77" s="109"/>
    </row>
    <row r="78" spans="1:8" ht="14.1" customHeight="1" x14ac:dyDescent="0.2">
      <c r="A78" s="99"/>
      <c r="B78" s="1"/>
      <c r="C78" s="2" t="s">
        <v>135</v>
      </c>
      <c r="D78" s="1"/>
      <c r="E78" s="1" t="s">
        <v>136</v>
      </c>
      <c r="F78" s="8">
        <v>19.7847078</v>
      </c>
      <c r="G78" s="9">
        <v>2.1254999999999999E-4</v>
      </c>
      <c r="H78" s="109"/>
    </row>
    <row r="79" spans="1:8" ht="14.1" customHeight="1" x14ac:dyDescent="0.2">
      <c r="A79" s="99"/>
      <c r="B79" s="1"/>
      <c r="C79" s="10"/>
      <c r="D79" s="1"/>
      <c r="E79" s="1"/>
      <c r="F79" s="11"/>
      <c r="G79" s="11"/>
      <c r="H79" s="109"/>
    </row>
    <row r="80" spans="1:8" ht="14.1" customHeight="1" x14ac:dyDescent="0.2">
      <c r="A80" s="99"/>
      <c r="B80" s="1"/>
      <c r="C80" s="2" t="s">
        <v>139</v>
      </c>
      <c r="D80" s="1"/>
      <c r="E80" s="1"/>
      <c r="F80" s="1"/>
      <c r="G80" s="1"/>
      <c r="H80" s="109"/>
    </row>
    <row r="81" spans="1:8" ht="14.1" customHeight="1" x14ac:dyDescent="0.2">
      <c r="A81" s="99"/>
      <c r="B81" s="1"/>
      <c r="C81" s="2" t="s">
        <v>135</v>
      </c>
      <c r="D81" s="1"/>
      <c r="E81" s="1" t="s">
        <v>136</v>
      </c>
      <c r="F81" s="8">
        <v>0</v>
      </c>
      <c r="G81" s="9">
        <v>0</v>
      </c>
      <c r="H81" s="109"/>
    </row>
    <row r="82" spans="1:8" ht="14.1" customHeight="1" x14ac:dyDescent="0.2">
      <c r="A82" s="99"/>
      <c r="B82" s="1"/>
      <c r="C82" s="10"/>
      <c r="D82" s="1"/>
      <c r="E82" s="1"/>
      <c r="F82" s="11"/>
      <c r="G82" s="11"/>
      <c r="H82" s="109"/>
    </row>
    <row r="83" spans="1:8" ht="14.1" customHeight="1" x14ac:dyDescent="0.2">
      <c r="A83" s="99"/>
      <c r="B83" s="1"/>
      <c r="C83" s="2" t="s">
        <v>140</v>
      </c>
      <c r="D83" s="1"/>
      <c r="E83" s="1"/>
      <c r="F83" s="11"/>
      <c r="G83" s="11"/>
      <c r="H83" s="109"/>
    </row>
    <row r="84" spans="1:8" ht="14.1" customHeight="1" x14ac:dyDescent="0.2">
      <c r="A84" s="99"/>
      <c r="B84" s="1"/>
      <c r="C84" s="2" t="s">
        <v>135</v>
      </c>
      <c r="D84" s="1"/>
      <c r="E84" s="1" t="s">
        <v>136</v>
      </c>
      <c r="F84" s="8">
        <v>0</v>
      </c>
      <c r="G84" s="9">
        <v>0</v>
      </c>
      <c r="H84" s="109"/>
    </row>
    <row r="85" spans="1:8" ht="14.1" customHeight="1" x14ac:dyDescent="0.2">
      <c r="A85" s="99"/>
      <c r="B85" s="1"/>
      <c r="C85" s="10"/>
      <c r="D85" s="1"/>
      <c r="E85" s="1"/>
      <c r="F85" s="11"/>
      <c r="G85" s="11"/>
      <c r="H85" s="109"/>
    </row>
    <row r="86" spans="1:8" ht="14.1" customHeight="1" x14ac:dyDescent="0.2">
      <c r="A86" s="99"/>
      <c r="B86" s="1"/>
      <c r="C86" s="2" t="s">
        <v>141</v>
      </c>
      <c r="D86" s="1"/>
      <c r="E86" s="1"/>
      <c r="F86" s="11"/>
      <c r="G86" s="11"/>
      <c r="H86" s="109"/>
    </row>
    <row r="87" spans="1:8" ht="14.1" customHeight="1" x14ac:dyDescent="0.2">
      <c r="A87" s="99"/>
      <c r="B87" s="1"/>
      <c r="C87" s="2" t="s">
        <v>135</v>
      </c>
      <c r="D87" s="1"/>
      <c r="E87" s="1" t="s">
        <v>136</v>
      </c>
      <c r="F87" s="8">
        <v>0</v>
      </c>
      <c r="G87" s="9">
        <v>0</v>
      </c>
      <c r="H87" s="109"/>
    </row>
    <row r="88" spans="1:8" ht="14.1" customHeight="1" x14ac:dyDescent="0.2">
      <c r="A88" s="99"/>
      <c r="B88" s="1"/>
      <c r="C88" s="10"/>
      <c r="D88" s="1"/>
      <c r="E88" s="1"/>
      <c r="F88" s="11"/>
      <c r="G88" s="11"/>
      <c r="H88" s="109"/>
    </row>
    <row r="89" spans="1:8" ht="18" customHeight="1" x14ac:dyDescent="0.2">
      <c r="A89" s="99"/>
      <c r="B89" s="1"/>
      <c r="C89" s="2" t="s">
        <v>142</v>
      </c>
      <c r="D89" s="1"/>
      <c r="E89" s="1"/>
      <c r="F89" s="8">
        <v>88767.5972148</v>
      </c>
      <c r="G89" s="9">
        <v>0.95365029999999995</v>
      </c>
      <c r="H89" s="109"/>
    </row>
    <row r="90" spans="1:8" ht="14.1" customHeight="1" x14ac:dyDescent="0.2">
      <c r="A90" s="99"/>
      <c r="B90" s="1"/>
      <c r="C90" s="10"/>
      <c r="D90" s="1"/>
      <c r="E90" s="1"/>
      <c r="F90" s="11"/>
      <c r="G90" s="11"/>
      <c r="H90" s="109"/>
    </row>
    <row r="91" spans="1:8" ht="14.1" customHeight="1" x14ac:dyDescent="0.2">
      <c r="A91" s="99"/>
      <c r="B91" s="1"/>
      <c r="C91" s="2" t="s">
        <v>143</v>
      </c>
      <c r="D91" s="1"/>
      <c r="E91" s="1"/>
      <c r="F91" s="11"/>
      <c r="G91" s="11"/>
      <c r="H91" s="109"/>
    </row>
    <row r="92" spans="1:8" ht="24" customHeight="1" x14ac:dyDescent="0.2">
      <c r="A92" s="99"/>
      <c r="B92" s="1"/>
      <c r="C92" s="2" t="s">
        <v>10</v>
      </c>
      <c r="D92" s="1"/>
      <c r="E92" s="1"/>
      <c r="F92" s="11"/>
      <c r="G92" s="11"/>
      <c r="H92" s="109"/>
    </row>
    <row r="93" spans="1:8" ht="14.1" customHeight="1" x14ac:dyDescent="0.2">
      <c r="A93" s="99"/>
      <c r="B93" s="1"/>
      <c r="C93" s="2" t="s">
        <v>135</v>
      </c>
      <c r="D93" s="1"/>
      <c r="E93" s="1" t="s">
        <v>136</v>
      </c>
      <c r="F93" s="8">
        <v>0</v>
      </c>
      <c r="G93" s="9">
        <v>0</v>
      </c>
      <c r="H93" s="109"/>
    </row>
    <row r="94" spans="1:8" ht="14.1" customHeight="1" x14ac:dyDescent="0.2">
      <c r="A94" s="99"/>
      <c r="B94" s="1"/>
      <c r="C94" s="10"/>
      <c r="D94" s="1"/>
      <c r="E94" s="1"/>
      <c r="F94" s="11"/>
      <c r="G94" s="11"/>
      <c r="H94" s="109"/>
    </row>
    <row r="95" spans="1:8" ht="14.1" customHeight="1" x14ac:dyDescent="0.2">
      <c r="A95" s="99"/>
      <c r="B95" s="1"/>
      <c r="C95" s="2" t="s">
        <v>144</v>
      </c>
      <c r="D95" s="1"/>
      <c r="E95" s="1"/>
      <c r="F95" s="1"/>
      <c r="G95" s="1"/>
      <c r="H95" s="109"/>
    </row>
    <row r="96" spans="1:8" ht="14.1" customHeight="1" x14ac:dyDescent="0.2">
      <c r="A96" s="99"/>
      <c r="B96" s="1"/>
      <c r="C96" s="2" t="s">
        <v>135</v>
      </c>
      <c r="D96" s="1"/>
      <c r="E96" s="1" t="s">
        <v>136</v>
      </c>
      <c r="F96" s="8">
        <v>0</v>
      </c>
      <c r="G96" s="9">
        <v>0</v>
      </c>
      <c r="H96" s="109"/>
    </row>
    <row r="97" spans="1:8" ht="14.1" customHeight="1" x14ac:dyDescent="0.2">
      <c r="A97" s="99"/>
      <c r="B97" s="1"/>
      <c r="C97" s="10"/>
      <c r="D97" s="1"/>
      <c r="E97" s="1"/>
      <c r="F97" s="11"/>
      <c r="G97" s="11"/>
      <c r="H97" s="109"/>
    </row>
    <row r="98" spans="1:8" ht="14.1" customHeight="1" x14ac:dyDescent="0.2">
      <c r="A98" s="99"/>
      <c r="B98" s="1"/>
      <c r="C98" s="2" t="s">
        <v>145</v>
      </c>
      <c r="D98" s="1"/>
      <c r="E98" s="1"/>
      <c r="F98" s="1"/>
      <c r="G98" s="1"/>
      <c r="H98" s="109"/>
    </row>
    <row r="99" spans="1:8" ht="14.1" customHeight="1" x14ac:dyDescent="0.2">
      <c r="A99" s="99"/>
      <c r="B99" s="1"/>
      <c r="C99" s="2" t="s">
        <v>135</v>
      </c>
      <c r="D99" s="1"/>
      <c r="E99" s="1" t="s">
        <v>136</v>
      </c>
      <c r="F99" s="8">
        <v>0</v>
      </c>
      <c r="G99" s="9">
        <v>0</v>
      </c>
      <c r="H99" s="109"/>
    </row>
    <row r="100" spans="1:8" ht="14.1" customHeight="1" x14ac:dyDescent="0.2">
      <c r="A100" s="99"/>
      <c r="B100" s="1"/>
      <c r="C100" s="10"/>
      <c r="D100" s="1"/>
      <c r="E100" s="1"/>
      <c r="F100" s="11"/>
      <c r="G100" s="11"/>
      <c r="H100" s="109"/>
    </row>
    <row r="101" spans="1:8" ht="14.1" customHeight="1" x14ac:dyDescent="0.2">
      <c r="A101" s="99"/>
      <c r="B101" s="1"/>
      <c r="C101" s="2" t="s">
        <v>146</v>
      </c>
      <c r="D101" s="1"/>
      <c r="E101" s="1"/>
      <c r="F101" s="11"/>
      <c r="G101" s="11"/>
      <c r="H101" s="109"/>
    </row>
    <row r="102" spans="1:8" ht="14.1" customHeight="1" x14ac:dyDescent="0.2">
      <c r="A102" s="99"/>
      <c r="B102" s="1"/>
      <c r="C102" s="2" t="s">
        <v>135</v>
      </c>
      <c r="D102" s="1"/>
      <c r="E102" s="1" t="s">
        <v>136</v>
      </c>
      <c r="F102" s="8">
        <v>0</v>
      </c>
      <c r="G102" s="9">
        <v>0</v>
      </c>
      <c r="H102" s="109"/>
    </row>
    <row r="103" spans="1:8" ht="14.1" customHeight="1" x14ac:dyDescent="0.2">
      <c r="A103" s="99"/>
      <c r="B103" s="1"/>
      <c r="C103" s="10"/>
      <c r="D103" s="1"/>
      <c r="E103" s="1"/>
      <c r="F103" s="11"/>
      <c r="G103" s="11"/>
      <c r="H103" s="109"/>
    </row>
    <row r="104" spans="1:8" ht="14.1" customHeight="1" x14ac:dyDescent="0.2">
      <c r="A104" s="99"/>
      <c r="B104" s="1"/>
      <c r="C104" s="2" t="s">
        <v>147</v>
      </c>
      <c r="D104" s="1"/>
      <c r="E104" s="1"/>
      <c r="F104" s="8">
        <v>0</v>
      </c>
      <c r="G104" s="9">
        <v>0</v>
      </c>
      <c r="H104" s="109"/>
    </row>
    <row r="105" spans="1:8" ht="14.1" customHeight="1" x14ac:dyDescent="0.2">
      <c r="A105" s="99"/>
      <c r="B105" s="1"/>
      <c r="C105" s="10"/>
      <c r="D105" s="1"/>
      <c r="E105" s="1"/>
      <c r="F105" s="11"/>
      <c r="G105" s="11"/>
      <c r="H105" s="109"/>
    </row>
    <row r="106" spans="1:8" ht="14.1" customHeight="1" x14ac:dyDescent="0.2">
      <c r="A106" s="99"/>
      <c r="B106" s="1"/>
      <c r="C106" s="2" t="s">
        <v>148</v>
      </c>
      <c r="D106" s="1"/>
      <c r="E106" s="1"/>
      <c r="F106" s="11"/>
      <c r="G106" s="11"/>
      <c r="H106" s="109"/>
    </row>
    <row r="107" spans="1:8" ht="14.1" customHeight="1" x14ac:dyDescent="0.2">
      <c r="A107" s="99"/>
      <c r="B107" s="1"/>
      <c r="C107" s="2" t="s">
        <v>149</v>
      </c>
      <c r="D107" s="1"/>
      <c r="E107" s="1"/>
      <c r="F107" s="11"/>
      <c r="G107" s="11"/>
      <c r="H107" s="109"/>
    </row>
    <row r="108" spans="1:8" ht="14.1" customHeight="1" x14ac:dyDescent="0.2">
      <c r="A108" s="99"/>
      <c r="B108" s="1"/>
      <c r="C108" s="2" t="s">
        <v>135</v>
      </c>
      <c r="D108" s="1"/>
      <c r="E108" s="1" t="s">
        <v>136</v>
      </c>
      <c r="F108" s="8">
        <v>0</v>
      </c>
      <c r="G108" s="9">
        <v>0</v>
      </c>
      <c r="H108" s="109"/>
    </row>
    <row r="109" spans="1:8" ht="14.1" customHeight="1" x14ac:dyDescent="0.2">
      <c r="A109" s="99"/>
      <c r="B109" s="1"/>
      <c r="C109" s="10"/>
      <c r="D109" s="1"/>
      <c r="E109" s="1"/>
      <c r="F109" s="11"/>
      <c r="G109" s="11"/>
      <c r="H109" s="109"/>
    </row>
    <row r="110" spans="1:8" ht="14.1" customHeight="1" x14ac:dyDescent="0.2">
      <c r="A110" s="99"/>
      <c r="B110" s="1"/>
      <c r="C110" s="2" t="s">
        <v>150</v>
      </c>
      <c r="D110" s="1"/>
      <c r="E110" s="1"/>
      <c r="F110" s="11"/>
      <c r="G110" s="11"/>
      <c r="H110" s="109"/>
    </row>
    <row r="111" spans="1:8" ht="14.1" customHeight="1" x14ac:dyDescent="0.2">
      <c r="A111" s="99"/>
      <c r="B111" s="1"/>
      <c r="C111" s="2" t="s">
        <v>135</v>
      </c>
      <c r="D111" s="1"/>
      <c r="E111" s="1" t="s">
        <v>136</v>
      </c>
      <c r="F111" s="8">
        <v>0</v>
      </c>
      <c r="G111" s="9">
        <v>0</v>
      </c>
      <c r="H111" s="109"/>
    </row>
    <row r="112" spans="1:8" ht="14.1" customHeight="1" x14ac:dyDescent="0.2">
      <c r="A112" s="99"/>
      <c r="B112" s="1"/>
      <c r="C112" s="10"/>
      <c r="D112" s="1"/>
      <c r="E112" s="1"/>
      <c r="F112" s="11"/>
      <c r="G112" s="11"/>
      <c r="H112" s="109"/>
    </row>
    <row r="113" spans="1:8" ht="14.1" customHeight="1" x14ac:dyDescent="0.2">
      <c r="A113" s="99"/>
      <c r="B113" s="1"/>
      <c r="C113" s="2" t="s">
        <v>151</v>
      </c>
      <c r="D113" s="1"/>
      <c r="E113" s="1"/>
      <c r="F113" s="11"/>
      <c r="G113" s="11"/>
      <c r="H113" s="109"/>
    </row>
    <row r="114" spans="1:8" ht="14.1" customHeight="1" x14ac:dyDescent="0.2">
      <c r="A114" s="99"/>
      <c r="B114" s="1"/>
      <c r="C114" s="2" t="s">
        <v>135</v>
      </c>
      <c r="D114" s="1"/>
      <c r="E114" s="1" t="s">
        <v>136</v>
      </c>
      <c r="F114" s="8">
        <v>0</v>
      </c>
      <c r="G114" s="9">
        <v>0</v>
      </c>
      <c r="H114" s="109"/>
    </row>
    <row r="115" spans="1:8" ht="14.1" customHeight="1" x14ac:dyDescent="0.2">
      <c r="A115" s="99"/>
      <c r="B115" s="1"/>
      <c r="C115" s="10"/>
      <c r="D115" s="1"/>
      <c r="E115" s="1"/>
      <c r="F115" s="11"/>
      <c r="G115" s="11"/>
      <c r="H115" s="109"/>
    </row>
    <row r="116" spans="1:8" ht="14.1" customHeight="1" x14ac:dyDescent="0.2">
      <c r="A116" s="99"/>
      <c r="B116" s="1"/>
      <c r="C116" s="2" t="s">
        <v>152</v>
      </c>
      <c r="D116" s="1"/>
      <c r="E116" s="1"/>
      <c r="F116" s="11"/>
      <c r="G116" s="11"/>
      <c r="H116" s="109"/>
    </row>
    <row r="117" spans="1:8" ht="17.100000000000001" customHeight="1" x14ac:dyDescent="0.2">
      <c r="A117" s="100">
        <v>1</v>
      </c>
      <c r="B117" s="3"/>
      <c r="C117" s="3" t="s">
        <v>153</v>
      </c>
      <c r="D117" s="3"/>
      <c r="E117" s="7"/>
      <c r="F117" s="5">
        <v>4546.606134009</v>
      </c>
      <c r="G117" s="6">
        <v>4.884521E-2</v>
      </c>
      <c r="H117" s="109">
        <v>6.6015165706411798</v>
      </c>
    </row>
    <row r="118" spans="1:8" ht="14.1" customHeight="1" x14ac:dyDescent="0.2">
      <c r="A118" s="99"/>
      <c r="B118" s="1"/>
      <c r="C118" s="2" t="s">
        <v>135</v>
      </c>
      <c r="D118" s="1"/>
      <c r="E118" s="1" t="s">
        <v>136</v>
      </c>
      <c r="F118" s="8">
        <v>4546.606134009</v>
      </c>
      <c r="G118" s="9">
        <v>4.884521E-2</v>
      </c>
      <c r="H118" s="109"/>
    </row>
    <row r="119" spans="1:8" ht="14.1" customHeight="1" x14ac:dyDescent="0.2">
      <c r="A119" s="99"/>
      <c r="B119" s="1"/>
      <c r="C119" s="10"/>
      <c r="D119" s="1"/>
      <c r="E119" s="1"/>
      <c r="F119" s="11"/>
      <c r="G119" s="11"/>
      <c r="H119" s="109"/>
    </row>
    <row r="120" spans="1:8" ht="14.1" customHeight="1" x14ac:dyDescent="0.2">
      <c r="A120" s="99"/>
      <c r="B120" s="1"/>
      <c r="C120" s="2" t="s">
        <v>154</v>
      </c>
      <c r="D120" s="1"/>
      <c r="E120" s="1"/>
      <c r="F120" s="8">
        <v>4546.606134009</v>
      </c>
      <c r="G120" s="9">
        <v>4.884521E-2</v>
      </c>
      <c r="H120" s="109"/>
    </row>
    <row r="121" spans="1:8" ht="14.1" customHeight="1" x14ac:dyDescent="0.2">
      <c r="A121" s="99"/>
      <c r="B121" s="1"/>
      <c r="C121" s="11"/>
      <c r="D121" s="1"/>
      <c r="E121" s="1"/>
      <c r="F121" s="1"/>
      <c r="G121" s="1"/>
      <c r="H121" s="109"/>
    </row>
    <row r="122" spans="1:8" ht="14.1" customHeight="1" x14ac:dyDescent="0.2">
      <c r="A122" s="99"/>
      <c r="B122" s="1"/>
      <c r="C122" s="2" t="s">
        <v>155</v>
      </c>
      <c r="D122" s="1"/>
      <c r="E122" s="1"/>
      <c r="F122" s="1"/>
      <c r="G122" s="1"/>
      <c r="H122" s="109"/>
    </row>
    <row r="123" spans="1:8" ht="14.1" customHeight="1" x14ac:dyDescent="0.2">
      <c r="A123" s="99"/>
      <c r="B123" s="1"/>
      <c r="C123" s="2" t="s">
        <v>156</v>
      </c>
      <c r="D123" s="1"/>
      <c r="E123" s="1"/>
      <c r="F123" s="1"/>
      <c r="G123" s="1"/>
      <c r="H123" s="109"/>
    </row>
    <row r="124" spans="1:8" ht="14.1" customHeight="1" x14ac:dyDescent="0.2">
      <c r="A124" s="99"/>
      <c r="B124" s="1"/>
      <c r="C124" s="2" t="s">
        <v>135</v>
      </c>
      <c r="D124" s="1"/>
      <c r="E124" s="1" t="s">
        <v>136</v>
      </c>
      <c r="F124" s="8">
        <v>0</v>
      </c>
      <c r="G124" s="9">
        <v>0</v>
      </c>
      <c r="H124" s="109"/>
    </row>
    <row r="125" spans="1:8" ht="14.1" customHeight="1" x14ac:dyDescent="0.2">
      <c r="A125" s="99"/>
      <c r="B125" s="1"/>
      <c r="C125" s="10"/>
      <c r="D125" s="1"/>
      <c r="E125" s="1"/>
      <c r="F125" s="11"/>
      <c r="G125" s="11"/>
      <c r="H125" s="109"/>
    </row>
    <row r="126" spans="1:8" ht="14.1" customHeight="1" x14ac:dyDescent="0.2">
      <c r="A126" s="99"/>
      <c r="B126" s="1"/>
      <c r="C126" s="2" t="s">
        <v>157</v>
      </c>
      <c r="D126" s="1"/>
      <c r="E126" s="1"/>
      <c r="F126" s="1"/>
      <c r="G126" s="1"/>
      <c r="H126" s="109"/>
    </row>
    <row r="127" spans="1:8" ht="14.1" customHeight="1" x14ac:dyDescent="0.2">
      <c r="A127" s="99"/>
      <c r="B127" s="1"/>
      <c r="C127" s="2" t="s">
        <v>158</v>
      </c>
      <c r="D127" s="1"/>
      <c r="E127" s="1"/>
      <c r="F127" s="1"/>
      <c r="G127" s="1"/>
      <c r="H127" s="109"/>
    </row>
    <row r="128" spans="1:8" ht="14.1" customHeight="1" x14ac:dyDescent="0.2">
      <c r="A128" s="99"/>
      <c r="B128" s="1"/>
      <c r="C128" s="2" t="s">
        <v>135</v>
      </c>
      <c r="D128" s="1"/>
      <c r="E128" s="1" t="s">
        <v>136</v>
      </c>
      <c r="F128" s="8">
        <v>0</v>
      </c>
      <c r="G128" s="9">
        <v>0</v>
      </c>
      <c r="H128" s="109"/>
    </row>
    <row r="129" spans="1:8" ht="14.1" customHeight="1" x14ac:dyDescent="0.2">
      <c r="A129" s="99"/>
      <c r="B129" s="1"/>
      <c r="C129" s="10"/>
      <c r="D129" s="1"/>
      <c r="E129" s="1"/>
      <c r="F129" s="11"/>
      <c r="G129" s="11"/>
      <c r="H129" s="109"/>
    </row>
    <row r="130" spans="1:8" ht="24" customHeight="1" x14ac:dyDescent="0.2">
      <c r="A130" s="99"/>
      <c r="B130" s="1"/>
      <c r="C130" s="2" t="s">
        <v>159</v>
      </c>
      <c r="D130" s="1"/>
      <c r="E130" s="1"/>
      <c r="F130" s="11"/>
      <c r="G130" s="11"/>
      <c r="H130" s="109"/>
    </row>
    <row r="131" spans="1:8" ht="14.1" customHeight="1" x14ac:dyDescent="0.2">
      <c r="A131" s="99"/>
      <c r="B131" s="1"/>
      <c r="C131" s="2" t="s">
        <v>135</v>
      </c>
      <c r="D131" s="1"/>
      <c r="E131" s="1" t="s">
        <v>136</v>
      </c>
      <c r="F131" s="8">
        <v>0</v>
      </c>
      <c r="G131" s="9">
        <v>0</v>
      </c>
      <c r="H131" s="109"/>
    </row>
    <row r="132" spans="1:8" ht="14.1" customHeight="1" x14ac:dyDescent="0.2">
      <c r="A132" s="99"/>
      <c r="B132" s="1"/>
      <c r="C132" s="10"/>
      <c r="D132" s="1"/>
      <c r="E132" s="1"/>
      <c r="F132" s="11"/>
      <c r="G132" s="11"/>
      <c r="H132" s="109"/>
    </row>
    <row r="133" spans="1:8" ht="14.1" customHeight="1" x14ac:dyDescent="0.2">
      <c r="A133" s="99"/>
      <c r="B133" s="3"/>
      <c r="C133" s="3"/>
      <c r="D133" s="2"/>
      <c r="E133" s="1"/>
      <c r="F133" s="3"/>
      <c r="G133" s="7"/>
      <c r="H133" s="109"/>
    </row>
    <row r="134" spans="1:8" ht="18" customHeight="1" x14ac:dyDescent="0.2">
      <c r="A134" s="101"/>
      <c r="B134" s="3"/>
      <c r="C134" s="3" t="s">
        <v>160</v>
      </c>
      <c r="D134" s="3"/>
      <c r="E134" s="7"/>
      <c r="F134" s="5">
        <v>-232.28293919000001</v>
      </c>
      <c r="G134" s="6">
        <v>-2.4954700000000001E-3</v>
      </c>
      <c r="H134" s="109"/>
    </row>
    <row r="135" spans="1:8" ht="14.1" customHeight="1" x14ac:dyDescent="0.2">
      <c r="A135" s="102"/>
      <c r="B135" s="10"/>
      <c r="C135" s="2" t="s">
        <v>161</v>
      </c>
      <c r="D135" s="11"/>
      <c r="E135" s="11"/>
      <c r="F135" s="8">
        <v>93081.920409618993</v>
      </c>
      <c r="G135" s="12">
        <v>1.00000004</v>
      </c>
      <c r="H135" s="109"/>
    </row>
    <row r="136" spans="1:8" ht="14.1" customHeight="1" x14ac:dyDescent="0.2">
      <c r="A136" s="13"/>
      <c r="B136" s="13"/>
      <c r="C136" s="13"/>
      <c r="D136" s="14"/>
      <c r="E136" s="14"/>
      <c r="F136" s="14"/>
      <c r="G136" s="14"/>
    </row>
    <row r="137" spans="1:8" ht="17.100000000000001" customHeight="1" x14ac:dyDescent="0.2">
      <c r="A137" s="15"/>
      <c r="B137" s="193" t="s">
        <v>162</v>
      </c>
      <c r="C137" s="193"/>
      <c r="D137" s="193"/>
      <c r="E137" s="193"/>
      <c r="F137" s="193"/>
      <c r="G137" s="17"/>
    </row>
    <row r="138" spans="1:8" ht="14.1" customHeight="1" x14ac:dyDescent="0.2">
      <c r="A138" s="15"/>
      <c r="B138" s="15"/>
      <c r="C138" s="15"/>
      <c r="D138" s="17"/>
      <c r="E138" s="17"/>
      <c r="F138" s="17"/>
      <c r="G138" s="17"/>
    </row>
    <row r="139" spans="1:8" ht="14.1" customHeight="1" x14ac:dyDescent="0.2">
      <c r="A139" s="15"/>
      <c r="B139" s="194" t="s">
        <v>163</v>
      </c>
      <c r="C139" s="195"/>
      <c r="D139" s="196"/>
      <c r="E139" s="18"/>
      <c r="F139" s="17"/>
      <c r="G139" s="17"/>
    </row>
    <row r="140" spans="1:8" ht="29.1" customHeight="1" x14ac:dyDescent="0.2">
      <c r="A140" s="15"/>
      <c r="B140" s="191" t="s">
        <v>164</v>
      </c>
      <c r="C140" s="192"/>
      <c r="D140" s="2" t="s">
        <v>1035</v>
      </c>
      <c r="E140" s="18"/>
      <c r="F140" s="17"/>
      <c r="G140" s="17"/>
    </row>
    <row r="141" spans="1:8" ht="17.100000000000001" customHeight="1" x14ac:dyDescent="0.2">
      <c r="A141" s="15"/>
      <c r="B141" s="191" t="s">
        <v>915</v>
      </c>
      <c r="C141" s="192"/>
      <c r="D141" s="2" t="s">
        <v>946</v>
      </c>
      <c r="E141" s="18"/>
      <c r="F141" s="17"/>
      <c r="G141" s="17"/>
    </row>
    <row r="142" spans="1:8" ht="17.100000000000001" customHeight="1" x14ac:dyDescent="0.2">
      <c r="A142" s="15"/>
      <c r="B142" s="191" t="s">
        <v>167</v>
      </c>
      <c r="C142" s="192"/>
      <c r="D142" s="11" t="s">
        <v>136</v>
      </c>
      <c r="E142" s="18"/>
      <c r="F142" s="17"/>
      <c r="G142" s="17"/>
    </row>
    <row r="143" spans="1:8" ht="24" customHeight="1" x14ac:dyDescent="0.2">
      <c r="A143" s="19"/>
      <c r="B143" s="20" t="s">
        <v>136</v>
      </c>
      <c r="C143" s="20" t="s">
        <v>168</v>
      </c>
      <c r="D143" s="20" t="s">
        <v>169</v>
      </c>
      <c r="E143" s="19"/>
      <c r="F143" s="19"/>
      <c r="G143" s="19"/>
    </row>
    <row r="144" spans="1:8" ht="18" customHeight="1" x14ac:dyDescent="0.2">
      <c r="A144" s="19"/>
      <c r="B144" s="21" t="s">
        <v>170</v>
      </c>
      <c r="C144" s="20" t="s">
        <v>171</v>
      </c>
      <c r="D144" s="20" t="s">
        <v>172</v>
      </c>
      <c r="E144" s="19"/>
      <c r="F144" s="19"/>
      <c r="G144" s="19"/>
    </row>
    <row r="145" spans="1:7" ht="17.100000000000001" customHeight="1" x14ac:dyDescent="0.2">
      <c r="A145" s="19"/>
      <c r="B145" s="3" t="s">
        <v>173</v>
      </c>
      <c r="C145" s="22">
        <v>353.15600000000001</v>
      </c>
      <c r="D145" s="22">
        <v>345.24979999999999</v>
      </c>
      <c r="E145" s="19"/>
      <c r="F145" s="16"/>
      <c r="G145" s="23"/>
    </row>
    <row r="146" spans="1:7" ht="29.1" customHeight="1" x14ac:dyDescent="0.2">
      <c r="A146" s="19"/>
      <c r="B146" s="3" t="s">
        <v>1045</v>
      </c>
      <c r="C146" s="22">
        <v>352.85599999999999</v>
      </c>
      <c r="D146" s="22">
        <v>344.93720000000002</v>
      </c>
      <c r="E146" s="19"/>
      <c r="F146" s="16"/>
      <c r="G146" s="23"/>
    </row>
    <row r="147" spans="1:7" ht="17.100000000000001" customHeight="1" x14ac:dyDescent="0.2">
      <c r="A147" s="19"/>
      <c r="B147" s="3" t="s">
        <v>174</v>
      </c>
      <c r="C147" s="22">
        <v>334.8091</v>
      </c>
      <c r="D147" s="22">
        <v>327.1567</v>
      </c>
      <c r="E147" s="19"/>
      <c r="F147" s="16"/>
      <c r="G147" s="23"/>
    </row>
    <row r="148" spans="1:7" ht="29.1" customHeight="1" x14ac:dyDescent="0.2">
      <c r="A148" s="19"/>
      <c r="B148" s="3" t="s">
        <v>1046</v>
      </c>
      <c r="C148" s="22">
        <v>322.50599999999997</v>
      </c>
      <c r="D148" s="22">
        <v>315.13040000000001</v>
      </c>
      <c r="E148" s="19"/>
      <c r="F148" s="16"/>
      <c r="G148" s="23"/>
    </row>
    <row r="149" spans="1:7" ht="14.1" customHeight="1" x14ac:dyDescent="0.2">
      <c r="A149" s="19"/>
      <c r="B149" s="19"/>
      <c r="C149" s="19"/>
      <c r="D149" s="19"/>
      <c r="E149" s="19"/>
      <c r="F149" s="19"/>
      <c r="G149" s="19"/>
    </row>
    <row r="150" spans="1:7" ht="17.100000000000001" customHeight="1" x14ac:dyDescent="0.2">
      <c r="A150" s="19"/>
      <c r="B150" s="191" t="s">
        <v>1044</v>
      </c>
      <c r="C150" s="192"/>
      <c r="D150" s="2" t="s">
        <v>165</v>
      </c>
      <c r="E150" s="19"/>
      <c r="F150" s="19"/>
      <c r="G150" s="19"/>
    </row>
    <row r="151" spans="1:7" ht="18" customHeight="1" x14ac:dyDescent="0.2">
      <c r="A151" s="19"/>
      <c r="B151" s="24"/>
      <c r="C151" s="24"/>
      <c r="D151" s="24"/>
      <c r="E151" s="19"/>
      <c r="F151" s="19"/>
      <c r="G151" s="19"/>
    </row>
    <row r="152" spans="1:7" ht="29.1" customHeight="1" x14ac:dyDescent="0.2">
      <c r="A152" s="19"/>
      <c r="B152" s="191" t="s">
        <v>175</v>
      </c>
      <c r="C152" s="192"/>
      <c r="D152" s="2" t="s">
        <v>165</v>
      </c>
      <c r="E152" s="25"/>
      <c r="F152" s="19"/>
      <c r="G152" s="19"/>
    </row>
    <row r="153" spans="1:7" ht="29.1" customHeight="1" x14ac:dyDescent="0.2">
      <c r="A153" s="19"/>
      <c r="B153" s="191" t="s">
        <v>176</v>
      </c>
      <c r="C153" s="192"/>
      <c r="D153" s="2" t="s">
        <v>165</v>
      </c>
      <c r="E153" s="25"/>
      <c r="F153" s="19"/>
      <c r="G153" s="19"/>
    </row>
    <row r="154" spans="1:7" ht="17.100000000000001" customHeight="1" x14ac:dyDescent="0.2">
      <c r="A154" s="19"/>
      <c r="B154" s="191" t="s">
        <v>177</v>
      </c>
      <c r="C154" s="192"/>
      <c r="D154" s="2" t="s">
        <v>165</v>
      </c>
      <c r="E154" s="25"/>
      <c r="F154" s="19"/>
      <c r="G154" s="19"/>
    </row>
    <row r="155" spans="1:7" ht="17.100000000000001" customHeight="1" x14ac:dyDescent="0.2">
      <c r="A155" s="19"/>
      <c r="B155" s="191" t="s">
        <v>178</v>
      </c>
      <c r="C155" s="192"/>
      <c r="D155" s="26">
        <v>0.26390700918142357</v>
      </c>
      <c r="E155" s="19"/>
      <c r="F155" s="16"/>
      <c r="G155" s="23"/>
    </row>
    <row r="156" spans="1:7" ht="14.1" customHeight="1" x14ac:dyDescent="0.2">
      <c r="A156" s="24"/>
      <c r="B156" s="24"/>
      <c r="C156" s="24"/>
      <c r="D156" s="24"/>
      <c r="E156" s="24"/>
      <c r="F156" s="24"/>
      <c r="G156" s="24"/>
    </row>
    <row r="157" spans="1:7" x14ac:dyDescent="0.2">
      <c r="B157" s="144" t="s">
        <v>1040</v>
      </c>
      <c r="C157" s="144"/>
      <c r="D157" s="144"/>
      <c r="E157" s="148"/>
      <c r="F157" s="149"/>
    </row>
    <row r="158" spans="1:7" ht="38.25" x14ac:dyDescent="0.2">
      <c r="B158" s="151" t="s">
        <v>1007</v>
      </c>
      <c r="C158" s="151" t="s">
        <v>1008</v>
      </c>
      <c r="D158" s="151" t="s">
        <v>1009</v>
      </c>
      <c r="E158" s="151" t="s">
        <v>1010</v>
      </c>
      <c r="F158" s="151" t="s">
        <v>1011</v>
      </c>
    </row>
    <row r="159" spans="1:7" x14ac:dyDescent="0.2">
      <c r="B159" s="158" t="s">
        <v>1041</v>
      </c>
      <c r="C159" s="153" t="s">
        <v>1037</v>
      </c>
      <c r="D159" s="159">
        <v>0</v>
      </c>
      <c r="E159" s="160">
        <v>0</v>
      </c>
      <c r="F159" s="161">
        <v>0.54925000000000002</v>
      </c>
    </row>
  </sheetData>
  <mergeCells count="14">
    <mergeCell ref="J2:N2"/>
    <mergeCell ref="A1:H1"/>
    <mergeCell ref="A2:H2"/>
    <mergeCell ref="A3:H3"/>
    <mergeCell ref="B155:C155"/>
    <mergeCell ref="B152:C152"/>
    <mergeCell ref="B153:C153"/>
    <mergeCell ref="B154:C154"/>
    <mergeCell ref="B150:C150"/>
    <mergeCell ref="B142:C142"/>
    <mergeCell ref="B139:D139"/>
    <mergeCell ref="B140:C140"/>
    <mergeCell ref="B141:C141"/>
    <mergeCell ref="B137:F137"/>
  </mergeCells>
  <hyperlinks>
    <hyperlink ref="I1" location="Index!B31" display="Index" xr:uid="{2C968912-D2B2-48CC-B7B7-F6174BE3CF32}"/>
  </hyperlinks>
  <pageMargins left="5.000000074505806E-2" right="5.000000074505806E-2" top="0.30000001192092896" bottom="0.20000000298023224" header="0" footer="0"/>
  <pageSetup paperSize="9" orientation="landscape" r:id="rId1"/>
  <headerFooter alignWithMargins="0"/>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N127"/>
  <sheetViews>
    <sheetView showGridLines="0" workbookViewId="0">
      <selection sqref="A1:H1"/>
    </sheetView>
  </sheetViews>
  <sheetFormatPr defaultRowHeight="12.75" x14ac:dyDescent="0.2"/>
  <cols>
    <col min="1" max="1" width="5.42578125" bestFit="1"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7" t="s">
        <v>0</v>
      </c>
      <c r="B1" s="187"/>
      <c r="C1" s="187"/>
      <c r="D1" s="187"/>
      <c r="E1" s="187"/>
      <c r="F1" s="187"/>
      <c r="G1" s="187"/>
      <c r="H1" s="187"/>
      <c r="I1" s="167" t="s">
        <v>1055</v>
      </c>
    </row>
    <row r="2" spans="1:14" ht="17.100000000000001" customHeight="1" x14ac:dyDescent="0.2">
      <c r="A2" s="188" t="s">
        <v>802</v>
      </c>
      <c r="B2" s="189"/>
      <c r="C2" s="189"/>
      <c r="D2" s="189"/>
      <c r="E2" s="189"/>
      <c r="F2" s="189"/>
      <c r="G2" s="189"/>
      <c r="H2" s="190"/>
      <c r="J2" s="186" t="s">
        <v>1056</v>
      </c>
      <c r="K2" s="186"/>
      <c r="L2" s="186"/>
      <c r="M2" s="186"/>
      <c r="N2" s="186"/>
    </row>
    <row r="3" spans="1:14" ht="21" customHeight="1" x14ac:dyDescent="0.2">
      <c r="A3" s="187" t="s">
        <v>1052</v>
      </c>
      <c r="B3" s="187"/>
      <c r="C3" s="187"/>
      <c r="D3" s="187"/>
      <c r="E3" s="187"/>
      <c r="F3" s="187"/>
      <c r="G3" s="187"/>
      <c r="H3" s="187"/>
    </row>
    <row r="4" spans="1:14" ht="30" x14ac:dyDescent="0.2">
      <c r="A4" s="163" t="s">
        <v>2</v>
      </c>
      <c r="B4" s="164" t="s">
        <v>3</v>
      </c>
      <c r="C4" s="164" t="s">
        <v>4</v>
      </c>
      <c r="D4" s="164" t="s">
        <v>5</v>
      </c>
      <c r="E4" s="164" t="s">
        <v>6</v>
      </c>
      <c r="F4" s="164" t="s">
        <v>7</v>
      </c>
      <c r="G4" s="164" t="s">
        <v>8</v>
      </c>
      <c r="H4" s="120" t="s">
        <v>881</v>
      </c>
      <c r="I4" s="165"/>
      <c r="J4" s="165"/>
      <c r="K4" s="165"/>
      <c r="L4" s="165"/>
      <c r="M4" s="165"/>
      <c r="N4" s="165"/>
    </row>
    <row r="5" spans="1:14" ht="14.1" customHeight="1" x14ac:dyDescent="0.2">
      <c r="A5" s="99"/>
      <c r="B5" s="1"/>
      <c r="C5" s="2" t="s">
        <v>9</v>
      </c>
      <c r="D5" s="1"/>
      <c r="E5" s="1"/>
      <c r="F5" s="1"/>
      <c r="G5" s="1"/>
      <c r="H5" s="109"/>
    </row>
    <row r="6" spans="1:14" ht="24" customHeight="1" x14ac:dyDescent="0.2">
      <c r="A6" s="99"/>
      <c r="B6" s="1"/>
      <c r="C6" s="2" t="s">
        <v>10</v>
      </c>
      <c r="D6" s="1"/>
      <c r="E6" s="1"/>
      <c r="F6" s="1"/>
      <c r="G6" s="1"/>
      <c r="H6" s="109"/>
    </row>
    <row r="7" spans="1:14" ht="17.100000000000001" customHeight="1" x14ac:dyDescent="0.2">
      <c r="A7" s="100">
        <v>1</v>
      </c>
      <c r="B7" s="3" t="s">
        <v>307</v>
      </c>
      <c r="C7" s="3" t="s">
        <v>308</v>
      </c>
      <c r="D7" s="3" t="s">
        <v>309</v>
      </c>
      <c r="E7" s="4">
        <v>398056</v>
      </c>
      <c r="F7" s="5">
        <v>9794.764964</v>
      </c>
      <c r="G7" s="6">
        <v>8.8506180000000004E-2</v>
      </c>
      <c r="H7" s="109"/>
    </row>
    <row r="8" spans="1:14" ht="17.100000000000001" customHeight="1" x14ac:dyDescent="0.2">
      <c r="A8" s="100">
        <v>2</v>
      </c>
      <c r="B8" s="3" t="s">
        <v>312</v>
      </c>
      <c r="C8" s="3" t="s">
        <v>313</v>
      </c>
      <c r="D8" s="3" t="s">
        <v>309</v>
      </c>
      <c r="E8" s="4">
        <v>1820266</v>
      </c>
      <c r="F8" s="5">
        <v>6856.9420220000002</v>
      </c>
      <c r="G8" s="6">
        <v>6.1959809999999997E-2</v>
      </c>
      <c r="H8" s="109"/>
    </row>
    <row r="9" spans="1:14" ht="17.100000000000001" customHeight="1" x14ac:dyDescent="0.2">
      <c r="A9" s="100">
        <v>3</v>
      </c>
      <c r="B9" s="3" t="s">
        <v>354</v>
      </c>
      <c r="C9" s="3" t="s">
        <v>355</v>
      </c>
      <c r="D9" s="3" t="s">
        <v>115</v>
      </c>
      <c r="E9" s="4">
        <v>282609</v>
      </c>
      <c r="F9" s="5">
        <v>6705.7463520000001</v>
      </c>
      <c r="G9" s="6">
        <v>6.0593590000000003E-2</v>
      </c>
      <c r="H9" s="109"/>
    </row>
    <row r="10" spans="1:14" ht="17.100000000000001" customHeight="1" x14ac:dyDescent="0.2">
      <c r="A10" s="100">
        <v>4</v>
      </c>
      <c r="B10" s="3" t="s">
        <v>14</v>
      </c>
      <c r="C10" s="3" t="s">
        <v>15</v>
      </c>
      <c r="D10" s="3" t="s">
        <v>16</v>
      </c>
      <c r="E10" s="4">
        <v>884639</v>
      </c>
      <c r="F10" s="5">
        <v>6566.2329774999998</v>
      </c>
      <c r="G10" s="6">
        <v>5.9332940000000001E-2</v>
      </c>
      <c r="H10" s="109"/>
    </row>
    <row r="11" spans="1:14" ht="17.100000000000001" customHeight="1" x14ac:dyDescent="0.2">
      <c r="A11" s="100">
        <v>5</v>
      </c>
      <c r="B11" s="3" t="s">
        <v>69</v>
      </c>
      <c r="C11" s="3" t="s">
        <v>70</v>
      </c>
      <c r="D11" s="3" t="s">
        <v>71</v>
      </c>
      <c r="E11" s="4">
        <v>70800</v>
      </c>
      <c r="F11" s="5">
        <v>6106.0397999999996</v>
      </c>
      <c r="G11" s="6">
        <v>5.5174599999999997E-2</v>
      </c>
      <c r="H11" s="109"/>
    </row>
    <row r="12" spans="1:14" ht="17.100000000000001" customHeight="1" x14ac:dyDescent="0.2">
      <c r="A12" s="100">
        <v>6</v>
      </c>
      <c r="B12" s="3" t="s">
        <v>545</v>
      </c>
      <c r="C12" s="3" t="s">
        <v>546</v>
      </c>
      <c r="D12" s="3" t="s">
        <v>196</v>
      </c>
      <c r="E12" s="4">
        <v>552858</v>
      </c>
      <c r="F12" s="5">
        <v>4094.4663479999999</v>
      </c>
      <c r="G12" s="6">
        <v>3.6997879999999997E-2</v>
      </c>
      <c r="H12" s="109"/>
      <c r="J12" s="169"/>
    </row>
    <row r="13" spans="1:14" ht="17.100000000000001" customHeight="1" x14ac:dyDescent="0.2">
      <c r="A13" s="100">
        <v>7</v>
      </c>
      <c r="B13" s="3" t="s">
        <v>408</v>
      </c>
      <c r="C13" s="3" t="s">
        <v>409</v>
      </c>
      <c r="D13" s="3" t="s">
        <v>115</v>
      </c>
      <c r="E13" s="4">
        <v>184344</v>
      </c>
      <c r="F13" s="5">
        <v>3726.0531000000001</v>
      </c>
      <c r="G13" s="6">
        <v>3.3668879999999998E-2</v>
      </c>
      <c r="H13" s="109"/>
    </row>
    <row r="14" spans="1:14" ht="29.1" customHeight="1" x14ac:dyDescent="0.2">
      <c r="A14" s="100">
        <v>8</v>
      </c>
      <c r="B14" s="3" t="s">
        <v>204</v>
      </c>
      <c r="C14" s="3" t="s">
        <v>205</v>
      </c>
      <c r="D14" s="3" t="s">
        <v>115</v>
      </c>
      <c r="E14" s="4">
        <v>1126117</v>
      </c>
      <c r="F14" s="5">
        <v>3421.7065044999999</v>
      </c>
      <c r="G14" s="6">
        <v>3.091878E-2</v>
      </c>
      <c r="H14" s="109"/>
      <c r="J14" s="169" t="s">
        <v>1081</v>
      </c>
    </row>
    <row r="15" spans="1:14" ht="17.100000000000001" customHeight="1" x14ac:dyDescent="0.2">
      <c r="A15" s="100">
        <v>9</v>
      </c>
      <c r="B15" s="3" t="s">
        <v>32</v>
      </c>
      <c r="C15" s="3" t="s">
        <v>33</v>
      </c>
      <c r="D15" s="3" t="s">
        <v>22</v>
      </c>
      <c r="E15" s="4">
        <v>632666</v>
      </c>
      <c r="F15" s="5">
        <v>3307.5778479999999</v>
      </c>
      <c r="G15" s="6">
        <v>2.9887509999999999E-2</v>
      </c>
      <c r="H15" s="109"/>
    </row>
    <row r="16" spans="1:14" ht="17.100000000000001" customHeight="1" x14ac:dyDescent="0.2">
      <c r="A16" s="100">
        <v>10</v>
      </c>
      <c r="B16" s="3" t="s">
        <v>310</v>
      </c>
      <c r="C16" s="3" t="s">
        <v>311</v>
      </c>
      <c r="D16" s="3" t="s">
        <v>71</v>
      </c>
      <c r="E16" s="4">
        <v>239842</v>
      </c>
      <c r="F16" s="5">
        <v>3045.034032</v>
      </c>
      <c r="G16" s="6">
        <v>2.751514E-2</v>
      </c>
      <c r="H16" s="109"/>
    </row>
    <row r="17" spans="1:8" ht="17.100000000000001" customHeight="1" x14ac:dyDescent="0.2">
      <c r="A17" s="100">
        <v>11</v>
      </c>
      <c r="B17" s="3" t="s">
        <v>226</v>
      </c>
      <c r="C17" s="3" t="s">
        <v>227</v>
      </c>
      <c r="D17" s="3" t="s">
        <v>228</v>
      </c>
      <c r="E17" s="4">
        <v>7539</v>
      </c>
      <c r="F17" s="5">
        <v>2862.5319135</v>
      </c>
      <c r="G17" s="6">
        <v>2.586604E-2</v>
      </c>
      <c r="H17" s="109"/>
    </row>
    <row r="18" spans="1:8" ht="17.100000000000001" customHeight="1" x14ac:dyDescent="0.2">
      <c r="A18" s="100">
        <v>12</v>
      </c>
      <c r="B18" s="3" t="s">
        <v>753</v>
      </c>
      <c r="C18" s="3" t="s">
        <v>754</v>
      </c>
      <c r="D18" s="3" t="s">
        <v>253</v>
      </c>
      <c r="E18" s="4">
        <v>15055</v>
      </c>
      <c r="F18" s="5">
        <v>2810.7685000000001</v>
      </c>
      <c r="G18" s="6">
        <v>2.5398299999999999E-2</v>
      </c>
      <c r="H18" s="109"/>
    </row>
    <row r="19" spans="1:8" ht="17.100000000000001" customHeight="1" x14ac:dyDescent="0.2">
      <c r="A19" s="100">
        <v>13</v>
      </c>
      <c r="B19" s="3" t="s">
        <v>194</v>
      </c>
      <c r="C19" s="3" t="s">
        <v>195</v>
      </c>
      <c r="D19" s="3" t="s">
        <v>196</v>
      </c>
      <c r="E19" s="4">
        <v>212013</v>
      </c>
      <c r="F19" s="5">
        <v>2757.7590974999998</v>
      </c>
      <c r="G19" s="6">
        <v>2.4919299999999998E-2</v>
      </c>
      <c r="H19" s="109"/>
    </row>
    <row r="20" spans="1:8" ht="17.100000000000001" customHeight="1" x14ac:dyDescent="0.2">
      <c r="A20" s="100">
        <v>14</v>
      </c>
      <c r="B20" s="3" t="s">
        <v>549</v>
      </c>
      <c r="C20" s="3" t="s">
        <v>550</v>
      </c>
      <c r="D20" s="3" t="s">
        <v>71</v>
      </c>
      <c r="E20" s="4">
        <v>86964</v>
      </c>
      <c r="F20" s="5">
        <v>2701.0148760000002</v>
      </c>
      <c r="G20" s="6">
        <v>2.4406560000000001E-2</v>
      </c>
      <c r="H20" s="109"/>
    </row>
    <row r="21" spans="1:8" ht="17.100000000000001" customHeight="1" x14ac:dyDescent="0.2">
      <c r="A21" s="100">
        <v>15</v>
      </c>
      <c r="B21" s="3" t="s">
        <v>238</v>
      </c>
      <c r="C21" s="3" t="s">
        <v>239</v>
      </c>
      <c r="D21" s="3" t="s">
        <v>210</v>
      </c>
      <c r="E21" s="4">
        <v>60999</v>
      </c>
      <c r="F21" s="5">
        <v>2684.9624835</v>
      </c>
      <c r="G21" s="6">
        <v>2.426151E-2</v>
      </c>
      <c r="H21" s="109"/>
    </row>
    <row r="22" spans="1:8" ht="17.100000000000001" customHeight="1" x14ac:dyDescent="0.2">
      <c r="A22" s="100">
        <v>16</v>
      </c>
      <c r="B22" s="3" t="s">
        <v>366</v>
      </c>
      <c r="C22" s="3" t="s">
        <v>367</v>
      </c>
      <c r="D22" s="3" t="s">
        <v>203</v>
      </c>
      <c r="E22" s="4">
        <v>1884147</v>
      </c>
      <c r="F22" s="5">
        <v>2636.8637265000002</v>
      </c>
      <c r="G22" s="6">
        <v>2.382689E-2</v>
      </c>
      <c r="H22" s="109"/>
    </row>
    <row r="23" spans="1:8" ht="17.100000000000001" customHeight="1" x14ac:dyDescent="0.2">
      <c r="A23" s="100">
        <v>17</v>
      </c>
      <c r="B23" s="3" t="s">
        <v>217</v>
      </c>
      <c r="C23" s="3" t="s">
        <v>218</v>
      </c>
      <c r="D23" s="3" t="s">
        <v>115</v>
      </c>
      <c r="E23" s="4">
        <v>2263929</v>
      </c>
      <c r="F23" s="5">
        <v>2572.9553084999998</v>
      </c>
      <c r="G23" s="6">
        <v>2.32494E-2</v>
      </c>
      <c r="H23" s="109"/>
    </row>
    <row r="24" spans="1:8" ht="17.100000000000001" customHeight="1" x14ac:dyDescent="0.2">
      <c r="A24" s="100">
        <v>18</v>
      </c>
      <c r="B24" s="3" t="s">
        <v>633</v>
      </c>
      <c r="C24" s="3" t="s">
        <v>634</v>
      </c>
      <c r="D24" s="3" t="s">
        <v>115</v>
      </c>
      <c r="E24" s="4">
        <v>81988</v>
      </c>
      <c r="F24" s="5">
        <v>2319.2765439999998</v>
      </c>
      <c r="G24" s="6">
        <v>2.0957150000000001E-2</v>
      </c>
      <c r="H24" s="109"/>
    </row>
    <row r="25" spans="1:8" ht="17.100000000000001" customHeight="1" x14ac:dyDescent="0.2">
      <c r="A25" s="100">
        <v>19</v>
      </c>
      <c r="B25" s="3" t="s">
        <v>95</v>
      </c>
      <c r="C25" s="3" t="s">
        <v>96</v>
      </c>
      <c r="D25" s="3" t="s">
        <v>97</v>
      </c>
      <c r="E25" s="4">
        <v>461525</v>
      </c>
      <c r="F25" s="5">
        <v>2250.6266624999998</v>
      </c>
      <c r="G25" s="6">
        <v>2.0336819999999999E-2</v>
      </c>
      <c r="H25" s="109"/>
    </row>
    <row r="26" spans="1:8" ht="17.100000000000001" customHeight="1" x14ac:dyDescent="0.2">
      <c r="A26" s="100">
        <v>20</v>
      </c>
      <c r="B26" s="3" t="s">
        <v>681</v>
      </c>
      <c r="C26" s="3" t="s">
        <v>682</v>
      </c>
      <c r="D26" s="3" t="s">
        <v>253</v>
      </c>
      <c r="E26" s="4">
        <v>47367</v>
      </c>
      <c r="F26" s="5">
        <v>2113.3971225</v>
      </c>
      <c r="G26" s="6">
        <v>1.9096800000000001E-2</v>
      </c>
      <c r="H26" s="109"/>
    </row>
    <row r="27" spans="1:8" ht="17.100000000000001" customHeight="1" x14ac:dyDescent="0.2">
      <c r="A27" s="100">
        <v>21</v>
      </c>
      <c r="B27" s="3" t="s">
        <v>410</v>
      </c>
      <c r="C27" s="3" t="s">
        <v>411</v>
      </c>
      <c r="D27" s="3" t="s">
        <v>235</v>
      </c>
      <c r="E27" s="4">
        <v>295409</v>
      </c>
      <c r="F27" s="5">
        <v>1916.3181830000001</v>
      </c>
      <c r="G27" s="6">
        <v>1.731599E-2</v>
      </c>
      <c r="H27" s="109"/>
    </row>
    <row r="28" spans="1:8" ht="17.100000000000001" customHeight="1" x14ac:dyDescent="0.2">
      <c r="A28" s="100">
        <v>22</v>
      </c>
      <c r="B28" s="3" t="s">
        <v>305</v>
      </c>
      <c r="C28" s="3" t="s">
        <v>306</v>
      </c>
      <c r="D28" s="3" t="s">
        <v>242</v>
      </c>
      <c r="E28" s="4">
        <v>119499</v>
      </c>
      <c r="F28" s="5">
        <v>1814.2338179999999</v>
      </c>
      <c r="G28" s="6">
        <v>1.6393540000000002E-2</v>
      </c>
      <c r="H28" s="109"/>
    </row>
    <row r="29" spans="1:8" ht="17.100000000000001" customHeight="1" x14ac:dyDescent="0.2">
      <c r="A29" s="100">
        <v>23</v>
      </c>
      <c r="B29" s="3" t="s">
        <v>803</v>
      </c>
      <c r="C29" s="3" t="s">
        <v>804</v>
      </c>
      <c r="D29" s="3" t="s">
        <v>203</v>
      </c>
      <c r="E29" s="4">
        <v>2567571</v>
      </c>
      <c r="F29" s="5">
        <v>1802.4348419999999</v>
      </c>
      <c r="G29" s="6">
        <v>1.6286930000000002E-2</v>
      </c>
      <c r="H29" s="109"/>
    </row>
    <row r="30" spans="1:8" ht="17.100000000000001" customHeight="1" x14ac:dyDescent="0.2">
      <c r="A30" s="100">
        <v>24</v>
      </c>
      <c r="B30" s="3" t="s">
        <v>547</v>
      </c>
      <c r="C30" s="3" t="s">
        <v>548</v>
      </c>
      <c r="D30" s="3" t="s">
        <v>277</v>
      </c>
      <c r="E30" s="4">
        <v>190121</v>
      </c>
      <c r="F30" s="5">
        <v>1755.387193</v>
      </c>
      <c r="G30" s="6">
        <v>1.5861799999999999E-2</v>
      </c>
      <c r="H30" s="109"/>
    </row>
    <row r="31" spans="1:8" ht="17.100000000000001" customHeight="1" x14ac:dyDescent="0.2">
      <c r="A31" s="100">
        <v>25</v>
      </c>
      <c r="B31" s="3" t="s">
        <v>805</v>
      </c>
      <c r="C31" s="3" t="s">
        <v>806</v>
      </c>
      <c r="D31" s="3" t="s">
        <v>235</v>
      </c>
      <c r="E31" s="4">
        <v>1141353</v>
      </c>
      <c r="F31" s="5">
        <v>1739.4219720000001</v>
      </c>
      <c r="G31" s="6">
        <v>1.5717539999999999E-2</v>
      </c>
      <c r="H31" s="109"/>
    </row>
    <row r="32" spans="1:8" ht="17.100000000000001" customHeight="1" x14ac:dyDescent="0.2">
      <c r="A32" s="100">
        <v>26</v>
      </c>
      <c r="B32" s="3" t="s">
        <v>224</v>
      </c>
      <c r="C32" s="3" t="s">
        <v>225</v>
      </c>
      <c r="D32" s="3" t="s">
        <v>196</v>
      </c>
      <c r="E32" s="4">
        <v>114437</v>
      </c>
      <c r="F32" s="5">
        <v>1655.788953</v>
      </c>
      <c r="G32" s="6">
        <v>1.4961830000000001E-2</v>
      </c>
      <c r="H32" s="109"/>
    </row>
    <row r="33" spans="1:8" ht="17.100000000000001" customHeight="1" x14ac:dyDescent="0.2">
      <c r="A33" s="100">
        <v>27</v>
      </c>
      <c r="B33" s="3" t="s">
        <v>240</v>
      </c>
      <c r="C33" s="3" t="s">
        <v>241</v>
      </c>
      <c r="D33" s="3" t="s">
        <v>242</v>
      </c>
      <c r="E33" s="4">
        <v>840000</v>
      </c>
      <c r="F33" s="5">
        <v>1643.04</v>
      </c>
      <c r="G33" s="6">
        <v>1.484662E-2</v>
      </c>
      <c r="H33" s="109"/>
    </row>
    <row r="34" spans="1:8" ht="17.100000000000001" customHeight="1" x14ac:dyDescent="0.2">
      <c r="A34" s="100">
        <v>28</v>
      </c>
      <c r="B34" s="3" t="s">
        <v>522</v>
      </c>
      <c r="C34" s="3" t="s">
        <v>523</v>
      </c>
      <c r="D34" s="3" t="s">
        <v>115</v>
      </c>
      <c r="E34" s="4">
        <v>126253</v>
      </c>
      <c r="F34" s="5">
        <v>1636.8701450000001</v>
      </c>
      <c r="G34" s="6">
        <v>1.4790869999999999E-2</v>
      </c>
      <c r="H34" s="109"/>
    </row>
    <row r="35" spans="1:8" ht="17.100000000000001" customHeight="1" x14ac:dyDescent="0.2">
      <c r="A35" s="100">
        <v>29</v>
      </c>
      <c r="B35" s="3" t="s">
        <v>356</v>
      </c>
      <c r="C35" s="3" t="s">
        <v>357</v>
      </c>
      <c r="D35" s="3" t="s">
        <v>203</v>
      </c>
      <c r="E35" s="4">
        <v>45680</v>
      </c>
      <c r="F35" s="5">
        <v>1560.86276</v>
      </c>
      <c r="G35" s="6">
        <v>1.410407E-2</v>
      </c>
      <c r="H35" s="109"/>
    </row>
    <row r="36" spans="1:8" ht="17.100000000000001" customHeight="1" x14ac:dyDescent="0.2">
      <c r="A36" s="100">
        <v>30</v>
      </c>
      <c r="B36" s="3" t="s">
        <v>251</v>
      </c>
      <c r="C36" s="3" t="s">
        <v>252</v>
      </c>
      <c r="D36" s="3" t="s">
        <v>253</v>
      </c>
      <c r="E36" s="4">
        <v>149150</v>
      </c>
      <c r="F36" s="5">
        <v>1342.4991500000001</v>
      </c>
      <c r="G36" s="6">
        <v>1.213092E-2</v>
      </c>
      <c r="H36" s="109"/>
    </row>
    <row r="37" spans="1:8" ht="17.100000000000001" customHeight="1" x14ac:dyDescent="0.2">
      <c r="A37" s="100">
        <v>31</v>
      </c>
      <c r="B37" s="3" t="s">
        <v>773</v>
      </c>
      <c r="C37" s="3" t="s">
        <v>774</v>
      </c>
      <c r="D37" s="3" t="s">
        <v>203</v>
      </c>
      <c r="E37" s="4">
        <v>35631</v>
      </c>
      <c r="F37" s="5">
        <v>1244.1276270000001</v>
      </c>
      <c r="G37" s="6">
        <v>1.124202E-2</v>
      </c>
      <c r="H37" s="109"/>
    </row>
    <row r="38" spans="1:8" ht="17.100000000000001" customHeight="1" x14ac:dyDescent="0.2">
      <c r="A38" s="100">
        <v>32</v>
      </c>
      <c r="B38" s="3" t="s">
        <v>688</v>
      </c>
      <c r="C38" s="3" t="s">
        <v>689</v>
      </c>
      <c r="D38" s="3" t="s">
        <v>115</v>
      </c>
      <c r="E38" s="4">
        <v>103739</v>
      </c>
      <c r="F38" s="5">
        <v>1216.7028614999999</v>
      </c>
      <c r="G38" s="6">
        <v>1.0994210000000001E-2</v>
      </c>
      <c r="H38" s="109"/>
    </row>
    <row r="39" spans="1:8" ht="29.1" customHeight="1" x14ac:dyDescent="0.2">
      <c r="A39" s="100">
        <v>33</v>
      </c>
      <c r="B39" s="3" t="s">
        <v>426</v>
      </c>
      <c r="C39" s="3" t="s">
        <v>427</v>
      </c>
      <c r="D39" s="3" t="s">
        <v>115</v>
      </c>
      <c r="E39" s="4">
        <v>103576</v>
      </c>
      <c r="F39" s="5">
        <v>1199.3065039999999</v>
      </c>
      <c r="G39" s="6">
        <v>1.0837019999999999E-2</v>
      </c>
      <c r="H39" s="109"/>
    </row>
    <row r="40" spans="1:8" ht="17.100000000000001" customHeight="1" x14ac:dyDescent="0.2">
      <c r="A40" s="100">
        <v>34</v>
      </c>
      <c r="B40" s="3" t="s">
        <v>508</v>
      </c>
      <c r="C40" s="3" t="s">
        <v>509</v>
      </c>
      <c r="D40" s="3" t="s">
        <v>334</v>
      </c>
      <c r="E40" s="4">
        <v>180000</v>
      </c>
      <c r="F40" s="5">
        <v>1178.01</v>
      </c>
      <c r="G40" s="6">
        <v>1.0644580000000001E-2</v>
      </c>
      <c r="H40" s="109"/>
    </row>
    <row r="41" spans="1:8" ht="17.100000000000001" customHeight="1" x14ac:dyDescent="0.2">
      <c r="A41" s="100">
        <v>35</v>
      </c>
      <c r="B41" s="3" t="s">
        <v>807</v>
      </c>
      <c r="C41" s="3" t="s">
        <v>898</v>
      </c>
      <c r="D41" s="3" t="s">
        <v>115</v>
      </c>
      <c r="E41" s="4">
        <v>109559</v>
      </c>
      <c r="F41" s="5">
        <v>589.75609699999995</v>
      </c>
      <c r="G41" s="6">
        <v>5.3290799999999999E-3</v>
      </c>
      <c r="H41" s="109"/>
    </row>
    <row r="42" spans="1:8" ht="17.100000000000001" customHeight="1" x14ac:dyDescent="0.2">
      <c r="A42" s="100">
        <v>36</v>
      </c>
      <c r="B42" s="3" t="s">
        <v>113</v>
      </c>
      <c r="C42" s="3" t="s">
        <v>114</v>
      </c>
      <c r="D42" s="3" t="s">
        <v>115</v>
      </c>
      <c r="E42" s="4">
        <v>49000</v>
      </c>
      <c r="F42" s="5">
        <v>137.4205</v>
      </c>
      <c r="G42" s="6">
        <v>1.2417400000000001E-3</v>
      </c>
      <c r="H42" s="109"/>
    </row>
    <row r="43" spans="1:8" ht="17.100000000000001" customHeight="1" x14ac:dyDescent="0.2">
      <c r="A43" s="100">
        <v>37</v>
      </c>
      <c r="B43" s="3" t="s">
        <v>270</v>
      </c>
      <c r="C43" s="3" t="s">
        <v>901</v>
      </c>
      <c r="D43" s="3" t="s">
        <v>235</v>
      </c>
      <c r="E43" s="4">
        <v>24600</v>
      </c>
      <c r="F43" s="5">
        <v>90.208200000000005</v>
      </c>
      <c r="G43" s="6">
        <v>8.1512999999999996E-4</v>
      </c>
      <c r="H43" s="109"/>
    </row>
    <row r="44" spans="1:8" ht="14.1" customHeight="1" x14ac:dyDescent="0.2">
      <c r="A44" s="99"/>
      <c r="B44" s="1"/>
      <c r="C44" s="2" t="s">
        <v>135</v>
      </c>
      <c r="D44" s="1"/>
      <c r="E44" s="1" t="s">
        <v>136</v>
      </c>
      <c r="F44" s="8">
        <v>101857.10898800001</v>
      </c>
      <c r="G44" s="9">
        <v>0.92038797000000006</v>
      </c>
      <c r="H44" s="109"/>
    </row>
    <row r="45" spans="1:8" ht="14.1" customHeight="1" x14ac:dyDescent="0.2">
      <c r="A45" s="99"/>
      <c r="B45" s="1"/>
      <c r="C45" s="10"/>
      <c r="D45" s="1"/>
      <c r="E45" s="1"/>
      <c r="F45" s="11"/>
      <c r="G45" s="11"/>
      <c r="H45" s="109"/>
    </row>
    <row r="46" spans="1:8" ht="14.1" customHeight="1" x14ac:dyDescent="0.2">
      <c r="A46" s="99"/>
      <c r="B46" s="1"/>
      <c r="C46" s="2" t="s">
        <v>137</v>
      </c>
      <c r="D46" s="1"/>
      <c r="E46" s="1"/>
      <c r="F46" s="1"/>
      <c r="G46" s="1"/>
      <c r="H46" s="109"/>
    </row>
    <row r="47" spans="1:8" ht="14.1" customHeight="1" x14ac:dyDescent="0.2">
      <c r="A47" s="99"/>
      <c r="B47" s="1"/>
      <c r="C47" s="2" t="s">
        <v>135</v>
      </c>
      <c r="D47" s="1"/>
      <c r="E47" s="1" t="s">
        <v>136</v>
      </c>
      <c r="F47" s="115">
        <v>0</v>
      </c>
      <c r="G47" s="9">
        <v>0</v>
      </c>
      <c r="H47" s="109"/>
    </row>
    <row r="48" spans="1:8" ht="14.1" customHeight="1" x14ac:dyDescent="0.2">
      <c r="A48" s="99"/>
      <c r="B48" s="1"/>
      <c r="C48" s="10"/>
      <c r="D48" s="1"/>
      <c r="E48" s="1"/>
      <c r="F48" s="11"/>
      <c r="G48" s="11"/>
      <c r="H48" s="109"/>
    </row>
    <row r="49" spans="1:8" ht="14.1" customHeight="1" x14ac:dyDescent="0.2">
      <c r="A49" s="99"/>
      <c r="B49" s="1"/>
      <c r="C49" s="2" t="s">
        <v>138</v>
      </c>
      <c r="D49" s="1"/>
      <c r="E49" s="1"/>
      <c r="F49" s="1"/>
      <c r="G49" s="1"/>
      <c r="H49" s="109"/>
    </row>
    <row r="50" spans="1:8" ht="14.1" customHeight="1" x14ac:dyDescent="0.2">
      <c r="A50" s="99"/>
      <c r="B50" s="1"/>
      <c r="C50" s="2" t="s">
        <v>135</v>
      </c>
      <c r="D50" s="1"/>
      <c r="E50" s="1" t="s">
        <v>136</v>
      </c>
      <c r="F50" s="115">
        <v>0</v>
      </c>
      <c r="G50" s="9">
        <v>0</v>
      </c>
      <c r="H50" s="109"/>
    </row>
    <row r="51" spans="1:8" ht="14.1" customHeight="1" x14ac:dyDescent="0.2">
      <c r="A51" s="99"/>
      <c r="B51" s="1"/>
      <c r="C51" s="10"/>
      <c r="D51" s="1"/>
      <c r="E51" s="1"/>
      <c r="F51" s="11"/>
      <c r="G51" s="11"/>
      <c r="H51" s="109"/>
    </row>
    <row r="52" spans="1:8" ht="14.1" customHeight="1" x14ac:dyDescent="0.2">
      <c r="A52" s="99"/>
      <c r="B52" s="1"/>
      <c r="C52" s="2" t="s">
        <v>139</v>
      </c>
      <c r="D52" s="1"/>
      <c r="E52" s="1"/>
      <c r="F52" s="1"/>
      <c r="G52" s="1"/>
      <c r="H52" s="109"/>
    </row>
    <row r="53" spans="1:8" ht="14.1" customHeight="1" x14ac:dyDescent="0.2">
      <c r="A53" s="99"/>
      <c r="B53" s="1"/>
      <c r="C53" s="2" t="s">
        <v>135</v>
      </c>
      <c r="D53" s="1"/>
      <c r="E53" s="1" t="s">
        <v>136</v>
      </c>
      <c r="F53" s="115">
        <v>0</v>
      </c>
      <c r="G53" s="9">
        <v>0</v>
      </c>
      <c r="H53" s="109"/>
    </row>
    <row r="54" spans="1:8" ht="14.1" customHeight="1" x14ac:dyDescent="0.2">
      <c r="A54" s="99"/>
      <c r="B54" s="1"/>
      <c r="C54" s="10"/>
      <c r="D54" s="1"/>
      <c r="E54" s="1"/>
      <c r="F54" s="11"/>
      <c r="G54" s="11"/>
      <c r="H54" s="109"/>
    </row>
    <row r="55" spans="1:8" ht="14.1" customHeight="1" x14ac:dyDescent="0.2">
      <c r="A55" s="99"/>
      <c r="B55" s="1"/>
      <c r="C55" s="2" t="s">
        <v>140</v>
      </c>
      <c r="D55" s="1"/>
      <c r="E55" s="1"/>
      <c r="F55" s="11"/>
      <c r="G55" s="11"/>
      <c r="H55" s="109"/>
    </row>
    <row r="56" spans="1:8" ht="14.1" customHeight="1" x14ac:dyDescent="0.2">
      <c r="A56" s="99"/>
      <c r="B56" s="1"/>
      <c r="C56" s="2" t="s">
        <v>135</v>
      </c>
      <c r="D56" s="1"/>
      <c r="E56" s="1" t="s">
        <v>136</v>
      </c>
      <c r="F56" s="115">
        <v>0</v>
      </c>
      <c r="G56" s="9">
        <v>0</v>
      </c>
      <c r="H56" s="109"/>
    </row>
    <row r="57" spans="1:8" ht="14.1" customHeight="1" x14ac:dyDescent="0.2">
      <c r="A57" s="99"/>
      <c r="B57" s="1"/>
      <c r="C57" s="10"/>
      <c r="D57" s="1"/>
      <c r="E57" s="1"/>
      <c r="F57" s="11"/>
      <c r="G57" s="11"/>
      <c r="H57" s="109"/>
    </row>
    <row r="58" spans="1:8" ht="14.1" customHeight="1" x14ac:dyDescent="0.2">
      <c r="A58" s="99"/>
      <c r="B58" s="1"/>
      <c r="C58" s="2" t="s">
        <v>141</v>
      </c>
      <c r="D58" s="1"/>
      <c r="E58" s="1"/>
      <c r="F58" s="11"/>
      <c r="G58" s="11"/>
      <c r="H58" s="109"/>
    </row>
    <row r="59" spans="1:8" ht="14.1" customHeight="1" x14ac:dyDescent="0.2">
      <c r="A59" s="99"/>
      <c r="B59" s="1"/>
      <c r="C59" s="2" t="s">
        <v>135</v>
      </c>
      <c r="D59" s="1"/>
      <c r="E59" s="1" t="s">
        <v>136</v>
      </c>
      <c r="F59" s="115">
        <v>0</v>
      </c>
      <c r="G59" s="9">
        <v>0</v>
      </c>
      <c r="H59" s="109"/>
    </row>
    <row r="60" spans="1:8" ht="14.1" customHeight="1" x14ac:dyDescent="0.2">
      <c r="A60" s="99"/>
      <c r="B60" s="1"/>
      <c r="C60" s="10"/>
      <c r="D60" s="1"/>
      <c r="E60" s="1"/>
      <c r="F60" s="11"/>
      <c r="G60" s="11"/>
      <c r="H60" s="109"/>
    </row>
    <row r="61" spans="1:8" ht="18" customHeight="1" x14ac:dyDescent="0.2">
      <c r="A61" s="99"/>
      <c r="B61" s="1"/>
      <c r="C61" s="2" t="s">
        <v>142</v>
      </c>
      <c r="D61" s="1"/>
      <c r="E61" s="1"/>
      <c r="F61" s="8">
        <v>101857.10898800001</v>
      </c>
      <c r="G61" s="9">
        <v>0.92038797000000006</v>
      </c>
      <c r="H61" s="109"/>
    </row>
    <row r="62" spans="1:8" ht="14.1" customHeight="1" x14ac:dyDescent="0.2">
      <c r="A62" s="99"/>
      <c r="B62" s="1"/>
      <c r="C62" s="10"/>
      <c r="D62" s="1"/>
      <c r="E62" s="1"/>
      <c r="F62" s="11"/>
      <c r="G62" s="11"/>
      <c r="H62" s="109"/>
    </row>
    <row r="63" spans="1:8" ht="14.1" customHeight="1" x14ac:dyDescent="0.2">
      <c r="A63" s="99"/>
      <c r="B63" s="1"/>
      <c r="C63" s="2" t="s">
        <v>143</v>
      </c>
      <c r="D63" s="1"/>
      <c r="E63" s="1"/>
      <c r="F63" s="11"/>
      <c r="G63" s="11"/>
      <c r="H63" s="109"/>
    </row>
    <row r="64" spans="1:8" ht="24" customHeight="1" x14ac:dyDescent="0.2">
      <c r="A64" s="99"/>
      <c r="B64" s="1"/>
      <c r="C64" s="2" t="s">
        <v>10</v>
      </c>
      <c r="D64" s="1"/>
      <c r="E64" s="1"/>
      <c r="F64" s="11"/>
      <c r="G64" s="11"/>
      <c r="H64" s="109"/>
    </row>
    <row r="65" spans="1:8" ht="14.1" customHeight="1" x14ac:dyDescent="0.2">
      <c r="A65" s="99"/>
      <c r="B65" s="1"/>
      <c r="C65" s="2" t="s">
        <v>135</v>
      </c>
      <c r="D65" s="1"/>
      <c r="E65" s="1" t="s">
        <v>136</v>
      </c>
      <c r="F65" s="115">
        <v>0</v>
      </c>
      <c r="G65" s="9">
        <v>0</v>
      </c>
      <c r="H65" s="109"/>
    </row>
    <row r="66" spans="1:8" ht="14.1" customHeight="1" x14ac:dyDescent="0.2">
      <c r="A66" s="99"/>
      <c r="B66" s="1"/>
      <c r="C66" s="10"/>
      <c r="D66" s="1"/>
      <c r="E66" s="1"/>
      <c r="F66" s="11"/>
      <c r="G66" s="11"/>
      <c r="H66" s="109"/>
    </row>
    <row r="67" spans="1:8" ht="14.1" customHeight="1" x14ac:dyDescent="0.2">
      <c r="A67" s="99"/>
      <c r="B67" s="1"/>
      <c r="C67" s="2" t="s">
        <v>144</v>
      </c>
      <c r="D67" s="1"/>
      <c r="E67" s="1"/>
      <c r="F67" s="1"/>
      <c r="G67" s="1"/>
      <c r="H67" s="109"/>
    </row>
    <row r="68" spans="1:8" ht="14.1" customHeight="1" x14ac:dyDescent="0.2">
      <c r="A68" s="99"/>
      <c r="B68" s="1"/>
      <c r="C68" s="2" t="s">
        <v>135</v>
      </c>
      <c r="D68" s="1"/>
      <c r="E68" s="1" t="s">
        <v>136</v>
      </c>
      <c r="F68" s="115">
        <v>0</v>
      </c>
      <c r="G68" s="9">
        <v>0</v>
      </c>
      <c r="H68" s="109"/>
    </row>
    <row r="69" spans="1:8" ht="14.1" customHeight="1" x14ac:dyDescent="0.2">
      <c r="A69" s="99"/>
      <c r="B69" s="1"/>
      <c r="C69" s="10"/>
      <c r="D69" s="1"/>
      <c r="E69" s="1"/>
      <c r="F69" s="11"/>
      <c r="G69" s="11"/>
      <c r="H69" s="109"/>
    </row>
    <row r="70" spans="1:8" ht="14.1" customHeight="1" x14ac:dyDescent="0.2">
      <c r="A70" s="99"/>
      <c r="B70" s="1"/>
      <c r="C70" s="2" t="s">
        <v>145</v>
      </c>
      <c r="D70" s="1"/>
      <c r="E70" s="1"/>
      <c r="F70" s="1"/>
      <c r="G70" s="1"/>
      <c r="H70" s="109"/>
    </row>
    <row r="71" spans="1:8" ht="14.1" customHeight="1" x14ac:dyDescent="0.2">
      <c r="A71" s="99"/>
      <c r="B71" s="1"/>
      <c r="C71" s="2" t="s">
        <v>135</v>
      </c>
      <c r="D71" s="1"/>
      <c r="E71" s="1" t="s">
        <v>136</v>
      </c>
      <c r="F71" s="115">
        <v>0</v>
      </c>
      <c r="G71" s="9">
        <v>0</v>
      </c>
      <c r="H71" s="109"/>
    </row>
    <row r="72" spans="1:8" ht="14.1" customHeight="1" x14ac:dyDescent="0.2">
      <c r="A72" s="99"/>
      <c r="B72" s="1"/>
      <c r="C72" s="10"/>
      <c r="D72" s="1"/>
      <c r="E72" s="1"/>
      <c r="F72" s="11"/>
      <c r="G72" s="11"/>
      <c r="H72" s="109"/>
    </row>
    <row r="73" spans="1:8" ht="14.1" customHeight="1" x14ac:dyDescent="0.2">
      <c r="A73" s="99"/>
      <c r="B73" s="1"/>
      <c r="C73" s="2" t="s">
        <v>146</v>
      </c>
      <c r="D73" s="1"/>
      <c r="E73" s="1"/>
      <c r="F73" s="11"/>
      <c r="G73" s="11"/>
      <c r="H73" s="109"/>
    </row>
    <row r="74" spans="1:8" ht="14.1" customHeight="1" x14ac:dyDescent="0.2">
      <c r="A74" s="99"/>
      <c r="B74" s="1"/>
      <c r="C74" s="2" t="s">
        <v>135</v>
      </c>
      <c r="D74" s="1"/>
      <c r="E74" s="1" t="s">
        <v>136</v>
      </c>
      <c r="F74" s="115">
        <v>0</v>
      </c>
      <c r="G74" s="9">
        <v>0</v>
      </c>
      <c r="H74" s="109"/>
    </row>
    <row r="75" spans="1:8" ht="14.1" customHeight="1" x14ac:dyDescent="0.2">
      <c r="A75" s="99"/>
      <c r="B75" s="1"/>
      <c r="C75" s="10"/>
      <c r="D75" s="1"/>
      <c r="E75" s="1"/>
      <c r="F75" s="11"/>
      <c r="G75" s="11"/>
      <c r="H75" s="109"/>
    </row>
    <row r="76" spans="1:8" ht="14.1" customHeight="1" x14ac:dyDescent="0.2">
      <c r="A76" s="99"/>
      <c r="B76" s="1"/>
      <c r="C76" s="2" t="s">
        <v>147</v>
      </c>
      <c r="D76" s="1"/>
      <c r="E76" s="1"/>
      <c r="F76" s="8">
        <v>0</v>
      </c>
      <c r="G76" s="9">
        <v>0</v>
      </c>
      <c r="H76" s="109"/>
    </row>
    <row r="77" spans="1:8" ht="14.1" customHeight="1" x14ac:dyDescent="0.2">
      <c r="A77" s="99"/>
      <c r="B77" s="1"/>
      <c r="C77" s="10"/>
      <c r="D77" s="1"/>
      <c r="E77" s="1"/>
      <c r="F77" s="11"/>
      <c r="G77" s="11"/>
      <c r="H77" s="109"/>
    </row>
    <row r="78" spans="1:8" ht="14.1" customHeight="1" x14ac:dyDescent="0.2">
      <c r="A78" s="99"/>
      <c r="B78" s="1"/>
      <c r="C78" s="2" t="s">
        <v>148</v>
      </c>
      <c r="D78" s="1"/>
      <c r="E78" s="1"/>
      <c r="F78" s="11"/>
      <c r="G78" s="11"/>
      <c r="H78" s="109"/>
    </row>
    <row r="79" spans="1:8" ht="14.1" customHeight="1" x14ac:dyDescent="0.2">
      <c r="A79" s="99"/>
      <c r="B79" s="1"/>
      <c r="C79" s="2" t="s">
        <v>149</v>
      </c>
      <c r="D79" s="1"/>
      <c r="E79" s="1"/>
      <c r="F79" s="11"/>
      <c r="G79" s="11"/>
      <c r="H79" s="109"/>
    </row>
    <row r="80" spans="1:8" ht="14.1" customHeight="1" x14ac:dyDescent="0.2">
      <c r="A80" s="99"/>
      <c r="B80" s="1"/>
      <c r="C80" s="2" t="s">
        <v>135</v>
      </c>
      <c r="D80" s="1"/>
      <c r="E80" s="1" t="s">
        <v>136</v>
      </c>
      <c r="F80" s="115">
        <v>0</v>
      </c>
      <c r="G80" s="9">
        <v>0</v>
      </c>
      <c r="H80" s="109"/>
    </row>
    <row r="81" spans="1:8" ht="14.1" customHeight="1" x14ac:dyDescent="0.2">
      <c r="A81" s="99"/>
      <c r="B81" s="1"/>
      <c r="C81" s="10"/>
      <c r="D81" s="1"/>
      <c r="E81" s="1"/>
      <c r="F81" s="11"/>
      <c r="G81" s="11"/>
      <c r="H81" s="109"/>
    </row>
    <row r="82" spans="1:8" ht="14.1" customHeight="1" x14ac:dyDescent="0.2">
      <c r="A82" s="99"/>
      <c r="B82" s="1"/>
      <c r="C82" s="2" t="s">
        <v>150</v>
      </c>
      <c r="D82" s="1"/>
      <c r="E82" s="1"/>
      <c r="F82" s="11"/>
      <c r="G82" s="11"/>
      <c r="H82" s="109"/>
    </row>
    <row r="83" spans="1:8" ht="14.1" customHeight="1" x14ac:dyDescent="0.2">
      <c r="A83" s="99"/>
      <c r="B83" s="1"/>
      <c r="C83" s="2" t="s">
        <v>135</v>
      </c>
      <c r="D83" s="1"/>
      <c r="E83" s="1" t="s">
        <v>136</v>
      </c>
      <c r="F83" s="115">
        <v>0</v>
      </c>
      <c r="G83" s="9">
        <v>0</v>
      </c>
      <c r="H83" s="109"/>
    </row>
    <row r="84" spans="1:8" ht="14.1" customHeight="1" x14ac:dyDescent="0.2">
      <c r="A84" s="99"/>
      <c r="B84" s="1"/>
      <c r="C84" s="10"/>
      <c r="D84" s="1"/>
      <c r="E84" s="1"/>
      <c r="F84" s="11"/>
      <c r="G84" s="11"/>
      <c r="H84" s="109"/>
    </row>
    <row r="85" spans="1:8" ht="14.1" customHeight="1" x14ac:dyDescent="0.2">
      <c r="A85" s="99"/>
      <c r="B85" s="1"/>
      <c r="C85" s="2" t="s">
        <v>151</v>
      </c>
      <c r="D85" s="1"/>
      <c r="E85" s="1"/>
      <c r="F85" s="11"/>
      <c r="G85" s="11"/>
      <c r="H85" s="109"/>
    </row>
    <row r="86" spans="1:8" ht="14.1" customHeight="1" x14ac:dyDescent="0.2">
      <c r="A86" s="99"/>
      <c r="B86" s="1"/>
      <c r="C86" s="2" t="s">
        <v>135</v>
      </c>
      <c r="D86" s="1"/>
      <c r="E86" s="1" t="s">
        <v>136</v>
      </c>
      <c r="F86" s="115">
        <v>0</v>
      </c>
      <c r="G86" s="9">
        <v>0</v>
      </c>
      <c r="H86" s="109"/>
    </row>
    <row r="87" spans="1:8" ht="14.1" customHeight="1" x14ac:dyDescent="0.2">
      <c r="A87" s="99"/>
      <c r="B87" s="1"/>
      <c r="C87" s="10"/>
      <c r="D87" s="1"/>
      <c r="E87" s="1"/>
      <c r="F87" s="11"/>
      <c r="G87" s="11"/>
      <c r="H87" s="109"/>
    </row>
    <row r="88" spans="1:8" ht="14.1" customHeight="1" x14ac:dyDescent="0.2">
      <c r="A88" s="99"/>
      <c r="B88" s="1"/>
      <c r="C88" s="2" t="s">
        <v>152</v>
      </c>
      <c r="D88" s="1"/>
      <c r="E88" s="1"/>
      <c r="F88" s="11"/>
      <c r="G88" s="11"/>
      <c r="H88" s="109"/>
    </row>
    <row r="89" spans="1:8" ht="17.100000000000001" customHeight="1" x14ac:dyDescent="0.2">
      <c r="A89" s="100">
        <v>1</v>
      </c>
      <c r="B89" s="3"/>
      <c r="C89" s="3" t="s">
        <v>153</v>
      </c>
      <c r="D89" s="3"/>
      <c r="E89" s="7"/>
      <c r="F89" s="5">
        <v>8502.1451880120003</v>
      </c>
      <c r="G89" s="6">
        <v>7.6825980000000002E-2</v>
      </c>
      <c r="H89" s="109">
        <v>6.6015165706411798</v>
      </c>
    </row>
    <row r="90" spans="1:8" ht="14.1" customHeight="1" x14ac:dyDescent="0.2">
      <c r="A90" s="99"/>
      <c r="B90" s="1"/>
      <c r="C90" s="2" t="s">
        <v>135</v>
      </c>
      <c r="D90" s="1"/>
      <c r="E90" s="1" t="s">
        <v>136</v>
      </c>
      <c r="F90" s="8">
        <v>8502.1451880120003</v>
      </c>
      <c r="G90" s="9">
        <v>7.6825980000000002E-2</v>
      </c>
      <c r="H90" s="109"/>
    </row>
    <row r="91" spans="1:8" ht="14.1" customHeight="1" x14ac:dyDescent="0.2">
      <c r="A91" s="99"/>
      <c r="B91" s="1"/>
      <c r="C91" s="10"/>
      <c r="D91" s="1"/>
      <c r="E91" s="1"/>
      <c r="F91" s="11"/>
      <c r="G91" s="11"/>
      <c r="H91" s="109"/>
    </row>
    <row r="92" spans="1:8" ht="14.1" customHeight="1" x14ac:dyDescent="0.2">
      <c r="A92" s="99"/>
      <c r="B92" s="1"/>
      <c r="C92" s="2" t="s">
        <v>154</v>
      </c>
      <c r="D92" s="1"/>
      <c r="E92" s="1"/>
      <c r="F92" s="8">
        <v>8502.1451880120003</v>
      </c>
      <c r="G92" s="9">
        <v>7.6825980000000002E-2</v>
      </c>
      <c r="H92" s="109"/>
    </row>
    <row r="93" spans="1:8" ht="14.1" customHeight="1" x14ac:dyDescent="0.2">
      <c r="A93" s="99"/>
      <c r="B93" s="1"/>
      <c r="C93" s="11"/>
      <c r="D93" s="1"/>
      <c r="E93" s="1"/>
      <c r="F93" s="1"/>
      <c r="G93" s="1"/>
      <c r="H93" s="109"/>
    </row>
    <row r="94" spans="1:8" ht="14.1" customHeight="1" x14ac:dyDescent="0.2">
      <c r="A94" s="99"/>
      <c r="B94" s="1"/>
      <c r="C94" s="2" t="s">
        <v>155</v>
      </c>
      <c r="D94" s="1"/>
      <c r="E94" s="1"/>
      <c r="F94" s="1"/>
      <c r="G94" s="1"/>
      <c r="H94" s="109"/>
    </row>
    <row r="95" spans="1:8" ht="14.1" customHeight="1" x14ac:dyDescent="0.2">
      <c r="A95" s="99"/>
      <c r="B95" s="1"/>
      <c r="C95" s="2" t="s">
        <v>156</v>
      </c>
      <c r="D95" s="1"/>
      <c r="E95" s="1"/>
      <c r="F95" s="1"/>
      <c r="G95" s="1"/>
      <c r="H95" s="109"/>
    </row>
    <row r="96" spans="1:8" ht="14.1" customHeight="1" x14ac:dyDescent="0.2">
      <c r="A96" s="99"/>
      <c r="B96" s="1"/>
      <c r="C96" s="2" t="s">
        <v>135</v>
      </c>
      <c r="D96" s="1"/>
      <c r="E96" s="1" t="s">
        <v>136</v>
      </c>
      <c r="F96" s="115">
        <v>0</v>
      </c>
      <c r="G96" s="9">
        <v>0</v>
      </c>
      <c r="H96" s="109"/>
    </row>
    <row r="97" spans="1:8" ht="14.1" customHeight="1" x14ac:dyDescent="0.2">
      <c r="A97" s="99"/>
      <c r="B97" s="1"/>
      <c r="C97" s="10"/>
      <c r="D97" s="1"/>
      <c r="E97" s="1"/>
      <c r="F97" s="11"/>
      <c r="G97" s="11"/>
      <c r="H97" s="109"/>
    </row>
    <row r="98" spans="1:8" ht="14.1" customHeight="1" x14ac:dyDescent="0.2">
      <c r="A98" s="99"/>
      <c r="B98" s="1"/>
      <c r="C98" s="2" t="s">
        <v>157</v>
      </c>
      <c r="D98" s="1"/>
      <c r="E98" s="1"/>
      <c r="F98" s="1"/>
      <c r="G98" s="1"/>
      <c r="H98" s="109"/>
    </row>
    <row r="99" spans="1:8" ht="14.1" customHeight="1" x14ac:dyDescent="0.2">
      <c r="A99" s="99"/>
      <c r="B99" s="1"/>
      <c r="C99" s="2" t="s">
        <v>158</v>
      </c>
      <c r="D99" s="1"/>
      <c r="E99" s="1"/>
      <c r="F99" s="1"/>
      <c r="G99" s="1"/>
      <c r="H99" s="109"/>
    </row>
    <row r="100" spans="1:8" ht="14.1" customHeight="1" x14ac:dyDescent="0.2">
      <c r="A100" s="99"/>
      <c r="B100" s="1"/>
      <c r="C100" s="2" t="s">
        <v>135</v>
      </c>
      <c r="D100" s="1"/>
      <c r="E100" s="1" t="s">
        <v>136</v>
      </c>
      <c r="F100" s="115">
        <v>0</v>
      </c>
      <c r="G100" s="9">
        <v>0</v>
      </c>
      <c r="H100" s="109"/>
    </row>
    <row r="101" spans="1:8" ht="14.1" customHeight="1" x14ac:dyDescent="0.2">
      <c r="A101" s="99"/>
      <c r="B101" s="1"/>
      <c r="C101" s="10"/>
      <c r="D101" s="1"/>
      <c r="E101" s="1"/>
      <c r="F101" s="11"/>
      <c r="G101" s="11"/>
      <c r="H101" s="109"/>
    </row>
    <row r="102" spans="1:8" ht="24" customHeight="1" x14ac:dyDescent="0.2">
      <c r="A102" s="99"/>
      <c r="B102" s="1"/>
      <c r="C102" s="2" t="s">
        <v>159</v>
      </c>
      <c r="D102" s="1"/>
      <c r="E102" s="1"/>
      <c r="F102" s="11"/>
      <c r="G102" s="11"/>
      <c r="H102" s="109"/>
    </row>
    <row r="103" spans="1:8" ht="14.1" customHeight="1" x14ac:dyDescent="0.2">
      <c r="A103" s="99"/>
      <c r="B103" s="1"/>
      <c r="C103" s="2" t="s">
        <v>135</v>
      </c>
      <c r="D103" s="1"/>
      <c r="E103" s="1" t="s">
        <v>136</v>
      </c>
      <c r="F103" s="115">
        <v>0</v>
      </c>
      <c r="G103" s="9">
        <v>0</v>
      </c>
      <c r="H103" s="109"/>
    </row>
    <row r="104" spans="1:8" ht="14.1" customHeight="1" x14ac:dyDescent="0.2">
      <c r="A104" s="99"/>
      <c r="B104" s="1"/>
      <c r="C104" s="10"/>
      <c r="D104" s="1"/>
      <c r="E104" s="1"/>
      <c r="F104" s="11"/>
      <c r="G104" s="11"/>
      <c r="H104" s="109"/>
    </row>
    <row r="105" spans="1:8" ht="14.1" customHeight="1" x14ac:dyDescent="0.2">
      <c r="A105" s="99"/>
      <c r="B105" s="3"/>
      <c r="C105" s="3"/>
      <c r="D105" s="2"/>
      <c r="E105" s="1"/>
      <c r="F105" s="3"/>
      <c r="G105" s="7"/>
      <c r="H105" s="109"/>
    </row>
    <row r="106" spans="1:8" ht="18" customHeight="1" x14ac:dyDescent="0.2">
      <c r="A106" s="101"/>
      <c r="B106" s="3"/>
      <c r="C106" s="3" t="s">
        <v>160</v>
      </c>
      <c r="D106" s="3"/>
      <c r="E106" s="7"/>
      <c r="F106" s="5">
        <v>308.32724440999999</v>
      </c>
      <c r="G106" s="6">
        <v>2.7860699999999999E-3</v>
      </c>
      <c r="H106" s="109"/>
    </row>
    <row r="107" spans="1:8" ht="14.1" customHeight="1" x14ac:dyDescent="0.2">
      <c r="A107" s="102"/>
      <c r="B107" s="10"/>
      <c r="C107" s="2" t="s">
        <v>161</v>
      </c>
      <c r="D107" s="11"/>
      <c r="E107" s="11"/>
      <c r="F107" s="8">
        <v>110667.58142042199</v>
      </c>
      <c r="G107" s="12">
        <v>1.0000000200000001</v>
      </c>
      <c r="H107" s="109"/>
    </row>
    <row r="108" spans="1:8" ht="14.1" customHeight="1" x14ac:dyDescent="0.2">
      <c r="A108" s="13"/>
      <c r="B108" s="13"/>
      <c r="C108" s="13"/>
      <c r="D108" s="14"/>
      <c r="E108" s="14"/>
      <c r="F108" s="14"/>
      <c r="G108" s="14"/>
    </row>
    <row r="109" spans="1:8" ht="14.1" customHeight="1" x14ac:dyDescent="0.2">
      <c r="A109" s="15"/>
      <c r="B109" s="15"/>
      <c r="C109" s="15"/>
      <c r="D109" s="17"/>
      <c r="E109" s="17"/>
      <c r="F109" s="17"/>
      <c r="G109" s="17"/>
    </row>
    <row r="110" spans="1:8" ht="14.1" customHeight="1" x14ac:dyDescent="0.2">
      <c r="A110" s="15"/>
      <c r="B110" s="194" t="s">
        <v>163</v>
      </c>
      <c r="C110" s="195"/>
      <c r="D110" s="196"/>
      <c r="E110" s="18"/>
      <c r="F110" s="17"/>
      <c r="G110" s="17"/>
    </row>
    <row r="111" spans="1:8" ht="29.1" customHeight="1" x14ac:dyDescent="0.2">
      <c r="A111" s="15"/>
      <c r="B111" s="191" t="s">
        <v>164</v>
      </c>
      <c r="C111" s="192"/>
      <c r="D111" s="2" t="s">
        <v>165</v>
      </c>
      <c r="E111" s="18"/>
      <c r="F111" s="17"/>
      <c r="G111" s="17"/>
    </row>
    <row r="112" spans="1:8" ht="17.100000000000001" customHeight="1" x14ac:dyDescent="0.2">
      <c r="A112" s="15"/>
      <c r="B112" s="191" t="s">
        <v>166</v>
      </c>
      <c r="C112" s="192"/>
      <c r="D112" s="2" t="s">
        <v>165</v>
      </c>
      <c r="E112" s="18"/>
      <c r="F112" s="17"/>
      <c r="G112" s="17"/>
    </row>
    <row r="113" spans="1:7" ht="17.100000000000001" customHeight="1" x14ac:dyDescent="0.2">
      <c r="A113" s="15"/>
      <c r="B113" s="191" t="s">
        <v>167</v>
      </c>
      <c r="C113" s="192"/>
      <c r="D113" s="11" t="s">
        <v>136</v>
      </c>
      <c r="E113" s="18"/>
      <c r="F113" s="17"/>
      <c r="G113" s="17"/>
    </row>
    <row r="114" spans="1:7" ht="24" customHeight="1" x14ac:dyDescent="0.2">
      <c r="A114" s="19"/>
      <c r="B114" s="20" t="s">
        <v>136</v>
      </c>
      <c r="C114" s="20" t="s">
        <v>168</v>
      </c>
      <c r="D114" s="20" t="s">
        <v>169</v>
      </c>
      <c r="E114" s="19"/>
      <c r="F114" s="19"/>
      <c r="G114" s="19"/>
    </row>
    <row r="115" spans="1:7" ht="18" customHeight="1" x14ac:dyDescent="0.2">
      <c r="A115" s="19"/>
      <c r="B115" s="21" t="s">
        <v>170</v>
      </c>
      <c r="C115" s="20" t="s">
        <v>171</v>
      </c>
      <c r="D115" s="20" t="s">
        <v>172</v>
      </c>
      <c r="E115" s="19"/>
      <c r="F115" s="19"/>
      <c r="G115" s="19"/>
    </row>
    <row r="116" spans="1:7" ht="17.100000000000001" customHeight="1" x14ac:dyDescent="0.2">
      <c r="A116" s="19"/>
      <c r="B116" s="3" t="s">
        <v>173</v>
      </c>
      <c r="C116" s="22">
        <v>65.153099999999995</v>
      </c>
      <c r="D116" s="22">
        <v>63.959499999999998</v>
      </c>
      <c r="E116" s="19"/>
      <c r="F116" s="16"/>
      <c r="G116" s="23"/>
    </row>
    <row r="117" spans="1:7" ht="17.100000000000001" customHeight="1" x14ac:dyDescent="0.2">
      <c r="A117" s="19"/>
      <c r="B117" s="3" t="s">
        <v>994</v>
      </c>
      <c r="C117" s="22">
        <v>23.325299999999999</v>
      </c>
      <c r="D117" s="22">
        <v>22.898</v>
      </c>
      <c r="E117" s="19"/>
      <c r="F117" s="16"/>
      <c r="G117" s="23"/>
    </row>
    <row r="118" spans="1:7" ht="17.100000000000001" customHeight="1" x14ac:dyDescent="0.2">
      <c r="A118" s="19"/>
      <c r="B118" s="3" t="s">
        <v>174</v>
      </c>
      <c r="C118" s="22">
        <v>60.711100000000002</v>
      </c>
      <c r="D118" s="22">
        <v>59.560499999999998</v>
      </c>
      <c r="E118" s="19"/>
      <c r="F118" s="16"/>
      <c r="G118" s="23"/>
    </row>
    <row r="119" spans="1:7" ht="17.100000000000001" customHeight="1" x14ac:dyDescent="0.2">
      <c r="A119" s="19"/>
      <c r="B119" s="3" t="s">
        <v>995</v>
      </c>
      <c r="C119" s="22">
        <v>21.376000000000001</v>
      </c>
      <c r="D119" s="22">
        <v>20.970800000000001</v>
      </c>
      <c r="E119" s="19"/>
      <c r="F119" s="16"/>
      <c r="G119" s="23"/>
    </row>
    <row r="120" spans="1:7" ht="14.1" customHeight="1" x14ac:dyDescent="0.2">
      <c r="A120" s="19"/>
      <c r="B120" s="19"/>
      <c r="C120" s="19"/>
      <c r="D120" s="19"/>
      <c r="E120" s="19"/>
      <c r="F120" s="19"/>
      <c r="G120" s="19"/>
    </row>
    <row r="121" spans="1:7" ht="17.100000000000001" customHeight="1" x14ac:dyDescent="0.2">
      <c r="A121" s="19"/>
      <c r="B121" s="191" t="s">
        <v>1044</v>
      </c>
      <c r="C121" s="192"/>
      <c r="D121" s="2" t="s">
        <v>165</v>
      </c>
      <c r="E121" s="19"/>
      <c r="F121" s="19"/>
      <c r="G121" s="19"/>
    </row>
    <row r="122" spans="1:7" ht="18" customHeight="1" x14ac:dyDescent="0.2">
      <c r="A122" s="19"/>
      <c r="B122" s="24"/>
      <c r="C122" s="24"/>
      <c r="D122" s="24"/>
      <c r="E122" s="19"/>
      <c r="F122" s="19"/>
      <c r="G122" s="19"/>
    </row>
    <row r="123" spans="1:7" ht="29.1" customHeight="1" x14ac:dyDescent="0.2">
      <c r="A123" s="19"/>
      <c r="B123" s="191" t="s">
        <v>175</v>
      </c>
      <c r="C123" s="192"/>
      <c r="D123" s="2" t="s">
        <v>165</v>
      </c>
      <c r="E123" s="25"/>
      <c r="F123" s="19"/>
      <c r="G123" s="19"/>
    </row>
    <row r="124" spans="1:7" ht="29.1" customHeight="1" x14ac:dyDescent="0.2">
      <c r="A124" s="19"/>
      <c r="B124" s="191" t="s">
        <v>176</v>
      </c>
      <c r="C124" s="192"/>
      <c r="D124" s="2" t="s">
        <v>165</v>
      </c>
      <c r="E124" s="25"/>
      <c r="F124" s="19"/>
      <c r="G124" s="19"/>
    </row>
    <row r="125" spans="1:7" ht="17.100000000000001" customHeight="1" x14ac:dyDescent="0.2">
      <c r="A125" s="19"/>
      <c r="B125" s="191" t="s">
        <v>177</v>
      </c>
      <c r="C125" s="192"/>
      <c r="D125" s="2" t="s">
        <v>165</v>
      </c>
      <c r="E125" s="25"/>
      <c r="F125" s="19"/>
      <c r="G125" s="19"/>
    </row>
    <row r="126" spans="1:7" ht="17.100000000000001" customHeight="1" x14ac:dyDescent="0.2">
      <c r="A126" s="19"/>
      <c r="B126" s="191" t="s">
        <v>178</v>
      </c>
      <c r="C126" s="192"/>
      <c r="D126" s="26">
        <v>0.59301320313117689</v>
      </c>
      <c r="E126" s="19"/>
      <c r="F126" s="16"/>
      <c r="G126" s="23"/>
    </row>
    <row r="127" spans="1:7" ht="14.1" customHeight="1" x14ac:dyDescent="0.2">
      <c r="A127" s="24"/>
      <c r="B127" s="24"/>
      <c r="C127" s="24"/>
      <c r="D127" s="24"/>
      <c r="E127" s="24"/>
      <c r="F127" s="24"/>
      <c r="G127" s="24"/>
    </row>
  </sheetData>
  <mergeCells count="13">
    <mergeCell ref="J2:N2"/>
    <mergeCell ref="B112:C112"/>
    <mergeCell ref="B113:C113"/>
    <mergeCell ref="B110:D110"/>
    <mergeCell ref="B111:C111"/>
    <mergeCell ref="A1:H1"/>
    <mergeCell ref="A2:H2"/>
    <mergeCell ref="A3:H3"/>
    <mergeCell ref="B125:C125"/>
    <mergeCell ref="B126:C126"/>
    <mergeCell ref="B121:C121"/>
    <mergeCell ref="B123:C123"/>
    <mergeCell ref="B124:C124"/>
  </mergeCells>
  <hyperlinks>
    <hyperlink ref="I1" location="Index!B32" display="Index" xr:uid="{9D1BF24B-7366-471E-93F9-FB7CDC8280C7}"/>
  </hyperlinks>
  <pageMargins left="5.000000074505806E-2" right="5.000000074505806E-2" top="0.30000001192092896" bottom="0.20000000298023224" header="0" footer="0"/>
  <pageSetup paperSize="9" orientation="landscape" r:id="rId1"/>
  <headerFooter alignWithMargins="0"/>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N137"/>
  <sheetViews>
    <sheetView showGridLines="0" workbookViewId="0">
      <selection sqref="A1:H1"/>
    </sheetView>
  </sheetViews>
  <sheetFormatPr defaultRowHeight="12.75" x14ac:dyDescent="0.2"/>
  <cols>
    <col min="1" max="1" width="5.42578125" bestFit="1"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7" t="s">
        <v>0</v>
      </c>
      <c r="B1" s="187"/>
      <c r="C1" s="187"/>
      <c r="D1" s="187"/>
      <c r="E1" s="187"/>
      <c r="F1" s="187"/>
      <c r="G1" s="187"/>
      <c r="H1" s="187"/>
      <c r="I1" s="167" t="s">
        <v>1055</v>
      </c>
    </row>
    <row r="2" spans="1:14" ht="17.100000000000001" customHeight="1" x14ac:dyDescent="0.2">
      <c r="A2" s="188" t="s">
        <v>808</v>
      </c>
      <c r="B2" s="189"/>
      <c r="C2" s="189"/>
      <c r="D2" s="189"/>
      <c r="E2" s="189"/>
      <c r="F2" s="189"/>
      <c r="G2" s="189"/>
      <c r="H2" s="190"/>
      <c r="J2" s="186" t="s">
        <v>1056</v>
      </c>
      <c r="K2" s="186"/>
      <c r="L2" s="186"/>
      <c r="M2" s="186"/>
      <c r="N2" s="186"/>
    </row>
    <row r="3" spans="1:14" ht="21" customHeight="1" x14ac:dyDescent="0.2">
      <c r="A3" s="187" t="s">
        <v>1052</v>
      </c>
      <c r="B3" s="187"/>
      <c r="C3" s="187"/>
      <c r="D3" s="187"/>
      <c r="E3" s="187"/>
      <c r="F3" s="187"/>
      <c r="G3" s="187"/>
      <c r="H3" s="187"/>
    </row>
    <row r="4" spans="1:14" ht="30" x14ac:dyDescent="0.2">
      <c r="A4" s="163" t="s">
        <v>2</v>
      </c>
      <c r="B4" s="164" t="s">
        <v>3</v>
      </c>
      <c r="C4" s="164" t="s">
        <v>4</v>
      </c>
      <c r="D4" s="164" t="s">
        <v>5</v>
      </c>
      <c r="E4" s="164" t="s">
        <v>6</v>
      </c>
      <c r="F4" s="164" t="s">
        <v>7</v>
      </c>
      <c r="G4" s="164" t="s">
        <v>8</v>
      </c>
      <c r="H4" s="120" t="s">
        <v>881</v>
      </c>
      <c r="I4" s="165"/>
      <c r="J4" s="165"/>
      <c r="K4" s="165"/>
      <c r="L4" s="165"/>
      <c r="M4" s="165"/>
      <c r="N4" s="165"/>
    </row>
    <row r="5" spans="1:14" ht="14.1" customHeight="1" x14ac:dyDescent="0.2">
      <c r="A5" s="99"/>
      <c r="B5" s="1"/>
      <c r="C5" s="2" t="s">
        <v>9</v>
      </c>
      <c r="D5" s="1"/>
      <c r="E5" s="1"/>
      <c r="F5" s="1"/>
      <c r="G5" s="1"/>
      <c r="H5" s="109"/>
    </row>
    <row r="6" spans="1:14" ht="24" customHeight="1" x14ac:dyDescent="0.2">
      <c r="A6" s="99"/>
      <c r="B6" s="1"/>
      <c r="C6" s="2" t="s">
        <v>10</v>
      </c>
      <c r="D6" s="1"/>
      <c r="E6" s="1"/>
      <c r="F6" s="1"/>
      <c r="G6" s="1"/>
      <c r="H6" s="109"/>
    </row>
    <row r="7" spans="1:14" ht="17.100000000000001" customHeight="1" x14ac:dyDescent="0.2">
      <c r="A7" s="100">
        <v>1</v>
      </c>
      <c r="B7" s="3" t="s">
        <v>20</v>
      </c>
      <c r="C7" s="3" t="s">
        <v>21</v>
      </c>
      <c r="D7" s="3" t="s">
        <v>22</v>
      </c>
      <c r="E7" s="4">
        <v>2504934</v>
      </c>
      <c r="F7" s="5">
        <v>21413.428298999999</v>
      </c>
      <c r="G7" s="6">
        <v>9.4221269999999996E-2</v>
      </c>
      <c r="H7" s="109"/>
    </row>
    <row r="8" spans="1:14" ht="29.1" customHeight="1" x14ac:dyDescent="0.2">
      <c r="A8" s="100">
        <v>2</v>
      </c>
      <c r="B8" s="3" t="s">
        <v>295</v>
      </c>
      <c r="C8" s="3" t="s">
        <v>296</v>
      </c>
      <c r="D8" s="3" t="s">
        <v>120</v>
      </c>
      <c r="E8" s="4">
        <v>662200</v>
      </c>
      <c r="F8" s="5">
        <v>17279.777900000001</v>
      </c>
      <c r="G8" s="6">
        <v>7.6032790000000003E-2</v>
      </c>
      <c r="H8" s="109"/>
    </row>
    <row r="9" spans="1:14" ht="17.100000000000001" customHeight="1" x14ac:dyDescent="0.2">
      <c r="A9" s="100">
        <v>3</v>
      </c>
      <c r="B9" s="3" t="s">
        <v>14</v>
      </c>
      <c r="C9" s="3" t="s">
        <v>15</v>
      </c>
      <c r="D9" s="3" t="s">
        <v>16</v>
      </c>
      <c r="E9" s="4">
        <v>2087172</v>
      </c>
      <c r="F9" s="5">
        <v>15492.034170000001</v>
      </c>
      <c r="G9" s="6">
        <v>6.8166530000000003E-2</v>
      </c>
      <c r="H9" s="109"/>
    </row>
    <row r="10" spans="1:14" ht="17.100000000000001" customHeight="1" x14ac:dyDescent="0.2">
      <c r="A10" s="100">
        <v>4</v>
      </c>
      <c r="B10" s="3" t="s">
        <v>17</v>
      </c>
      <c r="C10" s="3" t="s">
        <v>18</v>
      </c>
      <c r="D10" s="3" t="s">
        <v>19</v>
      </c>
      <c r="E10" s="4">
        <v>523988</v>
      </c>
      <c r="F10" s="5">
        <v>12169.883293999999</v>
      </c>
      <c r="G10" s="6">
        <v>5.3548730000000003E-2</v>
      </c>
      <c r="H10" s="109"/>
    </row>
    <row r="11" spans="1:14" ht="17.100000000000001" customHeight="1" x14ac:dyDescent="0.2">
      <c r="A11" s="100">
        <v>5</v>
      </c>
      <c r="B11" s="3" t="s">
        <v>297</v>
      </c>
      <c r="C11" s="3" t="s">
        <v>298</v>
      </c>
      <c r="D11" s="3" t="s">
        <v>22</v>
      </c>
      <c r="E11" s="4">
        <v>653081</v>
      </c>
      <c r="F11" s="5">
        <v>10446.683676000001</v>
      </c>
      <c r="G11" s="6">
        <v>4.5966470000000002E-2</v>
      </c>
      <c r="H11" s="109"/>
    </row>
    <row r="12" spans="1:14" ht="17.100000000000001" customHeight="1" x14ac:dyDescent="0.2">
      <c r="A12" s="100">
        <v>6</v>
      </c>
      <c r="B12" s="3" t="s">
        <v>197</v>
      </c>
      <c r="C12" s="3" t="s">
        <v>198</v>
      </c>
      <c r="D12" s="3" t="s">
        <v>22</v>
      </c>
      <c r="E12" s="4">
        <v>879673</v>
      </c>
      <c r="F12" s="5">
        <v>7425.3197929999997</v>
      </c>
      <c r="G12" s="6">
        <v>3.267217E-2</v>
      </c>
      <c r="H12" s="109"/>
    </row>
    <row r="13" spans="1:14" ht="17.100000000000001" customHeight="1" x14ac:dyDescent="0.2">
      <c r="A13" s="100">
        <v>7</v>
      </c>
      <c r="B13" s="3" t="s">
        <v>238</v>
      </c>
      <c r="C13" s="3" t="s">
        <v>239</v>
      </c>
      <c r="D13" s="3" t="s">
        <v>210</v>
      </c>
      <c r="E13" s="4">
        <v>159237</v>
      </c>
      <c r="F13" s="5">
        <v>7009.0554105000001</v>
      </c>
      <c r="G13" s="6">
        <v>3.084056E-2</v>
      </c>
      <c r="H13" s="109"/>
      <c r="J13" s="169" t="s">
        <v>1082</v>
      </c>
    </row>
    <row r="14" spans="1:14" ht="17.100000000000001" customHeight="1" x14ac:dyDescent="0.2">
      <c r="A14" s="100">
        <v>8</v>
      </c>
      <c r="B14" s="3" t="s">
        <v>264</v>
      </c>
      <c r="C14" s="3" t="s">
        <v>265</v>
      </c>
      <c r="D14" s="3" t="s">
        <v>996</v>
      </c>
      <c r="E14" s="4">
        <v>136226</v>
      </c>
      <c r="F14" s="5">
        <v>6432.6598329999997</v>
      </c>
      <c r="G14" s="6">
        <v>2.8304360000000001E-2</v>
      </c>
      <c r="H14" s="109"/>
    </row>
    <row r="15" spans="1:14" ht="17.100000000000001" customHeight="1" x14ac:dyDescent="0.2">
      <c r="A15" s="100">
        <v>9</v>
      </c>
      <c r="B15" s="3" t="s">
        <v>354</v>
      </c>
      <c r="C15" s="3" t="s">
        <v>355</v>
      </c>
      <c r="D15" s="3" t="s">
        <v>115</v>
      </c>
      <c r="E15" s="4">
        <v>254041</v>
      </c>
      <c r="F15" s="5">
        <v>6027.8848479999997</v>
      </c>
      <c r="G15" s="6">
        <v>2.6523310000000001E-2</v>
      </c>
      <c r="H15" s="109"/>
    </row>
    <row r="16" spans="1:14" ht="17.100000000000001" customHeight="1" x14ac:dyDescent="0.2">
      <c r="A16" s="100">
        <v>10</v>
      </c>
      <c r="B16" s="3" t="s">
        <v>301</v>
      </c>
      <c r="C16" s="3" t="s">
        <v>302</v>
      </c>
      <c r="D16" s="3" t="s">
        <v>216</v>
      </c>
      <c r="E16" s="4">
        <v>531396</v>
      </c>
      <c r="F16" s="5">
        <v>5956.9491600000001</v>
      </c>
      <c r="G16" s="6">
        <v>2.6211180000000001E-2</v>
      </c>
      <c r="H16" s="109"/>
    </row>
    <row r="17" spans="1:10" ht="17.100000000000001" customHeight="1" x14ac:dyDescent="0.2">
      <c r="A17" s="100">
        <v>11</v>
      </c>
      <c r="B17" s="3" t="s">
        <v>398</v>
      </c>
      <c r="C17" s="3" t="s">
        <v>399</v>
      </c>
      <c r="D17" s="3" t="s">
        <v>97</v>
      </c>
      <c r="E17" s="4">
        <v>400823</v>
      </c>
      <c r="F17" s="5">
        <v>5543.782913</v>
      </c>
      <c r="G17" s="6">
        <v>2.4393209999999999E-2</v>
      </c>
      <c r="H17" s="109"/>
    </row>
    <row r="18" spans="1:10" ht="17.100000000000001" customHeight="1" x14ac:dyDescent="0.2">
      <c r="A18" s="100">
        <v>12</v>
      </c>
      <c r="B18" s="3" t="s">
        <v>305</v>
      </c>
      <c r="C18" s="3" t="s">
        <v>306</v>
      </c>
      <c r="D18" s="3" t="s">
        <v>242</v>
      </c>
      <c r="E18" s="4">
        <v>344005</v>
      </c>
      <c r="F18" s="5">
        <v>5222.6839099999997</v>
      </c>
      <c r="G18" s="6">
        <v>2.2980339999999998E-2</v>
      </c>
      <c r="H18" s="109"/>
    </row>
    <row r="19" spans="1:10" ht="17.100000000000001" customHeight="1" x14ac:dyDescent="0.2">
      <c r="A19" s="100">
        <v>13</v>
      </c>
      <c r="B19" s="3" t="s">
        <v>240</v>
      </c>
      <c r="C19" s="3" t="s">
        <v>241</v>
      </c>
      <c r="D19" s="3" t="s">
        <v>242</v>
      </c>
      <c r="E19" s="4">
        <v>2663505</v>
      </c>
      <c r="F19" s="5">
        <v>5209.8157799999999</v>
      </c>
      <c r="G19" s="6">
        <v>2.2923720000000002E-2</v>
      </c>
      <c r="H19" s="109"/>
    </row>
    <row r="20" spans="1:10" ht="17.100000000000001" customHeight="1" x14ac:dyDescent="0.2">
      <c r="A20" s="100">
        <v>14</v>
      </c>
      <c r="B20" s="3" t="s">
        <v>280</v>
      </c>
      <c r="C20" s="3" t="s">
        <v>281</v>
      </c>
      <c r="D20" s="3" t="s">
        <v>91</v>
      </c>
      <c r="E20" s="4">
        <v>1046544</v>
      </c>
      <c r="F20" s="5">
        <v>4590.6652560000002</v>
      </c>
      <c r="G20" s="6">
        <v>2.0199399999999999E-2</v>
      </c>
      <c r="H20" s="109"/>
    </row>
    <row r="21" spans="1:10" ht="17.100000000000001" customHeight="1" x14ac:dyDescent="0.2">
      <c r="A21" s="100">
        <v>15</v>
      </c>
      <c r="B21" s="3" t="s">
        <v>410</v>
      </c>
      <c r="C21" s="3" t="s">
        <v>411</v>
      </c>
      <c r="D21" s="3" t="s">
        <v>235</v>
      </c>
      <c r="E21" s="4">
        <v>667345</v>
      </c>
      <c r="F21" s="5">
        <v>4329.0670149999996</v>
      </c>
      <c r="G21" s="6">
        <v>1.904834E-2</v>
      </c>
      <c r="H21" s="109"/>
    </row>
    <row r="22" spans="1:10" ht="17.100000000000001" customHeight="1" x14ac:dyDescent="0.2">
      <c r="A22" s="100">
        <v>16</v>
      </c>
      <c r="B22" s="3" t="s">
        <v>184</v>
      </c>
      <c r="C22" s="3" t="s">
        <v>185</v>
      </c>
      <c r="D22" s="3" t="s">
        <v>996</v>
      </c>
      <c r="E22" s="4">
        <v>86867</v>
      </c>
      <c r="F22" s="5">
        <v>4163.6221770000002</v>
      </c>
      <c r="G22" s="6">
        <v>1.8320360000000001E-2</v>
      </c>
      <c r="H22" s="109"/>
    </row>
    <row r="23" spans="1:10" ht="17.100000000000001" customHeight="1" x14ac:dyDescent="0.2">
      <c r="A23" s="100">
        <v>17</v>
      </c>
      <c r="B23" s="3" t="s">
        <v>371</v>
      </c>
      <c r="C23" s="3" t="s">
        <v>372</v>
      </c>
      <c r="D23" s="3" t="s">
        <v>22</v>
      </c>
      <c r="E23" s="4">
        <v>5218105</v>
      </c>
      <c r="F23" s="5">
        <v>3730.9450750000001</v>
      </c>
      <c r="G23" s="6">
        <v>1.641654E-2</v>
      </c>
      <c r="H23" s="109"/>
    </row>
    <row r="24" spans="1:10" ht="17.100000000000001" customHeight="1" x14ac:dyDescent="0.2">
      <c r="A24" s="100">
        <v>18</v>
      </c>
      <c r="B24" s="3" t="s">
        <v>384</v>
      </c>
      <c r="C24" s="3" t="s">
        <v>385</v>
      </c>
      <c r="D24" s="3" t="s">
        <v>334</v>
      </c>
      <c r="E24" s="4">
        <v>260393</v>
      </c>
      <c r="F24" s="5">
        <v>3652.4024144999998</v>
      </c>
      <c r="G24" s="6">
        <v>1.6070939999999999E-2</v>
      </c>
      <c r="H24" s="109"/>
    </row>
    <row r="25" spans="1:10" ht="17.100000000000001" customHeight="1" x14ac:dyDescent="0.2">
      <c r="A25" s="100">
        <v>19</v>
      </c>
      <c r="B25" s="3" t="s">
        <v>55</v>
      </c>
      <c r="C25" s="3" t="s">
        <v>56</v>
      </c>
      <c r="D25" s="3" t="s">
        <v>57</v>
      </c>
      <c r="E25" s="4">
        <v>615445</v>
      </c>
      <c r="F25" s="5">
        <v>3634.2027250000001</v>
      </c>
      <c r="G25" s="6">
        <v>1.5990859999999999E-2</v>
      </c>
      <c r="H25" s="109"/>
      <c r="J25" s="169" t="s">
        <v>1083</v>
      </c>
    </row>
    <row r="26" spans="1:10" ht="17.100000000000001" customHeight="1" x14ac:dyDescent="0.2">
      <c r="A26" s="100">
        <v>20</v>
      </c>
      <c r="B26" s="3" t="s">
        <v>226</v>
      </c>
      <c r="C26" s="3" t="s">
        <v>227</v>
      </c>
      <c r="D26" s="3" t="s">
        <v>228</v>
      </c>
      <c r="E26" s="4">
        <v>8958</v>
      </c>
      <c r="F26" s="5">
        <v>3401.3212469999999</v>
      </c>
      <c r="G26" s="6">
        <v>1.4966159999999999E-2</v>
      </c>
      <c r="H26" s="109"/>
    </row>
    <row r="27" spans="1:10" ht="17.100000000000001" customHeight="1" x14ac:dyDescent="0.2">
      <c r="A27" s="100">
        <v>21</v>
      </c>
      <c r="B27" s="3" t="s">
        <v>328</v>
      </c>
      <c r="C27" s="3" t="s">
        <v>329</v>
      </c>
      <c r="D27" s="3" t="s">
        <v>22</v>
      </c>
      <c r="E27" s="4">
        <v>314366</v>
      </c>
      <c r="F27" s="5">
        <v>3387.9223820000002</v>
      </c>
      <c r="G27" s="6">
        <v>1.4907200000000001E-2</v>
      </c>
      <c r="H27" s="109"/>
    </row>
    <row r="28" spans="1:10" ht="17.100000000000001" customHeight="1" x14ac:dyDescent="0.2">
      <c r="A28" s="100">
        <v>22</v>
      </c>
      <c r="B28" s="3" t="s">
        <v>245</v>
      </c>
      <c r="C28" s="3" t="s">
        <v>246</v>
      </c>
      <c r="D28" s="3" t="s">
        <v>120</v>
      </c>
      <c r="E28" s="4">
        <v>588000</v>
      </c>
      <c r="F28" s="5">
        <v>3380.7060000000001</v>
      </c>
      <c r="G28" s="6">
        <v>1.487545E-2</v>
      </c>
      <c r="H28" s="109"/>
    </row>
    <row r="29" spans="1:10" ht="17.100000000000001" customHeight="1" x14ac:dyDescent="0.2">
      <c r="A29" s="100">
        <v>23</v>
      </c>
      <c r="B29" s="3" t="s">
        <v>208</v>
      </c>
      <c r="C29" s="3" t="s">
        <v>209</v>
      </c>
      <c r="D29" s="3" t="s">
        <v>210</v>
      </c>
      <c r="E29" s="4">
        <v>1201373</v>
      </c>
      <c r="F29" s="5">
        <v>3210.6693424999999</v>
      </c>
      <c r="G29" s="6">
        <v>1.4127270000000001E-2</v>
      </c>
      <c r="H29" s="109"/>
    </row>
    <row r="30" spans="1:10" ht="17.100000000000001" customHeight="1" x14ac:dyDescent="0.2">
      <c r="A30" s="100">
        <v>24</v>
      </c>
      <c r="B30" s="3" t="s">
        <v>375</v>
      </c>
      <c r="C30" s="3" t="s">
        <v>376</v>
      </c>
      <c r="D30" s="3" t="s">
        <v>120</v>
      </c>
      <c r="E30" s="4">
        <v>434221</v>
      </c>
      <c r="F30" s="5">
        <v>3146.5824765000002</v>
      </c>
      <c r="G30" s="6">
        <v>1.384528E-2</v>
      </c>
      <c r="H30" s="109"/>
    </row>
    <row r="31" spans="1:10" ht="17.100000000000001" customHeight="1" x14ac:dyDescent="0.2">
      <c r="A31" s="100">
        <v>25</v>
      </c>
      <c r="B31" s="3" t="s">
        <v>373</v>
      </c>
      <c r="C31" s="3" t="s">
        <v>374</v>
      </c>
      <c r="D31" s="3" t="s">
        <v>997</v>
      </c>
      <c r="E31" s="4">
        <v>281609</v>
      </c>
      <c r="F31" s="5">
        <v>2884.0985734999999</v>
      </c>
      <c r="G31" s="6">
        <v>1.269033E-2</v>
      </c>
      <c r="H31" s="109"/>
    </row>
    <row r="32" spans="1:10" ht="29.1" customHeight="1" x14ac:dyDescent="0.2">
      <c r="A32" s="100">
        <v>26</v>
      </c>
      <c r="B32" s="3" t="s">
        <v>458</v>
      </c>
      <c r="C32" s="3" t="s">
        <v>459</v>
      </c>
      <c r="D32" s="3" t="s">
        <v>129</v>
      </c>
      <c r="E32" s="4">
        <v>651257</v>
      </c>
      <c r="F32" s="5">
        <v>2838.1780060000001</v>
      </c>
      <c r="G32" s="6">
        <v>1.2488269999999999E-2</v>
      </c>
      <c r="H32" s="109"/>
    </row>
    <row r="33" spans="1:8" ht="17.100000000000001" customHeight="1" x14ac:dyDescent="0.2">
      <c r="A33" s="100">
        <v>27</v>
      </c>
      <c r="B33" s="3" t="s">
        <v>318</v>
      </c>
      <c r="C33" s="3" t="s">
        <v>319</v>
      </c>
      <c r="D33" s="3" t="s">
        <v>235</v>
      </c>
      <c r="E33" s="4">
        <v>226690</v>
      </c>
      <c r="F33" s="5">
        <v>2808.4624100000001</v>
      </c>
      <c r="G33" s="6">
        <v>1.235752E-2</v>
      </c>
      <c r="H33" s="109"/>
    </row>
    <row r="34" spans="1:8" ht="17.100000000000001" customHeight="1" x14ac:dyDescent="0.2">
      <c r="A34" s="100">
        <v>28</v>
      </c>
      <c r="B34" s="3" t="s">
        <v>418</v>
      </c>
      <c r="C34" s="3" t="s">
        <v>419</v>
      </c>
      <c r="D34" s="3" t="s">
        <v>120</v>
      </c>
      <c r="E34" s="4">
        <v>289323</v>
      </c>
      <c r="F34" s="5">
        <v>2791.8222885</v>
      </c>
      <c r="G34" s="6">
        <v>1.22843E-2</v>
      </c>
      <c r="H34" s="109"/>
    </row>
    <row r="35" spans="1:8" ht="17.100000000000001" customHeight="1" x14ac:dyDescent="0.2">
      <c r="A35" s="100">
        <v>29</v>
      </c>
      <c r="B35" s="3" t="s">
        <v>270</v>
      </c>
      <c r="C35" s="3" t="s">
        <v>901</v>
      </c>
      <c r="D35" s="3" t="s">
        <v>235</v>
      </c>
      <c r="E35" s="4">
        <v>648590</v>
      </c>
      <c r="F35" s="5">
        <v>2378.3795300000002</v>
      </c>
      <c r="G35" s="6">
        <v>1.046511E-2</v>
      </c>
      <c r="H35" s="109"/>
    </row>
    <row r="36" spans="1:8" ht="29.1" customHeight="1" x14ac:dyDescent="0.2">
      <c r="A36" s="100">
        <v>30</v>
      </c>
      <c r="B36" s="3" t="s">
        <v>118</v>
      </c>
      <c r="C36" s="3" t="s">
        <v>119</v>
      </c>
      <c r="D36" s="3" t="s">
        <v>120</v>
      </c>
      <c r="E36" s="4">
        <v>304341</v>
      </c>
      <c r="F36" s="5">
        <v>2302.339665</v>
      </c>
      <c r="G36" s="6">
        <v>1.013053E-2</v>
      </c>
      <c r="H36" s="109"/>
    </row>
    <row r="37" spans="1:8" ht="17.100000000000001" customHeight="1" x14ac:dyDescent="0.2">
      <c r="A37" s="100">
        <v>31</v>
      </c>
      <c r="B37" s="3" t="s">
        <v>260</v>
      </c>
      <c r="C37" s="3" t="s">
        <v>261</v>
      </c>
      <c r="D37" s="3" t="s">
        <v>120</v>
      </c>
      <c r="E37" s="4">
        <v>125000</v>
      </c>
      <c r="F37" s="5">
        <v>2284.875</v>
      </c>
      <c r="G37" s="6">
        <v>1.0053680000000001E-2</v>
      </c>
      <c r="H37" s="109"/>
    </row>
    <row r="38" spans="1:8" ht="17.100000000000001" customHeight="1" x14ac:dyDescent="0.2">
      <c r="A38" s="100">
        <v>32</v>
      </c>
      <c r="B38" s="3" t="s">
        <v>420</v>
      </c>
      <c r="C38" s="3" t="s">
        <v>421</v>
      </c>
      <c r="D38" s="3" t="s">
        <v>22</v>
      </c>
      <c r="E38" s="4">
        <v>932421</v>
      </c>
      <c r="F38" s="5">
        <v>2135.7103004999999</v>
      </c>
      <c r="G38" s="6">
        <v>9.3973400000000006E-3</v>
      </c>
      <c r="H38" s="109"/>
    </row>
    <row r="39" spans="1:8" ht="29.1" customHeight="1" x14ac:dyDescent="0.2">
      <c r="A39" s="100">
        <v>33</v>
      </c>
      <c r="B39" s="3" t="s">
        <v>775</v>
      </c>
      <c r="C39" s="3" t="s">
        <v>776</v>
      </c>
      <c r="D39" s="3" t="s">
        <v>216</v>
      </c>
      <c r="E39" s="4">
        <v>191985</v>
      </c>
      <c r="F39" s="5">
        <v>2115.3867224999999</v>
      </c>
      <c r="G39" s="6">
        <v>9.3079200000000008E-3</v>
      </c>
      <c r="H39" s="109"/>
    </row>
    <row r="40" spans="1:8" ht="29.1" customHeight="1" x14ac:dyDescent="0.2">
      <c r="A40" s="100">
        <v>34</v>
      </c>
      <c r="B40" s="3" t="s">
        <v>390</v>
      </c>
      <c r="C40" s="3" t="s">
        <v>391</v>
      </c>
      <c r="D40" s="3" t="s">
        <v>392</v>
      </c>
      <c r="E40" s="4">
        <v>572545</v>
      </c>
      <c r="F40" s="5">
        <v>2053.1463699999999</v>
      </c>
      <c r="G40" s="6">
        <v>9.0340500000000001E-3</v>
      </c>
      <c r="H40" s="109"/>
    </row>
    <row r="41" spans="1:8" ht="17.100000000000001" customHeight="1" x14ac:dyDescent="0.2">
      <c r="A41" s="100">
        <v>35</v>
      </c>
      <c r="B41" s="3" t="s">
        <v>332</v>
      </c>
      <c r="C41" s="3" t="s">
        <v>333</v>
      </c>
      <c r="D41" s="3" t="s">
        <v>334</v>
      </c>
      <c r="E41" s="4">
        <v>195227</v>
      </c>
      <c r="F41" s="5">
        <v>1990.4368784999999</v>
      </c>
      <c r="G41" s="6">
        <v>8.7581299999999994E-3</v>
      </c>
      <c r="H41" s="109"/>
    </row>
    <row r="42" spans="1:8" ht="17.100000000000001" customHeight="1" x14ac:dyDescent="0.2">
      <c r="A42" s="100">
        <v>36</v>
      </c>
      <c r="B42" s="3" t="s">
        <v>414</v>
      </c>
      <c r="C42" s="3" t="s">
        <v>415</v>
      </c>
      <c r="D42" s="3" t="s">
        <v>57</v>
      </c>
      <c r="E42" s="4">
        <v>302329</v>
      </c>
      <c r="F42" s="5">
        <v>1968.9176124999999</v>
      </c>
      <c r="G42" s="6">
        <v>8.6634399999999997E-3</v>
      </c>
      <c r="H42" s="109"/>
    </row>
    <row r="43" spans="1:8" ht="17.100000000000001" customHeight="1" x14ac:dyDescent="0.2">
      <c r="A43" s="100">
        <v>37</v>
      </c>
      <c r="B43" s="3" t="s">
        <v>508</v>
      </c>
      <c r="C43" s="3" t="s">
        <v>509</v>
      </c>
      <c r="D43" s="3" t="s">
        <v>334</v>
      </c>
      <c r="E43" s="4">
        <v>295775</v>
      </c>
      <c r="F43" s="5">
        <v>1935.6994875</v>
      </c>
      <c r="G43" s="6">
        <v>8.5172800000000003E-3</v>
      </c>
      <c r="H43" s="109"/>
    </row>
    <row r="44" spans="1:8" ht="17.100000000000001" customHeight="1" x14ac:dyDescent="0.2">
      <c r="A44" s="100">
        <v>38</v>
      </c>
      <c r="B44" s="3" t="s">
        <v>773</v>
      </c>
      <c r="C44" s="3" t="s">
        <v>774</v>
      </c>
      <c r="D44" s="3" t="s">
        <v>203</v>
      </c>
      <c r="E44" s="4">
        <v>53896</v>
      </c>
      <c r="F44" s="5">
        <v>1881.886632</v>
      </c>
      <c r="G44" s="6">
        <v>8.2804899999999997E-3</v>
      </c>
      <c r="H44" s="109"/>
    </row>
    <row r="45" spans="1:8" ht="17.100000000000001" customHeight="1" x14ac:dyDescent="0.2">
      <c r="A45" s="100">
        <v>39</v>
      </c>
      <c r="B45" s="3" t="s">
        <v>809</v>
      </c>
      <c r="C45" s="3" t="s">
        <v>810</v>
      </c>
      <c r="D45" s="3" t="s">
        <v>210</v>
      </c>
      <c r="E45" s="4">
        <v>339666</v>
      </c>
      <c r="F45" s="5">
        <v>1768.640862</v>
      </c>
      <c r="G45" s="6">
        <v>7.7822000000000004E-3</v>
      </c>
      <c r="H45" s="109"/>
    </row>
    <row r="46" spans="1:8" ht="17.100000000000001" customHeight="1" x14ac:dyDescent="0.2">
      <c r="A46" s="100">
        <v>40</v>
      </c>
      <c r="B46" s="3" t="s">
        <v>199</v>
      </c>
      <c r="C46" s="3" t="s">
        <v>200</v>
      </c>
      <c r="D46" s="3" t="s">
        <v>22</v>
      </c>
      <c r="E46" s="4">
        <v>289455</v>
      </c>
      <c r="F46" s="5">
        <v>1716.1786950000001</v>
      </c>
      <c r="G46" s="6">
        <v>7.55136E-3</v>
      </c>
      <c r="H46" s="109"/>
    </row>
    <row r="47" spans="1:8" ht="17.100000000000001" customHeight="1" x14ac:dyDescent="0.2">
      <c r="A47" s="100">
        <v>41</v>
      </c>
      <c r="B47" s="3" t="s">
        <v>517</v>
      </c>
      <c r="C47" s="3" t="s">
        <v>518</v>
      </c>
      <c r="D47" s="3" t="s">
        <v>996</v>
      </c>
      <c r="E47" s="4">
        <v>147044</v>
      </c>
      <c r="F47" s="5">
        <v>1686.741724</v>
      </c>
      <c r="G47" s="6">
        <v>7.4218399999999999E-3</v>
      </c>
      <c r="H47" s="109"/>
    </row>
    <row r="48" spans="1:8" ht="17.100000000000001" customHeight="1" x14ac:dyDescent="0.2">
      <c r="A48" s="100">
        <v>42</v>
      </c>
      <c r="B48" s="3" t="s">
        <v>811</v>
      </c>
      <c r="C48" s="3" t="s">
        <v>812</v>
      </c>
      <c r="D48" s="3" t="s">
        <v>210</v>
      </c>
      <c r="E48" s="4">
        <v>118335</v>
      </c>
      <c r="F48" s="5">
        <v>1551.5493524999999</v>
      </c>
      <c r="G48" s="6">
        <v>6.8269799999999999E-3</v>
      </c>
      <c r="H48" s="109"/>
    </row>
    <row r="49" spans="1:8" ht="17.100000000000001" customHeight="1" x14ac:dyDescent="0.2">
      <c r="A49" s="100">
        <v>43</v>
      </c>
      <c r="B49" s="3" t="s">
        <v>705</v>
      </c>
      <c r="C49" s="3" t="s">
        <v>706</v>
      </c>
      <c r="D49" s="3" t="s">
        <v>216</v>
      </c>
      <c r="E49" s="4">
        <v>300938</v>
      </c>
      <c r="F49" s="5">
        <v>1470.984944</v>
      </c>
      <c r="G49" s="6">
        <v>6.4724800000000001E-3</v>
      </c>
      <c r="H49" s="109"/>
    </row>
    <row r="50" spans="1:8" ht="17.100000000000001" customHeight="1" x14ac:dyDescent="0.2">
      <c r="A50" s="100">
        <v>44</v>
      </c>
      <c r="B50" s="3" t="s">
        <v>324</v>
      </c>
      <c r="C50" s="3" t="s">
        <v>325</v>
      </c>
      <c r="D50" s="3" t="s">
        <v>22</v>
      </c>
      <c r="E50" s="4">
        <v>81043</v>
      </c>
      <c r="F50" s="5">
        <v>1401.4360775</v>
      </c>
      <c r="G50" s="6">
        <v>6.1664600000000003E-3</v>
      </c>
      <c r="H50" s="109"/>
    </row>
    <row r="51" spans="1:8" ht="17.100000000000001" customHeight="1" x14ac:dyDescent="0.2">
      <c r="A51" s="100">
        <v>45</v>
      </c>
      <c r="B51" s="3" t="s">
        <v>346</v>
      </c>
      <c r="C51" s="3" t="s">
        <v>347</v>
      </c>
      <c r="D51" s="3" t="s">
        <v>120</v>
      </c>
      <c r="E51" s="4">
        <v>18901</v>
      </c>
      <c r="F51" s="5">
        <v>1155.2480210000001</v>
      </c>
      <c r="G51" s="6">
        <v>5.0832100000000003E-3</v>
      </c>
      <c r="H51" s="109"/>
    </row>
    <row r="52" spans="1:8" ht="29.1" customHeight="1" x14ac:dyDescent="0.2">
      <c r="A52" s="100">
        <v>46</v>
      </c>
      <c r="B52" s="3" t="s">
        <v>452</v>
      </c>
      <c r="C52" s="3" t="s">
        <v>453</v>
      </c>
      <c r="D52" s="3" t="s">
        <v>392</v>
      </c>
      <c r="E52" s="4">
        <v>178700</v>
      </c>
      <c r="F52" s="5">
        <v>631.70450000000005</v>
      </c>
      <c r="G52" s="6">
        <v>2.7795599999999999E-3</v>
      </c>
      <c r="H52" s="109"/>
    </row>
    <row r="53" spans="1:8" ht="14.1" customHeight="1" x14ac:dyDescent="0.2">
      <c r="A53" s="99"/>
      <c r="B53" s="1"/>
      <c r="C53" s="2" t="s">
        <v>135</v>
      </c>
      <c r="D53" s="1"/>
      <c r="E53" s="1" t="s">
        <v>136</v>
      </c>
      <c r="F53" s="8">
        <v>210009.88874950001</v>
      </c>
      <c r="G53" s="9">
        <v>0.92406491999999996</v>
      </c>
      <c r="H53" s="109"/>
    </row>
    <row r="54" spans="1:8" ht="14.1" customHeight="1" x14ac:dyDescent="0.2">
      <c r="A54" s="99"/>
      <c r="B54" s="1"/>
      <c r="C54" s="10"/>
      <c r="D54" s="1"/>
      <c r="E54" s="1"/>
      <c r="F54" s="11"/>
      <c r="G54" s="11"/>
      <c r="H54" s="109"/>
    </row>
    <row r="55" spans="1:8" ht="14.1" customHeight="1" x14ac:dyDescent="0.2">
      <c r="A55" s="99"/>
      <c r="B55" s="1"/>
      <c r="C55" s="2" t="s">
        <v>137</v>
      </c>
      <c r="D55" s="1"/>
      <c r="E55" s="1"/>
      <c r="F55" s="1"/>
      <c r="G55" s="1"/>
      <c r="H55" s="109"/>
    </row>
    <row r="56" spans="1:8" ht="17.100000000000001" customHeight="1" x14ac:dyDescent="0.2">
      <c r="A56" s="100">
        <v>1</v>
      </c>
      <c r="B56" s="3" t="s">
        <v>813</v>
      </c>
      <c r="C56" s="3" t="s">
        <v>899</v>
      </c>
      <c r="D56" s="3" t="s">
        <v>235</v>
      </c>
      <c r="E56" s="4">
        <v>37829</v>
      </c>
      <c r="F56" s="5">
        <v>790.38551966499995</v>
      </c>
      <c r="G56" s="6">
        <v>3.4777800000000002E-3</v>
      </c>
      <c r="H56" s="109"/>
    </row>
    <row r="57" spans="1:8" ht="14.1" customHeight="1" x14ac:dyDescent="0.2">
      <c r="A57" s="99"/>
      <c r="B57" s="1"/>
      <c r="C57" s="2" t="s">
        <v>135</v>
      </c>
      <c r="D57" s="1"/>
      <c r="E57" s="1" t="s">
        <v>136</v>
      </c>
      <c r="F57" s="8">
        <v>790.38551966499995</v>
      </c>
      <c r="G57" s="9">
        <v>3.4777800000000002E-3</v>
      </c>
      <c r="H57" s="109"/>
    </row>
    <row r="58" spans="1:8" ht="14.1" customHeight="1" x14ac:dyDescent="0.2">
      <c r="A58" s="99"/>
      <c r="B58" s="1"/>
      <c r="C58" s="10"/>
      <c r="D58" s="1"/>
      <c r="E58" s="1"/>
      <c r="F58" s="11"/>
      <c r="G58" s="11"/>
      <c r="H58" s="109"/>
    </row>
    <row r="59" spans="1:8" ht="14.1" customHeight="1" x14ac:dyDescent="0.2">
      <c r="A59" s="99"/>
      <c r="B59" s="1"/>
      <c r="C59" s="2" t="s">
        <v>138</v>
      </c>
      <c r="D59" s="1"/>
      <c r="E59" s="1"/>
      <c r="F59" s="1"/>
      <c r="G59" s="1"/>
      <c r="H59" s="109"/>
    </row>
    <row r="60" spans="1:8" ht="14.1" customHeight="1" x14ac:dyDescent="0.2">
      <c r="A60" s="99"/>
      <c r="B60" s="1"/>
      <c r="C60" s="2" t="s">
        <v>135</v>
      </c>
      <c r="D60" s="1"/>
      <c r="E60" s="1" t="s">
        <v>136</v>
      </c>
      <c r="F60" s="115">
        <v>0</v>
      </c>
      <c r="G60" s="9">
        <v>0</v>
      </c>
      <c r="H60" s="109"/>
    </row>
    <row r="61" spans="1:8" ht="14.1" customHeight="1" x14ac:dyDescent="0.2">
      <c r="A61" s="99"/>
      <c r="B61" s="1"/>
      <c r="C61" s="10"/>
      <c r="D61" s="1"/>
      <c r="E61" s="1"/>
      <c r="F61" s="11"/>
      <c r="G61" s="11"/>
      <c r="H61" s="109"/>
    </row>
    <row r="62" spans="1:8" ht="14.1" customHeight="1" x14ac:dyDescent="0.2">
      <c r="A62" s="99"/>
      <c r="B62" s="1"/>
      <c r="C62" s="2" t="s">
        <v>139</v>
      </c>
      <c r="D62" s="1"/>
      <c r="E62" s="1"/>
      <c r="F62" s="1"/>
      <c r="G62" s="1"/>
      <c r="H62" s="109"/>
    </row>
    <row r="63" spans="1:8" ht="14.1" customHeight="1" x14ac:dyDescent="0.2">
      <c r="A63" s="99"/>
      <c r="B63" s="1"/>
      <c r="C63" s="2" t="s">
        <v>135</v>
      </c>
      <c r="D63" s="1"/>
      <c r="E63" s="1" t="s">
        <v>136</v>
      </c>
      <c r="F63" s="115">
        <v>0</v>
      </c>
      <c r="G63" s="9">
        <v>0</v>
      </c>
      <c r="H63" s="109"/>
    </row>
    <row r="64" spans="1:8" ht="14.1" customHeight="1" x14ac:dyDescent="0.2">
      <c r="A64" s="99"/>
      <c r="B64" s="1"/>
      <c r="C64" s="10"/>
      <c r="D64" s="1"/>
      <c r="E64" s="1"/>
      <c r="F64" s="11"/>
      <c r="G64" s="11"/>
      <c r="H64" s="109"/>
    </row>
    <row r="65" spans="1:8" ht="14.1" customHeight="1" x14ac:dyDescent="0.2">
      <c r="A65" s="99"/>
      <c r="B65" s="1"/>
      <c r="C65" s="2" t="s">
        <v>140</v>
      </c>
      <c r="D65" s="1"/>
      <c r="E65" s="1"/>
      <c r="F65" s="11"/>
      <c r="G65" s="11"/>
      <c r="H65" s="109"/>
    </row>
    <row r="66" spans="1:8" ht="14.1" customHeight="1" x14ac:dyDescent="0.2">
      <c r="A66" s="99"/>
      <c r="B66" s="1"/>
      <c r="C66" s="2" t="s">
        <v>135</v>
      </c>
      <c r="D66" s="1"/>
      <c r="E66" s="1" t="s">
        <v>136</v>
      </c>
      <c r="F66" s="115">
        <v>0</v>
      </c>
      <c r="G66" s="9">
        <v>0</v>
      </c>
      <c r="H66" s="109"/>
    </row>
    <row r="67" spans="1:8" ht="14.1" customHeight="1" x14ac:dyDescent="0.2">
      <c r="A67" s="99"/>
      <c r="B67" s="1"/>
      <c r="C67" s="10"/>
      <c r="D67" s="1"/>
      <c r="E67" s="1"/>
      <c r="F67" s="11"/>
      <c r="G67" s="11"/>
      <c r="H67" s="109"/>
    </row>
    <row r="68" spans="1:8" ht="14.1" customHeight="1" x14ac:dyDescent="0.2">
      <c r="A68" s="99"/>
      <c r="B68" s="1"/>
      <c r="C68" s="2" t="s">
        <v>141</v>
      </c>
      <c r="D68" s="1"/>
      <c r="E68" s="1"/>
      <c r="F68" s="11"/>
      <c r="G68" s="11"/>
      <c r="H68" s="109"/>
    </row>
    <row r="69" spans="1:8" ht="14.1" customHeight="1" x14ac:dyDescent="0.2">
      <c r="A69" s="99"/>
      <c r="B69" s="1"/>
      <c r="C69" s="2" t="s">
        <v>135</v>
      </c>
      <c r="D69" s="1"/>
      <c r="E69" s="1" t="s">
        <v>136</v>
      </c>
      <c r="F69" s="115">
        <v>0</v>
      </c>
      <c r="G69" s="9">
        <v>0</v>
      </c>
      <c r="H69" s="109"/>
    </row>
    <row r="70" spans="1:8" ht="14.1" customHeight="1" x14ac:dyDescent="0.2">
      <c r="A70" s="99"/>
      <c r="B70" s="1"/>
      <c r="C70" s="10"/>
      <c r="D70" s="1"/>
      <c r="E70" s="1"/>
      <c r="F70" s="11"/>
      <c r="G70" s="11"/>
      <c r="H70" s="109"/>
    </row>
    <row r="71" spans="1:8" ht="18" customHeight="1" x14ac:dyDescent="0.2">
      <c r="A71" s="99"/>
      <c r="B71" s="1"/>
      <c r="C71" s="2" t="s">
        <v>142</v>
      </c>
      <c r="D71" s="1"/>
      <c r="E71" s="1"/>
      <c r="F71" s="8">
        <v>210800.27426916501</v>
      </c>
      <c r="G71" s="9">
        <v>0.92754270000000005</v>
      </c>
      <c r="H71" s="109"/>
    </row>
    <row r="72" spans="1:8" ht="14.1" customHeight="1" x14ac:dyDescent="0.2">
      <c r="A72" s="99"/>
      <c r="B72" s="1"/>
      <c r="C72" s="10"/>
      <c r="D72" s="1"/>
      <c r="E72" s="1"/>
      <c r="F72" s="11"/>
      <c r="G72" s="11"/>
      <c r="H72" s="109"/>
    </row>
    <row r="73" spans="1:8" ht="14.1" customHeight="1" x14ac:dyDescent="0.2">
      <c r="A73" s="99"/>
      <c r="B73" s="1"/>
      <c r="C73" s="2" t="s">
        <v>143</v>
      </c>
      <c r="D73" s="1"/>
      <c r="E73" s="1"/>
      <c r="F73" s="11"/>
      <c r="G73" s="11"/>
      <c r="H73" s="109"/>
    </row>
    <row r="74" spans="1:8" ht="24" customHeight="1" x14ac:dyDescent="0.2">
      <c r="A74" s="99"/>
      <c r="B74" s="1"/>
      <c r="C74" s="2" t="s">
        <v>10</v>
      </c>
      <c r="D74" s="1"/>
      <c r="E74" s="1"/>
      <c r="F74" s="11"/>
      <c r="G74" s="11"/>
      <c r="H74" s="109"/>
    </row>
    <row r="75" spans="1:8" ht="14.1" customHeight="1" x14ac:dyDescent="0.2">
      <c r="A75" s="99"/>
      <c r="B75" s="1"/>
      <c r="C75" s="2" t="s">
        <v>135</v>
      </c>
      <c r="D75" s="1"/>
      <c r="E75" s="1" t="s">
        <v>136</v>
      </c>
      <c r="F75" s="115">
        <v>0</v>
      </c>
      <c r="G75" s="9">
        <v>0</v>
      </c>
      <c r="H75" s="109"/>
    </row>
    <row r="76" spans="1:8" ht="14.1" customHeight="1" x14ac:dyDescent="0.2">
      <c r="A76" s="99"/>
      <c r="B76" s="1"/>
      <c r="C76" s="10"/>
      <c r="D76" s="1"/>
      <c r="E76" s="1"/>
      <c r="F76" s="11"/>
      <c r="G76" s="11"/>
      <c r="H76" s="109"/>
    </row>
    <row r="77" spans="1:8" ht="14.1" customHeight="1" x14ac:dyDescent="0.2">
      <c r="A77" s="99"/>
      <c r="B77" s="1"/>
      <c r="C77" s="2" t="s">
        <v>144</v>
      </c>
      <c r="D77" s="1"/>
      <c r="E77" s="1"/>
      <c r="F77" s="1"/>
      <c r="G77" s="1"/>
      <c r="H77" s="109"/>
    </row>
    <row r="78" spans="1:8" ht="14.1" customHeight="1" x14ac:dyDescent="0.2">
      <c r="A78" s="99"/>
      <c r="B78" s="1"/>
      <c r="C78" s="2" t="s">
        <v>135</v>
      </c>
      <c r="D78" s="1"/>
      <c r="E78" s="1" t="s">
        <v>136</v>
      </c>
      <c r="F78" s="115">
        <v>0</v>
      </c>
      <c r="G78" s="9">
        <v>0</v>
      </c>
      <c r="H78" s="109"/>
    </row>
    <row r="79" spans="1:8" ht="14.1" customHeight="1" x14ac:dyDescent="0.2">
      <c r="A79" s="99"/>
      <c r="B79" s="1"/>
      <c r="C79" s="10"/>
      <c r="D79" s="1"/>
      <c r="E79" s="1"/>
      <c r="F79" s="11"/>
      <c r="G79" s="11"/>
      <c r="H79" s="109"/>
    </row>
    <row r="80" spans="1:8" ht="14.1" customHeight="1" x14ac:dyDescent="0.2">
      <c r="A80" s="99"/>
      <c r="B80" s="1"/>
      <c r="C80" s="2" t="s">
        <v>145</v>
      </c>
      <c r="D80" s="1"/>
      <c r="E80" s="1"/>
      <c r="F80" s="1"/>
      <c r="G80" s="1"/>
      <c r="H80" s="109"/>
    </row>
    <row r="81" spans="1:8" ht="14.1" customHeight="1" x14ac:dyDescent="0.2">
      <c r="A81" s="99"/>
      <c r="B81" s="1"/>
      <c r="C81" s="2" t="s">
        <v>135</v>
      </c>
      <c r="D81" s="1"/>
      <c r="E81" s="1" t="s">
        <v>136</v>
      </c>
      <c r="F81" s="115">
        <v>0</v>
      </c>
      <c r="G81" s="9">
        <v>0</v>
      </c>
      <c r="H81" s="109"/>
    </row>
    <row r="82" spans="1:8" ht="14.1" customHeight="1" x14ac:dyDescent="0.2">
      <c r="A82" s="99"/>
      <c r="B82" s="1"/>
      <c r="C82" s="10"/>
      <c r="D82" s="1"/>
      <c r="E82" s="1"/>
      <c r="F82" s="11"/>
      <c r="G82" s="11"/>
      <c r="H82" s="109"/>
    </row>
    <row r="83" spans="1:8" ht="14.1" customHeight="1" x14ac:dyDescent="0.2">
      <c r="A83" s="99"/>
      <c r="B83" s="1"/>
      <c r="C83" s="2" t="s">
        <v>146</v>
      </c>
      <c r="D83" s="1"/>
      <c r="E83" s="1"/>
      <c r="F83" s="11"/>
      <c r="G83" s="11"/>
      <c r="H83" s="109"/>
    </row>
    <row r="84" spans="1:8" ht="14.1" customHeight="1" x14ac:dyDescent="0.2">
      <c r="A84" s="99"/>
      <c r="B84" s="1"/>
      <c r="C84" s="2" t="s">
        <v>135</v>
      </c>
      <c r="D84" s="1"/>
      <c r="E84" s="1" t="s">
        <v>136</v>
      </c>
      <c r="F84" s="115">
        <v>0</v>
      </c>
      <c r="G84" s="9">
        <v>0</v>
      </c>
      <c r="H84" s="109"/>
    </row>
    <row r="85" spans="1:8" ht="14.1" customHeight="1" x14ac:dyDescent="0.2">
      <c r="A85" s="99"/>
      <c r="B85" s="1"/>
      <c r="C85" s="10"/>
      <c r="D85" s="1"/>
      <c r="E85" s="1"/>
      <c r="F85" s="11"/>
      <c r="G85" s="11"/>
      <c r="H85" s="109"/>
    </row>
    <row r="86" spans="1:8" ht="14.1" customHeight="1" x14ac:dyDescent="0.2">
      <c r="A86" s="99"/>
      <c r="B86" s="1"/>
      <c r="C86" s="2" t="s">
        <v>147</v>
      </c>
      <c r="D86" s="1"/>
      <c r="E86" s="1"/>
      <c r="F86" s="8">
        <v>0</v>
      </c>
      <c r="G86" s="9">
        <v>0</v>
      </c>
      <c r="H86" s="109"/>
    </row>
    <row r="87" spans="1:8" ht="14.1" customHeight="1" x14ac:dyDescent="0.2">
      <c r="A87" s="99"/>
      <c r="B87" s="1"/>
      <c r="C87" s="10"/>
      <c r="D87" s="1"/>
      <c r="E87" s="1"/>
      <c r="F87" s="11"/>
      <c r="G87" s="11"/>
      <c r="H87" s="109"/>
    </row>
    <row r="88" spans="1:8" ht="14.1" customHeight="1" x14ac:dyDescent="0.2">
      <c r="A88" s="99"/>
      <c r="B88" s="1"/>
      <c r="C88" s="2" t="s">
        <v>148</v>
      </c>
      <c r="D88" s="1"/>
      <c r="E88" s="1"/>
      <c r="F88" s="11"/>
      <c r="G88" s="11"/>
      <c r="H88" s="109"/>
    </row>
    <row r="89" spans="1:8" ht="14.1" customHeight="1" x14ac:dyDescent="0.2">
      <c r="A89" s="99"/>
      <c r="B89" s="1"/>
      <c r="C89" s="2" t="s">
        <v>149</v>
      </c>
      <c r="D89" s="1"/>
      <c r="E89" s="1"/>
      <c r="F89" s="11"/>
      <c r="G89" s="11"/>
      <c r="H89" s="109"/>
    </row>
    <row r="90" spans="1:8" ht="14.1" customHeight="1" x14ac:dyDescent="0.2">
      <c r="A90" s="99"/>
      <c r="B90" s="1"/>
      <c r="C90" s="2" t="s">
        <v>135</v>
      </c>
      <c r="D90" s="1"/>
      <c r="E90" s="1" t="s">
        <v>136</v>
      </c>
      <c r="F90" s="115">
        <v>0</v>
      </c>
      <c r="G90" s="9">
        <v>0</v>
      </c>
      <c r="H90" s="109"/>
    </row>
    <row r="91" spans="1:8" ht="14.1" customHeight="1" x14ac:dyDescent="0.2">
      <c r="A91" s="99"/>
      <c r="B91" s="1"/>
      <c r="C91" s="10"/>
      <c r="D91" s="1"/>
      <c r="E91" s="1"/>
      <c r="F91" s="11"/>
      <c r="G91" s="11"/>
      <c r="H91" s="109"/>
    </row>
    <row r="92" spans="1:8" ht="14.1" customHeight="1" x14ac:dyDescent="0.2">
      <c r="A92" s="99"/>
      <c r="B92" s="1"/>
      <c r="C92" s="2" t="s">
        <v>150</v>
      </c>
      <c r="D92" s="1"/>
      <c r="E92" s="1"/>
      <c r="F92" s="11"/>
      <c r="G92" s="11"/>
      <c r="H92" s="109"/>
    </row>
    <row r="93" spans="1:8" ht="14.1" customHeight="1" x14ac:dyDescent="0.2">
      <c r="A93" s="99"/>
      <c r="B93" s="1"/>
      <c r="C93" s="2" t="s">
        <v>135</v>
      </c>
      <c r="D93" s="1"/>
      <c r="E93" s="1" t="s">
        <v>136</v>
      </c>
      <c r="F93" s="115">
        <v>0</v>
      </c>
      <c r="G93" s="9">
        <v>0</v>
      </c>
      <c r="H93" s="109"/>
    </row>
    <row r="94" spans="1:8" ht="14.1" customHeight="1" x14ac:dyDescent="0.2">
      <c r="A94" s="99"/>
      <c r="B94" s="1"/>
      <c r="C94" s="10"/>
      <c r="D94" s="1"/>
      <c r="E94" s="1"/>
      <c r="F94" s="11"/>
      <c r="G94" s="11"/>
      <c r="H94" s="109"/>
    </row>
    <row r="95" spans="1:8" ht="14.1" customHeight="1" x14ac:dyDescent="0.2">
      <c r="A95" s="99"/>
      <c r="B95" s="1"/>
      <c r="C95" s="2" t="s">
        <v>151</v>
      </c>
      <c r="D95" s="1"/>
      <c r="E95" s="1"/>
      <c r="F95" s="11"/>
      <c r="G95" s="11"/>
      <c r="H95" s="109"/>
    </row>
    <row r="96" spans="1:8" ht="14.1" customHeight="1" x14ac:dyDescent="0.2">
      <c r="A96" s="99"/>
      <c r="B96" s="1"/>
      <c r="C96" s="2" t="s">
        <v>135</v>
      </c>
      <c r="D96" s="1"/>
      <c r="E96" s="1" t="s">
        <v>136</v>
      </c>
      <c r="F96" s="115">
        <v>0</v>
      </c>
      <c r="G96" s="9">
        <v>0</v>
      </c>
      <c r="H96" s="109"/>
    </row>
    <row r="97" spans="1:8" ht="14.1" customHeight="1" x14ac:dyDescent="0.2">
      <c r="A97" s="99"/>
      <c r="B97" s="1"/>
      <c r="C97" s="10"/>
      <c r="D97" s="1"/>
      <c r="E97" s="1"/>
      <c r="F97" s="11"/>
      <c r="G97" s="11"/>
      <c r="H97" s="109"/>
    </row>
    <row r="98" spans="1:8" ht="14.1" customHeight="1" x14ac:dyDescent="0.2">
      <c r="A98" s="99"/>
      <c r="B98" s="1"/>
      <c r="C98" s="2" t="s">
        <v>152</v>
      </c>
      <c r="D98" s="1"/>
      <c r="E98" s="1"/>
      <c r="F98" s="11"/>
      <c r="G98" s="11"/>
      <c r="H98" s="109"/>
    </row>
    <row r="99" spans="1:8" ht="17.100000000000001" customHeight="1" x14ac:dyDescent="0.2">
      <c r="A99" s="100">
        <v>1</v>
      </c>
      <c r="B99" s="3"/>
      <c r="C99" s="3" t="s">
        <v>153</v>
      </c>
      <c r="D99" s="3"/>
      <c r="E99" s="7"/>
      <c r="F99" s="5">
        <v>15960.100241975</v>
      </c>
      <c r="G99" s="6">
        <v>7.0226070000000002E-2</v>
      </c>
      <c r="H99" s="109">
        <v>6.6015165706411798</v>
      </c>
    </row>
    <row r="100" spans="1:8" ht="14.1" customHeight="1" x14ac:dyDescent="0.2">
      <c r="A100" s="99"/>
      <c r="B100" s="1"/>
      <c r="C100" s="2" t="s">
        <v>135</v>
      </c>
      <c r="D100" s="1"/>
      <c r="E100" s="1" t="s">
        <v>136</v>
      </c>
      <c r="F100" s="8">
        <v>15960.100241975</v>
      </c>
      <c r="G100" s="9">
        <v>7.0226070000000002E-2</v>
      </c>
      <c r="H100" s="109"/>
    </row>
    <row r="101" spans="1:8" ht="14.1" customHeight="1" x14ac:dyDescent="0.2">
      <c r="A101" s="99"/>
      <c r="B101" s="1"/>
      <c r="C101" s="10"/>
      <c r="D101" s="1"/>
      <c r="E101" s="1"/>
      <c r="F101" s="11"/>
      <c r="G101" s="11"/>
      <c r="H101" s="109"/>
    </row>
    <row r="102" spans="1:8" ht="14.1" customHeight="1" x14ac:dyDescent="0.2">
      <c r="A102" s="99"/>
      <c r="B102" s="1"/>
      <c r="C102" s="2" t="s">
        <v>154</v>
      </c>
      <c r="D102" s="1"/>
      <c r="E102" s="1"/>
      <c r="F102" s="8">
        <v>15960.100241975</v>
      </c>
      <c r="G102" s="9">
        <v>7.0226070000000002E-2</v>
      </c>
      <c r="H102" s="109"/>
    </row>
    <row r="103" spans="1:8" ht="14.1" customHeight="1" x14ac:dyDescent="0.2">
      <c r="A103" s="99"/>
      <c r="B103" s="1"/>
      <c r="C103" s="11"/>
      <c r="D103" s="1"/>
      <c r="E103" s="1"/>
      <c r="F103" s="1"/>
      <c r="G103" s="1"/>
      <c r="H103" s="109"/>
    </row>
    <row r="104" spans="1:8" ht="14.1" customHeight="1" x14ac:dyDescent="0.2">
      <c r="A104" s="99"/>
      <c r="B104" s="1"/>
      <c r="C104" s="2" t="s">
        <v>155</v>
      </c>
      <c r="D104" s="1"/>
      <c r="E104" s="1"/>
      <c r="F104" s="1"/>
      <c r="G104" s="1"/>
      <c r="H104" s="109"/>
    </row>
    <row r="105" spans="1:8" ht="14.1" customHeight="1" x14ac:dyDescent="0.2">
      <c r="A105" s="99"/>
      <c r="B105" s="1"/>
      <c r="C105" s="2" t="s">
        <v>156</v>
      </c>
      <c r="D105" s="1"/>
      <c r="E105" s="1"/>
      <c r="F105" s="1"/>
      <c r="G105" s="1"/>
      <c r="H105" s="109"/>
    </row>
    <row r="106" spans="1:8" ht="14.1" customHeight="1" x14ac:dyDescent="0.2">
      <c r="A106" s="99"/>
      <c r="B106" s="1"/>
      <c r="C106" s="2" t="s">
        <v>135</v>
      </c>
      <c r="D106" s="1"/>
      <c r="E106" s="1" t="s">
        <v>136</v>
      </c>
      <c r="F106" s="115">
        <v>0</v>
      </c>
      <c r="G106" s="9">
        <v>0</v>
      </c>
      <c r="H106" s="109"/>
    </row>
    <row r="107" spans="1:8" ht="14.1" customHeight="1" x14ac:dyDescent="0.2">
      <c r="A107" s="99"/>
      <c r="B107" s="1"/>
      <c r="C107" s="10"/>
      <c r="D107" s="1"/>
      <c r="E107" s="1"/>
      <c r="F107" s="11"/>
      <c r="G107" s="11"/>
      <c r="H107" s="109"/>
    </row>
    <row r="108" spans="1:8" ht="14.1" customHeight="1" x14ac:dyDescent="0.2">
      <c r="A108" s="99"/>
      <c r="B108" s="1"/>
      <c r="C108" s="2" t="s">
        <v>157</v>
      </c>
      <c r="D108" s="1"/>
      <c r="E108" s="1"/>
      <c r="F108" s="1"/>
      <c r="G108" s="1"/>
      <c r="H108" s="109"/>
    </row>
    <row r="109" spans="1:8" ht="14.1" customHeight="1" x14ac:dyDescent="0.2">
      <c r="A109" s="99"/>
      <c r="B109" s="1"/>
      <c r="C109" s="2" t="s">
        <v>158</v>
      </c>
      <c r="D109" s="1"/>
      <c r="E109" s="1"/>
      <c r="F109" s="1"/>
      <c r="G109" s="1"/>
      <c r="H109" s="109"/>
    </row>
    <row r="110" spans="1:8" ht="14.1" customHeight="1" x14ac:dyDescent="0.2">
      <c r="A110" s="99"/>
      <c r="B110" s="1"/>
      <c r="C110" s="2" t="s">
        <v>135</v>
      </c>
      <c r="D110" s="1"/>
      <c r="E110" s="1" t="s">
        <v>136</v>
      </c>
      <c r="F110" s="115">
        <v>0</v>
      </c>
      <c r="G110" s="9">
        <v>0</v>
      </c>
      <c r="H110" s="109"/>
    </row>
    <row r="111" spans="1:8" ht="14.1" customHeight="1" x14ac:dyDescent="0.2">
      <c r="A111" s="99"/>
      <c r="B111" s="1"/>
      <c r="C111" s="10"/>
      <c r="D111" s="1"/>
      <c r="E111" s="1"/>
      <c r="F111" s="11"/>
      <c r="G111" s="11"/>
      <c r="H111" s="109"/>
    </row>
    <row r="112" spans="1:8" ht="24" customHeight="1" x14ac:dyDescent="0.2">
      <c r="A112" s="99"/>
      <c r="B112" s="1"/>
      <c r="C112" s="2" t="s">
        <v>159</v>
      </c>
      <c r="D112" s="1"/>
      <c r="E112" s="1"/>
      <c r="F112" s="11"/>
      <c r="G112" s="11"/>
      <c r="H112" s="109"/>
    </row>
    <row r="113" spans="1:8" ht="14.1" customHeight="1" x14ac:dyDescent="0.2">
      <c r="A113" s="99"/>
      <c r="B113" s="1"/>
      <c r="C113" s="2" t="s">
        <v>135</v>
      </c>
      <c r="D113" s="1"/>
      <c r="E113" s="1" t="s">
        <v>136</v>
      </c>
      <c r="F113" s="115">
        <v>0</v>
      </c>
      <c r="G113" s="9">
        <v>0</v>
      </c>
      <c r="H113" s="109"/>
    </row>
    <row r="114" spans="1:8" ht="14.1" customHeight="1" x14ac:dyDescent="0.2">
      <c r="A114" s="99"/>
      <c r="B114" s="1"/>
      <c r="C114" s="10"/>
      <c r="D114" s="1"/>
      <c r="E114" s="1"/>
      <c r="F114" s="11"/>
      <c r="G114" s="11"/>
      <c r="H114" s="109"/>
    </row>
    <row r="115" spans="1:8" ht="14.1" customHeight="1" x14ac:dyDescent="0.2">
      <c r="A115" s="99"/>
      <c r="B115" s="3"/>
      <c r="C115" s="3"/>
      <c r="D115" s="2"/>
      <c r="E115" s="1"/>
      <c r="F115" s="3"/>
      <c r="G115" s="7"/>
      <c r="H115" s="109"/>
    </row>
    <row r="116" spans="1:8" ht="18" customHeight="1" x14ac:dyDescent="0.2">
      <c r="A116" s="101"/>
      <c r="B116" s="3"/>
      <c r="C116" s="3" t="s">
        <v>160</v>
      </c>
      <c r="D116" s="3"/>
      <c r="E116" s="7"/>
      <c r="F116" s="5">
        <v>507.08086652999998</v>
      </c>
      <c r="G116" s="6">
        <v>2.23121E-3</v>
      </c>
      <c r="H116" s="109"/>
    </row>
    <row r="117" spans="1:8" ht="14.1" customHeight="1" x14ac:dyDescent="0.2">
      <c r="A117" s="102"/>
      <c r="B117" s="10"/>
      <c r="C117" s="2" t="s">
        <v>161</v>
      </c>
      <c r="D117" s="11"/>
      <c r="E117" s="11"/>
      <c r="F117" s="8">
        <v>227267.45537767</v>
      </c>
      <c r="G117" s="12">
        <v>0.99999998000000001</v>
      </c>
      <c r="H117" s="109"/>
    </row>
    <row r="118" spans="1:8" ht="14.1" customHeight="1" x14ac:dyDescent="0.2">
      <c r="A118" s="13"/>
      <c r="B118" s="13"/>
      <c r="C118" s="13"/>
      <c r="D118" s="14"/>
      <c r="E118" s="14"/>
      <c r="F118" s="14"/>
      <c r="G118" s="14"/>
    </row>
    <row r="119" spans="1:8" ht="14.1" customHeight="1" x14ac:dyDescent="0.2">
      <c r="A119" s="15"/>
      <c r="B119" s="15"/>
      <c r="C119" s="15"/>
      <c r="D119" s="17"/>
      <c r="E119" s="17"/>
      <c r="F119" s="17"/>
      <c r="G119" s="17"/>
    </row>
    <row r="120" spans="1:8" ht="14.1" customHeight="1" x14ac:dyDescent="0.2">
      <c r="A120" s="15"/>
      <c r="B120" s="194" t="s">
        <v>163</v>
      </c>
      <c r="C120" s="195"/>
      <c r="D120" s="196"/>
      <c r="E120" s="18"/>
      <c r="F120" s="17"/>
      <c r="G120" s="17"/>
    </row>
    <row r="121" spans="1:8" ht="29.1" customHeight="1" x14ac:dyDescent="0.2">
      <c r="A121" s="15"/>
      <c r="B121" s="191" t="s">
        <v>164</v>
      </c>
      <c r="C121" s="192"/>
      <c r="D121" s="2" t="s">
        <v>165</v>
      </c>
      <c r="E121" s="18"/>
      <c r="F121" s="17"/>
      <c r="G121" s="17"/>
    </row>
    <row r="122" spans="1:8" ht="17.100000000000001" customHeight="1" x14ac:dyDescent="0.2">
      <c r="A122" s="15"/>
      <c r="B122" s="191" t="s">
        <v>166</v>
      </c>
      <c r="C122" s="192"/>
      <c r="D122" s="2" t="s">
        <v>165</v>
      </c>
      <c r="E122" s="18"/>
      <c r="F122" s="17"/>
      <c r="G122" s="17"/>
    </row>
    <row r="123" spans="1:8" ht="17.100000000000001" customHeight="1" x14ac:dyDescent="0.2">
      <c r="A123" s="15"/>
      <c r="B123" s="191" t="s">
        <v>167</v>
      </c>
      <c r="C123" s="192"/>
      <c r="D123" s="11" t="s">
        <v>136</v>
      </c>
      <c r="E123" s="18"/>
      <c r="F123" s="17"/>
      <c r="G123" s="17"/>
    </row>
    <row r="124" spans="1:8" ht="24" customHeight="1" x14ac:dyDescent="0.2">
      <c r="A124" s="19"/>
      <c r="B124" s="20" t="s">
        <v>136</v>
      </c>
      <c r="C124" s="20" t="s">
        <v>168</v>
      </c>
      <c r="D124" s="20" t="s">
        <v>169</v>
      </c>
      <c r="E124" s="19"/>
      <c r="F124" s="19"/>
      <c r="G124" s="19"/>
    </row>
    <row r="125" spans="1:8" ht="18" customHeight="1" x14ac:dyDescent="0.2">
      <c r="A125" s="19"/>
      <c r="B125" s="21" t="s">
        <v>170</v>
      </c>
      <c r="C125" s="20" t="s">
        <v>171</v>
      </c>
      <c r="D125" s="20" t="s">
        <v>172</v>
      </c>
      <c r="E125" s="19"/>
      <c r="F125" s="19"/>
      <c r="G125" s="19"/>
    </row>
    <row r="126" spans="1:8" ht="17.100000000000001" customHeight="1" x14ac:dyDescent="0.2">
      <c r="A126" s="19"/>
      <c r="B126" s="3" t="s">
        <v>173</v>
      </c>
      <c r="C126" s="22">
        <v>22.047899999999998</v>
      </c>
      <c r="D126" s="22">
        <v>21.805700000000002</v>
      </c>
      <c r="E126" s="19"/>
      <c r="F126" s="16"/>
      <c r="G126" s="23"/>
    </row>
    <row r="127" spans="1:8" ht="17.100000000000001" customHeight="1" x14ac:dyDescent="0.2">
      <c r="A127" s="19"/>
      <c r="B127" s="3" t="s">
        <v>994</v>
      </c>
      <c r="C127" s="22">
        <v>17.537299999999998</v>
      </c>
      <c r="D127" s="22">
        <v>17.3446</v>
      </c>
      <c r="E127" s="19"/>
      <c r="F127" s="16"/>
      <c r="G127" s="23"/>
    </row>
    <row r="128" spans="1:8" ht="17.100000000000001" customHeight="1" x14ac:dyDescent="0.2">
      <c r="A128" s="19"/>
      <c r="B128" s="3" t="s">
        <v>174</v>
      </c>
      <c r="C128" s="22">
        <v>20.956900000000001</v>
      </c>
      <c r="D128" s="22">
        <v>20.706600000000002</v>
      </c>
      <c r="E128" s="19"/>
      <c r="F128" s="16"/>
      <c r="G128" s="23"/>
    </row>
    <row r="129" spans="1:7" ht="17.100000000000001" customHeight="1" x14ac:dyDescent="0.2">
      <c r="A129" s="19"/>
      <c r="B129" s="3" t="s">
        <v>995</v>
      </c>
      <c r="C129" s="22">
        <v>16.652699999999999</v>
      </c>
      <c r="D129" s="22">
        <v>16.453900000000001</v>
      </c>
      <c r="E129" s="19"/>
      <c r="F129" s="16"/>
      <c r="G129" s="23"/>
    </row>
    <row r="130" spans="1:7" ht="14.1" customHeight="1" x14ac:dyDescent="0.2">
      <c r="A130" s="19"/>
      <c r="B130" s="19"/>
      <c r="C130" s="19"/>
      <c r="D130" s="19"/>
      <c r="E130" s="19"/>
      <c r="F130" s="19"/>
      <c r="G130" s="19"/>
    </row>
    <row r="131" spans="1:7" ht="17.100000000000001" customHeight="1" x14ac:dyDescent="0.2">
      <c r="A131" s="19"/>
      <c r="B131" s="191" t="s">
        <v>1044</v>
      </c>
      <c r="C131" s="192"/>
      <c r="D131" s="2" t="s">
        <v>165</v>
      </c>
      <c r="E131" s="19"/>
      <c r="F131" s="19"/>
      <c r="G131" s="19"/>
    </row>
    <row r="132" spans="1:7" ht="18" customHeight="1" x14ac:dyDescent="0.2">
      <c r="A132" s="19"/>
      <c r="B132" s="24"/>
      <c r="C132" s="24"/>
      <c r="D132" s="24"/>
      <c r="E132" s="19"/>
      <c r="F132" s="19"/>
      <c r="G132" s="19"/>
    </row>
    <row r="133" spans="1:7" ht="29.1" customHeight="1" x14ac:dyDescent="0.2">
      <c r="A133" s="19"/>
      <c r="B133" s="191" t="s">
        <v>175</v>
      </c>
      <c r="C133" s="192"/>
      <c r="D133" s="2" t="s">
        <v>165</v>
      </c>
      <c r="E133" s="25"/>
      <c r="F133" s="19"/>
      <c r="G133" s="19"/>
    </row>
    <row r="134" spans="1:7" ht="29.1" customHeight="1" x14ac:dyDescent="0.2">
      <c r="A134" s="19"/>
      <c r="B134" s="191" t="s">
        <v>176</v>
      </c>
      <c r="C134" s="192"/>
      <c r="D134" s="2" t="s">
        <v>999</v>
      </c>
      <c r="E134" s="25"/>
      <c r="F134" s="19"/>
      <c r="G134" s="19"/>
    </row>
    <row r="135" spans="1:7" ht="17.100000000000001" customHeight="1" x14ac:dyDescent="0.2">
      <c r="A135" s="19"/>
      <c r="B135" s="191" t="s">
        <v>177</v>
      </c>
      <c r="C135" s="192"/>
      <c r="D135" s="2" t="s">
        <v>165</v>
      </c>
      <c r="E135" s="25"/>
      <c r="F135" s="19"/>
      <c r="G135" s="19"/>
    </row>
    <row r="136" spans="1:7" ht="17.100000000000001" customHeight="1" x14ac:dyDescent="0.2">
      <c r="A136" s="19"/>
      <c r="B136" s="191" t="s">
        <v>178</v>
      </c>
      <c r="C136" s="192"/>
      <c r="D136" s="26">
        <v>0.30999349311354224</v>
      </c>
      <c r="E136" s="19"/>
      <c r="F136" s="16"/>
      <c r="G136" s="23"/>
    </row>
    <row r="137" spans="1:7" ht="14.1" customHeight="1" x14ac:dyDescent="0.2">
      <c r="A137" s="24"/>
      <c r="B137" s="24"/>
      <c r="C137" s="24"/>
      <c r="D137" s="24"/>
      <c r="E137" s="24"/>
      <c r="F137" s="24"/>
      <c r="G137" s="24"/>
    </row>
  </sheetData>
  <mergeCells count="13">
    <mergeCell ref="J2:N2"/>
    <mergeCell ref="B123:C123"/>
    <mergeCell ref="B120:D120"/>
    <mergeCell ref="B121:C121"/>
    <mergeCell ref="B122:C122"/>
    <mergeCell ref="A1:H1"/>
    <mergeCell ref="A2:H2"/>
    <mergeCell ref="A3:H3"/>
    <mergeCell ref="B136:C136"/>
    <mergeCell ref="B133:C133"/>
    <mergeCell ref="B134:C134"/>
    <mergeCell ref="B135:C135"/>
    <mergeCell ref="B131:C131"/>
  </mergeCells>
  <hyperlinks>
    <hyperlink ref="I1" location="Index!B33" display="Index" xr:uid="{994582E3-FA20-4146-A86B-5B35EB6460A3}"/>
  </hyperlinks>
  <pageMargins left="5.000000074505806E-2" right="5.000000074505806E-2" top="0.30000001192092896" bottom="0.20000000298023224" header="0" footer="0"/>
  <pageSetup paperSize="9" orientation="landscape" r:id="rId1"/>
  <headerFooter alignWithMargins="0"/>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N150"/>
  <sheetViews>
    <sheetView showGridLines="0" workbookViewId="0">
      <selection sqref="A1:H1"/>
    </sheetView>
  </sheetViews>
  <sheetFormatPr defaultRowHeight="12.75" x14ac:dyDescent="0.2"/>
  <cols>
    <col min="1" max="1" width="5.42578125" bestFit="1"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7" t="s">
        <v>0</v>
      </c>
      <c r="B1" s="187"/>
      <c r="C1" s="187"/>
      <c r="D1" s="187"/>
      <c r="E1" s="187"/>
      <c r="F1" s="187"/>
      <c r="G1" s="187"/>
      <c r="H1" s="187"/>
      <c r="I1" s="167" t="s">
        <v>1055</v>
      </c>
    </row>
    <row r="2" spans="1:14" ht="17.100000000000001" customHeight="1" x14ac:dyDescent="0.2">
      <c r="A2" s="188" t="s">
        <v>814</v>
      </c>
      <c r="B2" s="189"/>
      <c r="C2" s="189"/>
      <c r="D2" s="189"/>
      <c r="E2" s="189"/>
      <c r="F2" s="189"/>
      <c r="G2" s="189"/>
      <c r="H2" s="190"/>
      <c r="J2" s="186" t="s">
        <v>1056</v>
      </c>
      <c r="K2" s="186"/>
      <c r="L2" s="186"/>
      <c r="M2" s="186"/>
      <c r="N2" s="186"/>
    </row>
    <row r="3" spans="1:14" ht="21" customHeight="1" x14ac:dyDescent="0.2">
      <c r="A3" s="187" t="s">
        <v>1052</v>
      </c>
      <c r="B3" s="187"/>
      <c r="C3" s="187"/>
      <c r="D3" s="187"/>
      <c r="E3" s="187"/>
      <c r="F3" s="187"/>
      <c r="G3" s="187"/>
      <c r="H3" s="187"/>
    </row>
    <row r="4" spans="1:14" ht="30" x14ac:dyDescent="0.2">
      <c r="A4" s="163" t="s">
        <v>2</v>
      </c>
      <c r="B4" s="164" t="s">
        <v>3</v>
      </c>
      <c r="C4" s="164" t="s">
        <v>4</v>
      </c>
      <c r="D4" s="164" t="s">
        <v>5</v>
      </c>
      <c r="E4" s="164" t="s">
        <v>6</v>
      </c>
      <c r="F4" s="164" t="s">
        <v>7</v>
      </c>
      <c r="G4" s="164" t="s">
        <v>8</v>
      </c>
      <c r="H4" s="120" t="s">
        <v>881</v>
      </c>
      <c r="I4" s="165"/>
      <c r="J4" s="165"/>
      <c r="K4" s="165"/>
      <c r="L4" s="165"/>
      <c r="M4" s="165"/>
      <c r="N4" s="165"/>
    </row>
    <row r="5" spans="1:14" ht="14.1" customHeight="1" x14ac:dyDescent="0.2">
      <c r="A5" s="99"/>
      <c r="B5" s="1"/>
      <c r="C5" s="2" t="s">
        <v>9</v>
      </c>
      <c r="D5" s="1"/>
      <c r="E5" s="1"/>
      <c r="F5" s="1"/>
      <c r="G5" s="1"/>
      <c r="H5" s="109"/>
    </row>
    <row r="6" spans="1:14" ht="24" customHeight="1" x14ac:dyDescent="0.2">
      <c r="A6" s="99"/>
      <c r="B6" s="1"/>
      <c r="C6" s="2" t="s">
        <v>10</v>
      </c>
      <c r="D6" s="1"/>
      <c r="E6" s="1"/>
      <c r="F6" s="1"/>
      <c r="G6" s="1"/>
      <c r="H6" s="109"/>
    </row>
    <row r="7" spans="1:14" ht="17.100000000000001" customHeight="1" x14ac:dyDescent="0.2">
      <c r="A7" s="100">
        <v>1</v>
      </c>
      <c r="B7" s="3" t="s">
        <v>20</v>
      </c>
      <c r="C7" s="3" t="s">
        <v>21</v>
      </c>
      <c r="D7" s="3" t="s">
        <v>22</v>
      </c>
      <c r="E7" s="4">
        <v>1424000</v>
      </c>
      <c r="F7" s="5">
        <v>12173.064</v>
      </c>
      <c r="G7" s="6">
        <v>7.4983569999999999E-2</v>
      </c>
      <c r="H7" s="109"/>
    </row>
    <row r="8" spans="1:14" ht="17.100000000000001" customHeight="1" x14ac:dyDescent="0.2">
      <c r="A8" s="100">
        <v>2</v>
      </c>
      <c r="B8" s="3" t="s">
        <v>17</v>
      </c>
      <c r="C8" s="3" t="s">
        <v>18</v>
      </c>
      <c r="D8" s="3" t="s">
        <v>19</v>
      </c>
      <c r="E8" s="4">
        <v>447000</v>
      </c>
      <c r="F8" s="5">
        <v>10381.798500000001</v>
      </c>
      <c r="G8" s="6">
        <v>6.394975E-2</v>
      </c>
      <c r="H8" s="109"/>
    </row>
    <row r="9" spans="1:14" ht="17.100000000000001" customHeight="1" x14ac:dyDescent="0.2">
      <c r="A9" s="100">
        <v>3</v>
      </c>
      <c r="B9" s="3" t="s">
        <v>297</v>
      </c>
      <c r="C9" s="3" t="s">
        <v>298</v>
      </c>
      <c r="D9" s="3" t="s">
        <v>22</v>
      </c>
      <c r="E9" s="4">
        <v>611000</v>
      </c>
      <c r="F9" s="5">
        <v>9773.5560000000005</v>
      </c>
      <c r="G9" s="6">
        <v>6.0203100000000002E-2</v>
      </c>
      <c r="H9" s="109"/>
    </row>
    <row r="10" spans="1:14" ht="17.100000000000001" customHeight="1" x14ac:dyDescent="0.2">
      <c r="A10" s="100">
        <v>4</v>
      </c>
      <c r="B10" s="3" t="s">
        <v>293</v>
      </c>
      <c r="C10" s="3" t="s">
        <v>294</v>
      </c>
      <c r="D10" s="3" t="s">
        <v>996</v>
      </c>
      <c r="E10" s="4">
        <v>570000</v>
      </c>
      <c r="F10" s="5">
        <v>8479.0349999999999</v>
      </c>
      <c r="G10" s="6">
        <v>5.2229110000000002E-2</v>
      </c>
      <c r="H10" s="109"/>
    </row>
    <row r="11" spans="1:14" ht="29.1" customHeight="1" x14ac:dyDescent="0.2">
      <c r="A11" s="100">
        <v>5</v>
      </c>
      <c r="B11" s="3" t="s">
        <v>295</v>
      </c>
      <c r="C11" s="3" t="s">
        <v>296</v>
      </c>
      <c r="D11" s="3" t="s">
        <v>120</v>
      </c>
      <c r="E11" s="4">
        <v>272000</v>
      </c>
      <c r="F11" s="5">
        <v>7097.7039999999997</v>
      </c>
      <c r="G11" s="6">
        <v>4.37204E-2</v>
      </c>
      <c r="H11" s="109"/>
    </row>
    <row r="12" spans="1:14" ht="17.100000000000001" customHeight="1" x14ac:dyDescent="0.2">
      <c r="A12" s="100">
        <v>6</v>
      </c>
      <c r="B12" s="3" t="s">
        <v>32</v>
      </c>
      <c r="C12" s="3" t="s">
        <v>33</v>
      </c>
      <c r="D12" s="3" t="s">
        <v>22</v>
      </c>
      <c r="E12" s="4">
        <v>1207000</v>
      </c>
      <c r="F12" s="5">
        <v>6310.1959999999999</v>
      </c>
      <c r="G12" s="6">
        <v>3.8869510000000003E-2</v>
      </c>
      <c r="H12" s="109"/>
    </row>
    <row r="13" spans="1:14" ht="17.100000000000001" customHeight="1" x14ac:dyDescent="0.25">
      <c r="A13" s="100">
        <v>7</v>
      </c>
      <c r="B13" s="3" t="s">
        <v>299</v>
      </c>
      <c r="C13" s="3" t="s">
        <v>300</v>
      </c>
      <c r="D13" s="3" t="s">
        <v>996</v>
      </c>
      <c r="E13" s="4">
        <v>165000</v>
      </c>
      <c r="F13" s="5">
        <v>5466.2025000000003</v>
      </c>
      <c r="G13" s="6">
        <v>3.3670680000000001E-2</v>
      </c>
      <c r="H13" s="109"/>
      <c r="J13" s="178" t="s">
        <v>1072</v>
      </c>
    </row>
    <row r="14" spans="1:14" ht="17.100000000000001" customHeight="1" x14ac:dyDescent="0.2">
      <c r="A14" s="100">
        <v>8</v>
      </c>
      <c r="B14" s="3" t="s">
        <v>197</v>
      </c>
      <c r="C14" s="3" t="s">
        <v>198</v>
      </c>
      <c r="D14" s="3" t="s">
        <v>22</v>
      </c>
      <c r="E14" s="4">
        <v>628000</v>
      </c>
      <c r="F14" s="5">
        <v>5300.9480000000003</v>
      </c>
      <c r="G14" s="6">
        <v>3.2652750000000001E-2</v>
      </c>
      <c r="H14" s="109"/>
      <c r="J14" s="169"/>
    </row>
    <row r="15" spans="1:14" ht="17.100000000000001" customHeight="1" x14ac:dyDescent="0.2">
      <c r="A15" s="100">
        <v>9</v>
      </c>
      <c r="B15" s="3" t="s">
        <v>45</v>
      </c>
      <c r="C15" s="3" t="s">
        <v>46</v>
      </c>
      <c r="D15" s="3" t="s">
        <v>47</v>
      </c>
      <c r="E15" s="4">
        <v>3184000</v>
      </c>
      <c r="F15" s="5">
        <v>4632.72</v>
      </c>
      <c r="G15" s="6">
        <v>2.8536599999999999E-2</v>
      </c>
      <c r="H15" s="109"/>
    </row>
    <row r="16" spans="1:14" ht="17.100000000000001" customHeight="1" x14ac:dyDescent="0.2">
      <c r="A16" s="100">
        <v>10</v>
      </c>
      <c r="B16" s="3" t="s">
        <v>43</v>
      </c>
      <c r="C16" s="3" t="s">
        <v>44</v>
      </c>
      <c r="D16" s="3" t="s">
        <v>31</v>
      </c>
      <c r="E16" s="4">
        <v>136000</v>
      </c>
      <c r="F16" s="5">
        <v>4190.6360000000004</v>
      </c>
      <c r="G16" s="6">
        <v>2.581346E-2</v>
      </c>
      <c r="H16" s="109"/>
    </row>
    <row r="17" spans="1:10" ht="17.100000000000001" customHeight="1" x14ac:dyDescent="0.2">
      <c r="A17" s="100">
        <v>11</v>
      </c>
      <c r="B17" s="3" t="s">
        <v>11</v>
      </c>
      <c r="C17" s="3" t="s">
        <v>12</v>
      </c>
      <c r="D17" s="3" t="s">
        <v>13</v>
      </c>
      <c r="E17" s="4">
        <v>190000</v>
      </c>
      <c r="F17" s="5">
        <v>4007.3850000000002</v>
      </c>
      <c r="G17" s="6">
        <v>2.4684669999999999E-2</v>
      </c>
      <c r="H17" s="109"/>
    </row>
    <row r="18" spans="1:10" ht="17.100000000000001" customHeight="1" x14ac:dyDescent="0.2">
      <c r="A18" s="100">
        <v>12</v>
      </c>
      <c r="B18" s="3" t="s">
        <v>37</v>
      </c>
      <c r="C18" s="3" t="s">
        <v>38</v>
      </c>
      <c r="D18" s="3" t="s">
        <v>31</v>
      </c>
      <c r="E18" s="4">
        <v>210294</v>
      </c>
      <c r="F18" s="5">
        <v>3795.1758180000002</v>
      </c>
      <c r="G18" s="6">
        <v>2.3377499999999999E-2</v>
      </c>
      <c r="H18" s="109"/>
    </row>
    <row r="19" spans="1:10" ht="17.100000000000001" customHeight="1" x14ac:dyDescent="0.2">
      <c r="A19" s="100">
        <v>13</v>
      </c>
      <c r="B19" s="3" t="s">
        <v>69</v>
      </c>
      <c r="C19" s="3" t="s">
        <v>70</v>
      </c>
      <c r="D19" s="3" t="s">
        <v>71</v>
      </c>
      <c r="E19" s="4">
        <v>44000</v>
      </c>
      <c r="F19" s="5">
        <v>3794.7139999999999</v>
      </c>
      <c r="G19" s="6">
        <v>2.3374659999999998E-2</v>
      </c>
      <c r="H19" s="109"/>
    </row>
    <row r="20" spans="1:10" ht="17.100000000000001" customHeight="1" x14ac:dyDescent="0.2">
      <c r="A20" s="100">
        <v>14</v>
      </c>
      <c r="B20" s="3" t="s">
        <v>307</v>
      </c>
      <c r="C20" s="3" t="s">
        <v>308</v>
      </c>
      <c r="D20" s="3" t="s">
        <v>309</v>
      </c>
      <c r="E20" s="4">
        <v>137000</v>
      </c>
      <c r="F20" s="5">
        <v>3371.0904999999998</v>
      </c>
      <c r="G20" s="6">
        <v>2.0765229999999999E-2</v>
      </c>
      <c r="H20" s="109"/>
    </row>
    <row r="21" spans="1:10" ht="17.100000000000001" customHeight="1" x14ac:dyDescent="0.2">
      <c r="A21" s="100">
        <v>15</v>
      </c>
      <c r="B21" s="3" t="s">
        <v>233</v>
      </c>
      <c r="C21" s="3" t="s">
        <v>234</v>
      </c>
      <c r="D21" s="3" t="s">
        <v>235</v>
      </c>
      <c r="E21" s="4">
        <v>715000</v>
      </c>
      <c r="F21" s="5">
        <v>3152.0774999999999</v>
      </c>
      <c r="G21" s="6">
        <v>1.941615E-2</v>
      </c>
      <c r="H21" s="109"/>
    </row>
    <row r="22" spans="1:10" ht="29.1" customHeight="1" x14ac:dyDescent="0.2">
      <c r="A22" s="100">
        <v>16</v>
      </c>
      <c r="B22" s="3" t="s">
        <v>303</v>
      </c>
      <c r="C22" s="3" t="s">
        <v>304</v>
      </c>
      <c r="D22" s="3" t="s">
        <v>221</v>
      </c>
      <c r="E22" s="4">
        <v>328000</v>
      </c>
      <c r="F22" s="5">
        <v>3137.6480000000001</v>
      </c>
      <c r="G22" s="6">
        <v>1.9327270000000001E-2</v>
      </c>
      <c r="H22" s="109"/>
    </row>
    <row r="23" spans="1:10" ht="17.100000000000001" customHeight="1" x14ac:dyDescent="0.2">
      <c r="A23" s="100">
        <v>17</v>
      </c>
      <c r="B23" s="3" t="s">
        <v>348</v>
      </c>
      <c r="C23" s="3" t="s">
        <v>349</v>
      </c>
      <c r="D23" s="3" t="s">
        <v>71</v>
      </c>
      <c r="E23" s="4">
        <v>719000</v>
      </c>
      <c r="F23" s="5">
        <v>3024.8330000000001</v>
      </c>
      <c r="G23" s="6">
        <v>1.8632349999999999E-2</v>
      </c>
      <c r="H23" s="109"/>
      <c r="J23" s="169" t="s">
        <v>1080</v>
      </c>
    </row>
    <row r="24" spans="1:10" ht="17.100000000000001" customHeight="1" x14ac:dyDescent="0.2">
      <c r="A24" s="100">
        <v>18</v>
      </c>
      <c r="B24" s="3" t="s">
        <v>502</v>
      </c>
      <c r="C24" s="3" t="s">
        <v>503</v>
      </c>
      <c r="D24" s="3" t="s">
        <v>334</v>
      </c>
      <c r="E24" s="4">
        <v>67000</v>
      </c>
      <c r="F24" s="5">
        <v>2984.2134999999998</v>
      </c>
      <c r="G24" s="6">
        <v>1.8382140000000002E-2</v>
      </c>
      <c r="H24" s="109"/>
    </row>
    <row r="25" spans="1:10" ht="29.1" customHeight="1" x14ac:dyDescent="0.2">
      <c r="A25" s="100">
        <v>19</v>
      </c>
      <c r="B25" s="3" t="s">
        <v>23</v>
      </c>
      <c r="C25" s="3" t="s">
        <v>24</v>
      </c>
      <c r="D25" s="3" t="s">
        <v>25</v>
      </c>
      <c r="E25" s="4">
        <v>38000</v>
      </c>
      <c r="F25" s="5">
        <v>2759.2939999999999</v>
      </c>
      <c r="G25" s="6">
        <v>1.699668E-2</v>
      </c>
      <c r="H25" s="109"/>
    </row>
    <row r="26" spans="1:10" ht="17.100000000000001" customHeight="1" x14ac:dyDescent="0.2">
      <c r="A26" s="100">
        <v>20</v>
      </c>
      <c r="B26" s="3" t="s">
        <v>14</v>
      </c>
      <c r="C26" s="3" t="s">
        <v>15</v>
      </c>
      <c r="D26" s="3" t="s">
        <v>16</v>
      </c>
      <c r="E26" s="4">
        <v>368000</v>
      </c>
      <c r="F26" s="5">
        <v>2731.48</v>
      </c>
      <c r="G26" s="6">
        <v>1.6825360000000001E-2</v>
      </c>
      <c r="H26" s="109"/>
    </row>
    <row r="27" spans="1:10" ht="17.100000000000001" customHeight="1" x14ac:dyDescent="0.2">
      <c r="A27" s="100">
        <v>21</v>
      </c>
      <c r="B27" s="3" t="s">
        <v>344</v>
      </c>
      <c r="C27" s="3" t="s">
        <v>345</v>
      </c>
      <c r="D27" s="3" t="s">
        <v>120</v>
      </c>
      <c r="E27" s="4">
        <v>199000</v>
      </c>
      <c r="F27" s="5">
        <v>2656.451</v>
      </c>
      <c r="G27" s="6">
        <v>1.636319E-2</v>
      </c>
      <c r="H27" s="109"/>
    </row>
    <row r="28" spans="1:10" ht="17.100000000000001" customHeight="1" x14ac:dyDescent="0.2">
      <c r="A28" s="100">
        <v>22</v>
      </c>
      <c r="B28" s="3" t="s">
        <v>34</v>
      </c>
      <c r="C28" s="3" t="s">
        <v>35</v>
      </c>
      <c r="D28" s="3" t="s">
        <v>36</v>
      </c>
      <c r="E28" s="4">
        <v>80000</v>
      </c>
      <c r="F28" s="5">
        <v>2573.88</v>
      </c>
      <c r="G28" s="6">
        <v>1.5854569999999998E-2</v>
      </c>
      <c r="H28" s="109"/>
    </row>
    <row r="29" spans="1:10" ht="17.100000000000001" customHeight="1" x14ac:dyDescent="0.2">
      <c r="A29" s="100">
        <v>23</v>
      </c>
      <c r="B29" s="3" t="s">
        <v>100</v>
      </c>
      <c r="C29" s="3" t="s">
        <v>101</v>
      </c>
      <c r="D29" s="3" t="s">
        <v>57</v>
      </c>
      <c r="E29" s="4">
        <v>136000</v>
      </c>
      <c r="F29" s="5">
        <v>2524.636</v>
      </c>
      <c r="G29" s="6">
        <v>1.5551239999999999E-2</v>
      </c>
      <c r="H29" s="109"/>
    </row>
    <row r="30" spans="1:10" ht="29.1" customHeight="1" x14ac:dyDescent="0.2">
      <c r="A30" s="100">
        <v>24</v>
      </c>
      <c r="B30" s="3" t="s">
        <v>204</v>
      </c>
      <c r="C30" s="3" t="s">
        <v>205</v>
      </c>
      <c r="D30" s="3" t="s">
        <v>115</v>
      </c>
      <c r="E30" s="4">
        <v>800000</v>
      </c>
      <c r="F30" s="5">
        <v>2430.8000000000002</v>
      </c>
      <c r="G30" s="6">
        <v>1.4973230000000001E-2</v>
      </c>
      <c r="H30" s="109"/>
    </row>
    <row r="31" spans="1:10" ht="17.100000000000001" customHeight="1" x14ac:dyDescent="0.2">
      <c r="A31" s="100">
        <v>25</v>
      </c>
      <c r="B31" s="3" t="s">
        <v>180</v>
      </c>
      <c r="C31" s="3" t="s">
        <v>181</v>
      </c>
      <c r="D31" s="3" t="s">
        <v>22</v>
      </c>
      <c r="E31" s="4">
        <v>1689981</v>
      </c>
      <c r="F31" s="5">
        <v>2182.6104614999999</v>
      </c>
      <c r="G31" s="6">
        <v>1.344443E-2</v>
      </c>
      <c r="H31" s="109"/>
    </row>
    <row r="32" spans="1:10" ht="29.1" customHeight="1" x14ac:dyDescent="0.2">
      <c r="A32" s="100">
        <v>26</v>
      </c>
      <c r="B32" s="3" t="s">
        <v>118</v>
      </c>
      <c r="C32" s="3" t="s">
        <v>119</v>
      </c>
      <c r="D32" s="3" t="s">
        <v>120</v>
      </c>
      <c r="E32" s="4">
        <v>274000</v>
      </c>
      <c r="F32" s="5">
        <v>2072.81</v>
      </c>
      <c r="G32" s="6">
        <v>1.2768079999999999E-2</v>
      </c>
      <c r="H32" s="109"/>
    </row>
    <row r="33" spans="1:8" ht="17.100000000000001" customHeight="1" x14ac:dyDescent="0.2">
      <c r="A33" s="100">
        <v>27</v>
      </c>
      <c r="B33" s="3" t="s">
        <v>338</v>
      </c>
      <c r="C33" s="3" t="s">
        <v>339</v>
      </c>
      <c r="D33" s="3" t="s">
        <v>22</v>
      </c>
      <c r="E33" s="4">
        <v>693000</v>
      </c>
      <c r="F33" s="5">
        <v>1937.2815000000001</v>
      </c>
      <c r="G33" s="6">
        <v>1.1933259999999999E-2</v>
      </c>
      <c r="H33" s="109"/>
    </row>
    <row r="34" spans="1:8" ht="17.100000000000001" customHeight="1" x14ac:dyDescent="0.2">
      <c r="A34" s="100">
        <v>28</v>
      </c>
      <c r="B34" s="3" t="s">
        <v>98</v>
      </c>
      <c r="C34" s="3" t="s">
        <v>99</v>
      </c>
      <c r="D34" s="3" t="s">
        <v>97</v>
      </c>
      <c r="E34" s="4">
        <v>224000</v>
      </c>
      <c r="F34" s="5">
        <v>1920.576</v>
      </c>
      <c r="G34" s="6">
        <v>1.183035E-2</v>
      </c>
      <c r="H34" s="109"/>
    </row>
    <row r="35" spans="1:8" ht="29.1" customHeight="1" x14ac:dyDescent="0.2">
      <c r="A35" s="100">
        <v>29</v>
      </c>
      <c r="B35" s="3" t="s">
        <v>186</v>
      </c>
      <c r="C35" s="3" t="s">
        <v>187</v>
      </c>
      <c r="D35" s="3" t="s">
        <v>188</v>
      </c>
      <c r="E35" s="4">
        <v>44000</v>
      </c>
      <c r="F35" s="5">
        <v>1816.364</v>
      </c>
      <c r="G35" s="6">
        <v>1.1188429999999999E-2</v>
      </c>
      <c r="H35" s="109"/>
    </row>
    <row r="36" spans="1:8" ht="17.100000000000001" customHeight="1" x14ac:dyDescent="0.2">
      <c r="A36" s="100">
        <v>30</v>
      </c>
      <c r="B36" s="3" t="s">
        <v>356</v>
      </c>
      <c r="C36" s="3" t="s">
        <v>357</v>
      </c>
      <c r="D36" s="3" t="s">
        <v>203</v>
      </c>
      <c r="E36" s="4">
        <v>52000</v>
      </c>
      <c r="F36" s="5">
        <v>1776.8140000000001</v>
      </c>
      <c r="G36" s="6">
        <v>1.0944809999999999E-2</v>
      </c>
      <c r="H36" s="109"/>
    </row>
    <row r="37" spans="1:8" ht="17.100000000000001" customHeight="1" x14ac:dyDescent="0.2">
      <c r="A37" s="100">
        <v>31</v>
      </c>
      <c r="B37" s="3" t="s">
        <v>264</v>
      </c>
      <c r="C37" s="3" t="s">
        <v>265</v>
      </c>
      <c r="D37" s="3" t="s">
        <v>996</v>
      </c>
      <c r="E37" s="4">
        <v>36000</v>
      </c>
      <c r="F37" s="5">
        <v>1699.9380000000001</v>
      </c>
      <c r="G37" s="6">
        <v>1.047127E-2</v>
      </c>
      <c r="H37" s="109"/>
    </row>
    <row r="38" spans="1:8" ht="17.100000000000001" customHeight="1" x14ac:dyDescent="0.2">
      <c r="A38" s="100">
        <v>32</v>
      </c>
      <c r="B38" s="3" t="s">
        <v>214</v>
      </c>
      <c r="C38" s="3" t="s">
        <v>215</v>
      </c>
      <c r="D38" s="3" t="s">
        <v>216</v>
      </c>
      <c r="E38" s="4">
        <v>238000</v>
      </c>
      <c r="F38" s="5">
        <v>1648.0309999999999</v>
      </c>
      <c r="G38" s="6">
        <v>1.0151530000000001E-2</v>
      </c>
      <c r="H38" s="109"/>
    </row>
    <row r="39" spans="1:8" ht="17.100000000000001" customHeight="1" x14ac:dyDescent="0.2">
      <c r="A39" s="100">
        <v>33</v>
      </c>
      <c r="B39" s="3" t="s">
        <v>194</v>
      </c>
      <c r="C39" s="3" t="s">
        <v>195</v>
      </c>
      <c r="D39" s="3" t="s">
        <v>196</v>
      </c>
      <c r="E39" s="4">
        <v>123000</v>
      </c>
      <c r="F39" s="5">
        <v>1599.9224999999999</v>
      </c>
      <c r="G39" s="6">
        <v>9.8551899999999998E-3</v>
      </c>
      <c r="H39" s="109"/>
    </row>
    <row r="40" spans="1:8" ht="17.100000000000001" customHeight="1" x14ac:dyDescent="0.2">
      <c r="A40" s="100">
        <v>34</v>
      </c>
      <c r="B40" s="3" t="s">
        <v>222</v>
      </c>
      <c r="C40" s="3" t="s">
        <v>223</v>
      </c>
      <c r="D40" s="3" t="s">
        <v>22</v>
      </c>
      <c r="E40" s="4">
        <v>1000000</v>
      </c>
      <c r="F40" s="5">
        <v>1590</v>
      </c>
      <c r="G40" s="6">
        <v>9.7940700000000002E-3</v>
      </c>
      <c r="H40" s="109"/>
    </row>
    <row r="41" spans="1:8" ht="17.100000000000001" customHeight="1" x14ac:dyDescent="0.2">
      <c r="A41" s="100">
        <v>35</v>
      </c>
      <c r="B41" s="3" t="s">
        <v>102</v>
      </c>
      <c r="C41" s="3" t="s">
        <v>103</v>
      </c>
      <c r="D41" s="3" t="s">
        <v>47</v>
      </c>
      <c r="E41" s="4">
        <v>125775</v>
      </c>
      <c r="F41" s="5">
        <v>1564.5781125000001</v>
      </c>
      <c r="G41" s="6">
        <v>9.6374800000000004E-3</v>
      </c>
      <c r="H41" s="109"/>
    </row>
    <row r="42" spans="1:8" ht="17.100000000000001" customHeight="1" x14ac:dyDescent="0.2">
      <c r="A42" s="100">
        <v>36</v>
      </c>
      <c r="B42" s="3" t="s">
        <v>683</v>
      </c>
      <c r="C42" s="3" t="s">
        <v>684</v>
      </c>
      <c r="D42" s="3" t="s">
        <v>996</v>
      </c>
      <c r="E42" s="4">
        <v>36000</v>
      </c>
      <c r="F42" s="5">
        <v>1547.5139999999999</v>
      </c>
      <c r="G42" s="6">
        <v>9.5323700000000001E-3</v>
      </c>
      <c r="H42" s="109"/>
    </row>
    <row r="43" spans="1:8" ht="17.100000000000001" customHeight="1" x14ac:dyDescent="0.2">
      <c r="A43" s="100">
        <v>37</v>
      </c>
      <c r="B43" s="3" t="s">
        <v>226</v>
      </c>
      <c r="C43" s="3" t="s">
        <v>227</v>
      </c>
      <c r="D43" s="3" t="s">
        <v>228</v>
      </c>
      <c r="E43" s="4">
        <v>4000</v>
      </c>
      <c r="F43" s="5">
        <v>1518.7860000000001</v>
      </c>
      <c r="G43" s="6">
        <v>9.3554099999999998E-3</v>
      </c>
      <c r="H43" s="109"/>
    </row>
    <row r="44" spans="1:8" ht="17.100000000000001" customHeight="1" x14ac:dyDescent="0.2">
      <c r="A44" s="100">
        <v>38</v>
      </c>
      <c r="B44" s="3" t="s">
        <v>354</v>
      </c>
      <c r="C44" s="3" t="s">
        <v>355</v>
      </c>
      <c r="D44" s="3" t="s">
        <v>115</v>
      </c>
      <c r="E44" s="4">
        <v>64000</v>
      </c>
      <c r="F44" s="5">
        <v>1518.5920000000001</v>
      </c>
      <c r="G44" s="6">
        <v>9.3542199999999999E-3</v>
      </c>
      <c r="H44" s="109"/>
    </row>
    <row r="45" spans="1:8" ht="29.1" customHeight="1" x14ac:dyDescent="0.2">
      <c r="A45" s="100">
        <v>39</v>
      </c>
      <c r="B45" s="3" t="s">
        <v>700</v>
      </c>
      <c r="C45" s="3" t="s">
        <v>701</v>
      </c>
      <c r="D45" s="3" t="s">
        <v>188</v>
      </c>
      <c r="E45" s="4">
        <v>100000</v>
      </c>
      <c r="F45" s="5">
        <v>1377.85</v>
      </c>
      <c r="G45" s="6">
        <v>8.4872699999999999E-3</v>
      </c>
      <c r="H45" s="109"/>
    </row>
    <row r="46" spans="1:8" ht="17.100000000000001" customHeight="1" x14ac:dyDescent="0.2">
      <c r="A46" s="100">
        <v>40</v>
      </c>
      <c r="B46" s="3" t="s">
        <v>78</v>
      </c>
      <c r="C46" s="3" t="s">
        <v>79</v>
      </c>
      <c r="D46" s="3" t="s">
        <v>80</v>
      </c>
      <c r="E46" s="4">
        <v>46000</v>
      </c>
      <c r="F46" s="5">
        <v>1371.6510000000001</v>
      </c>
      <c r="G46" s="6">
        <v>8.4490899999999994E-3</v>
      </c>
      <c r="H46" s="109"/>
    </row>
    <row r="47" spans="1:8" ht="17.100000000000001" customHeight="1" x14ac:dyDescent="0.2">
      <c r="A47" s="100">
        <v>41</v>
      </c>
      <c r="B47" s="3" t="s">
        <v>316</v>
      </c>
      <c r="C47" s="3" t="s">
        <v>317</v>
      </c>
      <c r="D47" s="3" t="s">
        <v>996</v>
      </c>
      <c r="E47" s="4">
        <v>311000</v>
      </c>
      <c r="F47" s="5">
        <v>1203.7255</v>
      </c>
      <c r="G47" s="6">
        <v>7.4146999999999998E-3</v>
      </c>
      <c r="H47" s="109"/>
    </row>
    <row r="48" spans="1:8" ht="17.100000000000001" customHeight="1" x14ac:dyDescent="0.2">
      <c r="A48" s="100">
        <v>42</v>
      </c>
      <c r="B48" s="3" t="s">
        <v>517</v>
      </c>
      <c r="C48" s="3" t="s">
        <v>518</v>
      </c>
      <c r="D48" s="3" t="s">
        <v>996</v>
      </c>
      <c r="E48" s="4">
        <v>102772</v>
      </c>
      <c r="F48" s="5">
        <v>1178.897612</v>
      </c>
      <c r="G48" s="6">
        <v>7.2617699999999999E-3</v>
      </c>
      <c r="H48" s="109"/>
    </row>
    <row r="49" spans="1:8" ht="29.1" customHeight="1" x14ac:dyDescent="0.2">
      <c r="A49" s="100">
        <v>43</v>
      </c>
      <c r="B49" s="3" t="s">
        <v>488</v>
      </c>
      <c r="C49" s="3" t="s">
        <v>489</v>
      </c>
      <c r="D49" s="3" t="s">
        <v>445</v>
      </c>
      <c r="E49" s="4">
        <v>162000</v>
      </c>
      <c r="F49" s="5">
        <v>1158.7860000000001</v>
      </c>
      <c r="G49" s="6">
        <v>7.1378800000000001E-3</v>
      </c>
      <c r="H49" s="109"/>
    </row>
    <row r="50" spans="1:8" ht="17.100000000000001" customHeight="1" x14ac:dyDescent="0.2">
      <c r="A50" s="100">
        <v>44</v>
      </c>
      <c r="B50" s="3" t="s">
        <v>328</v>
      </c>
      <c r="C50" s="3" t="s">
        <v>329</v>
      </c>
      <c r="D50" s="3" t="s">
        <v>22</v>
      </c>
      <c r="E50" s="4">
        <v>107000</v>
      </c>
      <c r="F50" s="5">
        <v>1153.1389999999999</v>
      </c>
      <c r="G50" s="6">
        <v>7.1031000000000002E-3</v>
      </c>
      <c r="H50" s="109"/>
    </row>
    <row r="51" spans="1:8" ht="17.100000000000001" customHeight="1" x14ac:dyDescent="0.2">
      <c r="A51" s="100">
        <v>45</v>
      </c>
      <c r="B51" s="3" t="s">
        <v>211</v>
      </c>
      <c r="C51" s="3" t="s">
        <v>212</v>
      </c>
      <c r="D51" s="3" t="s">
        <v>213</v>
      </c>
      <c r="E51" s="4">
        <v>194000</v>
      </c>
      <c r="F51" s="5">
        <v>1065.4480000000001</v>
      </c>
      <c r="G51" s="6">
        <v>6.5629399999999997E-3</v>
      </c>
      <c r="H51" s="109"/>
    </row>
    <row r="52" spans="1:8" ht="17.100000000000001" customHeight="1" x14ac:dyDescent="0.2">
      <c r="A52" s="100">
        <v>46</v>
      </c>
      <c r="B52" s="3" t="s">
        <v>224</v>
      </c>
      <c r="C52" s="3" t="s">
        <v>225</v>
      </c>
      <c r="D52" s="3" t="s">
        <v>196</v>
      </c>
      <c r="E52" s="4">
        <v>69000</v>
      </c>
      <c r="F52" s="5">
        <v>998.36099999999999</v>
      </c>
      <c r="G52" s="6">
        <v>6.1497000000000001E-3</v>
      </c>
      <c r="H52" s="109"/>
    </row>
    <row r="53" spans="1:8" ht="17.100000000000001" customHeight="1" x14ac:dyDescent="0.2">
      <c r="A53" s="100">
        <v>47</v>
      </c>
      <c r="B53" s="3" t="s">
        <v>800</v>
      </c>
      <c r="C53" s="3" t="s">
        <v>801</v>
      </c>
      <c r="D53" s="3" t="s">
        <v>253</v>
      </c>
      <c r="E53" s="4">
        <v>67000</v>
      </c>
      <c r="F53" s="5">
        <v>957.22900000000004</v>
      </c>
      <c r="G53" s="6">
        <v>5.89633E-3</v>
      </c>
      <c r="H53" s="109"/>
    </row>
    <row r="54" spans="1:8" ht="17.100000000000001" customHeight="1" x14ac:dyDescent="0.2">
      <c r="A54" s="100">
        <v>48</v>
      </c>
      <c r="B54" s="3" t="s">
        <v>312</v>
      </c>
      <c r="C54" s="3" t="s">
        <v>313</v>
      </c>
      <c r="D54" s="3" t="s">
        <v>309</v>
      </c>
      <c r="E54" s="4">
        <v>240000</v>
      </c>
      <c r="F54" s="5">
        <v>904.08</v>
      </c>
      <c r="G54" s="6">
        <v>5.5689499999999996E-3</v>
      </c>
      <c r="H54" s="109"/>
    </row>
    <row r="55" spans="1:8" ht="17.100000000000001" customHeight="1" x14ac:dyDescent="0.2">
      <c r="A55" s="100">
        <v>49</v>
      </c>
      <c r="B55" s="3" t="s">
        <v>104</v>
      </c>
      <c r="C55" s="3" t="s">
        <v>105</v>
      </c>
      <c r="D55" s="3" t="s">
        <v>80</v>
      </c>
      <c r="E55" s="4">
        <v>192653</v>
      </c>
      <c r="F55" s="5">
        <v>863.27809300000001</v>
      </c>
      <c r="G55" s="6">
        <v>5.3176200000000003E-3</v>
      </c>
      <c r="H55" s="109"/>
    </row>
    <row r="56" spans="1:8" ht="17.100000000000001" customHeight="1" x14ac:dyDescent="0.2">
      <c r="A56" s="100">
        <v>50</v>
      </c>
      <c r="B56" s="3" t="s">
        <v>402</v>
      </c>
      <c r="C56" s="3" t="s">
        <v>403</v>
      </c>
      <c r="D56" s="3" t="s">
        <v>120</v>
      </c>
      <c r="E56" s="4">
        <v>140000</v>
      </c>
      <c r="F56" s="5">
        <v>805.28</v>
      </c>
      <c r="G56" s="6">
        <v>4.9603599999999996E-3</v>
      </c>
      <c r="H56" s="109"/>
    </row>
    <row r="57" spans="1:8" ht="17.100000000000001" customHeight="1" x14ac:dyDescent="0.2">
      <c r="A57" s="100">
        <v>51</v>
      </c>
      <c r="B57" s="3" t="s">
        <v>208</v>
      </c>
      <c r="C57" s="3" t="s">
        <v>209</v>
      </c>
      <c r="D57" s="3" t="s">
        <v>210</v>
      </c>
      <c r="E57" s="4">
        <v>300000</v>
      </c>
      <c r="F57" s="5">
        <v>801.75</v>
      </c>
      <c r="G57" s="6">
        <v>4.9386200000000003E-3</v>
      </c>
      <c r="H57" s="109"/>
    </row>
    <row r="58" spans="1:8" ht="17.100000000000001" customHeight="1" x14ac:dyDescent="0.2">
      <c r="A58" s="100">
        <v>52</v>
      </c>
      <c r="B58" s="3" t="s">
        <v>318</v>
      </c>
      <c r="C58" s="3" t="s">
        <v>319</v>
      </c>
      <c r="D58" s="3" t="s">
        <v>235</v>
      </c>
      <c r="E58" s="4">
        <v>64000</v>
      </c>
      <c r="F58" s="5">
        <v>792.89599999999996</v>
      </c>
      <c r="G58" s="6">
        <v>4.8840799999999998E-3</v>
      </c>
      <c r="H58" s="109"/>
    </row>
    <row r="59" spans="1:8" ht="17.100000000000001" customHeight="1" x14ac:dyDescent="0.2">
      <c r="A59" s="100">
        <v>53</v>
      </c>
      <c r="B59" s="3" t="s">
        <v>545</v>
      </c>
      <c r="C59" s="3" t="s">
        <v>546</v>
      </c>
      <c r="D59" s="3" t="s">
        <v>196</v>
      </c>
      <c r="E59" s="4">
        <v>96000</v>
      </c>
      <c r="F59" s="5">
        <v>710.976</v>
      </c>
      <c r="G59" s="6">
        <v>4.3794699999999999E-3</v>
      </c>
      <c r="H59" s="109"/>
    </row>
    <row r="60" spans="1:8" ht="17.100000000000001" customHeight="1" x14ac:dyDescent="0.2">
      <c r="A60" s="100">
        <v>54</v>
      </c>
      <c r="B60" s="3" t="s">
        <v>63</v>
      </c>
      <c r="C60" s="3" t="s">
        <v>64</v>
      </c>
      <c r="D60" s="3" t="s">
        <v>36</v>
      </c>
      <c r="E60" s="4">
        <v>208000</v>
      </c>
      <c r="F60" s="5">
        <v>660.50400000000002</v>
      </c>
      <c r="G60" s="6">
        <v>4.0685699999999997E-3</v>
      </c>
      <c r="H60" s="109"/>
    </row>
    <row r="61" spans="1:8" ht="29.1" customHeight="1" x14ac:dyDescent="0.2">
      <c r="A61" s="100">
        <v>55</v>
      </c>
      <c r="B61" s="3" t="s">
        <v>484</v>
      </c>
      <c r="C61" s="3" t="s">
        <v>485</v>
      </c>
      <c r="D61" s="3" t="s">
        <v>221</v>
      </c>
      <c r="E61" s="4">
        <v>58000</v>
      </c>
      <c r="F61" s="5">
        <v>525.71199999999999</v>
      </c>
      <c r="G61" s="6">
        <v>3.2382800000000001E-3</v>
      </c>
      <c r="H61" s="109"/>
    </row>
    <row r="62" spans="1:8" ht="17.100000000000001" customHeight="1" x14ac:dyDescent="0.2">
      <c r="A62" s="100">
        <v>56</v>
      </c>
      <c r="B62" s="3" t="s">
        <v>681</v>
      </c>
      <c r="C62" s="3" t="s">
        <v>682</v>
      </c>
      <c r="D62" s="3" t="s">
        <v>253</v>
      </c>
      <c r="E62" s="4">
        <v>10020</v>
      </c>
      <c r="F62" s="5">
        <v>447.06734999999998</v>
      </c>
      <c r="G62" s="6">
        <v>2.75384E-3</v>
      </c>
      <c r="H62" s="109"/>
    </row>
    <row r="63" spans="1:8" ht="17.100000000000001" customHeight="1" x14ac:dyDescent="0.2">
      <c r="A63" s="100">
        <v>57</v>
      </c>
      <c r="B63" s="3" t="s">
        <v>290</v>
      </c>
      <c r="C63" s="3" t="s">
        <v>291</v>
      </c>
      <c r="D63" s="3" t="s">
        <v>115</v>
      </c>
      <c r="E63" s="4">
        <v>13000</v>
      </c>
      <c r="F63" s="5">
        <v>375.78449999999998</v>
      </c>
      <c r="G63" s="6">
        <v>2.3147599999999999E-3</v>
      </c>
      <c r="H63" s="109"/>
    </row>
    <row r="64" spans="1:8" ht="17.100000000000001" customHeight="1" x14ac:dyDescent="0.2">
      <c r="A64" s="100">
        <v>58</v>
      </c>
      <c r="B64" s="3" t="s">
        <v>229</v>
      </c>
      <c r="C64" s="3" t="s">
        <v>230</v>
      </c>
      <c r="D64" s="3" t="s">
        <v>115</v>
      </c>
      <c r="E64" s="4">
        <v>40000</v>
      </c>
      <c r="F64" s="5">
        <v>356.8</v>
      </c>
      <c r="G64" s="6">
        <v>2.1978200000000001E-3</v>
      </c>
      <c r="H64" s="109"/>
    </row>
    <row r="65" spans="1:8" ht="17.100000000000001" customHeight="1" x14ac:dyDescent="0.2">
      <c r="A65" s="100">
        <v>59</v>
      </c>
      <c r="B65" s="3" t="s">
        <v>326</v>
      </c>
      <c r="C65" s="3" t="s">
        <v>327</v>
      </c>
      <c r="D65" s="3" t="s">
        <v>213</v>
      </c>
      <c r="E65" s="4">
        <v>300000</v>
      </c>
      <c r="F65" s="5">
        <v>311.85000000000002</v>
      </c>
      <c r="G65" s="6">
        <v>1.9209299999999999E-3</v>
      </c>
      <c r="H65" s="109"/>
    </row>
    <row r="66" spans="1:8" ht="17.100000000000001" customHeight="1" x14ac:dyDescent="0.2">
      <c r="A66" s="100">
        <v>60</v>
      </c>
      <c r="B66" s="3" t="s">
        <v>130</v>
      </c>
      <c r="C66" s="3" t="s">
        <v>131</v>
      </c>
      <c r="D66" s="3" t="s">
        <v>120</v>
      </c>
      <c r="E66" s="4">
        <v>125775</v>
      </c>
      <c r="F66" s="5">
        <v>284.64140250000003</v>
      </c>
      <c r="G66" s="6">
        <v>1.75333E-3</v>
      </c>
      <c r="H66" s="109"/>
    </row>
    <row r="67" spans="1:8" ht="14.1" customHeight="1" x14ac:dyDescent="0.2">
      <c r="A67" s="99"/>
      <c r="B67" s="1"/>
      <c r="C67" s="2" t="s">
        <v>135</v>
      </c>
      <c r="D67" s="1"/>
      <c r="E67" s="1" t="s">
        <v>136</v>
      </c>
      <c r="F67" s="8">
        <v>159449.06234949999</v>
      </c>
      <c r="G67" s="9">
        <v>0.98217348000000004</v>
      </c>
      <c r="H67" s="109"/>
    </row>
    <row r="68" spans="1:8" ht="14.1" customHeight="1" x14ac:dyDescent="0.2">
      <c r="A68" s="99"/>
      <c r="B68" s="1"/>
      <c r="C68" s="10"/>
      <c r="D68" s="1"/>
      <c r="E68" s="1"/>
      <c r="F68" s="11"/>
      <c r="G68" s="11"/>
      <c r="H68" s="109"/>
    </row>
    <row r="69" spans="1:8" ht="14.1" customHeight="1" x14ac:dyDescent="0.2">
      <c r="A69" s="99"/>
      <c r="B69" s="1"/>
      <c r="C69" s="2" t="s">
        <v>137</v>
      </c>
      <c r="D69" s="1"/>
      <c r="E69" s="1"/>
      <c r="F69" s="1"/>
      <c r="G69" s="1"/>
      <c r="H69" s="109"/>
    </row>
    <row r="70" spans="1:8" ht="14.1" customHeight="1" x14ac:dyDescent="0.2">
      <c r="A70" s="99"/>
      <c r="B70" s="1"/>
      <c r="C70" s="2" t="s">
        <v>135</v>
      </c>
      <c r="D70" s="1"/>
      <c r="E70" s="1" t="s">
        <v>136</v>
      </c>
      <c r="F70" s="115">
        <v>0</v>
      </c>
      <c r="G70" s="9">
        <v>0</v>
      </c>
      <c r="H70" s="109"/>
    </row>
    <row r="71" spans="1:8" ht="14.1" customHeight="1" x14ac:dyDescent="0.2">
      <c r="A71" s="99"/>
      <c r="B71" s="1"/>
      <c r="C71" s="10"/>
      <c r="D71" s="1"/>
      <c r="E71" s="1"/>
      <c r="F71" s="11"/>
      <c r="G71" s="11"/>
      <c r="H71" s="109"/>
    </row>
    <row r="72" spans="1:8" ht="14.1" customHeight="1" x14ac:dyDescent="0.2">
      <c r="A72" s="99"/>
      <c r="B72" s="1"/>
      <c r="C72" s="2" t="s">
        <v>138</v>
      </c>
      <c r="D72" s="1"/>
      <c r="E72" s="1"/>
      <c r="F72" s="1"/>
      <c r="G72" s="1"/>
      <c r="H72" s="109"/>
    </row>
    <row r="73" spans="1:8" ht="14.1" customHeight="1" x14ac:dyDescent="0.2">
      <c r="A73" s="99"/>
      <c r="B73" s="1"/>
      <c r="C73" s="2" t="s">
        <v>135</v>
      </c>
      <c r="D73" s="1"/>
      <c r="E73" s="1" t="s">
        <v>136</v>
      </c>
      <c r="F73" s="115">
        <v>0</v>
      </c>
      <c r="G73" s="9">
        <v>0</v>
      </c>
      <c r="H73" s="109"/>
    </row>
    <row r="74" spans="1:8" ht="14.1" customHeight="1" x14ac:dyDescent="0.2">
      <c r="A74" s="99"/>
      <c r="B74" s="1"/>
      <c r="C74" s="10"/>
      <c r="D74" s="1"/>
      <c r="E74" s="1"/>
      <c r="F74" s="11"/>
      <c r="G74" s="11"/>
      <c r="H74" s="109"/>
    </row>
    <row r="75" spans="1:8" ht="14.1" customHeight="1" x14ac:dyDescent="0.2">
      <c r="A75" s="99"/>
      <c r="B75" s="1"/>
      <c r="C75" s="2" t="s">
        <v>139</v>
      </c>
      <c r="D75" s="1"/>
      <c r="E75" s="1"/>
      <c r="F75" s="1"/>
      <c r="G75" s="1"/>
      <c r="H75" s="109"/>
    </row>
    <row r="76" spans="1:8" ht="14.1" customHeight="1" x14ac:dyDescent="0.2">
      <c r="A76" s="99"/>
      <c r="B76" s="1"/>
      <c r="C76" s="2" t="s">
        <v>135</v>
      </c>
      <c r="D76" s="1"/>
      <c r="E76" s="1" t="s">
        <v>136</v>
      </c>
      <c r="F76" s="115">
        <v>0</v>
      </c>
      <c r="G76" s="9">
        <v>0</v>
      </c>
      <c r="H76" s="109"/>
    </row>
    <row r="77" spans="1:8" ht="14.1" customHeight="1" x14ac:dyDescent="0.2">
      <c r="A77" s="99"/>
      <c r="B77" s="1"/>
      <c r="C77" s="10"/>
      <c r="D77" s="1"/>
      <c r="E77" s="1"/>
      <c r="F77" s="11"/>
      <c r="G77" s="11"/>
      <c r="H77" s="109"/>
    </row>
    <row r="78" spans="1:8" ht="14.1" customHeight="1" x14ac:dyDescent="0.2">
      <c r="A78" s="99"/>
      <c r="B78" s="1"/>
      <c r="C78" s="2" t="s">
        <v>140</v>
      </c>
      <c r="D78" s="1"/>
      <c r="E78" s="1"/>
      <c r="F78" s="11"/>
      <c r="G78" s="11"/>
      <c r="H78" s="109"/>
    </row>
    <row r="79" spans="1:8" ht="14.1" customHeight="1" x14ac:dyDescent="0.2">
      <c r="A79" s="99"/>
      <c r="B79" s="1"/>
      <c r="C79" s="2" t="s">
        <v>135</v>
      </c>
      <c r="D79" s="1"/>
      <c r="E79" s="1" t="s">
        <v>136</v>
      </c>
      <c r="F79" s="115">
        <v>0</v>
      </c>
      <c r="G79" s="9">
        <v>0</v>
      </c>
      <c r="H79" s="109"/>
    </row>
    <row r="80" spans="1:8" ht="14.1" customHeight="1" x14ac:dyDescent="0.2">
      <c r="A80" s="99"/>
      <c r="B80" s="1"/>
      <c r="C80" s="10"/>
      <c r="D80" s="1"/>
      <c r="E80" s="1"/>
      <c r="F80" s="11"/>
      <c r="G80" s="11"/>
      <c r="H80" s="109"/>
    </row>
    <row r="81" spans="1:8" ht="14.1" customHeight="1" x14ac:dyDescent="0.2">
      <c r="A81" s="99"/>
      <c r="B81" s="1"/>
      <c r="C81" s="2" t="s">
        <v>141</v>
      </c>
      <c r="D81" s="1"/>
      <c r="E81" s="1"/>
      <c r="F81" s="11"/>
      <c r="G81" s="11"/>
      <c r="H81" s="109"/>
    </row>
    <row r="82" spans="1:8" ht="14.1" customHeight="1" x14ac:dyDescent="0.2">
      <c r="A82" s="99"/>
      <c r="B82" s="1"/>
      <c r="C82" s="2" t="s">
        <v>135</v>
      </c>
      <c r="D82" s="1"/>
      <c r="E82" s="1" t="s">
        <v>136</v>
      </c>
      <c r="F82" s="115">
        <v>0</v>
      </c>
      <c r="G82" s="9">
        <v>0</v>
      </c>
      <c r="H82" s="109"/>
    </row>
    <row r="83" spans="1:8" ht="14.1" customHeight="1" x14ac:dyDescent="0.2">
      <c r="A83" s="99"/>
      <c r="B83" s="1"/>
      <c r="C83" s="10"/>
      <c r="D83" s="1"/>
      <c r="E83" s="1"/>
      <c r="F83" s="11"/>
      <c r="G83" s="11"/>
      <c r="H83" s="109"/>
    </row>
    <row r="84" spans="1:8" ht="18" customHeight="1" x14ac:dyDescent="0.2">
      <c r="A84" s="99"/>
      <c r="B84" s="1"/>
      <c r="C84" s="2" t="s">
        <v>142</v>
      </c>
      <c r="D84" s="1"/>
      <c r="E84" s="1"/>
      <c r="F84" s="8">
        <v>159449.06234949999</v>
      </c>
      <c r="G84" s="9">
        <v>0.98217348000000004</v>
      </c>
      <c r="H84" s="109"/>
    </row>
    <row r="85" spans="1:8" ht="14.1" customHeight="1" x14ac:dyDescent="0.2">
      <c r="A85" s="99"/>
      <c r="B85" s="1"/>
      <c r="C85" s="10"/>
      <c r="D85" s="1"/>
      <c r="E85" s="1"/>
      <c r="F85" s="11"/>
      <c r="G85" s="11"/>
      <c r="H85" s="109"/>
    </row>
    <row r="86" spans="1:8" ht="14.1" customHeight="1" x14ac:dyDescent="0.2">
      <c r="A86" s="99"/>
      <c r="B86" s="1"/>
      <c r="C86" s="2" t="s">
        <v>143</v>
      </c>
      <c r="D86" s="1"/>
      <c r="E86" s="1"/>
      <c r="F86" s="11"/>
      <c r="G86" s="11"/>
      <c r="H86" s="109"/>
    </row>
    <row r="87" spans="1:8" ht="24" customHeight="1" x14ac:dyDescent="0.2">
      <c r="A87" s="99"/>
      <c r="B87" s="1"/>
      <c r="C87" s="2" t="s">
        <v>10</v>
      </c>
      <c r="D87" s="1"/>
      <c r="E87" s="1"/>
      <c r="F87" s="11"/>
      <c r="G87" s="11"/>
      <c r="H87" s="109"/>
    </row>
    <row r="88" spans="1:8" ht="14.1" customHeight="1" x14ac:dyDescent="0.2">
      <c r="A88" s="99"/>
      <c r="B88" s="1"/>
      <c r="C88" s="2" t="s">
        <v>135</v>
      </c>
      <c r="D88" s="1"/>
      <c r="E88" s="1" t="s">
        <v>136</v>
      </c>
      <c r="F88" s="115">
        <v>0</v>
      </c>
      <c r="G88" s="9">
        <v>0</v>
      </c>
      <c r="H88" s="109"/>
    </row>
    <row r="89" spans="1:8" ht="14.1" customHeight="1" x14ac:dyDescent="0.2">
      <c r="A89" s="99"/>
      <c r="B89" s="1"/>
      <c r="C89" s="10"/>
      <c r="D89" s="1"/>
      <c r="E89" s="1"/>
      <c r="F89" s="11"/>
      <c r="G89" s="11"/>
      <c r="H89" s="109"/>
    </row>
    <row r="90" spans="1:8" ht="14.1" customHeight="1" x14ac:dyDescent="0.2">
      <c r="A90" s="99"/>
      <c r="B90" s="1"/>
      <c r="C90" s="2" t="s">
        <v>144</v>
      </c>
      <c r="D90" s="1"/>
      <c r="E90" s="1"/>
      <c r="F90" s="1"/>
      <c r="G90" s="1"/>
      <c r="H90" s="109"/>
    </row>
    <row r="91" spans="1:8" ht="14.1" customHeight="1" x14ac:dyDescent="0.2">
      <c r="A91" s="99"/>
      <c r="B91" s="1"/>
      <c r="C91" s="2" t="s">
        <v>135</v>
      </c>
      <c r="D91" s="1"/>
      <c r="E91" s="1" t="s">
        <v>136</v>
      </c>
      <c r="F91" s="115">
        <v>0</v>
      </c>
      <c r="G91" s="9">
        <v>0</v>
      </c>
      <c r="H91" s="109"/>
    </row>
    <row r="92" spans="1:8" ht="14.1" customHeight="1" x14ac:dyDescent="0.2">
      <c r="A92" s="99"/>
      <c r="B92" s="1"/>
      <c r="C92" s="10"/>
      <c r="D92" s="1"/>
      <c r="E92" s="1"/>
      <c r="F92" s="11"/>
      <c r="G92" s="11"/>
      <c r="H92" s="109"/>
    </row>
    <row r="93" spans="1:8" ht="14.1" customHeight="1" x14ac:dyDescent="0.2">
      <c r="A93" s="99"/>
      <c r="B93" s="1"/>
      <c r="C93" s="2" t="s">
        <v>145</v>
      </c>
      <c r="D93" s="1"/>
      <c r="E93" s="1"/>
      <c r="F93" s="1"/>
      <c r="G93" s="1"/>
      <c r="H93" s="109"/>
    </row>
    <row r="94" spans="1:8" ht="14.1" customHeight="1" x14ac:dyDescent="0.2">
      <c r="A94" s="99"/>
      <c r="B94" s="1"/>
      <c r="C94" s="2" t="s">
        <v>135</v>
      </c>
      <c r="D94" s="1"/>
      <c r="E94" s="1" t="s">
        <v>136</v>
      </c>
      <c r="F94" s="115">
        <v>0</v>
      </c>
      <c r="G94" s="9">
        <v>0</v>
      </c>
      <c r="H94" s="109"/>
    </row>
    <row r="95" spans="1:8" ht="14.1" customHeight="1" x14ac:dyDescent="0.2">
      <c r="A95" s="99"/>
      <c r="B95" s="1"/>
      <c r="C95" s="10"/>
      <c r="D95" s="1"/>
      <c r="E95" s="1"/>
      <c r="F95" s="11"/>
      <c r="G95" s="11"/>
      <c r="H95" s="109"/>
    </row>
    <row r="96" spans="1:8" ht="14.1" customHeight="1" x14ac:dyDescent="0.2">
      <c r="A96" s="99"/>
      <c r="B96" s="1"/>
      <c r="C96" s="2" t="s">
        <v>146</v>
      </c>
      <c r="D96" s="1"/>
      <c r="E96" s="1"/>
      <c r="F96" s="11"/>
      <c r="G96" s="11"/>
      <c r="H96" s="109"/>
    </row>
    <row r="97" spans="1:8" ht="14.1" customHeight="1" x14ac:dyDescent="0.2">
      <c r="A97" s="99"/>
      <c r="B97" s="1"/>
      <c r="C97" s="2" t="s">
        <v>135</v>
      </c>
      <c r="D97" s="1"/>
      <c r="E97" s="1" t="s">
        <v>136</v>
      </c>
      <c r="F97" s="115">
        <v>0</v>
      </c>
      <c r="G97" s="9">
        <v>0</v>
      </c>
      <c r="H97" s="109"/>
    </row>
    <row r="98" spans="1:8" ht="14.1" customHeight="1" x14ac:dyDescent="0.2">
      <c r="A98" s="99"/>
      <c r="B98" s="1"/>
      <c r="C98" s="10"/>
      <c r="D98" s="1"/>
      <c r="E98" s="1"/>
      <c r="F98" s="11"/>
      <c r="G98" s="11"/>
      <c r="H98" s="109"/>
    </row>
    <row r="99" spans="1:8" ht="14.1" customHeight="1" x14ac:dyDescent="0.2">
      <c r="A99" s="99"/>
      <c r="B99" s="1"/>
      <c r="C99" s="2" t="s">
        <v>147</v>
      </c>
      <c r="D99" s="1"/>
      <c r="E99" s="1"/>
      <c r="F99" s="8">
        <v>0</v>
      </c>
      <c r="G99" s="9">
        <v>0</v>
      </c>
      <c r="H99" s="109"/>
    </row>
    <row r="100" spans="1:8" ht="14.1" customHeight="1" x14ac:dyDescent="0.2">
      <c r="A100" s="99"/>
      <c r="B100" s="1"/>
      <c r="C100" s="10"/>
      <c r="D100" s="1"/>
      <c r="E100" s="1"/>
      <c r="F100" s="11"/>
      <c r="G100" s="11"/>
      <c r="H100" s="109"/>
    </row>
    <row r="101" spans="1:8" ht="14.1" customHeight="1" x14ac:dyDescent="0.2">
      <c r="A101" s="99"/>
      <c r="B101" s="1"/>
      <c r="C101" s="2" t="s">
        <v>148</v>
      </c>
      <c r="D101" s="1"/>
      <c r="E101" s="1"/>
      <c r="F101" s="11"/>
      <c r="G101" s="11"/>
      <c r="H101" s="109"/>
    </row>
    <row r="102" spans="1:8" ht="14.1" customHeight="1" x14ac:dyDescent="0.2">
      <c r="A102" s="99"/>
      <c r="B102" s="1"/>
      <c r="C102" s="2" t="s">
        <v>149</v>
      </c>
      <c r="D102" s="1"/>
      <c r="E102" s="1"/>
      <c r="F102" s="11"/>
      <c r="G102" s="11"/>
      <c r="H102" s="109"/>
    </row>
    <row r="103" spans="1:8" ht="14.1" customHeight="1" x14ac:dyDescent="0.2">
      <c r="A103" s="99"/>
      <c r="B103" s="1"/>
      <c r="C103" s="2" t="s">
        <v>135</v>
      </c>
      <c r="D103" s="1"/>
      <c r="E103" s="1" t="s">
        <v>136</v>
      </c>
      <c r="F103" s="115">
        <v>0</v>
      </c>
      <c r="G103" s="9">
        <v>0</v>
      </c>
      <c r="H103" s="109"/>
    </row>
    <row r="104" spans="1:8" ht="14.1" customHeight="1" x14ac:dyDescent="0.2">
      <c r="A104" s="99"/>
      <c r="B104" s="1"/>
      <c r="C104" s="10"/>
      <c r="D104" s="1"/>
      <c r="E104" s="1"/>
      <c r="F104" s="11"/>
      <c r="G104" s="11"/>
      <c r="H104" s="109"/>
    </row>
    <row r="105" spans="1:8" ht="14.1" customHeight="1" x14ac:dyDescent="0.2">
      <c r="A105" s="99"/>
      <c r="B105" s="1"/>
      <c r="C105" s="2" t="s">
        <v>150</v>
      </c>
      <c r="D105" s="1"/>
      <c r="E105" s="1"/>
      <c r="F105" s="11"/>
      <c r="G105" s="11"/>
      <c r="H105" s="109"/>
    </row>
    <row r="106" spans="1:8" ht="14.1" customHeight="1" x14ac:dyDescent="0.2">
      <c r="A106" s="99"/>
      <c r="B106" s="1"/>
      <c r="C106" s="2" t="s">
        <v>135</v>
      </c>
      <c r="D106" s="1"/>
      <c r="E106" s="1" t="s">
        <v>136</v>
      </c>
      <c r="F106" s="115">
        <v>0</v>
      </c>
      <c r="G106" s="9">
        <v>0</v>
      </c>
      <c r="H106" s="109"/>
    </row>
    <row r="107" spans="1:8" ht="14.1" customHeight="1" x14ac:dyDescent="0.2">
      <c r="A107" s="99"/>
      <c r="B107" s="1"/>
      <c r="C107" s="10"/>
      <c r="D107" s="1"/>
      <c r="E107" s="1"/>
      <c r="F107" s="11"/>
      <c r="G107" s="11"/>
      <c r="H107" s="109"/>
    </row>
    <row r="108" spans="1:8" ht="14.1" customHeight="1" x14ac:dyDescent="0.2">
      <c r="A108" s="99"/>
      <c r="B108" s="1"/>
      <c r="C108" s="2" t="s">
        <v>151</v>
      </c>
      <c r="D108" s="1"/>
      <c r="E108" s="1"/>
      <c r="F108" s="11"/>
      <c r="G108" s="11"/>
      <c r="H108" s="109"/>
    </row>
    <row r="109" spans="1:8" ht="14.1" customHeight="1" x14ac:dyDescent="0.2">
      <c r="A109" s="99"/>
      <c r="B109" s="1"/>
      <c r="C109" s="2" t="s">
        <v>135</v>
      </c>
      <c r="D109" s="1"/>
      <c r="E109" s="1" t="s">
        <v>136</v>
      </c>
      <c r="F109" s="115">
        <v>0</v>
      </c>
      <c r="G109" s="9">
        <v>0</v>
      </c>
      <c r="H109" s="109"/>
    </row>
    <row r="110" spans="1:8" ht="14.1" customHeight="1" x14ac:dyDescent="0.2">
      <c r="A110" s="99"/>
      <c r="B110" s="1"/>
      <c r="C110" s="10"/>
      <c r="D110" s="1"/>
      <c r="E110" s="1"/>
      <c r="F110" s="11"/>
      <c r="G110" s="11"/>
      <c r="H110" s="109"/>
    </row>
    <row r="111" spans="1:8" ht="14.1" customHeight="1" x14ac:dyDescent="0.2">
      <c r="A111" s="99"/>
      <c r="B111" s="1"/>
      <c r="C111" s="2" t="s">
        <v>152</v>
      </c>
      <c r="D111" s="1"/>
      <c r="E111" s="1"/>
      <c r="F111" s="11"/>
      <c r="G111" s="11"/>
      <c r="H111" s="109"/>
    </row>
    <row r="112" spans="1:8" ht="17.100000000000001" customHeight="1" x14ac:dyDescent="0.2">
      <c r="A112" s="100">
        <v>1</v>
      </c>
      <c r="B112" s="3"/>
      <c r="C112" s="3" t="s">
        <v>153</v>
      </c>
      <c r="D112" s="3"/>
      <c r="E112" s="7"/>
      <c r="F112" s="5">
        <v>3249.2538909999998</v>
      </c>
      <c r="G112" s="6">
        <v>2.001474E-2</v>
      </c>
      <c r="H112" s="109">
        <v>6.6015165706411798</v>
      </c>
    </row>
    <row r="113" spans="1:8" ht="14.1" customHeight="1" x14ac:dyDescent="0.2">
      <c r="A113" s="99"/>
      <c r="B113" s="1"/>
      <c r="C113" s="2" t="s">
        <v>135</v>
      </c>
      <c r="D113" s="1"/>
      <c r="E113" s="1" t="s">
        <v>136</v>
      </c>
      <c r="F113" s="8">
        <v>3249.2538909999998</v>
      </c>
      <c r="G113" s="9">
        <v>2.001474E-2</v>
      </c>
      <c r="H113" s="109"/>
    </row>
    <row r="114" spans="1:8" ht="14.1" customHeight="1" x14ac:dyDescent="0.2">
      <c r="A114" s="99"/>
      <c r="B114" s="1"/>
      <c r="C114" s="10"/>
      <c r="D114" s="1"/>
      <c r="E114" s="1"/>
      <c r="F114" s="11"/>
      <c r="G114" s="11"/>
      <c r="H114" s="109"/>
    </row>
    <row r="115" spans="1:8" ht="14.1" customHeight="1" x14ac:dyDescent="0.2">
      <c r="A115" s="99"/>
      <c r="B115" s="1"/>
      <c r="C115" s="2" t="s">
        <v>154</v>
      </c>
      <c r="D115" s="1"/>
      <c r="E115" s="1"/>
      <c r="F115" s="8">
        <v>3249.2538909999998</v>
      </c>
      <c r="G115" s="9">
        <v>2.001474E-2</v>
      </c>
      <c r="H115" s="109"/>
    </row>
    <row r="116" spans="1:8" ht="14.1" customHeight="1" x14ac:dyDescent="0.2">
      <c r="A116" s="99"/>
      <c r="B116" s="1"/>
      <c r="C116" s="11"/>
      <c r="D116" s="1"/>
      <c r="E116" s="1"/>
      <c r="F116" s="1"/>
      <c r="G116" s="1"/>
      <c r="H116" s="109"/>
    </row>
    <row r="117" spans="1:8" ht="14.1" customHeight="1" x14ac:dyDescent="0.2">
      <c r="A117" s="99"/>
      <c r="B117" s="1"/>
      <c r="C117" s="2" t="s">
        <v>155</v>
      </c>
      <c r="D117" s="1"/>
      <c r="E117" s="1"/>
      <c r="F117" s="1"/>
      <c r="G117" s="1"/>
      <c r="H117" s="109"/>
    </row>
    <row r="118" spans="1:8" ht="14.1" customHeight="1" x14ac:dyDescent="0.2">
      <c r="A118" s="99"/>
      <c r="B118" s="1"/>
      <c r="C118" s="2" t="s">
        <v>156</v>
      </c>
      <c r="D118" s="1"/>
      <c r="E118" s="1"/>
      <c r="F118" s="1"/>
      <c r="G118" s="1"/>
      <c r="H118" s="109"/>
    </row>
    <row r="119" spans="1:8" ht="14.1" customHeight="1" x14ac:dyDescent="0.2">
      <c r="A119" s="99"/>
      <c r="B119" s="1"/>
      <c r="C119" s="2" t="s">
        <v>135</v>
      </c>
      <c r="D119" s="1"/>
      <c r="E119" s="1" t="s">
        <v>136</v>
      </c>
      <c r="F119" s="115">
        <v>0</v>
      </c>
      <c r="G119" s="9">
        <v>0</v>
      </c>
      <c r="H119" s="109"/>
    </row>
    <row r="120" spans="1:8" ht="14.1" customHeight="1" x14ac:dyDescent="0.2">
      <c r="A120" s="99"/>
      <c r="B120" s="1"/>
      <c r="C120" s="10"/>
      <c r="D120" s="1"/>
      <c r="E120" s="1"/>
      <c r="F120" s="11"/>
      <c r="G120" s="11"/>
      <c r="H120" s="109"/>
    </row>
    <row r="121" spans="1:8" ht="14.1" customHeight="1" x14ac:dyDescent="0.2">
      <c r="A121" s="99"/>
      <c r="B121" s="1"/>
      <c r="C121" s="2" t="s">
        <v>157</v>
      </c>
      <c r="D121" s="1"/>
      <c r="E121" s="1"/>
      <c r="F121" s="1"/>
      <c r="G121" s="1"/>
      <c r="H121" s="109"/>
    </row>
    <row r="122" spans="1:8" ht="14.1" customHeight="1" x14ac:dyDescent="0.2">
      <c r="A122" s="99"/>
      <c r="B122" s="1"/>
      <c r="C122" s="2" t="s">
        <v>158</v>
      </c>
      <c r="D122" s="1"/>
      <c r="E122" s="1"/>
      <c r="F122" s="1"/>
      <c r="G122" s="1"/>
      <c r="H122" s="109"/>
    </row>
    <row r="123" spans="1:8" ht="14.1" customHeight="1" x14ac:dyDescent="0.2">
      <c r="A123" s="99"/>
      <c r="B123" s="1"/>
      <c r="C123" s="2" t="s">
        <v>135</v>
      </c>
      <c r="D123" s="1"/>
      <c r="E123" s="1" t="s">
        <v>136</v>
      </c>
      <c r="F123" s="115">
        <v>0</v>
      </c>
      <c r="G123" s="9">
        <v>0</v>
      </c>
      <c r="H123" s="109"/>
    </row>
    <row r="124" spans="1:8" ht="14.1" customHeight="1" x14ac:dyDescent="0.2">
      <c r="A124" s="99"/>
      <c r="B124" s="1"/>
      <c r="C124" s="10"/>
      <c r="D124" s="1"/>
      <c r="E124" s="1"/>
      <c r="F124" s="11"/>
      <c r="G124" s="11"/>
      <c r="H124" s="109"/>
    </row>
    <row r="125" spans="1:8" ht="24" customHeight="1" x14ac:dyDescent="0.2">
      <c r="A125" s="99"/>
      <c r="B125" s="1"/>
      <c r="C125" s="2" t="s">
        <v>159</v>
      </c>
      <c r="D125" s="1"/>
      <c r="E125" s="1"/>
      <c r="F125" s="11"/>
      <c r="G125" s="11"/>
      <c r="H125" s="109"/>
    </row>
    <row r="126" spans="1:8" ht="14.1" customHeight="1" x14ac:dyDescent="0.2">
      <c r="A126" s="99"/>
      <c r="B126" s="1"/>
      <c r="C126" s="2" t="s">
        <v>135</v>
      </c>
      <c r="D126" s="1"/>
      <c r="E126" s="1" t="s">
        <v>136</v>
      </c>
      <c r="F126" s="115">
        <v>0</v>
      </c>
      <c r="G126" s="9">
        <v>0</v>
      </c>
      <c r="H126" s="109"/>
    </row>
    <row r="127" spans="1:8" ht="14.1" customHeight="1" x14ac:dyDescent="0.2">
      <c r="A127" s="99"/>
      <c r="B127" s="1"/>
      <c r="C127" s="10"/>
      <c r="D127" s="1"/>
      <c r="E127" s="1"/>
      <c r="F127" s="11"/>
      <c r="G127" s="11"/>
      <c r="H127" s="109"/>
    </row>
    <row r="128" spans="1:8" ht="14.1" customHeight="1" x14ac:dyDescent="0.2">
      <c r="A128" s="99"/>
      <c r="B128" s="3"/>
      <c r="C128" s="3"/>
      <c r="D128" s="2"/>
      <c r="E128" s="1"/>
      <c r="F128" s="3"/>
      <c r="G128" s="7"/>
      <c r="H128" s="109"/>
    </row>
    <row r="129" spans="1:8" ht="18" customHeight="1" x14ac:dyDescent="0.2">
      <c r="A129" s="101"/>
      <c r="B129" s="3"/>
      <c r="C129" s="3" t="s">
        <v>160</v>
      </c>
      <c r="D129" s="3"/>
      <c r="E129" s="7"/>
      <c r="F129" s="5">
        <v>-355.23901978999999</v>
      </c>
      <c r="G129" s="6">
        <v>-2.1882E-3</v>
      </c>
      <c r="H129" s="109"/>
    </row>
    <row r="130" spans="1:8" ht="14.1" customHeight="1" x14ac:dyDescent="0.2">
      <c r="A130" s="102"/>
      <c r="B130" s="10"/>
      <c r="C130" s="2" t="s">
        <v>161</v>
      </c>
      <c r="D130" s="11"/>
      <c r="E130" s="11"/>
      <c r="F130" s="8">
        <v>162343.07722070999</v>
      </c>
      <c r="G130" s="12">
        <v>1.0000000200000001</v>
      </c>
      <c r="H130" s="109"/>
    </row>
    <row r="131" spans="1:8" ht="14.1" customHeight="1" x14ac:dyDescent="0.2">
      <c r="A131" s="13"/>
      <c r="B131" s="13"/>
      <c r="C131" s="13"/>
      <c r="D131" s="14"/>
      <c r="E131" s="14"/>
      <c r="F131" s="14"/>
      <c r="G131" s="14"/>
    </row>
    <row r="132" spans="1:8" ht="14.1" customHeight="1" x14ac:dyDescent="0.2">
      <c r="A132" s="15"/>
      <c r="B132" s="15"/>
      <c r="C132" s="15"/>
      <c r="D132" s="17"/>
      <c r="E132" s="17"/>
      <c r="F132" s="17"/>
      <c r="G132" s="17"/>
    </row>
    <row r="133" spans="1:8" ht="14.1" customHeight="1" x14ac:dyDescent="0.2">
      <c r="A133" s="15"/>
      <c r="B133" s="194" t="s">
        <v>163</v>
      </c>
      <c r="C133" s="195"/>
      <c r="D133" s="196"/>
      <c r="E133" s="18"/>
      <c r="F133" s="17"/>
      <c r="G133" s="17"/>
    </row>
    <row r="134" spans="1:8" ht="29.1" customHeight="1" x14ac:dyDescent="0.2">
      <c r="A134" s="15"/>
      <c r="B134" s="191" t="s">
        <v>164</v>
      </c>
      <c r="C134" s="192"/>
      <c r="D134" s="2" t="s">
        <v>165</v>
      </c>
      <c r="E134" s="18"/>
      <c r="F134" s="17"/>
      <c r="G134" s="17"/>
    </row>
    <row r="135" spans="1:8" ht="17.100000000000001" customHeight="1" x14ac:dyDescent="0.2">
      <c r="A135" s="15"/>
      <c r="B135" s="191" t="s">
        <v>166</v>
      </c>
      <c r="C135" s="192"/>
      <c r="D135" s="2" t="s">
        <v>165</v>
      </c>
      <c r="E135" s="18"/>
      <c r="F135" s="17"/>
      <c r="G135" s="17"/>
    </row>
    <row r="136" spans="1:8" ht="17.100000000000001" customHeight="1" x14ac:dyDescent="0.2">
      <c r="A136" s="15"/>
      <c r="B136" s="191" t="s">
        <v>167</v>
      </c>
      <c r="C136" s="192"/>
      <c r="D136" s="11" t="s">
        <v>136</v>
      </c>
      <c r="E136" s="18"/>
      <c r="F136" s="17"/>
      <c r="G136" s="17"/>
    </row>
    <row r="137" spans="1:8" ht="24" customHeight="1" x14ac:dyDescent="0.2">
      <c r="A137" s="19"/>
      <c r="B137" s="20" t="s">
        <v>136</v>
      </c>
      <c r="C137" s="20" t="s">
        <v>168</v>
      </c>
      <c r="D137" s="20" t="s">
        <v>169</v>
      </c>
      <c r="E137" s="19"/>
      <c r="F137" s="19"/>
      <c r="G137" s="19"/>
    </row>
    <row r="138" spans="1:8" ht="18" customHeight="1" x14ac:dyDescent="0.2">
      <c r="A138" s="19"/>
      <c r="B138" s="21" t="s">
        <v>170</v>
      </c>
      <c r="C138" s="20" t="s">
        <v>171</v>
      </c>
      <c r="D138" s="20" t="s">
        <v>172</v>
      </c>
      <c r="E138" s="19"/>
      <c r="F138" s="19"/>
      <c r="G138" s="19"/>
    </row>
    <row r="139" spans="1:8" ht="17.100000000000001" customHeight="1" x14ac:dyDescent="0.2">
      <c r="A139" s="19"/>
      <c r="B139" s="3" t="s">
        <v>173</v>
      </c>
      <c r="C139" s="22">
        <v>158.82060000000001</v>
      </c>
      <c r="D139" s="22">
        <v>155.81</v>
      </c>
      <c r="E139" s="19"/>
      <c r="F139" s="16"/>
      <c r="G139" s="23"/>
    </row>
    <row r="140" spans="1:8" ht="17.100000000000001" customHeight="1" x14ac:dyDescent="0.2">
      <c r="A140" s="19"/>
      <c r="B140" s="3" t="s">
        <v>994</v>
      </c>
      <c r="C140" s="22">
        <v>15.3025</v>
      </c>
      <c r="D140" s="22">
        <v>15.0124</v>
      </c>
      <c r="E140" s="19"/>
      <c r="F140" s="16"/>
      <c r="G140" s="23"/>
    </row>
    <row r="141" spans="1:8" ht="17.100000000000001" customHeight="1" x14ac:dyDescent="0.2">
      <c r="A141" s="19"/>
      <c r="B141" s="3" t="s">
        <v>174</v>
      </c>
      <c r="C141" s="22">
        <v>151.9683</v>
      </c>
      <c r="D141" s="22">
        <v>149.0292</v>
      </c>
      <c r="E141" s="19"/>
      <c r="F141" s="16"/>
      <c r="G141" s="23"/>
    </row>
    <row r="142" spans="1:8" ht="17.100000000000001" customHeight="1" x14ac:dyDescent="0.2">
      <c r="A142" s="19"/>
      <c r="B142" s="3" t="s">
        <v>995</v>
      </c>
      <c r="C142" s="22">
        <v>12.7659</v>
      </c>
      <c r="D142" s="22">
        <v>12.519</v>
      </c>
      <c r="E142" s="19"/>
      <c r="F142" s="16"/>
      <c r="G142" s="23"/>
    </row>
    <row r="143" spans="1:8" ht="14.1" customHeight="1" x14ac:dyDescent="0.2">
      <c r="A143" s="19"/>
      <c r="B143" s="19"/>
      <c r="C143" s="19"/>
      <c r="D143" s="19"/>
      <c r="E143" s="19"/>
      <c r="F143" s="19"/>
      <c r="G143" s="19"/>
    </row>
    <row r="144" spans="1:8" ht="17.100000000000001" customHeight="1" x14ac:dyDescent="0.2">
      <c r="A144" s="19"/>
      <c r="B144" s="191" t="s">
        <v>1044</v>
      </c>
      <c r="C144" s="192"/>
      <c r="D144" s="2" t="s">
        <v>165</v>
      </c>
      <c r="E144" s="19"/>
      <c r="F144" s="19"/>
      <c r="G144" s="19"/>
    </row>
    <row r="145" spans="1:7" ht="18" customHeight="1" x14ac:dyDescent="0.2">
      <c r="A145" s="19"/>
      <c r="B145" s="24"/>
      <c r="C145" s="24"/>
      <c r="D145" s="24"/>
      <c r="E145" s="19"/>
      <c r="F145" s="19"/>
      <c r="G145" s="19"/>
    </row>
    <row r="146" spans="1:7" ht="29.1" customHeight="1" x14ac:dyDescent="0.2">
      <c r="A146" s="19"/>
      <c r="B146" s="191" t="s">
        <v>175</v>
      </c>
      <c r="C146" s="192"/>
      <c r="D146" s="2" t="s">
        <v>165</v>
      </c>
      <c r="E146" s="25"/>
      <c r="F146" s="19"/>
      <c r="G146" s="19"/>
    </row>
    <row r="147" spans="1:7" ht="29.1" customHeight="1" x14ac:dyDescent="0.2">
      <c r="A147" s="19"/>
      <c r="B147" s="191" t="s">
        <v>176</v>
      </c>
      <c r="C147" s="192"/>
      <c r="D147" s="2" t="s">
        <v>165</v>
      </c>
      <c r="E147" s="25"/>
      <c r="F147" s="19"/>
      <c r="G147" s="19"/>
    </row>
    <row r="148" spans="1:7" ht="17.100000000000001" customHeight="1" x14ac:dyDescent="0.2">
      <c r="A148" s="19"/>
      <c r="B148" s="191" t="s">
        <v>177</v>
      </c>
      <c r="C148" s="192"/>
      <c r="D148" s="2" t="s">
        <v>165</v>
      </c>
      <c r="E148" s="25"/>
      <c r="F148" s="19"/>
      <c r="G148" s="19"/>
    </row>
    <row r="149" spans="1:7" ht="17.100000000000001" customHeight="1" x14ac:dyDescent="0.2">
      <c r="A149" s="19"/>
      <c r="B149" s="191" t="s">
        <v>178</v>
      </c>
      <c r="C149" s="192"/>
      <c r="D149" s="26">
        <v>0.25433054004403677</v>
      </c>
      <c r="E149" s="19"/>
      <c r="F149" s="16"/>
      <c r="G149" s="23"/>
    </row>
    <row r="150" spans="1:7" ht="14.1" customHeight="1" x14ac:dyDescent="0.2">
      <c r="A150" s="24"/>
      <c r="B150" s="24"/>
      <c r="C150" s="24"/>
      <c r="D150" s="24"/>
      <c r="E150" s="24"/>
      <c r="F150" s="24"/>
      <c r="G150" s="24"/>
    </row>
  </sheetData>
  <mergeCells count="13">
    <mergeCell ref="J2:N2"/>
    <mergeCell ref="B135:C135"/>
    <mergeCell ref="B136:C136"/>
    <mergeCell ref="B133:D133"/>
    <mergeCell ref="B134:C134"/>
    <mergeCell ref="A1:H1"/>
    <mergeCell ref="A2:H2"/>
    <mergeCell ref="A3:H3"/>
    <mergeCell ref="B148:C148"/>
    <mergeCell ref="B149:C149"/>
    <mergeCell ref="B144:C144"/>
    <mergeCell ref="B146:C146"/>
    <mergeCell ref="B147:C147"/>
  </mergeCells>
  <hyperlinks>
    <hyperlink ref="I1" location="Index!B34" display="Index" xr:uid="{502788BE-1DFD-4078-9B5E-3C92F849FDFC}"/>
  </hyperlinks>
  <pageMargins left="5.000000074505806E-2" right="5.000000074505806E-2" top="0.30000001192092896" bottom="0.20000000298023224" header="0" footer="0"/>
  <pageSetup paperSize="9" orientation="landscape" r:id="rId1"/>
  <headerFooter alignWithMargins="0"/>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N148"/>
  <sheetViews>
    <sheetView showGridLines="0" workbookViewId="0">
      <selection sqref="A1:H1"/>
    </sheetView>
  </sheetViews>
  <sheetFormatPr defaultRowHeight="12.75" x14ac:dyDescent="0.2"/>
  <cols>
    <col min="1" max="1" width="5.42578125" bestFit="1"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7" t="s">
        <v>0</v>
      </c>
      <c r="B1" s="187"/>
      <c r="C1" s="187"/>
      <c r="D1" s="187"/>
      <c r="E1" s="187"/>
      <c r="F1" s="187"/>
      <c r="G1" s="187"/>
      <c r="H1" s="187"/>
      <c r="I1" s="167" t="s">
        <v>1055</v>
      </c>
    </row>
    <row r="2" spans="1:14" ht="17.100000000000001" customHeight="1" x14ac:dyDescent="0.2">
      <c r="A2" s="188" t="s">
        <v>815</v>
      </c>
      <c r="B2" s="189"/>
      <c r="C2" s="189"/>
      <c r="D2" s="189"/>
      <c r="E2" s="189"/>
      <c r="F2" s="189"/>
      <c r="G2" s="189"/>
      <c r="H2" s="190"/>
      <c r="J2" s="186" t="s">
        <v>1056</v>
      </c>
      <c r="K2" s="186"/>
      <c r="L2" s="186"/>
      <c r="M2" s="186"/>
      <c r="N2" s="186"/>
    </row>
    <row r="3" spans="1:14" ht="21" customHeight="1" x14ac:dyDescent="0.2">
      <c r="A3" s="187" t="s">
        <v>1052</v>
      </c>
      <c r="B3" s="187"/>
      <c r="C3" s="187"/>
      <c r="D3" s="187"/>
      <c r="E3" s="187"/>
      <c r="F3" s="187"/>
      <c r="G3" s="187"/>
      <c r="H3" s="187"/>
    </row>
    <row r="4" spans="1:14" ht="30" x14ac:dyDescent="0.2">
      <c r="A4" s="163" t="s">
        <v>2</v>
      </c>
      <c r="B4" s="164" t="s">
        <v>3</v>
      </c>
      <c r="C4" s="164" t="s">
        <v>4</v>
      </c>
      <c r="D4" s="164" t="s">
        <v>5</v>
      </c>
      <c r="E4" s="164" t="s">
        <v>6</v>
      </c>
      <c r="F4" s="164" t="s">
        <v>7</v>
      </c>
      <c r="G4" s="164" t="s">
        <v>8</v>
      </c>
      <c r="H4" s="120" t="s">
        <v>881</v>
      </c>
      <c r="I4" s="165"/>
      <c r="J4" s="165"/>
      <c r="K4" s="165"/>
      <c r="L4" s="165"/>
      <c r="M4" s="165"/>
      <c r="N4" s="165"/>
    </row>
    <row r="5" spans="1:14" ht="14.1" customHeight="1" x14ac:dyDescent="0.2">
      <c r="A5" s="99"/>
      <c r="B5" s="1"/>
      <c r="C5" s="2" t="s">
        <v>9</v>
      </c>
      <c r="D5" s="1"/>
      <c r="E5" s="1"/>
      <c r="F5" s="1"/>
      <c r="G5" s="1"/>
      <c r="H5" s="109"/>
    </row>
    <row r="6" spans="1:14" ht="24" customHeight="1" x14ac:dyDescent="0.2">
      <c r="A6" s="99"/>
      <c r="B6" s="1"/>
      <c r="C6" s="2" t="s">
        <v>10</v>
      </c>
      <c r="D6" s="1"/>
      <c r="E6" s="1"/>
      <c r="F6" s="1"/>
      <c r="G6" s="1"/>
      <c r="H6" s="109"/>
    </row>
    <row r="7" spans="1:14" ht="17.100000000000001" customHeight="1" x14ac:dyDescent="0.2">
      <c r="A7" s="100">
        <v>1</v>
      </c>
      <c r="B7" s="3" t="s">
        <v>20</v>
      </c>
      <c r="C7" s="3" t="s">
        <v>21</v>
      </c>
      <c r="D7" s="3" t="s">
        <v>22</v>
      </c>
      <c r="E7" s="4">
        <v>2934000</v>
      </c>
      <c r="F7" s="5">
        <v>25081.298999999999</v>
      </c>
      <c r="G7" s="6">
        <v>8.7848770000000007E-2</v>
      </c>
      <c r="H7" s="109"/>
    </row>
    <row r="8" spans="1:14" ht="17.100000000000001" customHeight="1" x14ac:dyDescent="0.2">
      <c r="A8" s="100">
        <v>2</v>
      </c>
      <c r="B8" s="3" t="s">
        <v>17</v>
      </c>
      <c r="C8" s="3" t="s">
        <v>18</v>
      </c>
      <c r="D8" s="3" t="s">
        <v>19</v>
      </c>
      <c r="E8" s="4">
        <v>1043000</v>
      </c>
      <c r="F8" s="5">
        <v>24224.196499999998</v>
      </c>
      <c r="G8" s="6">
        <v>8.4846710000000006E-2</v>
      </c>
      <c r="H8" s="109"/>
    </row>
    <row r="9" spans="1:14" ht="17.100000000000001" customHeight="1" x14ac:dyDescent="0.2">
      <c r="A9" s="100">
        <v>3</v>
      </c>
      <c r="B9" s="3" t="s">
        <v>297</v>
      </c>
      <c r="C9" s="3" t="s">
        <v>298</v>
      </c>
      <c r="D9" s="3" t="s">
        <v>22</v>
      </c>
      <c r="E9" s="4">
        <v>1341000</v>
      </c>
      <c r="F9" s="5">
        <v>21450.635999999999</v>
      </c>
      <c r="G9" s="6">
        <v>7.5132149999999995E-2</v>
      </c>
      <c r="H9" s="109"/>
    </row>
    <row r="10" spans="1:14" ht="29.1" customHeight="1" x14ac:dyDescent="0.2">
      <c r="A10" s="100">
        <v>4</v>
      </c>
      <c r="B10" s="3" t="s">
        <v>295</v>
      </c>
      <c r="C10" s="3" t="s">
        <v>296</v>
      </c>
      <c r="D10" s="3" t="s">
        <v>120</v>
      </c>
      <c r="E10" s="4">
        <v>723000</v>
      </c>
      <c r="F10" s="5">
        <v>18866.323499999999</v>
      </c>
      <c r="G10" s="6">
        <v>6.6080440000000004E-2</v>
      </c>
      <c r="H10" s="109"/>
    </row>
    <row r="11" spans="1:14" ht="17.100000000000001" customHeight="1" x14ac:dyDescent="0.2">
      <c r="A11" s="100">
        <v>5</v>
      </c>
      <c r="B11" s="3" t="s">
        <v>293</v>
      </c>
      <c r="C11" s="3" t="s">
        <v>294</v>
      </c>
      <c r="D11" s="3" t="s">
        <v>996</v>
      </c>
      <c r="E11" s="4">
        <v>1266000</v>
      </c>
      <c r="F11" s="5">
        <v>18832.383000000002</v>
      </c>
      <c r="G11" s="6">
        <v>6.5961560000000002E-2</v>
      </c>
      <c r="H11" s="109"/>
    </row>
    <row r="12" spans="1:14" ht="17.100000000000001" customHeight="1" x14ac:dyDescent="0.2">
      <c r="A12" s="100">
        <v>6</v>
      </c>
      <c r="B12" s="3" t="s">
        <v>11</v>
      </c>
      <c r="C12" s="3" t="s">
        <v>12</v>
      </c>
      <c r="D12" s="3" t="s">
        <v>13</v>
      </c>
      <c r="E12" s="4">
        <v>722000</v>
      </c>
      <c r="F12" s="5">
        <v>15228.063</v>
      </c>
      <c r="G12" s="6">
        <v>5.3337210000000003E-2</v>
      </c>
      <c r="H12" s="109"/>
    </row>
    <row r="13" spans="1:14" ht="17.100000000000001" customHeight="1" x14ac:dyDescent="0.2">
      <c r="A13" s="100">
        <v>7</v>
      </c>
      <c r="B13" s="3" t="s">
        <v>32</v>
      </c>
      <c r="C13" s="3" t="s">
        <v>33</v>
      </c>
      <c r="D13" s="3" t="s">
        <v>22</v>
      </c>
      <c r="E13" s="4">
        <v>2394000</v>
      </c>
      <c r="F13" s="5">
        <v>12515.832</v>
      </c>
      <c r="G13" s="6">
        <v>4.3837460000000002E-2</v>
      </c>
      <c r="H13" s="109"/>
      <c r="J13" s="169" t="s">
        <v>1084</v>
      </c>
    </row>
    <row r="14" spans="1:14" ht="17.100000000000001" customHeight="1" x14ac:dyDescent="0.2">
      <c r="A14" s="100">
        <v>8</v>
      </c>
      <c r="B14" s="3" t="s">
        <v>197</v>
      </c>
      <c r="C14" s="3" t="s">
        <v>198</v>
      </c>
      <c r="D14" s="3" t="s">
        <v>22</v>
      </c>
      <c r="E14" s="4">
        <v>1424828</v>
      </c>
      <c r="F14" s="5">
        <v>12026.973147999999</v>
      </c>
      <c r="G14" s="6">
        <v>4.2125200000000002E-2</v>
      </c>
      <c r="H14" s="109"/>
    </row>
    <row r="15" spans="1:14" ht="29.1" customHeight="1" x14ac:dyDescent="0.2">
      <c r="A15" s="100">
        <v>9</v>
      </c>
      <c r="B15" s="3" t="s">
        <v>303</v>
      </c>
      <c r="C15" s="3" t="s">
        <v>304</v>
      </c>
      <c r="D15" s="3" t="s">
        <v>221</v>
      </c>
      <c r="E15" s="4">
        <v>1058000</v>
      </c>
      <c r="F15" s="5">
        <v>10120.828</v>
      </c>
      <c r="G15" s="6">
        <v>3.5448809999999997E-2</v>
      </c>
      <c r="H15" s="109"/>
    </row>
    <row r="16" spans="1:14" ht="17.100000000000001" customHeight="1" x14ac:dyDescent="0.2">
      <c r="A16" s="100">
        <v>10</v>
      </c>
      <c r="B16" s="3" t="s">
        <v>299</v>
      </c>
      <c r="C16" s="3" t="s">
        <v>300</v>
      </c>
      <c r="D16" s="3" t="s">
        <v>996</v>
      </c>
      <c r="E16" s="4">
        <v>252000</v>
      </c>
      <c r="F16" s="5">
        <v>8348.3819999999996</v>
      </c>
      <c r="G16" s="6">
        <v>2.924071E-2</v>
      </c>
      <c r="H16" s="109"/>
    </row>
    <row r="17" spans="1:10" ht="17.100000000000001" customHeight="1" x14ac:dyDescent="0.2">
      <c r="A17" s="100">
        <v>11</v>
      </c>
      <c r="B17" s="3" t="s">
        <v>69</v>
      </c>
      <c r="C17" s="3" t="s">
        <v>70</v>
      </c>
      <c r="D17" s="3" t="s">
        <v>71</v>
      </c>
      <c r="E17" s="4">
        <v>95000</v>
      </c>
      <c r="F17" s="5">
        <v>8193.1324999999997</v>
      </c>
      <c r="G17" s="6">
        <v>2.8696940000000001E-2</v>
      </c>
      <c r="H17" s="109"/>
    </row>
    <row r="18" spans="1:10" ht="17.100000000000001" customHeight="1" x14ac:dyDescent="0.2">
      <c r="A18" s="100">
        <v>12</v>
      </c>
      <c r="B18" s="3" t="s">
        <v>45</v>
      </c>
      <c r="C18" s="3" t="s">
        <v>46</v>
      </c>
      <c r="D18" s="3" t="s">
        <v>47</v>
      </c>
      <c r="E18" s="4">
        <v>5051000</v>
      </c>
      <c r="F18" s="5">
        <v>7349.2049999999999</v>
      </c>
      <c r="G18" s="6">
        <v>2.574104E-2</v>
      </c>
      <c r="H18" s="109"/>
    </row>
    <row r="19" spans="1:10" ht="17.100000000000001" customHeight="1" x14ac:dyDescent="0.2">
      <c r="A19" s="100">
        <v>13</v>
      </c>
      <c r="B19" s="3" t="s">
        <v>307</v>
      </c>
      <c r="C19" s="3" t="s">
        <v>308</v>
      </c>
      <c r="D19" s="3" t="s">
        <v>309</v>
      </c>
      <c r="E19" s="4">
        <v>260000</v>
      </c>
      <c r="F19" s="5">
        <v>6397.69</v>
      </c>
      <c r="G19" s="6">
        <v>2.2408299999999999E-2</v>
      </c>
      <c r="H19" s="109"/>
    </row>
    <row r="20" spans="1:10" ht="17.100000000000001" customHeight="1" x14ac:dyDescent="0.2">
      <c r="A20" s="100">
        <v>14</v>
      </c>
      <c r="B20" s="3" t="s">
        <v>14</v>
      </c>
      <c r="C20" s="3" t="s">
        <v>15</v>
      </c>
      <c r="D20" s="3" t="s">
        <v>16</v>
      </c>
      <c r="E20" s="4">
        <v>816000</v>
      </c>
      <c r="F20" s="5">
        <v>6056.76</v>
      </c>
      <c r="G20" s="6">
        <v>2.1214170000000001E-2</v>
      </c>
      <c r="H20" s="109"/>
    </row>
    <row r="21" spans="1:10" ht="17.100000000000001" customHeight="1" x14ac:dyDescent="0.2">
      <c r="A21" s="100">
        <v>15</v>
      </c>
      <c r="B21" s="3" t="s">
        <v>344</v>
      </c>
      <c r="C21" s="3" t="s">
        <v>345</v>
      </c>
      <c r="D21" s="3" t="s">
        <v>120</v>
      </c>
      <c r="E21" s="4">
        <v>381000</v>
      </c>
      <c r="F21" s="5">
        <v>5085.9690000000001</v>
      </c>
      <c r="G21" s="6">
        <v>1.7813909999999999E-2</v>
      </c>
      <c r="H21" s="109"/>
    </row>
    <row r="22" spans="1:10" ht="17.100000000000001" customHeight="1" x14ac:dyDescent="0.2">
      <c r="A22" s="100">
        <v>16</v>
      </c>
      <c r="B22" s="3" t="s">
        <v>328</v>
      </c>
      <c r="C22" s="3" t="s">
        <v>329</v>
      </c>
      <c r="D22" s="3" t="s">
        <v>22</v>
      </c>
      <c r="E22" s="4">
        <v>442000</v>
      </c>
      <c r="F22" s="5">
        <v>4763.4340000000002</v>
      </c>
      <c r="G22" s="6">
        <v>1.668422E-2</v>
      </c>
      <c r="H22" s="109"/>
    </row>
    <row r="23" spans="1:10" ht="17.100000000000001" customHeight="1" x14ac:dyDescent="0.2">
      <c r="A23" s="100">
        <v>17</v>
      </c>
      <c r="B23" s="3" t="s">
        <v>194</v>
      </c>
      <c r="C23" s="3" t="s">
        <v>195</v>
      </c>
      <c r="D23" s="3" t="s">
        <v>196</v>
      </c>
      <c r="E23" s="4">
        <v>322000</v>
      </c>
      <c r="F23" s="5">
        <v>4188.415</v>
      </c>
      <c r="G23" s="6">
        <v>1.467018E-2</v>
      </c>
      <c r="H23" s="109"/>
      <c r="J23" s="169" t="s">
        <v>1085</v>
      </c>
    </row>
    <row r="24" spans="1:10" ht="29.1" customHeight="1" x14ac:dyDescent="0.2">
      <c r="A24" s="100">
        <v>18</v>
      </c>
      <c r="B24" s="3" t="s">
        <v>484</v>
      </c>
      <c r="C24" s="3" t="s">
        <v>485</v>
      </c>
      <c r="D24" s="3" t="s">
        <v>221</v>
      </c>
      <c r="E24" s="4">
        <v>451000</v>
      </c>
      <c r="F24" s="5">
        <v>4087.864</v>
      </c>
      <c r="G24" s="6">
        <v>1.4317989999999999E-2</v>
      </c>
      <c r="H24" s="109"/>
    </row>
    <row r="25" spans="1:10" ht="17.100000000000001" customHeight="1" x14ac:dyDescent="0.2">
      <c r="A25" s="100">
        <v>19</v>
      </c>
      <c r="B25" s="3" t="s">
        <v>514</v>
      </c>
      <c r="C25" s="3" t="s">
        <v>1000</v>
      </c>
      <c r="D25" s="3" t="s">
        <v>71</v>
      </c>
      <c r="E25" s="4">
        <v>1702000</v>
      </c>
      <c r="F25" s="5">
        <v>3741.8470000000002</v>
      </c>
      <c r="G25" s="6">
        <v>1.3106049999999999E-2</v>
      </c>
      <c r="H25" s="109"/>
    </row>
    <row r="26" spans="1:10" ht="17.100000000000001" customHeight="1" x14ac:dyDescent="0.2">
      <c r="A26" s="100">
        <v>20</v>
      </c>
      <c r="B26" s="3" t="s">
        <v>100</v>
      </c>
      <c r="C26" s="3" t="s">
        <v>101</v>
      </c>
      <c r="D26" s="3" t="s">
        <v>57</v>
      </c>
      <c r="E26" s="4">
        <v>193000</v>
      </c>
      <c r="F26" s="5">
        <v>3582.7555000000002</v>
      </c>
      <c r="G26" s="6">
        <v>1.254882E-2</v>
      </c>
      <c r="H26" s="109"/>
    </row>
    <row r="27" spans="1:10" ht="17.100000000000001" customHeight="1" x14ac:dyDescent="0.2">
      <c r="A27" s="100">
        <v>21</v>
      </c>
      <c r="B27" s="3" t="s">
        <v>26</v>
      </c>
      <c r="C27" s="3" t="s">
        <v>27</v>
      </c>
      <c r="D27" s="3" t="s">
        <v>28</v>
      </c>
      <c r="E27" s="4">
        <v>2077000</v>
      </c>
      <c r="F27" s="5">
        <v>3541.2849999999999</v>
      </c>
      <c r="G27" s="6">
        <v>1.2403569999999999E-2</v>
      </c>
      <c r="H27" s="109"/>
    </row>
    <row r="28" spans="1:10" ht="29.1" customHeight="1" x14ac:dyDescent="0.2">
      <c r="A28" s="100">
        <v>22</v>
      </c>
      <c r="B28" s="3" t="s">
        <v>118</v>
      </c>
      <c r="C28" s="3" t="s">
        <v>119</v>
      </c>
      <c r="D28" s="3" t="s">
        <v>120</v>
      </c>
      <c r="E28" s="4">
        <v>439000</v>
      </c>
      <c r="F28" s="5">
        <v>3321.0349999999999</v>
      </c>
      <c r="G28" s="6">
        <v>1.1632129999999999E-2</v>
      </c>
      <c r="H28" s="109"/>
    </row>
    <row r="29" spans="1:10" ht="29.1" customHeight="1" x14ac:dyDescent="0.2">
      <c r="A29" s="100">
        <v>23</v>
      </c>
      <c r="B29" s="3" t="s">
        <v>23</v>
      </c>
      <c r="C29" s="3" t="s">
        <v>24</v>
      </c>
      <c r="D29" s="3" t="s">
        <v>25</v>
      </c>
      <c r="E29" s="4">
        <v>45000</v>
      </c>
      <c r="F29" s="5">
        <v>3267.585</v>
      </c>
      <c r="G29" s="6">
        <v>1.1444910000000001E-2</v>
      </c>
      <c r="H29" s="109"/>
    </row>
    <row r="30" spans="1:10" ht="17.100000000000001" customHeight="1" x14ac:dyDescent="0.2">
      <c r="A30" s="100">
        <v>24</v>
      </c>
      <c r="B30" s="3" t="s">
        <v>314</v>
      </c>
      <c r="C30" s="3" t="s">
        <v>315</v>
      </c>
      <c r="D30" s="3" t="s">
        <v>996</v>
      </c>
      <c r="E30" s="4">
        <v>285965</v>
      </c>
      <c r="F30" s="5">
        <v>3081.5588400000001</v>
      </c>
      <c r="G30" s="6">
        <v>1.079335E-2</v>
      </c>
      <c r="H30" s="109"/>
    </row>
    <row r="31" spans="1:10" ht="17.100000000000001" customHeight="1" x14ac:dyDescent="0.2">
      <c r="A31" s="100">
        <v>25</v>
      </c>
      <c r="B31" s="3" t="s">
        <v>545</v>
      </c>
      <c r="C31" s="3" t="s">
        <v>546</v>
      </c>
      <c r="D31" s="3" t="s">
        <v>196</v>
      </c>
      <c r="E31" s="4">
        <v>390000</v>
      </c>
      <c r="F31" s="5">
        <v>2888.34</v>
      </c>
      <c r="G31" s="6">
        <v>1.011659E-2</v>
      </c>
      <c r="H31" s="109"/>
    </row>
    <row r="32" spans="1:10" ht="17.100000000000001" customHeight="1" x14ac:dyDescent="0.2">
      <c r="A32" s="100">
        <v>26</v>
      </c>
      <c r="B32" s="3" t="s">
        <v>106</v>
      </c>
      <c r="C32" s="3" t="s">
        <v>107</v>
      </c>
      <c r="D32" s="3" t="s">
        <v>108</v>
      </c>
      <c r="E32" s="4">
        <v>656000</v>
      </c>
      <c r="F32" s="5">
        <v>2618.752</v>
      </c>
      <c r="G32" s="6">
        <v>9.1723399999999993E-3</v>
      </c>
      <c r="H32" s="109"/>
    </row>
    <row r="33" spans="1:8" ht="17.100000000000001" customHeight="1" x14ac:dyDescent="0.2">
      <c r="A33" s="100">
        <v>27</v>
      </c>
      <c r="B33" s="3" t="s">
        <v>104</v>
      </c>
      <c r="C33" s="3" t="s">
        <v>105</v>
      </c>
      <c r="D33" s="3" t="s">
        <v>80</v>
      </c>
      <c r="E33" s="4">
        <v>528760</v>
      </c>
      <c r="F33" s="5">
        <v>2369.37356</v>
      </c>
      <c r="G33" s="6">
        <v>8.2988699999999999E-3</v>
      </c>
      <c r="H33" s="109"/>
    </row>
    <row r="34" spans="1:8" ht="29.1" customHeight="1" x14ac:dyDescent="0.2">
      <c r="A34" s="100">
        <v>28</v>
      </c>
      <c r="B34" s="3" t="s">
        <v>551</v>
      </c>
      <c r="C34" s="3" t="s">
        <v>552</v>
      </c>
      <c r="D34" s="3" t="s">
        <v>277</v>
      </c>
      <c r="E34" s="4">
        <v>16757</v>
      </c>
      <c r="F34" s="5">
        <v>2307.6651194999999</v>
      </c>
      <c r="G34" s="6">
        <v>8.0827399999999997E-3</v>
      </c>
      <c r="H34" s="109"/>
    </row>
    <row r="35" spans="1:8" ht="17.100000000000001" customHeight="1" x14ac:dyDescent="0.2">
      <c r="A35" s="100">
        <v>29</v>
      </c>
      <c r="B35" s="3" t="s">
        <v>264</v>
      </c>
      <c r="C35" s="3" t="s">
        <v>265</v>
      </c>
      <c r="D35" s="3" t="s">
        <v>996</v>
      </c>
      <c r="E35" s="4">
        <v>48000</v>
      </c>
      <c r="F35" s="5">
        <v>2266.5839999999998</v>
      </c>
      <c r="G35" s="6">
        <v>7.9388500000000008E-3</v>
      </c>
      <c r="H35" s="109"/>
    </row>
    <row r="36" spans="1:8" ht="17.100000000000001" customHeight="1" x14ac:dyDescent="0.2">
      <c r="A36" s="100">
        <v>30</v>
      </c>
      <c r="B36" s="3" t="s">
        <v>346</v>
      </c>
      <c r="C36" s="3" t="s">
        <v>347</v>
      </c>
      <c r="D36" s="3" t="s">
        <v>120</v>
      </c>
      <c r="E36" s="4">
        <v>37000</v>
      </c>
      <c r="F36" s="5">
        <v>2261.4769999999999</v>
      </c>
      <c r="G36" s="6">
        <v>7.9209599999999995E-3</v>
      </c>
      <c r="H36" s="109"/>
    </row>
    <row r="37" spans="1:8" ht="17.100000000000001" customHeight="1" x14ac:dyDescent="0.2">
      <c r="A37" s="100">
        <v>31</v>
      </c>
      <c r="B37" s="3" t="s">
        <v>354</v>
      </c>
      <c r="C37" s="3" t="s">
        <v>355</v>
      </c>
      <c r="D37" s="3" t="s">
        <v>115</v>
      </c>
      <c r="E37" s="4">
        <v>95000</v>
      </c>
      <c r="F37" s="5">
        <v>2254.16</v>
      </c>
      <c r="G37" s="6">
        <v>7.8953300000000008E-3</v>
      </c>
      <c r="H37" s="109"/>
    </row>
    <row r="38" spans="1:8" ht="17.100000000000001" customHeight="1" x14ac:dyDescent="0.2">
      <c r="A38" s="100">
        <v>32</v>
      </c>
      <c r="B38" s="3" t="s">
        <v>316</v>
      </c>
      <c r="C38" s="3" t="s">
        <v>317</v>
      </c>
      <c r="D38" s="3" t="s">
        <v>996</v>
      </c>
      <c r="E38" s="4">
        <v>571413</v>
      </c>
      <c r="F38" s="5">
        <v>2211.6540165000001</v>
      </c>
      <c r="G38" s="6">
        <v>7.7464500000000002E-3</v>
      </c>
      <c r="H38" s="109"/>
    </row>
    <row r="39" spans="1:8" ht="29.1" customHeight="1" x14ac:dyDescent="0.2">
      <c r="A39" s="100">
        <v>33</v>
      </c>
      <c r="B39" s="3" t="s">
        <v>488</v>
      </c>
      <c r="C39" s="3" t="s">
        <v>489</v>
      </c>
      <c r="D39" s="3" t="s">
        <v>445</v>
      </c>
      <c r="E39" s="4">
        <v>305000</v>
      </c>
      <c r="F39" s="5">
        <v>2181.665</v>
      </c>
      <c r="G39" s="6">
        <v>7.6414100000000004E-3</v>
      </c>
      <c r="H39" s="109"/>
    </row>
    <row r="40" spans="1:8" ht="17.100000000000001" customHeight="1" x14ac:dyDescent="0.2">
      <c r="A40" s="100">
        <v>34</v>
      </c>
      <c r="B40" s="3" t="s">
        <v>356</v>
      </c>
      <c r="C40" s="3" t="s">
        <v>357</v>
      </c>
      <c r="D40" s="3" t="s">
        <v>203</v>
      </c>
      <c r="E40" s="4">
        <v>63000</v>
      </c>
      <c r="F40" s="5">
        <v>2152.6785</v>
      </c>
      <c r="G40" s="6">
        <v>7.5398899999999996E-3</v>
      </c>
      <c r="H40" s="109"/>
    </row>
    <row r="41" spans="1:8" ht="17.100000000000001" customHeight="1" x14ac:dyDescent="0.2">
      <c r="A41" s="100">
        <v>35</v>
      </c>
      <c r="B41" s="3" t="s">
        <v>98</v>
      </c>
      <c r="C41" s="3" t="s">
        <v>99</v>
      </c>
      <c r="D41" s="3" t="s">
        <v>97</v>
      </c>
      <c r="E41" s="4">
        <v>235000</v>
      </c>
      <c r="F41" s="5">
        <v>2014.89</v>
      </c>
      <c r="G41" s="6">
        <v>7.05727E-3</v>
      </c>
      <c r="H41" s="109"/>
    </row>
    <row r="42" spans="1:8" ht="29.1" customHeight="1" x14ac:dyDescent="0.2">
      <c r="A42" s="100">
        <v>36</v>
      </c>
      <c r="B42" s="3" t="s">
        <v>204</v>
      </c>
      <c r="C42" s="3" t="s">
        <v>205</v>
      </c>
      <c r="D42" s="3" t="s">
        <v>115</v>
      </c>
      <c r="E42" s="4">
        <v>576000</v>
      </c>
      <c r="F42" s="5">
        <v>1750.1759999999999</v>
      </c>
      <c r="G42" s="6">
        <v>6.1301000000000003E-3</v>
      </c>
      <c r="H42" s="109"/>
    </row>
    <row r="43" spans="1:8" ht="17.100000000000001" customHeight="1" x14ac:dyDescent="0.2">
      <c r="A43" s="100">
        <v>37</v>
      </c>
      <c r="B43" s="3" t="s">
        <v>312</v>
      </c>
      <c r="C43" s="3" t="s">
        <v>313</v>
      </c>
      <c r="D43" s="3" t="s">
        <v>309</v>
      </c>
      <c r="E43" s="4">
        <v>460000</v>
      </c>
      <c r="F43" s="5">
        <v>1732.82</v>
      </c>
      <c r="G43" s="6">
        <v>6.0693099999999996E-3</v>
      </c>
      <c r="H43" s="109"/>
    </row>
    <row r="44" spans="1:8" ht="17.100000000000001" customHeight="1" x14ac:dyDescent="0.2">
      <c r="A44" s="100">
        <v>38</v>
      </c>
      <c r="B44" s="3" t="s">
        <v>43</v>
      </c>
      <c r="C44" s="3" t="s">
        <v>44</v>
      </c>
      <c r="D44" s="3" t="s">
        <v>31</v>
      </c>
      <c r="E44" s="4">
        <v>56000</v>
      </c>
      <c r="F44" s="5">
        <v>1725.556</v>
      </c>
      <c r="G44" s="6">
        <v>6.0438599999999999E-3</v>
      </c>
      <c r="H44" s="109"/>
    </row>
    <row r="45" spans="1:8" ht="17.100000000000001" customHeight="1" x14ac:dyDescent="0.2">
      <c r="A45" s="100">
        <v>39</v>
      </c>
      <c r="B45" s="3" t="s">
        <v>681</v>
      </c>
      <c r="C45" s="3" t="s">
        <v>682</v>
      </c>
      <c r="D45" s="3" t="s">
        <v>253</v>
      </c>
      <c r="E45" s="4">
        <v>38000</v>
      </c>
      <c r="F45" s="5">
        <v>1695.4649999999999</v>
      </c>
      <c r="G45" s="6">
        <v>5.9384700000000004E-3</v>
      </c>
      <c r="H45" s="109"/>
    </row>
    <row r="46" spans="1:8" ht="29.1" customHeight="1" x14ac:dyDescent="0.2">
      <c r="A46" s="100">
        <v>40</v>
      </c>
      <c r="B46" s="3" t="s">
        <v>775</v>
      </c>
      <c r="C46" s="3" t="s">
        <v>776</v>
      </c>
      <c r="D46" s="3" t="s">
        <v>216</v>
      </c>
      <c r="E46" s="4">
        <v>153000</v>
      </c>
      <c r="F46" s="5">
        <v>1685.8305</v>
      </c>
      <c r="G46" s="6">
        <v>5.9047199999999996E-3</v>
      </c>
      <c r="H46" s="109"/>
    </row>
    <row r="47" spans="1:8" ht="17.100000000000001" customHeight="1" x14ac:dyDescent="0.2">
      <c r="A47" s="100">
        <v>41</v>
      </c>
      <c r="B47" s="3" t="s">
        <v>338</v>
      </c>
      <c r="C47" s="3" t="s">
        <v>339</v>
      </c>
      <c r="D47" s="3" t="s">
        <v>22</v>
      </c>
      <c r="E47" s="4">
        <v>600000</v>
      </c>
      <c r="F47" s="5">
        <v>1677.3</v>
      </c>
      <c r="G47" s="6">
        <v>5.87485E-3</v>
      </c>
      <c r="H47" s="109"/>
    </row>
    <row r="48" spans="1:8" ht="17.100000000000001" customHeight="1" x14ac:dyDescent="0.2">
      <c r="A48" s="100">
        <v>42</v>
      </c>
      <c r="B48" s="3" t="s">
        <v>238</v>
      </c>
      <c r="C48" s="3" t="s">
        <v>239</v>
      </c>
      <c r="D48" s="3" t="s">
        <v>210</v>
      </c>
      <c r="E48" s="4">
        <v>36866</v>
      </c>
      <c r="F48" s="5">
        <v>1622.7122890000001</v>
      </c>
      <c r="G48" s="6">
        <v>5.6836500000000002E-3</v>
      </c>
      <c r="H48" s="109"/>
    </row>
    <row r="49" spans="1:8" ht="17.100000000000001" customHeight="1" x14ac:dyDescent="0.2">
      <c r="A49" s="100">
        <v>43</v>
      </c>
      <c r="B49" s="3" t="s">
        <v>301</v>
      </c>
      <c r="C49" s="3" t="s">
        <v>302</v>
      </c>
      <c r="D49" s="3" t="s">
        <v>216</v>
      </c>
      <c r="E49" s="4">
        <v>143000</v>
      </c>
      <c r="F49" s="5">
        <v>1603.03</v>
      </c>
      <c r="G49" s="6">
        <v>5.6147100000000002E-3</v>
      </c>
      <c r="H49" s="109"/>
    </row>
    <row r="50" spans="1:8" ht="17.100000000000001" customHeight="1" x14ac:dyDescent="0.2">
      <c r="A50" s="100">
        <v>44</v>
      </c>
      <c r="B50" s="3" t="s">
        <v>731</v>
      </c>
      <c r="C50" s="3" t="s">
        <v>732</v>
      </c>
      <c r="D50" s="3" t="s">
        <v>115</v>
      </c>
      <c r="E50" s="4">
        <v>127000</v>
      </c>
      <c r="F50" s="5">
        <v>1520.2535</v>
      </c>
      <c r="G50" s="6">
        <v>5.3247800000000003E-3</v>
      </c>
      <c r="H50" s="109"/>
    </row>
    <row r="51" spans="1:8" ht="17.100000000000001" customHeight="1" x14ac:dyDescent="0.2">
      <c r="A51" s="100">
        <v>45</v>
      </c>
      <c r="B51" s="3" t="s">
        <v>226</v>
      </c>
      <c r="C51" s="3" t="s">
        <v>227</v>
      </c>
      <c r="D51" s="3" t="s">
        <v>228</v>
      </c>
      <c r="E51" s="4">
        <v>4000</v>
      </c>
      <c r="F51" s="5">
        <v>1518.7860000000001</v>
      </c>
      <c r="G51" s="6">
        <v>5.3196399999999996E-3</v>
      </c>
      <c r="H51" s="109"/>
    </row>
    <row r="52" spans="1:8" ht="17.100000000000001" customHeight="1" x14ac:dyDescent="0.2">
      <c r="A52" s="100">
        <v>46</v>
      </c>
      <c r="B52" s="3" t="s">
        <v>34</v>
      </c>
      <c r="C52" s="3" t="s">
        <v>35</v>
      </c>
      <c r="D52" s="3" t="s">
        <v>36</v>
      </c>
      <c r="E52" s="4">
        <v>33000</v>
      </c>
      <c r="F52" s="5">
        <v>1061.7255</v>
      </c>
      <c r="G52" s="6">
        <v>3.7187600000000002E-3</v>
      </c>
      <c r="H52" s="109"/>
    </row>
    <row r="53" spans="1:8" ht="29.1" customHeight="1" x14ac:dyDescent="0.2">
      <c r="A53" s="100">
        <v>47</v>
      </c>
      <c r="B53" s="3" t="s">
        <v>254</v>
      </c>
      <c r="C53" s="3" t="s">
        <v>255</v>
      </c>
      <c r="D53" s="3" t="s">
        <v>188</v>
      </c>
      <c r="E53" s="4">
        <v>45821</v>
      </c>
      <c r="F53" s="5">
        <v>993.65129549999995</v>
      </c>
      <c r="G53" s="6">
        <v>3.4803199999999999E-3</v>
      </c>
      <c r="H53" s="109"/>
    </row>
    <row r="54" spans="1:8" ht="17.100000000000001" customHeight="1" x14ac:dyDescent="0.2">
      <c r="A54" s="100">
        <v>48</v>
      </c>
      <c r="B54" s="3" t="s">
        <v>633</v>
      </c>
      <c r="C54" s="3" t="s">
        <v>634</v>
      </c>
      <c r="D54" s="3" t="s">
        <v>115</v>
      </c>
      <c r="E54" s="4">
        <v>30000</v>
      </c>
      <c r="F54" s="5">
        <v>848.64</v>
      </c>
      <c r="G54" s="6">
        <v>2.97241E-3</v>
      </c>
      <c r="H54" s="109"/>
    </row>
    <row r="55" spans="1:8" ht="29.1" customHeight="1" x14ac:dyDescent="0.2">
      <c r="A55" s="100">
        <v>49</v>
      </c>
      <c r="B55" s="3" t="s">
        <v>125</v>
      </c>
      <c r="C55" s="3" t="s">
        <v>126</v>
      </c>
      <c r="D55" s="3" t="s">
        <v>25</v>
      </c>
      <c r="E55" s="4">
        <v>246556</v>
      </c>
      <c r="F55" s="5">
        <v>843.468076</v>
      </c>
      <c r="G55" s="6">
        <v>2.9543E-3</v>
      </c>
      <c r="H55" s="109"/>
    </row>
    <row r="56" spans="1:8" ht="17.100000000000001" customHeight="1" x14ac:dyDescent="0.2">
      <c r="A56" s="100">
        <v>50</v>
      </c>
      <c r="B56" s="3" t="s">
        <v>358</v>
      </c>
      <c r="C56" s="3" t="s">
        <v>359</v>
      </c>
      <c r="D56" s="3" t="s">
        <v>36</v>
      </c>
      <c r="E56" s="4">
        <v>1188000</v>
      </c>
      <c r="F56" s="5">
        <v>829.22400000000005</v>
      </c>
      <c r="G56" s="6">
        <v>2.9044100000000001E-3</v>
      </c>
      <c r="H56" s="109"/>
    </row>
    <row r="57" spans="1:8" ht="29.1" customHeight="1" x14ac:dyDescent="0.2">
      <c r="A57" s="100">
        <v>51</v>
      </c>
      <c r="B57" s="3" t="s">
        <v>127</v>
      </c>
      <c r="C57" s="3" t="s">
        <v>128</v>
      </c>
      <c r="D57" s="3" t="s">
        <v>129</v>
      </c>
      <c r="E57" s="4">
        <v>100000</v>
      </c>
      <c r="F57" s="5">
        <v>592.45000000000005</v>
      </c>
      <c r="G57" s="6">
        <v>2.0750899999999999E-3</v>
      </c>
      <c r="H57" s="109"/>
    </row>
    <row r="58" spans="1:8" ht="17.100000000000001" customHeight="1" x14ac:dyDescent="0.2">
      <c r="A58" s="100">
        <v>52</v>
      </c>
      <c r="B58" s="3" t="s">
        <v>517</v>
      </c>
      <c r="C58" s="3" t="s">
        <v>518</v>
      </c>
      <c r="D58" s="3" t="s">
        <v>996</v>
      </c>
      <c r="E58" s="4">
        <v>46374</v>
      </c>
      <c r="F58" s="5">
        <v>531.95615399999997</v>
      </c>
      <c r="G58" s="6">
        <v>1.8632099999999999E-3</v>
      </c>
      <c r="H58" s="109"/>
    </row>
    <row r="59" spans="1:8" ht="29.1" customHeight="1" x14ac:dyDescent="0.2">
      <c r="A59" s="100">
        <v>53</v>
      </c>
      <c r="B59" s="3" t="s">
        <v>350</v>
      </c>
      <c r="C59" s="3" t="s">
        <v>351</v>
      </c>
      <c r="D59" s="3" t="s">
        <v>221</v>
      </c>
      <c r="E59" s="4">
        <v>13721</v>
      </c>
      <c r="F59" s="5">
        <v>387.70057600000001</v>
      </c>
      <c r="G59" s="6">
        <v>1.3579499999999999E-3</v>
      </c>
      <c r="H59" s="109"/>
    </row>
    <row r="60" spans="1:8" ht="17.100000000000001" customHeight="1" x14ac:dyDescent="0.2">
      <c r="A60" s="100">
        <v>54</v>
      </c>
      <c r="B60" s="3" t="s">
        <v>348</v>
      </c>
      <c r="C60" s="3" t="s">
        <v>349</v>
      </c>
      <c r="D60" s="3" t="s">
        <v>71</v>
      </c>
      <c r="E60" s="4">
        <v>58791</v>
      </c>
      <c r="F60" s="5">
        <v>247.33373700000001</v>
      </c>
      <c r="G60" s="6">
        <v>8.6629999999999997E-4</v>
      </c>
      <c r="H60" s="109"/>
    </row>
    <row r="61" spans="1:8" ht="14.1" customHeight="1" x14ac:dyDescent="0.2">
      <c r="A61" s="99"/>
      <c r="B61" s="1"/>
      <c r="C61" s="2" t="s">
        <v>135</v>
      </c>
      <c r="D61" s="1"/>
      <c r="E61" s="1" t="s">
        <v>136</v>
      </c>
      <c r="F61" s="8">
        <v>281748.76981149998</v>
      </c>
      <c r="G61" s="9">
        <v>0.98684214000000003</v>
      </c>
      <c r="H61" s="109"/>
    </row>
    <row r="62" spans="1:8" ht="14.1" customHeight="1" x14ac:dyDescent="0.2">
      <c r="A62" s="99"/>
      <c r="B62" s="1"/>
      <c r="C62" s="10"/>
      <c r="D62" s="1"/>
      <c r="E62" s="1"/>
      <c r="F62" s="11"/>
      <c r="G62" s="11"/>
      <c r="H62" s="109"/>
    </row>
    <row r="63" spans="1:8" ht="14.1" customHeight="1" x14ac:dyDescent="0.2">
      <c r="A63" s="99"/>
      <c r="B63" s="1"/>
      <c r="C63" s="2" t="s">
        <v>137</v>
      </c>
      <c r="D63" s="1"/>
      <c r="E63" s="1"/>
      <c r="F63" s="1"/>
      <c r="G63" s="1"/>
      <c r="H63" s="109"/>
    </row>
    <row r="64" spans="1:8" ht="14.1" customHeight="1" x14ac:dyDescent="0.2">
      <c r="A64" s="99"/>
      <c r="B64" s="1"/>
      <c r="C64" s="2" t="s">
        <v>135</v>
      </c>
      <c r="D64" s="1"/>
      <c r="E64" s="1" t="s">
        <v>136</v>
      </c>
      <c r="F64" s="115">
        <v>0</v>
      </c>
      <c r="G64" s="9">
        <v>0</v>
      </c>
      <c r="H64" s="109"/>
    </row>
    <row r="65" spans="1:8" ht="14.1" customHeight="1" x14ac:dyDescent="0.2">
      <c r="A65" s="99"/>
      <c r="B65" s="1"/>
      <c r="C65" s="10"/>
      <c r="D65" s="1"/>
      <c r="E65" s="1"/>
      <c r="F65" s="11"/>
      <c r="G65" s="11"/>
      <c r="H65" s="109"/>
    </row>
    <row r="66" spans="1:8" ht="14.1" customHeight="1" x14ac:dyDescent="0.2">
      <c r="A66" s="99"/>
      <c r="B66" s="1"/>
      <c r="C66" s="2" t="s">
        <v>138</v>
      </c>
      <c r="D66" s="1"/>
      <c r="E66" s="1"/>
      <c r="F66" s="1"/>
      <c r="G66" s="1"/>
      <c r="H66" s="109"/>
    </row>
    <row r="67" spans="1:8" ht="14.1" customHeight="1" x14ac:dyDescent="0.2">
      <c r="A67" s="99"/>
      <c r="B67" s="1"/>
      <c r="C67" s="2" t="s">
        <v>135</v>
      </c>
      <c r="D67" s="1"/>
      <c r="E67" s="1" t="s">
        <v>136</v>
      </c>
      <c r="F67" s="115">
        <v>0</v>
      </c>
      <c r="G67" s="9">
        <v>0</v>
      </c>
      <c r="H67" s="109"/>
    </row>
    <row r="68" spans="1:8" ht="14.1" customHeight="1" x14ac:dyDescent="0.2">
      <c r="A68" s="99"/>
      <c r="B68" s="1"/>
      <c r="C68" s="10"/>
      <c r="D68" s="1"/>
      <c r="E68" s="1"/>
      <c r="F68" s="11"/>
      <c r="G68" s="11"/>
      <c r="H68" s="109"/>
    </row>
    <row r="69" spans="1:8" ht="14.1" customHeight="1" x14ac:dyDescent="0.2">
      <c r="A69" s="99"/>
      <c r="B69" s="1"/>
      <c r="C69" s="2" t="s">
        <v>139</v>
      </c>
      <c r="D69" s="1"/>
      <c r="E69" s="1"/>
      <c r="F69" s="1"/>
      <c r="G69" s="1"/>
      <c r="H69" s="109"/>
    </row>
    <row r="70" spans="1:8" ht="14.1" customHeight="1" x14ac:dyDescent="0.2">
      <c r="A70" s="99"/>
      <c r="B70" s="1"/>
      <c r="C70" s="2" t="s">
        <v>135</v>
      </c>
      <c r="D70" s="1"/>
      <c r="E70" s="1" t="s">
        <v>136</v>
      </c>
      <c r="F70" s="115">
        <v>0</v>
      </c>
      <c r="G70" s="9">
        <v>0</v>
      </c>
      <c r="H70" s="109"/>
    </row>
    <row r="71" spans="1:8" ht="14.1" customHeight="1" x14ac:dyDescent="0.2">
      <c r="A71" s="99"/>
      <c r="B71" s="1"/>
      <c r="C71" s="10"/>
      <c r="D71" s="1"/>
      <c r="E71" s="1"/>
      <c r="F71" s="11"/>
      <c r="G71" s="11"/>
      <c r="H71" s="109"/>
    </row>
    <row r="72" spans="1:8" ht="14.1" customHeight="1" x14ac:dyDescent="0.2">
      <c r="A72" s="99"/>
      <c r="B72" s="1"/>
      <c r="C72" s="2" t="s">
        <v>140</v>
      </c>
      <c r="D72" s="1"/>
      <c r="E72" s="1"/>
      <c r="F72" s="11"/>
      <c r="G72" s="11"/>
      <c r="H72" s="109"/>
    </row>
    <row r="73" spans="1:8" ht="14.1" customHeight="1" x14ac:dyDescent="0.2">
      <c r="A73" s="99"/>
      <c r="B73" s="1"/>
      <c r="C73" s="2" t="s">
        <v>135</v>
      </c>
      <c r="D73" s="1"/>
      <c r="E73" s="1" t="s">
        <v>136</v>
      </c>
      <c r="F73" s="115">
        <v>0</v>
      </c>
      <c r="G73" s="9">
        <v>0</v>
      </c>
      <c r="H73" s="109"/>
    </row>
    <row r="74" spans="1:8" ht="14.1" customHeight="1" x14ac:dyDescent="0.2">
      <c r="A74" s="99"/>
      <c r="B74" s="1"/>
      <c r="C74" s="10"/>
      <c r="D74" s="1"/>
      <c r="E74" s="1"/>
      <c r="F74" s="11"/>
      <c r="G74" s="11"/>
      <c r="H74" s="109"/>
    </row>
    <row r="75" spans="1:8" ht="14.1" customHeight="1" x14ac:dyDescent="0.2">
      <c r="A75" s="99"/>
      <c r="B75" s="1"/>
      <c r="C75" s="2" t="s">
        <v>141</v>
      </c>
      <c r="D75" s="1"/>
      <c r="E75" s="1"/>
      <c r="F75" s="11"/>
      <c r="G75" s="11"/>
      <c r="H75" s="109"/>
    </row>
    <row r="76" spans="1:8" ht="14.1" customHeight="1" x14ac:dyDescent="0.2">
      <c r="A76" s="99"/>
      <c r="B76" s="1"/>
      <c r="C76" s="2" t="s">
        <v>135</v>
      </c>
      <c r="D76" s="1"/>
      <c r="E76" s="1" t="s">
        <v>136</v>
      </c>
      <c r="F76" s="115">
        <v>0</v>
      </c>
      <c r="G76" s="9">
        <v>0</v>
      </c>
      <c r="H76" s="109"/>
    </row>
    <row r="77" spans="1:8" ht="14.1" customHeight="1" x14ac:dyDescent="0.2">
      <c r="A77" s="99"/>
      <c r="B77" s="1"/>
      <c r="C77" s="10"/>
      <c r="D77" s="1"/>
      <c r="E77" s="1"/>
      <c r="F77" s="11"/>
      <c r="G77" s="11"/>
      <c r="H77" s="109"/>
    </row>
    <row r="78" spans="1:8" ht="18" customHeight="1" x14ac:dyDescent="0.2">
      <c r="A78" s="99"/>
      <c r="B78" s="1"/>
      <c r="C78" s="2" t="s">
        <v>142</v>
      </c>
      <c r="D78" s="1"/>
      <c r="E78" s="1"/>
      <c r="F78" s="8">
        <v>281748.76981149998</v>
      </c>
      <c r="G78" s="9">
        <v>0.98684214000000003</v>
      </c>
      <c r="H78" s="109"/>
    </row>
    <row r="79" spans="1:8" ht="14.1" customHeight="1" x14ac:dyDescent="0.2">
      <c r="A79" s="99"/>
      <c r="B79" s="1"/>
      <c r="C79" s="10"/>
      <c r="D79" s="1"/>
      <c r="E79" s="1"/>
      <c r="F79" s="11"/>
      <c r="G79" s="11"/>
      <c r="H79" s="109"/>
    </row>
    <row r="80" spans="1:8" ht="14.1" customHeight="1" x14ac:dyDescent="0.2">
      <c r="A80" s="99"/>
      <c r="B80" s="1"/>
      <c r="C80" s="2" t="s">
        <v>143</v>
      </c>
      <c r="D80" s="1"/>
      <c r="E80" s="1"/>
      <c r="F80" s="11"/>
      <c r="G80" s="11"/>
      <c r="H80" s="109"/>
    </row>
    <row r="81" spans="1:8" ht="24" customHeight="1" x14ac:dyDescent="0.2">
      <c r="A81" s="99"/>
      <c r="B81" s="1"/>
      <c r="C81" s="2" t="s">
        <v>10</v>
      </c>
      <c r="D81" s="1"/>
      <c r="E81" s="1"/>
      <c r="F81" s="11"/>
      <c r="G81" s="11"/>
      <c r="H81" s="109"/>
    </row>
    <row r="82" spans="1:8" ht="29.1" customHeight="1" x14ac:dyDescent="0.2">
      <c r="A82" s="100">
        <v>1</v>
      </c>
      <c r="B82" s="3" t="s">
        <v>696</v>
      </c>
      <c r="C82" s="3" t="s">
        <v>697</v>
      </c>
      <c r="D82" s="3" t="s">
        <v>556</v>
      </c>
      <c r="E82" s="4">
        <v>28980</v>
      </c>
      <c r="F82" s="5">
        <v>8.1651509349999998</v>
      </c>
      <c r="G82" s="6" t="s">
        <v>134</v>
      </c>
      <c r="H82" s="109">
        <v>7.93</v>
      </c>
    </row>
    <row r="83" spans="1:8" ht="14.1" customHeight="1" x14ac:dyDescent="0.2">
      <c r="A83" s="99"/>
      <c r="B83" s="1"/>
      <c r="C83" s="2" t="s">
        <v>135</v>
      </c>
      <c r="D83" s="1"/>
      <c r="E83" s="1" t="s">
        <v>136</v>
      </c>
      <c r="F83" s="8">
        <v>8.1651509349999998</v>
      </c>
      <c r="G83" s="9">
        <v>2.8600000000000001E-5</v>
      </c>
      <c r="H83" s="109"/>
    </row>
    <row r="84" spans="1:8" ht="14.1" customHeight="1" x14ac:dyDescent="0.2">
      <c r="A84" s="99"/>
      <c r="B84" s="1"/>
      <c r="C84" s="10"/>
      <c r="D84" s="1"/>
      <c r="E84" s="1"/>
      <c r="F84" s="11"/>
      <c r="G84" s="11"/>
      <c r="H84" s="109"/>
    </row>
    <row r="85" spans="1:8" ht="14.1" customHeight="1" x14ac:dyDescent="0.2">
      <c r="A85" s="99"/>
      <c r="B85" s="1"/>
      <c r="C85" s="2" t="s">
        <v>144</v>
      </c>
      <c r="D85" s="1"/>
      <c r="E85" s="1"/>
      <c r="F85" s="1"/>
      <c r="G85" s="1"/>
      <c r="H85" s="109"/>
    </row>
    <row r="86" spans="1:8" ht="14.1" customHeight="1" x14ac:dyDescent="0.2">
      <c r="A86" s="99"/>
      <c r="B86" s="1"/>
      <c r="C86" s="2" t="s">
        <v>135</v>
      </c>
      <c r="D86" s="1"/>
      <c r="E86" s="1" t="s">
        <v>136</v>
      </c>
      <c r="F86" s="115">
        <v>0</v>
      </c>
      <c r="G86" s="9">
        <v>0</v>
      </c>
      <c r="H86" s="109"/>
    </row>
    <row r="87" spans="1:8" ht="14.1" customHeight="1" x14ac:dyDescent="0.2">
      <c r="A87" s="99"/>
      <c r="B87" s="1"/>
      <c r="C87" s="10"/>
      <c r="D87" s="1"/>
      <c r="E87" s="1"/>
      <c r="F87" s="11"/>
      <c r="G87" s="11"/>
      <c r="H87" s="109"/>
    </row>
    <row r="88" spans="1:8" ht="14.1" customHeight="1" x14ac:dyDescent="0.2">
      <c r="A88" s="99"/>
      <c r="B88" s="1"/>
      <c r="C88" s="2" t="s">
        <v>145</v>
      </c>
      <c r="D88" s="1"/>
      <c r="E88" s="1"/>
      <c r="F88" s="1"/>
      <c r="G88" s="1"/>
      <c r="H88" s="109"/>
    </row>
    <row r="89" spans="1:8" ht="14.1" customHeight="1" x14ac:dyDescent="0.2">
      <c r="A89" s="99"/>
      <c r="B89" s="1"/>
      <c r="C89" s="2" t="s">
        <v>135</v>
      </c>
      <c r="D89" s="1"/>
      <c r="E89" s="1" t="s">
        <v>136</v>
      </c>
      <c r="F89" s="115">
        <v>0</v>
      </c>
      <c r="G89" s="9">
        <v>0</v>
      </c>
      <c r="H89" s="109"/>
    </row>
    <row r="90" spans="1:8" ht="14.1" customHeight="1" x14ac:dyDescent="0.2">
      <c r="A90" s="99"/>
      <c r="B90" s="1"/>
      <c r="C90" s="10"/>
      <c r="D90" s="1"/>
      <c r="E90" s="1"/>
      <c r="F90" s="11"/>
      <c r="G90" s="11"/>
      <c r="H90" s="109"/>
    </row>
    <row r="91" spans="1:8" ht="14.1" customHeight="1" x14ac:dyDescent="0.2">
      <c r="A91" s="99"/>
      <c r="B91" s="1"/>
      <c r="C91" s="2" t="s">
        <v>146</v>
      </c>
      <c r="D91" s="1"/>
      <c r="E91" s="1"/>
      <c r="F91" s="11"/>
      <c r="G91" s="11"/>
      <c r="H91" s="109"/>
    </row>
    <row r="92" spans="1:8" ht="14.1" customHeight="1" x14ac:dyDescent="0.2">
      <c r="A92" s="99"/>
      <c r="B92" s="1"/>
      <c r="C92" s="2" t="s">
        <v>135</v>
      </c>
      <c r="D92" s="1"/>
      <c r="E92" s="1" t="s">
        <v>136</v>
      </c>
      <c r="F92" s="115">
        <v>0</v>
      </c>
      <c r="G92" s="9">
        <v>0</v>
      </c>
      <c r="H92" s="109"/>
    </row>
    <row r="93" spans="1:8" ht="14.1" customHeight="1" x14ac:dyDescent="0.2">
      <c r="A93" s="99"/>
      <c r="B93" s="1"/>
      <c r="C93" s="10"/>
      <c r="D93" s="1"/>
      <c r="E93" s="1"/>
      <c r="F93" s="11"/>
      <c r="G93" s="11"/>
      <c r="H93" s="109"/>
    </row>
    <row r="94" spans="1:8" ht="14.1" customHeight="1" x14ac:dyDescent="0.2">
      <c r="A94" s="99"/>
      <c r="B94" s="1"/>
      <c r="C94" s="2" t="s">
        <v>147</v>
      </c>
      <c r="D94" s="1"/>
      <c r="E94" s="1"/>
      <c r="F94" s="8">
        <v>8.1651509349999998</v>
      </c>
      <c r="G94" s="9">
        <v>2.8600000000000001E-5</v>
      </c>
      <c r="H94" s="109"/>
    </row>
    <row r="95" spans="1:8" ht="14.1" customHeight="1" x14ac:dyDescent="0.2">
      <c r="A95" s="99"/>
      <c r="B95" s="1"/>
      <c r="C95" s="10"/>
      <c r="D95" s="1"/>
      <c r="E95" s="1"/>
      <c r="F95" s="11"/>
      <c r="G95" s="11"/>
      <c r="H95" s="109"/>
    </row>
    <row r="96" spans="1:8" ht="14.1" customHeight="1" x14ac:dyDescent="0.2">
      <c r="A96" s="99"/>
      <c r="B96" s="1"/>
      <c r="C96" s="2" t="s">
        <v>148</v>
      </c>
      <c r="D96" s="1"/>
      <c r="E96" s="1"/>
      <c r="F96" s="11"/>
      <c r="G96" s="11"/>
      <c r="H96" s="109"/>
    </row>
    <row r="97" spans="1:8" ht="14.1" customHeight="1" x14ac:dyDescent="0.2">
      <c r="A97" s="99"/>
      <c r="B97" s="1"/>
      <c r="C97" s="2" t="s">
        <v>149</v>
      </c>
      <c r="D97" s="1"/>
      <c r="E97" s="1"/>
      <c r="F97" s="11"/>
      <c r="G97" s="11"/>
      <c r="H97" s="109"/>
    </row>
    <row r="98" spans="1:8" ht="14.1" customHeight="1" x14ac:dyDescent="0.2">
      <c r="A98" s="99"/>
      <c r="B98" s="1"/>
      <c r="C98" s="2" t="s">
        <v>135</v>
      </c>
      <c r="D98" s="1"/>
      <c r="E98" s="1" t="s">
        <v>136</v>
      </c>
      <c r="F98" s="115">
        <v>0</v>
      </c>
      <c r="G98" s="9">
        <v>0</v>
      </c>
      <c r="H98" s="109"/>
    </row>
    <row r="99" spans="1:8" ht="14.1" customHeight="1" x14ac:dyDescent="0.2">
      <c r="A99" s="99"/>
      <c r="B99" s="1"/>
      <c r="C99" s="10"/>
      <c r="D99" s="1"/>
      <c r="E99" s="1"/>
      <c r="F99" s="11"/>
      <c r="G99" s="11"/>
      <c r="H99" s="109"/>
    </row>
    <row r="100" spans="1:8" ht="14.1" customHeight="1" x14ac:dyDescent="0.2">
      <c r="A100" s="99"/>
      <c r="B100" s="1"/>
      <c r="C100" s="2" t="s">
        <v>150</v>
      </c>
      <c r="D100" s="1"/>
      <c r="E100" s="1"/>
      <c r="F100" s="11"/>
      <c r="G100" s="11"/>
      <c r="H100" s="109"/>
    </row>
    <row r="101" spans="1:8" ht="14.1" customHeight="1" x14ac:dyDescent="0.2">
      <c r="A101" s="99"/>
      <c r="B101" s="1"/>
      <c r="C101" s="2" t="s">
        <v>135</v>
      </c>
      <c r="D101" s="1"/>
      <c r="E101" s="1" t="s">
        <v>136</v>
      </c>
      <c r="F101" s="115">
        <v>0</v>
      </c>
      <c r="G101" s="9">
        <v>0</v>
      </c>
      <c r="H101" s="109"/>
    </row>
    <row r="102" spans="1:8" ht="14.1" customHeight="1" x14ac:dyDescent="0.2">
      <c r="A102" s="99"/>
      <c r="B102" s="1"/>
      <c r="C102" s="10"/>
      <c r="D102" s="1"/>
      <c r="E102" s="1"/>
      <c r="F102" s="11"/>
      <c r="G102" s="11"/>
      <c r="H102" s="109"/>
    </row>
    <row r="103" spans="1:8" ht="14.1" customHeight="1" x14ac:dyDescent="0.2">
      <c r="A103" s="99"/>
      <c r="B103" s="1"/>
      <c r="C103" s="2" t="s">
        <v>151</v>
      </c>
      <c r="D103" s="1"/>
      <c r="E103" s="1"/>
      <c r="F103" s="11"/>
      <c r="G103" s="11"/>
      <c r="H103" s="109"/>
    </row>
    <row r="104" spans="1:8" ht="14.1" customHeight="1" x14ac:dyDescent="0.2">
      <c r="A104" s="99"/>
      <c r="B104" s="1"/>
      <c r="C104" s="2" t="s">
        <v>135</v>
      </c>
      <c r="D104" s="1"/>
      <c r="E104" s="1" t="s">
        <v>136</v>
      </c>
      <c r="F104" s="115">
        <v>0</v>
      </c>
      <c r="G104" s="9">
        <v>0</v>
      </c>
      <c r="H104" s="109"/>
    </row>
    <row r="105" spans="1:8" ht="14.1" customHeight="1" x14ac:dyDescent="0.2">
      <c r="A105" s="99"/>
      <c r="B105" s="1"/>
      <c r="C105" s="10"/>
      <c r="D105" s="1"/>
      <c r="E105" s="1"/>
      <c r="F105" s="11"/>
      <c r="G105" s="11"/>
      <c r="H105" s="109"/>
    </row>
    <row r="106" spans="1:8" ht="14.1" customHeight="1" x14ac:dyDescent="0.2">
      <c r="A106" s="99"/>
      <c r="B106" s="1"/>
      <c r="C106" s="2" t="s">
        <v>152</v>
      </c>
      <c r="D106" s="1"/>
      <c r="E106" s="1"/>
      <c r="F106" s="11"/>
      <c r="G106" s="11"/>
      <c r="H106" s="109"/>
    </row>
    <row r="107" spans="1:8" ht="17.100000000000001" customHeight="1" x14ac:dyDescent="0.2">
      <c r="A107" s="100">
        <v>1</v>
      </c>
      <c r="B107" s="3"/>
      <c r="C107" s="3" t="s">
        <v>153</v>
      </c>
      <c r="D107" s="3"/>
      <c r="E107" s="7"/>
      <c r="F107" s="5">
        <v>3456.8973620090001</v>
      </c>
      <c r="G107" s="6">
        <v>1.2107990000000001E-2</v>
      </c>
      <c r="H107" s="109">
        <v>6.6015165706411798</v>
      </c>
    </row>
    <row r="108" spans="1:8" ht="14.1" customHeight="1" x14ac:dyDescent="0.2">
      <c r="A108" s="99"/>
      <c r="B108" s="1"/>
      <c r="C108" s="2" t="s">
        <v>135</v>
      </c>
      <c r="D108" s="1"/>
      <c r="E108" s="1" t="s">
        <v>136</v>
      </c>
      <c r="F108" s="8">
        <v>3456.8973620090001</v>
      </c>
      <c r="G108" s="9">
        <v>1.2107990000000001E-2</v>
      </c>
      <c r="H108" s="109"/>
    </row>
    <row r="109" spans="1:8" ht="14.1" customHeight="1" x14ac:dyDescent="0.2">
      <c r="A109" s="99"/>
      <c r="B109" s="1"/>
      <c r="C109" s="10"/>
      <c r="D109" s="1"/>
      <c r="E109" s="1"/>
      <c r="F109" s="11"/>
      <c r="G109" s="11"/>
      <c r="H109" s="109"/>
    </row>
    <row r="110" spans="1:8" ht="14.1" customHeight="1" x14ac:dyDescent="0.2">
      <c r="A110" s="99"/>
      <c r="B110" s="1"/>
      <c r="C110" s="2" t="s">
        <v>154</v>
      </c>
      <c r="D110" s="1"/>
      <c r="E110" s="1"/>
      <c r="F110" s="8">
        <v>3456.8973620090001</v>
      </c>
      <c r="G110" s="9">
        <v>1.2107990000000001E-2</v>
      </c>
      <c r="H110" s="109"/>
    </row>
    <row r="111" spans="1:8" ht="14.1" customHeight="1" x14ac:dyDescent="0.2">
      <c r="A111" s="99"/>
      <c r="B111" s="1"/>
      <c r="C111" s="11"/>
      <c r="D111" s="1"/>
      <c r="E111" s="1"/>
      <c r="F111" s="1"/>
      <c r="G111" s="1"/>
      <c r="H111" s="109"/>
    </row>
    <row r="112" spans="1:8" ht="14.1" customHeight="1" x14ac:dyDescent="0.2">
      <c r="A112" s="99"/>
      <c r="B112" s="1"/>
      <c r="C112" s="2" t="s">
        <v>155</v>
      </c>
      <c r="D112" s="1"/>
      <c r="E112" s="1"/>
      <c r="F112" s="1"/>
      <c r="G112" s="1"/>
      <c r="H112" s="109"/>
    </row>
    <row r="113" spans="1:14" ht="14.1" customHeight="1" x14ac:dyDescent="0.2">
      <c r="A113" s="99"/>
      <c r="B113" s="1"/>
      <c r="C113" s="2" t="s">
        <v>156</v>
      </c>
      <c r="D113" s="1"/>
      <c r="E113" s="1"/>
      <c r="F113" s="1"/>
      <c r="G113" s="1"/>
      <c r="H113" s="109"/>
    </row>
    <row r="114" spans="1:14" ht="14.1" customHeight="1" x14ac:dyDescent="0.2">
      <c r="A114" s="99"/>
      <c r="B114" s="1"/>
      <c r="C114" s="2" t="s">
        <v>135</v>
      </c>
      <c r="D114" s="1"/>
      <c r="E114" s="1" t="s">
        <v>136</v>
      </c>
      <c r="F114" s="115">
        <v>0</v>
      </c>
      <c r="G114" s="9">
        <v>0</v>
      </c>
      <c r="H114" s="109"/>
    </row>
    <row r="115" spans="1:14" ht="14.1" customHeight="1" x14ac:dyDescent="0.2">
      <c r="A115" s="99"/>
      <c r="B115" s="1"/>
      <c r="C115" s="10"/>
      <c r="D115" s="1"/>
      <c r="E115" s="1"/>
      <c r="F115" s="11"/>
      <c r="G115" s="11"/>
      <c r="H115" s="109"/>
    </row>
    <row r="116" spans="1:14" ht="14.1" customHeight="1" x14ac:dyDescent="0.2">
      <c r="A116" s="99"/>
      <c r="B116" s="1"/>
      <c r="C116" s="2" t="s">
        <v>157</v>
      </c>
      <c r="D116" s="1"/>
      <c r="E116" s="1"/>
      <c r="F116" s="1"/>
      <c r="G116" s="1"/>
      <c r="H116" s="109"/>
    </row>
    <row r="117" spans="1:14" ht="14.1" customHeight="1" x14ac:dyDescent="0.2">
      <c r="A117" s="99"/>
      <c r="B117" s="1"/>
      <c r="C117" s="2" t="s">
        <v>158</v>
      </c>
      <c r="D117" s="1"/>
      <c r="E117" s="1"/>
      <c r="F117" s="1"/>
      <c r="G117" s="1"/>
      <c r="H117" s="109"/>
    </row>
    <row r="118" spans="1:14" ht="14.1" customHeight="1" x14ac:dyDescent="0.2">
      <c r="A118" s="99"/>
      <c r="B118" s="1"/>
      <c r="C118" s="2" t="s">
        <v>135</v>
      </c>
      <c r="D118" s="1"/>
      <c r="E118" s="1" t="s">
        <v>136</v>
      </c>
      <c r="F118" s="115">
        <v>0</v>
      </c>
      <c r="G118" s="9">
        <v>0</v>
      </c>
      <c r="H118" s="109"/>
    </row>
    <row r="119" spans="1:14" ht="14.1" customHeight="1" x14ac:dyDescent="0.2">
      <c r="A119" s="99"/>
      <c r="B119" s="1"/>
      <c r="C119" s="10"/>
      <c r="D119" s="1"/>
      <c r="E119" s="1"/>
      <c r="F119" s="11"/>
      <c r="G119" s="11"/>
      <c r="H119" s="109"/>
    </row>
    <row r="120" spans="1:14" ht="24" customHeight="1" x14ac:dyDescent="0.2">
      <c r="A120" s="99"/>
      <c r="B120" s="1"/>
      <c r="C120" s="2" t="s">
        <v>159</v>
      </c>
      <c r="D120" s="1"/>
      <c r="E120" s="1"/>
      <c r="F120" s="11"/>
      <c r="G120" s="11"/>
      <c r="H120" s="109"/>
    </row>
    <row r="121" spans="1:14" ht="14.1" customHeight="1" x14ac:dyDescent="0.2">
      <c r="A121" s="99"/>
      <c r="B121" s="1"/>
      <c r="C121" s="2" t="s">
        <v>135</v>
      </c>
      <c r="D121" s="1"/>
      <c r="E121" s="1" t="s">
        <v>136</v>
      </c>
      <c r="F121" s="115">
        <v>0</v>
      </c>
      <c r="G121" s="9">
        <v>0</v>
      </c>
      <c r="H121" s="109"/>
    </row>
    <row r="122" spans="1:14" ht="14.1" customHeight="1" x14ac:dyDescent="0.2">
      <c r="A122" s="99"/>
      <c r="B122" s="1"/>
      <c r="C122" s="10"/>
      <c r="D122" s="1"/>
      <c r="E122" s="1"/>
      <c r="F122" s="11"/>
      <c r="G122" s="11"/>
      <c r="H122" s="109"/>
    </row>
    <row r="123" spans="1:14" ht="14.1" customHeight="1" x14ac:dyDescent="0.2">
      <c r="A123" s="99"/>
      <c r="B123" s="3"/>
      <c r="C123" s="3"/>
      <c r="D123" s="2"/>
      <c r="E123" s="1"/>
      <c r="F123" s="3"/>
      <c r="G123" s="7"/>
      <c r="H123" s="109"/>
    </row>
    <row r="124" spans="1:14" ht="18" customHeight="1" x14ac:dyDescent="0.2">
      <c r="A124" s="101"/>
      <c r="B124" s="3"/>
      <c r="C124" s="3" t="s">
        <v>933</v>
      </c>
      <c r="D124" s="3"/>
      <c r="E124" s="7"/>
      <c r="F124" s="5">
        <v>291.58407567</v>
      </c>
      <c r="G124" s="6">
        <v>1.02129E-3</v>
      </c>
      <c r="H124" s="109"/>
    </row>
    <row r="125" spans="1:14" ht="14.1" customHeight="1" x14ac:dyDescent="0.2">
      <c r="A125" s="102"/>
      <c r="B125" s="10"/>
      <c r="C125" s="2" t="s">
        <v>161</v>
      </c>
      <c r="D125" s="11"/>
      <c r="E125" s="11"/>
      <c r="F125" s="8">
        <v>285505.41640011402</v>
      </c>
      <c r="G125" s="12">
        <v>1.0000000200000001</v>
      </c>
      <c r="H125" s="109"/>
      <c r="J125" s="111"/>
      <c r="K125" s="111"/>
      <c r="L125" s="111"/>
      <c r="M125" s="111"/>
      <c r="N125" s="111"/>
    </row>
    <row r="126" spans="1:14" ht="14.1" customHeight="1" x14ac:dyDescent="0.2">
      <c r="A126" s="13"/>
      <c r="B126" s="13"/>
      <c r="C126" s="13"/>
      <c r="D126" s="14"/>
      <c r="E126" s="14"/>
      <c r="F126" s="14"/>
      <c r="G126" s="14"/>
      <c r="I126" s="111"/>
    </row>
    <row r="127" spans="1:14" ht="17.100000000000001" customHeight="1" x14ac:dyDescent="0.2">
      <c r="A127" s="15"/>
      <c r="B127" s="193" t="s">
        <v>931</v>
      </c>
      <c r="C127" s="193"/>
      <c r="D127" s="193"/>
      <c r="E127" s="193"/>
      <c r="F127" s="193"/>
      <c r="G127" s="17"/>
    </row>
    <row r="128" spans="1:14" ht="17.100000000000001" customHeight="1" x14ac:dyDescent="0.2">
      <c r="A128" s="15"/>
      <c r="B128" s="193" t="s">
        <v>932</v>
      </c>
      <c r="C128" s="193"/>
      <c r="D128" s="193"/>
      <c r="E128" s="193"/>
      <c r="F128" s="193"/>
      <c r="G128" s="17"/>
    </row>
    <row r="129" spans="1:7" ht="17.100000000000001" customHeight="1" x14ac:dyDescent="0.2">
      <c r="A129" s="15"/>
      <c r="B129" s="193" t="s">
        <v>162</v>
      </c>
      <c r="C129" s="193"/>
      <c r="D129" s="193"/>
      <c r="E129" s="193"/>
      <c r="F129" s="193"/>
      <c r="G129" s="17"/>
    </row>
    <row r="130" spans="1:7" ht="14.1" customHeight="1" x14ac:dyDescent="0.2">
      <c r="A130" s="15"/>
      <c r="B130" s="15"/>
      <c r="C130" s="15"/>
      <c r="D130" s="17"/>
      <c r="E130" s="17"/>
      <c r="F130" s="17"/>
      <c r="G130" s="17"/>
    </row>
    <row r="131" spans="1:7" ht="14.1" customHeight="1" x14ac:dyDescent="0.2">
      <c r="A131" s="15"/>
      <c r="B131" s="194" t="s">
        <v>163</v>
      </c>
      <c r="C131" s="195"/>
      <c r="D131" s="196"/>
      <c r="E131" s="18"/>
      <c r="F131" s="17"/>
      <c r="G131" s="17"/>
    </row>
    <row r="132" spans="1:7" ht="29.1" customHeight="1" x14ac:dyDescent="0.2">
      <c r="A132" s="15"/>
      <c r="B132" s="191" t="s">
        <v>164</v>
      </c>
      <c r="C132" s="192"/>
      <c r="D132" s="2" t="s">
        <v>165</v>
      </c>
      <c r="E132" s="18"/>
      <c r="F132" s="17"/>
      <c r="G132" s="17"/>
    </row>
    <row r="133" spans="1:7" ht="17.100000000000001" customHeight="1" x14ac:dyDescent="0.2">
      <c r="A133" s="15"/>
      <c r="B133" s="191" t="s">
        <v>166</v>
      </c>
      <c r="C133" s="192"/>
      <c r="D133" s="2" t="s">
        <v>165</v>
      </c>
      <c r="E133" s="18"/>
      <c r="F133" s="17"/>
      <c r="G133" s="17"/>
    </row>
    <row r="134" spans="1:7" ht="17.100000000000001" customHeight="1" x14ac:dyDescent="0.2">
      <c r="A134" s="15"/>
      <c r="B134" s="191" t="s">
        <v>167</v>
      </c>
      <c r="C134" s="192"/>
      <c r="D134" s="11" t="s">
        <v>136</v>
      </c>
      <c r="E134" s="18"/>
      <c r="F134" s="17"/>
      <c r="G134" s="17"/>
    </row>
    <row r="135" spans="1:7" ht="24" customHeight="1" x14ac:dyDescent="0.2">
      <c r="A135" s="19"/>
      <c r="B135" s="20" t="s">
        <v>136</v>
      </c>
      <c r="C135" s="20" t="s">
        <v>168</v>
      </c>
      <c r="D135" s="20" t="s">
        <v>169</v>
      </c>
      <c r="E135" s="19"/>
      <c r="F135" s="19"/>
      <c r="G135" s="19"/>
    </row>
    <row r="136" spans="1:7" ht="18" customHeight="1" x14ac:dyDescent="0.2">
      <c r="A136" s="19"/>
      <c r="B136" s="21" t="s">
        <v>170</v>
      </c>
      <c r="C136" s="20" t="s">
        <v>171</v>
      </c>
      <c r="D136" s="20" t="s">
        <v>172</v>
      </c>
      <c r="E136" s="19"/>
      <c r="F136" s="19"/>
      <c r="G136" s="19"/>
    </row>
    <row r="137" spans="1:7" ht="17.100000000000001" customHeight="1" x14ac:dyDescent="0.2">
      <c r="A137" s="19"/>
      <c r="B137" s="3" t="s">
        <v>173</v>
      </c>
      <c r="C137" s="22">
        <v>15.5303</v>
      </c>
      <c r="D137" s="22">
        <v>15.2354</v>
      </c>
      <c r="E137" s="19"/>
      <c r="F137" s="16"/>
      <c r="G137" s="23"/>
    </row>
    <row r="138" spans="1:7" ht="17.100000000000001" customHeight="1" x14ac:dyDescent="0.2">
      <c r="A138" s="19"/>
      <c r="B138" s="3" t="s">
        <v>994</v>
      </c>
      <c r="C138" s="22">
        <v>13.968400000000001</v>
      </c>
      <c r="D138" s="22">
        <v>13.703200000000001</v>
      </c>
      <c r="E138" s="19"/>
      <c r="F138" s="16"/>
      <c r="G138" s="23"/>
    </row>
    <row r="139" spans="1:7" ht="17.100000000000001" customHeight="1" x14ac:dyDescent="0.2">
      <c r="A139" s="19"/>
      <c r="B139" s="3" t="s">
        <v>174</v>
      </c>
      <c r="C139" s="22">
        <v>14.9336</v>
      </c>
      <c r="D139" s="22">
        <v>14.634600000000001</v>
      </c>
      <c r="E139" s="19"/>
      <c r="F139" s="16"/>
      <c r="G139" s="23"/>
    </row>
    <row r="140" spans="1:7" ht="17.100000000000001" customHeight="1" x14ac:dyDescent="0.2">
      <c r="A140" s="19"/>
      <c r="B140" s="3" t="s">
        <v>995</v>
      </c>
      <c r="C140" s="22">
        <v>13.432399999999999</v>
      </c>
      <c r="D140" s="22">
        <v>13.163399999999999</v>
      </c>
      <c r="E140" s="19"/>
      <c r="F140" s="16"/>
      <c r="G140" s="23"/>
    </row>
    <row r="141" spans="1:7" ht="14.1" customHeight="1" x14ac:dyDescent="0.2">
      <c r="A141" s="19"/>
      <c r="B141" s="19"/>
      <c r="C141" s="19"/>
      <c r="D141" s="19"/>
      <c r="E141" s="19"/>
      <c r="F141" s="19"/>
      <c r="G141" s="19"/>
    </row>
    <row r="142" spans="1:7" ht="17.100000000000001" customHeight="1" x14ac:dyDescent="0.2">
      <c r="A142" s="19"/>
      <c r="B142" s="191" t="s">
        <v>1044</v>
      </c>
      <c r="C142" s="192"/>
      <c r="D142" s="2" t="s">
        <v>165</v>
      </c>
      <c r="E142" s="19"/>
      <c r="F142" s="19"/>
      <c r="G142" s="19"/>
    </row>
    <row r="143" spans="1:7" ht="18" customHeight="1" x14ac:dyDescent="0.2">
      <c r="A143" s="19"/>
      <c r="B143" s="24"/>
      <c r="C143" s="24"/>
      <c r="D143" s="24"/>
      <c r="E143" s="19"/>
      <c r="F143" s="19"/>
      <c r="G143" s="19"/>
    </row>
    <row r="144" spans="1:7" ht="29.1" customHeight="1" x14ac:dyDescent="0.2">
      <c r="A144" s="19"/>
      <c r="B144" s="191" t="s">
        <v>175</v>
      </c>
      <c r="C144" s="192"/>
      <c r="D144" s="2" t="s">
        <v>165</v>
      </c>
      <c r="E144" s="25"/>
      <c r="F144" s="19"/>
      <c r="G144" s="19"/>
    </row>
    <row r="145" spans="1:7" ht="29.1" customHeight="1" x14ac:dyDescent="0.2">
      <c r="A145" s="19"/>
      <c r="B145" s="191" t="s">
        <v>176</v>
      </c>
      <c r="C145" s="192"/>
      <c r="D145" s="2" t="s">
        <v>165</v>
      </c>
      <c r="E145" s="25"/>
      <c r="F145" s="19"/>
      <c r="G145" s="19"/>
    </row>
    <row r="146" spans="1:7" ht="17.100000000000001" customHeight="1" x14ac:dyDescent="0.2">
      <c r="A146" s="19"/>
      <c r="B146" s="191" t="s">
        <v>177</v>
      </c>
      <c r="C146" s="192"/>
      <c r="D146" s="2" t="s">
        <v>165</v>
      </c>
      <c r="E146" s="25"/>
      <c r="F146" s="19"/>
      <c r="G146" s="19"/>
    </row>
    <row r="147" spans="1:7" ht="17.100000000000001" customHeight="1" x14ac:dyDescent="0.2">
      <c r="A147" s="19"/>
      <c r="B147" s="191" t="s">
        <v>178</v>
      </c>
      <c r="C147" s="192"/>
      <c r="D147" s="26">
        <v>0.28016812755270598</v>
      </c>
      <c r="E147" s="19"/>
      <c r="F147" s="16"/>
      <c r="G147" s="23"/>
    </row>
    <row r="148" spans="1:7" ht="14.1" customHeight="1" x14ac:dyDescent="0.2">
      <c r="A148" s="24"/>
      <c r="B148" s="24"/>
      <c r="C148" s="24"/>
      <c r="D148" s="24"/>
      <c r="E148" s="24"/>
      <c r="F148" s="24"/>
      <c r="G148" s="24"/>
    </row>
  </sheetData>
  <mergeCells count="16">
    <mergeCell ref="J2:N2"/>
    <mergeCell ref="B133:C133"/>
    <mergeCell ref="B134:C134"/>
    <mergeCell ref="B129:F129"/>
    <mergeCell ref="B131:D131"/>
    <mergeCell ref="B132:C132"/>
    <mergeCell ref="B128:F128"/>
    <mergeCell ref="B127:F127"/>
    <mergeCell ref="A1:H1"/>
    <mergeCell ref="A2:H2"/>
    <mergeCell ref="A3:H3"/>
    <mergeCell ref="B146:C146"/>
    <mergeCell ref="B147:C147"/>
    <mergeCell ref="B142:C142"/>
    <mergeCell ref="B144:C144"/>
    <mergeCell ref="B145:C145"/>
  </mergeCells>
  <hyperlinks>
    <hyperlink ref="I1" location="Index!B35" display="Index" xr:uid="{10038199-454B-4A70-A9DF-2D58765A721D}"/>
  </hyperlinks>
  <pageMargins left="5.000000074505806E-2" right="5.000000074505806E-2" top="0.30000001192092896" bottom="0.20000000298023224" header="0" footer="0"/>
  <pageSetup paperSize="9" orientation="landscape" r:id="rId1"/>
  <headerFooter alignWithMargins="0"/>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N216"/>
  <sheetViews>
    <sheetView showGridLines="0" workbookViewId="0">
      <selection sqref="A1:H1"/>
    </sheetView>
  </sheetViews>
  <sheetFormatPr defaultRowHeight="12.75" x14ac:dyDescent="0.2"/>
  <cols>
    <col min="1" max="1" width="5.42578125" bestFit="1" customWidth="1"/>
    <col min="2" max="2" width="20.5703125" customWidth="1"/>
    <col min="3" max="3" width="34.28515625" customWidth="1"/>
    <col min="4" max="4" width="17.85546875" customWidth="1"/>
    <col min="5" max="6" width="19.140625" customWidth="1"/>
    <col min="7" max="7" width="16.42578125" customWidth="1"/>
    <col min="9" max="9" width="9.5703125" bestFit="1" customWidth="1"/>
    <col min="10" max="10" width="12" customWidth="1"/>
  </cols>
  <sheetData>
    <row r="1" spans="1:14" ht="18" customHeight="1" x14ac:dyDescent="0.2">
      <c r="A1" s="187" t="s">
        <v>0</v>
      </c>
      <c r="B1" s="187"/>
      <c r="C1" s="187"/>
      <c r="D1" s="187"/>
      <c r="E1" s="187"/>
      <c r="F1" s="187"/>
      <c r="G1" s="187"/>
      <c r="H1" s="187"/>
      <c r="I1" s="167" t="s">
        <v>1055</v>
      </c>
      <c r="J1" s="111"/>
      <c r="K1" s="111"/>
      <c r="L1" s="111"/>
      <c r="M1" s="111"/>
      <c r="N1" s="111"/>
    </row>
    <row r="2" spans="1:14" ht="17.100000000000001" customHeight="1" x14ac:dyDescent="0.2">
      <c r="A2" s="188" t="s">
        <v>816</v>
      </c>
      <c r="B2" s="189"/>
      <c r="C2" s="189"/>
      <c r="D2" s="189"/>
      <c r="E2" s="189"/>
      <c r="F2" s="189"/>
      <c r="G2" s="189"/>
      <c r="H2" s="190"/>
      <c r="J2" s="186" t="s">
        <v>1056</v>
      </c>
      <c r="K2" s="186"/>
      <c r="L2" s="186"/>
      <c r="M2" s="186"/>
      <c r="N2" s="186"/>
    </row>
    <row r="3" spans="1:14" ht="21" customHeight="1" x14ac:dyDescent="0.2">
      <c r="A3" s="187" t="s">
        <v>1052</v>
      </c>
      <c r="B3" s="187"/>
      <c r="C3" s="187"/>
      <c r="D3" s="187"/>
      <c r="E3" s="187"/>
      <c r="F3" s="187"/>
      <c r="G3" s="187"/>
      <c r="H3" s="187"/>
      <c r="J3" s="111"/>
      <c r="K3" s="111"/>
      <c r="L3" s="111"/>
      <c r="M3" s="111"/>
      <c r="N3" s="111"/>
    </row>
    <row r="4" spans="1:14" ht="30" x14ac:dyDescent="0.2">
      <c r="A4" s="163" t="s">
        <v>2</v>
      </c>
      <c r="B4" s="164" t="s">
        <v>3</v>
      </c>
      <c r="C4" s="164" t="s">
        <v>4</v>
      </c>
      <c r="D4" s="164" t="s">
        <v>5</v>
      </c>
      <c r="E4" s="164" t="s">
        <v>6</v>
      </c>
      <c r="F4" s="164" t="s">
        <v>7</v>
      </c>
      <c r="G4" s="164" t="s">
        <v>8</v>
      </c>
      <c r="H4" s="120" t="s">
        <v>881</v>
      </c>
      <c r="I4" s="165"/>
      <c r="J4" s="171"/>
      <c r="K4" s="171"/>
      <c r="L4" s="171"/>
      <c r="M4" s="171"/>
      <c r="N4" s="171"/>
    </row>
    <row r="5" spans="1:14" ht="14.1" customHeight="1" x14ac:dyDescent="0.2">
      <c r="A5" s="99"/>
      <c r="B5" s="1"/>
      <c r="C5" s="2" t="s">
        <v>9</v>
      </c>
      <c r="D5" s="1"/>
      <c r="E5" s="1"/>
      <c r="F5" s="1"/>
      <c r="G5" s="1"/>
      <c r="H5" s="109"/>
      <c r="J5" s="111"/>
      <c r="K5" s="111"/>
      <c r="L5" s="111"/>
      <c r="M5" s="111"/>
      <c r="N5" s="111"/>
    </row>
    <row r="6" spans="1:14" ht="24" customHeight="1" x14ac:dyDescent="0.2">
      <c r="A6" s="99"/>
      <c r="B6" s="1"/>
      <c r="C6" s="2" t="s">
        <v>10</v>
      </c>
      <c r="D6" s="1"/>
      <c r="E6" s="1"/>
      <c r="F6" s="1"/>
      <c r="G6" s="1"/>
      <c r="H6" s="109"/>
      <c r="J6" s="111"/>
      <c r="K6" s="111"/>
      <c r="L6" s="111"/>
      <c r="M6" s="111"/>
      <c r="N6" s="111"/>
    </row>
    <row r="7" spans="1:14" ht="17.100000000000001" customHeight="1" x14ac:dyDescent="0.2">
      <c r="A7" s="100">
        <v>1</v>
      </c>
      <c r="B7" s="3" t="s">
        <v>17</v>
      </c>
      <c r="C7" s="3" t="s">
        <v>18</v>
      </c>
      <c r="D7" s="3" t="s">
        <v>19</v>
      </c>
      <c r="E7" s="4">
        <v>525000</v>
      </c>
      <c r="F7" s="5">
        <v>12193.387500000001</v>
      </c>
      <c r="G7" s="6">
        <v>6.6262879999999996E-2</v>
      </c>
      <c r="H7" s="109"/>
      <c r="J7" s="111"/>
      <c r="K7" s="111"/>
      <c r="L7" s="111"/>
      <c r="M7" s="111"/>
      <c r="N7" s="111"/>
    </row>
    <row r="8" spans="1:14" ht="17.100000000000001" customHeight="1" x14ac:dyDescent="0.2">
      <c r="A8" s="100">
        <v>2</v>
      </c>
      <c r="B8" s="3" t="s">
        <v>20</v>
      </c>
      <c r="C8" s="3" t="s">
        <v>21</v>
      </c>
      <c r="D8" s="3" t="s">
        <v>22</v>
      </c>
      <c r="E8" s="4">
        <v>1308000</v>
      </c>
      <c r="F8" s="5">
        <v>11181.438</v>
      </c>
      <c r="G8" s="6">
        <v>6.0763619999999997E-2</v>
      </c>
      <c r="H8" s="109"/>
      <c r="J8" s="111"/>
      <c r="K8" s="111"/>
      <c r="L8" s="111"/>
      <c r="M8" s="111"/>
      <c r="N8" s="111"/>
    </row>
    <row r="9" spans="1:14" ht="17.100000000000001" customHeight="1" x14ac:dyDescent="0.2">
      <c r="A9" s="100">
        <v>3</v>
      </c>
      <c r="B9" s="3" t="s">
        <v>293</v>
      </c>
      <c r="C9" s="3" t="s">
        <v>294</v>
      </c>
      <c r="D9" s="3" t="s">
        <v>996</v>
      </c>
      <c r="E9" s="4">
        <v>629000</v>
      </c>
      <c r="F9" s="5">
        <v>9356.6895000000004</v>
      </c>
      <c r="G9" s="6">
        <v>5.0847330000000003E-2</v>
      </c>
      <c r="H9" s="109"/>
      <c r="J9" s="111"/>
      <c r="K9" s="111"/>
      <c r="L9" s="111"/>
      <c r="M9" s="111"/>
      <c r="N9" s="111"/>
    </row>
    <row r="10" spans="1:14" ht="29.1" customHeight="1" x14ac:dyDescent="0.2">
      <c r="A10" s="100">
        <v>4</v>
      </c>
      <c r="B10" s="3" t="s">
        <v>295</v>
      </c>
      <c r="C10" s="3" t="s">
        <v>296</v>
      </c>
      <c r="D10" s="3" t="s">
        <v>120</v>
      </c>
      <c r="E10" s="4">
        <v>296000</v>
      </c>
      <c r="F10" s="5">
        <v>7723.9719999999998</v>
      </c>
      <c r="G10" s="6">
        <v>4.1974610000000002E-2</v>
      </c>
      <c r="H10" s="109"/>
      <c r="J10" s="111"/>
      <c r="K10" s="111"/>
      <c r="L10" s="111"/>
      <c r="M10" s="111"/>
      <c r="N10" s="111"/>
    </row>
    <row r="11" spans="1:14" ht="17.100000000000001" customHeight="1" x14ac:dyDescent="0.2">
      <c r="A11" s="100">
        <v>5</v>
      </c>
      <c r="B11" s="3" t="s">
        <v>32</v>
      </c>
      <c r="C11" s="3" t="s">
        <v>33</v>
      </c>
      <c r="D11" s="3" t="s">
        <v>22</v>
      </c>
      <c r="E11" s="4">
        <v>1439000</v>
      </c>
      <c r="F11" s="5">
        <v>7523.0919999999996</v>
      </c>
      <c r="G11" s="6">
        <v>4.0882960000000003E-2</v>
      </c>
      <c r="H11" s="109"/>
      <c r="J11" s="111"/>
      <c r="K11" s="111"/>
      <c r="L11" s="111"/>
      <c r="M11" s="111"/>
      <c r="N11" s="111"/>
    </row>
    <row r="12" spans="1:14" ht="17.100000000000001" customHeight="1" x14ac:dyDescent="0.2">
      <c r="A12" s="100">
        <v>6</v>
      </c>
      <c r="B12" s="3" t="s">
        <v>297</v>
      </c>
      <c r="C12" s="3" t="s">
        <v>298</v>
      </c>
      <c r="D12" s="3" t="s">
        <v>22</v>
      </c>
      <c r="E12" s="4">
        <v>466000</v>
      </c>
      <c r="F12" s="5">
        <v>7454.1360000000004</v>
      </c>
      <c r="G12" s="6">
        <v>4.0508229999999999E-2</v>
      </c>
      <c r="H12" s="109"/>
      <c r="J12" s="111"/>
      <c r="K12" s="111"/>
      <c r="L12" s="111"/>
      <c r="M12" s="111"/>
      <c r="N12" s="111"/>
    </row>
    <row r="13" spans="1:14" ht="17.100000000000001" customHeight="1" x14ac:dyDescent="0.2">
      <c r="A13" s="100">
        <v>7</v>
      </c>
      <c r="B13" s="3" t="s">
        <v>299</v>
      </c>
      <c r="C13" s="3" t="s">
        <v>300</v>
      </c>
      <c r="D13" s="3" t="s">
        <v>996</v>
      </c>
      <c r="E13" s="4">
        <v>151000</v>
      </c>
      <c r="F13" s="5">
        <v>5002.4035000000003</v>
      </c>
      <c r="G13" s="6">
        <v>2.7184710000000001E-2</v>
      </c>
      <c r="H13" s="109"/>
      <c r="J13" s="169" t="s">
        <v>1086</v>
      </c>
      <c r="L13" s="111"/>
      <c r="M13" s="111"/>
      <c r="N13" s="111"/>
    </row>
    <row r="14" spans="1:14" ht="17.100000000000001" customHeight="1" x14ac:dyDescent="0.2">
      <c r="A14" s="100">
        <v>8</v>
      </c>
      <c r="B14" s="3" t="s">
        <v>69</v>
      </c>
      <c r="C14" s="3" t="s">
        <v>70</v>
      </c>
      <c r="D14" s="3" t="s">
        <v>71</v>
      </c>
      <c r="E14" s="4">
        <v>56000</v>
      </c>
      <c r="F14" s="5">
        <v>4829.6360000000004</v>
      </c>
      <c r="G14" s="6">
        <v>2.6245830000000001E-2</v>
      </c>
      <c r="H14" s="109"/>
      <c r="J14" s="111"/>
      <c r="K14" s="111"/>
      <c r="L14" s="111"/>
      <c r="M14" s="111"/>
      <c r="N14" s="111"/>
    </row>
    <row r="15" spans="1:14" ht="17.100000000000001" customHeight="1" x14ac:dyDescent="0.2">
      <c r="A15" s="100">
        <v>9</v>
      </c>
      <c r="B15" s="3" t="s">
        <v>63</v>
      </c>
      <c r="C15" s="3" t="s">
        <v>64</v>
      </c>
      <c r="D15" s="3" t="s">
        <v>36</v>
      </c>
      <c r="E15" s="4">
        <v>1500159</v>
      </c>
      <c r="F15" s="5">
        <v>4763.7549044999996</v>
      </c>
      <c r="G15" s="6">
        <v>2.5887810000000001E-2</v>
      </c>
      <c r="H15" s="109"/>
      <c r="J15" s="111"/>
      <c r="K15" s="111"/>
      <c r="L15" s="111"/>
      <c r="M15" s="111"/>
      <c r="N15" s="111"/>
    </row>
    <row r="16" spans="1:14" ht="17.100000000000001" customHeight="1" x14ac:dyDescent="0.2">
      <c r="A16" s="100">
        <v>10</v>
      </c>
      <c r="B16" s="3" t="s">
        <v>197</v>
      </c>
      <c r="C16" s="3" t="s">
        <v>198</v>
      </c>
      <c r="D16" s="3" t="s">
        <v>22</v>
      </c>
      <c r="E16" s="4">
        <v>532000</v>
      </c>
      <c r="F16" s="5">
        <v>4490.6120000000001</v>
      </c>
      <c r="G16" s="6">
        <v>2.4403459999999998E-2</v>
      </c>
      <c r="H16" s="109"/>
      <c r="J16" s="111"/>
      <c r="K16" s="111"/>
      <c r="L16" s="111"/>
      <c r="M16" s="111"/>
      <c r="N16" s="111"/>
    </row>
    <row r="17" spans="1:14" ht="17.100000000000001" customHeight="1" x14ac:dyDescent="0.2">
      <c r="A17" s="100">
        <v>11</v>
      </c>
      <c r="B17" s="3" t="s">
        <v>11</v>
      </c>
      <c r="C17" s="3" t="s">
        <v>12</v>
      </c>
      <c r="D17" s="3" t="s">
        <v>13</v>
      </c>
      <c r="E17" s="4">
        <v>207000</v>
      </c>
      <c r="F17" s="5">
        <v>4365.9404999999997</v>
      </c>
      <c r="G17" s="6">
        <v>2.3725960000000001E-2</v>
      </c>
      <c r="H17" s="109"/>
      <c r="J17" s="111"/>
      <c r="K17" s="111"/>
      <c r="L17" s="111"/>
      <c r="M17" s="111"/>
      <c r="N17" s="111"/>
    </row>
    <row r="18" spans="1:14" ht="17.100000000000001" customHeight="1" x14ac:dyDescent="0.2">
      <c r="A18" s="100">
        <v>12</v>
      </c>
      <c r="B18" s="3" t="s">
        <v>312</v>
      </c>
      <c r="C18" s="3" t="s">
        <v>313</v>
      </c>
      <c r="D18" s="3" t="s">
        <v>309</v>
      </c>
      <c r="E18" s="4">
        <v>1150000</v>
      </c>
      <c r="F18" s="5">
        <v>4332.05</v>
      </c>
      <c r="G18" s="6">
        <v>2.354179E-2</v>
      </c>
      <c r="H18" s="109"/>
      <c r="J18" s="111"/>
      <c r="K18" s="111"/>
      <c r="L18" s="111"/>
      <c r="M18" s="111"/>
      <c r="N18" s="111"/>
    </row>
    <row r="19" spans="1:14" ht="17.100000000000001" customHeight="1" x14ac:dyDescent="0.2">
      <c r="A19" s="100">
        <v>13</v>
      </c>
      <c r="B19" s="3" t="s">
        <v>45</v>
      </c>
      <c r="C19" s="3" t="s">
        <v>46</v>
      </c>
      <c r="D19" s="3" t="s">
        <v>47</v>
      </c>
      <c r="E19" s="4">
        <v>2970000</v>
      </c>
      <c r="F19" s="5">
        <v>4321.3500000000004</v>
      </c>
      <c r="G19" s="6">
        <v>2.348364E-2</v>
      </c>
      <c r="H19" s="109"/>
      <c r="J19" s="111"/>
      <c r="K19" s="111"/>
      <c r="L19" s="111"/>
      <c r="M19" s="111"/>
      <c r="N19" s="111"/>
    </row>
    <row r="20" spans="1:14" ht="17.100000000000001" customHeight="1" x14ac:dyDescent="0.2">
      <c r="A20" s="100">
        <v>14</v>
      </c>
      <c r="B20" s="3" t="s">
        <v>307</v>
      </c>
      <c r="C20" s="3" t="s">
        <v>308</v>
      </c>
      <c r="D20" s="3" t="s">
        <v>309</v>
      </c>
      <c r="E20" s="4">
        <v>160000</v>
      </c>
      <c r="F20" s="5">
        <v>3937.04</v>
      </c>
      <c r="G20" s="6">
        <v>2.1395170000000002E-2</v>
      </c>
      <c r="H20" s="109"/>
      <c r="J20" s="111"/>
      <c r="K20" s="111"/>
      <c r="L20" s="111"/>
      <c r="M20" s="111"/>
      <c r="N20" s="111"/>
    </row>
    <row r="21" spans="1:14" ht="17.100000000000001" customHeight="1" x14ac:dyDescent="0.2">
      <c r="A21" s="100">
        <v>15</v>
      </c>
      <c r="B21" s="3" t="s">
        <v>328</v>
      </c>
      <c r="C21" s="3" t="s">
        <v>329</v>
      </c>
      <c r="D21" s="3" t="s">
        <v>22</v>
      </c>
      <c r="E21" s="4">
        <v>328000</v>
      </c>
      <c r="F21" s="5">
        <v>3534.8560000000002</v>
      </c>
      <c r="G21" s="6">
        <v>1.9209569999999999E-2</v>
      </c>
      <c r="H21" s="109"/>
      <c r="K21" s="111"/>
      <c r="L21" s="111"/>
      <c r="M21" s="111"/>
      <c r="N21" s="111"/>
    </row>
    <row r="22" spans="1:14" ht="17.100000000000001" customHeight="1" x14ac:dyDescent="0.2">
      <c r="A22" s="100">
        <v>16</v>
      </c>
      <c r="B22" s="3" t="s">
        <v>402</v>
      </c>
      <c r="C22" s="3" t="s">
        <v>403</v>
      </c>
      <c r="D22" s="3" t="s">
        <v>120</v>
      </c>
      <c r="E22" s="4">
        <v>604000</v>
      </c>
      <c r="F22" s="5">
        <v>3474.2080000000001</v>
      </c>
      <c r="G22" s="6">
        <v>1.8879989999999999E-2</v>
      </c>
      <c r="H22" s="109"/>
      <c r="J22" s="111"/>
      <c r="K22" s="111"/>
      <c r="L22" s="111"/>
      <c r="M22" s="111"/>
      <c r="N22" s="111"/>
    </row>
    <row r="23" spans="1:14" ht="29.1" customHeight="1" x14ac:dyDescent="0.2">
      <c r="A23" s="100">
        <v>17</v>
      </c>
      <c r="B23" s="3" t="s">
        <v>23</v>
      </c>
      <c r="C23" s="3" t="s">
        <v>24</v>
      </c>
      <c r="D23" s="3" t="s">
        <v>25</v>
      </c>
      <c r="E23" s="4">
        <v>45000</v>
      </c>
      <c r="F23" s="5">
        <v>3267.585</v>
      </c>
      <c r="G23" s="6">
        <v>1.7757129999999999E-2</v>
      </c>
      <c r="H23" s="109"/>
      <c r="J23" s="169" t="s">
        <v>1087</v>
      </c>
      <c r="K23" s="111"/>
      <c r="L23" s="111"/>
      <c r="M23" s="111"/>
      <c r="N23" s="111"/>
    </row>
    <row r="24" spans="1:14" ht="17.100000000000001" customHeight="1" x14ac:dyDescent="0.2">
      <c r="A24" s="100">
        <v>18</v>
      </c>
      <c r="B24" s="3" t="s">
        <v>100</v>
      </c>
      <c r="C24" s="3" t="s">
        <v>101</v>
      </c>
      <c r="D24" s="3" t="s">
        <v>57</v>
      </c>
      <c r="E24" s="4">
        <v>152000</v>
      </c>
      <c r="F24" s="5">
        <v>2821.652</v>
      </c>
      <c r="G24" s="6">
        <v>1.533379E-2</v>
      </c>
      <c r="H24" s="109"/>
      <c r="J24" s="111"/>
      <c r="K24" s="111"/>
      <c r="L24" s="111"/>
      <c r="M24" s="111"/>
      <c r="N24" s="111"/>
    </row>
    <row r="25" spans="1:14" ht="17.100000000000001" customHeight="1" x14ac:dyDescent="0.2">
      <c r="A25" s="100">
        <v>19</v>
      </c>
      <c r="B25" s="3" t="s">
        <v>264</v>
      </c>
      <c r="C25" s="3" t="s">
        <v>265</v>
      </c>
      <c r="D25" s="3" t="s">
        <v>996</v>
      </c>
      <c r="E25" s="4">
        <v>52000</v>
      </c>
      <c r="F25" s="5">
        <v>2455.4659999999999</v>
      </c>
      <c r="G25" s="6">
        <v>1.3343809999999999E-2</v>
      </c>
      <c r="H25" s="109"/>
      <c r="J25" s="111"/>
      <c r="K25" s="111"/>
      <c r="L25" s="111"/>
      <c r="M25" s="111"/>
      <c r="N25" s="111"/>
    </row>
    <row r="26" spans="1:14" ht="17.100000000000001" customHeight="1" x14ac:dyDescent="0.2">
      <c r="A26" s="100">
        <v>20</v>
      </c>
      <c r="B26" s="3" t="s">
        <v>502</v>
      </c>
      <c r="C26" s="3" t="s">
        <v>503</v>
      </c>
      <c r="D26" s="3" t="s">
        <v>334</v>
      </c>
      <c r="E26" s="4">
        <v>50000</v>
      </c>
      <c r="F26" s="5">
        <v>2227.0250000000001</v>
      </c>
      <c r="G26" s="6">
        <v>1.2102389999999999E-2</v>
      </c>
      <c r="H26" s="109"/>
      <c r="J26" s="111"/>
      <c r="K26" s="111"/>
      <c r="L26" s="111"/>
      <c r="M26" s="111"/>
      <c r="N26" s="111"/>
    </row>
    <row r="27" spans="1:14" ht="29.1" customHeight="1" x14ac:dyDescent="0.2">
      <c r="A27" s="100">
        <v>21</v>
      </c>
      <c r="B27" s="3" t="s">
        <v>118</v>
      </c>
      <c r="C27" s="3" t="s">
        <v>119</v>
      </c>
      <c r="D27" s="3" t="s">
        <v>120</v>
      </c>
      <c r="E27" s="4">
        <v>284000</v>
      </c>
      <c r="F27" s="5">
        <v>2148.46</v>
      </c>
      <c r="G27" s="6">
        <v>1.167544E-2</v>
      </c>
      <c r="H27" s="109"/>
      <c r="J27" s="111"/>
      <c r="K27" s="111"/>
      <c r="L27" s="111"/>
      <c r="M27" s="111"/>
      <c r="N27" s="111"/>
    </row>
    <row r="28" spans="1:14" ht="17.100000000000001" customHeight="1" x14ac:dyDescent="0.2">
      <c r="A28" s="100">
        <v>22</v>
      </c>
      <c r="B28" s="3" t="s">
        <v>43</v>
      </c>
      <c r="C28" s="3" t="s">
        <v>44</v>
      </c>
      <c r="D28" s="3" t="s">
        <v>31</v>
      </c>
      <c r="E28" s="4">
        <v>69000</v>
      </c>
      <c r="F28" s="5">
        <v>2126.1315</v>
      </c>
      <c r="G28" s="6">
        <v>1.1554099999999999E-2</v>
      </c>
      <c r="H28" s="109"/>
      <c r="J28" s="111"/>
      <c r="K28" s="111"/>
      <c r="L28" s="111"/>
      <c r="M28" s="111"/>
      <c r="N28" s="111"/>
    </row>
    <row r="29" spans="1:14" ht="17.100000000000001" customHeight="1" x14ac:dyDescent="0.2">
      <c r="A29" s="100">
        <v>23</v>
      </c>
      <c r="B29" s="3" t="s">
        <v>346</v>
      </c>
      <c r="C29" s="3" t="s">
        <v>347</v>
      </c>
      <c r="D29" s="3" t="s">
        <v>120</v>
      </c>
      <c r="E29" s="4">
        <v>34000</v>
      </c>
      <c r="F29" s="5">
        <v>2078.114</v>
      </c>
      <c r="G29" s="6">
        <v>1.129316E-2</v>
      </c>
      <c r="H29" s="109"/>
    </row>
    <row r="30" spans="1:14" ht="17.100000000000001" customHeight="1" x14ac:dyDescent="0.2">
      <c r="A30" s="100">
        <v>24</v>
      </c>
      <c r="B30" s="3" t="s">
        <v>340</v>
      </c>
      <c r="C30" s="3" t="s">
        <v>341</v>
      </c>
      <c r="D30" s="3" t="s">
        <v>235</v>
      </c>
      <c r="E30" s="4">
        <v>656000</v>
      </c>
      <c r="F30" s="5">
        <v>2038.52</v>
      </c>
      <c r="G30" s="6">
        <v>1.1077989999999999E-2</v>
      </c>
      <c r="H30" s="109"/>
    </row>
    <row r="31" spans="1:14" ht="17.100000000000001" customHeight="1" x14ac:dyDescent="0.2">
      <c r="A31" s="100">
        <v>25</v>
      </c>
      <c r="B31" s="3" t="s">
        <v>348</v>
      </c>
      <c r="C31" s="3" t="s">
        <v>349</v>
      </c>
      <c r="D31" s="3" t="s">
        <v>71</v>
      </c>
      <c r="E31" s="4">
        <v>471000</v>
      </c>
      <c r="F31" s="5">
        <v>1981.4970000000001</v>
      </c>
      <c r="G31" s="6">
        <v>1.0768109999999999E-2</v>
      </c>
      <c r="H31" s="109"/>
    </row>
    <row r="32" spans="1:14" ht="17.100000000000001" customHeight="1" x14ac:dyDescent="0.2">
      <c r="A32" s="100">
        <v>26</v>
      </c>
      <c r="B32" s="3" t="s">
        <v>180</v>
      </c>
      <c r="C32" s="3" t="s">
        <v>181</v>
      </c>
      <c r="D32" s="3" t="s">
        <v>22</v>
      </c>
      <c r="E32" s="4">
        <v>1489000</v>
      </c>
      <c r="F32" s="5">
        <v>1923.0435</v>
      </c>
      <c r="G32" s="6">
        <v>1.045045E-2</v>
      </c>
      <c r="H32" s="109"/>
    </row>
    <row r="33" spans="1:8" ht="29.1" customHeight="1" x14ac:dyDescent="0.2">
      <c r="A33" s="100">
        <v>27</v>
      </c>
      <c r="B33" s="3" t="s">
        <v>303</v>
      </c>
      <c r="C33" s="3" t="s">
        <v>304</v>
      </c>
      <c r="D33" s="3" t="s">
        <v>221</v>
      </c>
      <c r="E33" s="4">
        <v>197398</v>
      </c>
      <c r="F33" s="5">
        <v>1888.309268</v>
      </c>
      <c r="G33" s="6">
        <v>1.026169E-2</v>
      </c>
      <c r="H33" s="109"/>
    </row>
    <row r="34" spans="1:8" ht="17.100000000000001" customHeight="1" x14ac:dyDescent="0.2">
      <c r="A34" s="100">
        <v>28</v>
      </c>
      <c r="B34" s="3" t="s">
        <v>338</v>
      </c>
      <c r="C34" s="3" t="s">
        <v>339</v>
      </c>
      <c r="D34" s="3" t="s">
        <v>22</v>
      </c>
      <c r="E34" s="4">
        <v>667000</v>
      </c>
      <c r="F34" s="5">
        <v>1864.5985000000001</v>
      </c>
      <c r="G34" s="6">
        <v>1.0132840000000001E-2</v>
      </c>
      <c r="H34" s="109"/>
    </row>
    <row r="35" spans="1:8" ht="17.100000000000001" customHeight="1" x14ac:dyDescent="0.2">
      <c r="A35" s="100">
        <v>29</v>
      </c>
      <c r="B35" s="3" t="s">
        <v>214</v>
      </c>
      <c r="C35" s="3" t="s">
        <v>215</v>
      </c>
      <c r="D35" s="3" t="s">
        <v>216</v>
      </c>
      <c r="E35" s="4">
        <v>266000</v>
      </c>
      <c r="F35" s="5">
        <v>1841.9169999999999</v>
      </c>
      <c r="G35" s="6">
        <v>1.0009580000000001E-2</v>
      </c>
      <c r="H35" s="109"/>
    </row>
    <row r="36" spans="1:8" ht="29.1" customHeight="1" x14ac:dyDescent="0.2">
      <c r="A36" s="100">
        <v>30</v>
      </c>
      <c r="B36" s="3" t="s">
        <v>76</v>
      </c>
      <c r="C36" s="3" t="s">
        <v>77</v>
      </c>
      <c r="D36" s="3" t="s">
        <v>25</v>
      </c>
      <c r="E36" s="4">
        <v>100000</v>
      </c>
      <c r="F36" s="5">
        <v>1833.9</v>
      </c>
      <c r="G36" s="6">
        <v>9.9660200000000008E-3</v>
      </c>
      <c r="H36" s="109"/>
    </row>
    <row r="37" spans="1:8" ht="17.100000000000001" customHeight="1" x14ac:dyDescent="0.2">
      <c r="A37" s="100">
        <v>31</v>
      </c>
      <c r="B37" s="3" t="s">
        <v>229</v>
      </c>
      <c r="C37" s="3" t="s">
        <v>230</v>
      </c>
      <c r="D37" s="3" t="s">
        <v>115</v>
      </c>
      <c r="E37" s="4">
        <v>204000</v>
      </c>
      <c r="F37" s="5">
        <v>1819.68</v>
      </c>
      <c r="G37" s="6">
        <v>9.88874E-3</v>
      </c>
      <c r="H37" s="109"/>
    </row>
    <row r="38" spans="1:8" ht="17.100000000000001" customHeight="1" x14ac:dyDescent="0.2">
      <c r="A38" s="100">
        <v>32</v>
      </c>
      <c r="B38" s="3" t="s">
        <v>98</v>
      </c>
      <c r="C38" s="3" t="s">
        <v>99</v>
      </c>
      <c r="D38" s="3" t="s">
        <v>97</v>
      </c>
      <c r="E38" s="4">
        <v>202000</v>
      </c>
      <c r="F38" s="5">
        <v>1731.9480000000001</v>
      </c>
      <c r="G38" s="6">
        <v>9.4119800000000003E-3</v>
      </c>
      <c r="H38" s="109"/>
    </row>
    <row r="39" spans="1:8" ht="29.1" customHeight="1" x14ac:dyDescent="0.2">
      <c r="A39" s="100">
        <v>33</v>
      </c>
      <c r="B39" s="3" t="s">
        <v>775</v>
      </c>
      <c r="C39" s="3" t="s">
        <v>776</v>
      </c>
      <c r="D39" s="3" t="s">
        <v>216</v>
      </c>
      <c r="E39" s="4">
        <v>152000</v>
      </c>
      <c r="F39" s="5">
        <v>1674.8119999999999</v>
      </c>
      <c r="G39" s="6">
        <v>9.1014800000000003E-3</v>
      </c>
      <c r="H39" s="109"/>
    </row>
    <row r="40" spans="1:8" ht="17.100000000000001" customHeight="1" x14ac:dyDescent="0.2">
      <c r="A40" s="100">
        <v>34</v>
      </c>
      <c r="B40" s="3" t="s">
        <v>354</v>
      </c>
      <c r="C40" s="3" t="s">
        <v>355</v>
      </c>
      <c r="D40" s="3" t="s">
        <v>115</v>
      </c>
      <c r="E40" s="4">
        <v>70000</v>
      </c>
      <c r="F40" s="5">
        <v>1660.96</v>
      </c>
      <c r="G40" s="6">
        <v>9.0261999999999998E-3</v>
      </c>
      <c r="H40" s="109"/>
    </row>
    <row r="41" spans="1:8" ht="17.100000000000001" customHeight="1" x14ac:dyDescent="0.2">
      <c r="A41" s="100">
        <v>35</v>
      </c>
      <c r="B41" s="3" t="s">
        <v>526</v>
      </c>
      <c r="C41" s="3" t="s">
        <v>527</v>
      </c>
      <c r="D41" s="3" t="s">
        <v>334</v>
      </c>
      <c r="E41" s="4">
        <v>190000</v>
      </c>
      <c r="F41" s="5">
        <v>1599.8</v>
      </c>
      <c r="G41" s="6">
        <v>8.6938399999999996E-3</v>
      </c>
      <c r="H41" s="109"/>
    </row>
    <row r="42" spans="1:8" ht="17.100000000000001" customHeight="1" x14ac:dyDescent="0.2">
      <c r="A42" s="100">
        <v>36</v>
      </c>
      <c r="B42" s="3" t="s">
        <v>14</v>
      </c>
      <c r="C42" s="3" t="s">
        <v>15</v>
      </c>
      <c r="D42" s="3" t="s">
        <v>16</v>
      </c>
      <c r="E42" s="4">
        <v>215000</v>
      </c>
      <c r="F42" s="5">
        <v>1595.8375000000001</v>
      </c>
      <c r="G42" s="6">
        <v>8.6723100000000008E-3</v>
      </c>
      <c r="H42" s="109"/>
    </row>
    <row r="43" spans="1:8" ht="17.100000000000001" customHeight="1" x14ac:dyDescent="0.2">
      <c r="A43" s="100">
        <v>37</v>
      </c>
      <c r="B43" s="3" t="s">
        <v>226</v>
      </c>
      <c r="C43" s="3" t="s">
        <v>227</v>
      </c>
      <c r="D43" s="3" t="s">
        <v>228</v>
      </c>
      <c r="E43" s="4">
        <v>4000</v>
      </c>
      <c r="F43" s="5">
        <v>1518.7860000000001</v>
      </c>
      <c r="G43" s="6">
        <v>8.2535799999999999E-3</v>
      </c>
      <c r="H43" s="109"/>
    </row>
    <row r="44" spans="1:8" ht="29.1" customHeight="1" x14ac:dyDescent="0.2">
      <c r="A44" s="100">
        <v>38</v>
      </c>
      <c r="B44" s="3" t="s">
        <v>204</v>
      </c>
      <c r="C44" s="3" t="s">
        <v>205</v>
      </c>
      <c r="D44" s="3" t="s">
        <v>115</v>
      </c>
      <c r="E44" s="4">
        <v>494000</v>
      </c>
      <c r="F44" s="5">
        <v>1501.019</v>
      </c>
      <c r="G44" s="6">
        <v>8.1570299999999991E-3</v>
      </c>
      <c r="H44" s="109"/>
    </row>
    <row r="45" spans="1:8" ht="29.1" customHeight="1" x14ac:dyDescent="0.2">
      <c r="A45" s="100">
        <v>39</v>
      </c>
      <c r="B45" s="3" t="s">
        <v>350</v>
      </c>
      <c r="C45" s="3" t="s">
        <v>351</v>
      </c>
      <c r="D45" s="3" t="s">
        <v>221</v>
      </c>
      <c r="E45" s="4">
        <v>52000</v>
      </c>
      <c r="F45" s="5">
        <v>1469.3119999999999</v>
      </c>
      <c r="G45" s="6">
        <v>7.9847300000000006E-3</v>
      </c>
      <c r="H45" s="109"/>
    </row>
    <row r="46" spans="1:8" ht="17.100000000000001" customHeight="1" x14ac:dyDescent="0.2">
      <c r="A46" s="100">
        <v>40</v>
      </c>
      <c r="B46" s="3" t="s">
        <v>344</v>
      </c>
      <c r="C46" s="3" t="s">
        <v>345</v>
      </c>
      <c r="D46" s="3" t="s">
        <v>120</v>
      </c>
      <c r="E46" s="4">
        <v>110000</v>
      </c>
      <c r="F46" s="5">
        <v>1468.39</v>
      </c>
      <c r="G46" s="6">
        <v>7.9797199999999992E-3</v>
      </c>
      <c r="H46" s="109"/>
    </row>
    <row r="47" spans="1:8" ht="17.100000000000001" customHeight="1" x14ac:dyDescent="0.2">
      <c r="A47" s="100">
        <v>41</v>
      </c>
      <c r="B47" s="3" t="s">
        <v>26</v>
      </c>
      <c r="C47" s="3" t="s">
        <v>27</v>
      </c>
      <c r="D47" s="3" t="s">
        <v>28</v>
      </c>
      <c r="E47" s="4">
        <v>840000</v>
      </c>
      <c r="F47" s="5">
        <v>1432.2</v>
      </c>
      <c r="G47" s="6">
        <v>7.7830499999999997E-3</v>
      </c>
      <c r="H47" s="109"/>
    </row>
    <row r="48" spans="1:8" ht="17.100000000000001" customHeight="1" x14ac:dyDescent="0.2">
      <c r="A48" s="100">
        <v>42</v>
      </c>
      <c r="B48" s="3" t="s">
        <v>55</v>
      </c>
      <c r="C48" s="3" t="s">
        <v>56</v>
      </c>
      <c r="D48" s="3" t="s">
        <v>57</v>
      </c>
      <c r="E48" s="4">
        <v>240000</v>
      </c>
      <c r="F48" s="5">
        <v>1417.2</v>
      </c>
      <c r="G48" s="6">
        <v>7.7015299999999998E-3</v>
      </c>
      <c r="H48" s="109"/>
    </row>
    <row r="49" spans="1:8" ht="17.100000000000001" customHeight="1" x14ac:dyDescent="0.2">
      <c r="A49" s="100">
        <v>43</v>
      </c>
      <c r="B49" s="3" t="s">
        <v>522</v>
      </c>
      <c r="C49" s="3" t="s">
        <v>523</v>
      </c>
      <c r="D49" s="3" t="s">
        <v>115</v>
      </c>
      <c r="E49" s="4">
        <v>107009</v>
      </c>
      <c r="F49" s="5">
        <v>1387.3716850000001</v>
      </c>
      <c r="G49" s="6">
        <v>7.5394299999999997E-3</v>
      </c>
      <c r="H49" s="109"/>
    </row>
    <row r="50" spans="1:8" ht="17.100000000000001" customHeight="1" x14ac:dyDescent="0.2">
      <c r="A50" s="100">
        <v>44</v>
      </c>
      <c r="B50" s="3" t="s">
        <v>318</v>
      </c>
      <c r="C50" s="3" t="s">
        <v>319</v>
      </c>
      <c r="D50" s="3" t="s">
        <v>235</v>
      </c>
      <c r="E50" s="4">
        <v>111000</v>
      </c>
      <c r="F50" s="5">
        <v>1375.1790000000001</v>
      </c>
      <c r="G50" s="6">
        <v>7.4731800000000003E-3</v>
      </c>
      <c r="H50" s="109"/>
    </row>
    <row r="51" spans="1:8" ht="17.100000000000001" customHeight="1" x14ac:dyDescent="0.2">
      <c r="A51" s="100">
        <v>45</v>
      </c>
      <c r="B51" s="3" t="s">
        <v>356</v>
      </c>
      <c r="C51" s="3" t="s">
        <v>357</v>
      </c>
      <c r="D51" s="3" t="s">
        <v>203</v>
      </c>
      <c r="E51" s="4">
        <v>40000</v>
      </c>
      <c r="F51" s="5">
        <v>1366.78</v>
      </c>
      <c r="G51" s="6">
        <v>7.4275299999999999E-3</v>
      </c>
      <c r="H51" s="109"/>
    </row>
    <row r="52" spans="1:8" ht="17.100000000000001" customHeight="1" x14ac:dyDescent="0.2">
      <c r="A52" s="100">
        <v>46</v>
      </c>
      <c r="B52" s="3" t="s">
        <v>65</v>
      </c>
      <c r="C52" s="3" t="s">
        <v>66</v>
      </c>
      <c r="D52" s="3" t="s">
        <v>13</v>
      </c>
      <c r="E52" s="4">
        <v>530000</v>
      </c>
      <c r="F52" s="5">
        <v>1357.0650000000001</v>
      </c>
      <c r="G52" s="6">
        <v>7.3747400000000003E-3</v>
      </c>
      <c r="H52" s="109"/>
    </row>
    <row r="53" spans="1:8" ht="17.100000000000001" customHeight="1" x14ac:dyDescent="0.2">
      <c r="A53" s="100">
        <v>47</v>
      </c>
      <c r="B53" s="3" t="s">
        <v>817</v>
      </c>
      <c r="C53" s="3" t="s">
        <v>818</v>
      </c>
      <c r="D53" s="3" t="s">
        <v>31</v>
      </c>
      <c r="E53" s="4">
        <v>400000</v>
      </c>
      <c r="F53" s="5">
        <v>1346.4</v>
      </c>
      <c r="G53" s="6">
        <v>7.3167800000000002E-3</v>
      </c>
      <c r="H53" s="109"/>
    </row>
    <row r="54" spans="1:8" ht="17.100000000000001" customHeight="1" x14ac:dyDescent="0.2">
      <c r="A54" s="100">
        <v>48</v>
      </c>
      <c r="B54" s="3" t="s">
        <v>326</v>
      </c>
      <c r="C54" s="3" t="s">
        <v>327</v>
      </c>
      <c r="D54" s="3" t="s">
        <v>213</v>
      </c>
      <c r="E54" s="4">
        <v>1275000</v>
      </c>
      <c r="F54" s="5">
        <v>1325.3625</v>
      </c>
      <c r="G54" s="6">
        <v>7.2024599999999999E-3</v>
      </c>
      <c r="H54" s="109"/>
    </row>
    <row r="55" spans="1:8" ht="17.100000000000001" customHeight="1" x14ac:dyDescent="0.2">
      <c r="A55" s="100">
        <v>49</v>
      </c>
      <c r="B55" s="3" t="s">
        <v>316</v>
      </c>
      <c r="C55" s="3" t="s">
        <v>317</v>
      </c>
      <c r="D55" s="3" t="s">
        <v>996</v>
      </c>
      <c r="E55" s="4">
        <v>330000</v>
      </c>
      <c r="F55" s="5">
        <v>1277.2650000000001</v>
      </c>
      <c r="G55" s="6">
        <v>6.9410799999999996E-3</v>
      </c>
      <c r="H55" s="109"/>
    </row>
    <row r="56" spans="1:8" ht="17.100000000000001" customHeight="1" x14ac:dyDescent="0.2">
      <c r="A56" s="100">
        <v>50</v>
      </c>
      <c r="B56" s="3" t="s">
        <v>233</v>
      </c>
      <c r="C56" s="3" t="s">
        <v>234</v>
      </c>
      <c r="D56" s="3" t="s">
        <v>235</v>
      </c>
      <c r="E56" s="4">
        <v>285000</v>
      </c>
      <c r="F56" s="5">
        <v>1256.4224999999999</v>
      </c>
      <c r="G56" s="6">
        <v>6.8278100000000001E-3</v>
      </c>
      <c r="H56" s="109"/>
    </row>
    <row r="57" spans="1:8" ht="17.100000000000001" customHeight="1" x14ac:dyDescent="0.2">
      <c r="A57" s="100">
        <v>51</v>
      </c>
      <c r="B57" s="3" t="s">
        <v>123</v>
      </c>
      <c r="C57" s="3" t="s">
        <v>124</v>
      </c>
      <c r="D57" s="3" t="s">
        <v>115</v>
      </c>
      <c r="E57" s="4">
        <v>65000</v>
      </c>
      <c r="F57" s="5">
        <v>1225.7375</v>
      </c>
      <c r="G57" s="6">
        <v>6.6610599999999999E-3</v>
      </c>
      <c r="H57" s="109"/>
    </row>
    <row r="58" spans="1:8" ht="17.100000000000001" customHeight="1" x14ac:dyDescent="0.2">
      <c r="A58" s="100">
        <v>52</v>
      </c>
      <c r="B58" s="3" t="s">
        <v>352</v>
      </c>
      <c r="C58" s="3" t="s">
        <v>353</v>
      </c>
      <c r="D58" s="3" t="s">
        <v>57</v>
      </c>
      <c r="E58" s="4">
        <v>69000</v>
      </c>
      <c r="F58" s="5">
        <v>1089.924</v>
      </c>
      <c r="G58" s="6">
        <v>5.9230100000000003E-3</v>
      </c>
      <c r="H58" s="109"/>
    </row>
    <row r="59" spans="1:8" ht="17.100000000000001" customHeight="1" x14ac:dyDescent="0.2">
      <c r="A59" s="100">
        <v>53</v>
      </c>
      <c r="B59" s="3" t="s">
        <v>699</v>
      </c>
      <c r="C59" s="3" t="s">
        <v>897</v>
      </c>
      <c r="D59" s="3" t="s">
        <v>334</v>
      </c>
      <c r="E59" s="4">
        <v>364200</v>
      </c>
      <c r="F59" s="5">
        <v>1072.2048</v>
      </c>
      <c r="G59" s="6">
        <v>5.8267099999999997E-3</v>
      </c>
      <c r="H59" s="109"/>
    </row>
    <row r="60" spans="1:8" ht="17.100000000000001" customHeight="1" x14ac:dyDescent="0.2">
      <c r="A60" s="100">
        <v>54</v>
      </c>
      <c r="B60" s="3" t="s">
        <v>222</v>
      </c>
      <c r="C60" s="3" t="s">
        <v>223</v>
      </c>
      <c r="D60" s="3" t="s">
        <v>22</v>
      </c>
      <c r="E60" s="4">
        <v>670000</v>
      </c>
      <c r="F60" s="5">
        <v>1065.3</v>
      </c>
      <c r="G60" s="6">
        <v>5.7891899999999996E-3</v>
      </c>
      <c r="H60" s="109"/>
    </row>
    <row r="61" spans="1:8" ht="17.100000000000001" customHeight="1" x14ac:dyDescent="0.2">
      <c r="A61" s="100">
        <v>55</v>
      </c>
      <c r="B61" s="3" t="s">
        <v>358</v>
      </c>
      <c r="C61" s="3" t="s">
        <v>359</v>
      </c>
      <c r="D61" s="3" t="s">
        <v>36</v>
      </c>
      <c r="E61" s="4">
        <v>1500000</v>
      </c>
      <c r="F61" s="5">
        <v>1047</v>
      </c>
      <c r="G61" s="6">
        <v>5.6897400000000004E-3</v>
      </c>
      <c r="H61" s="109"/>
    </row>
    <row r="62" spans="1:8" ht="17.100000000000001" customHeight="1" x14ac:dyDescent="0.2">
      <c r="A62" s="100">
        <v>56</v>
      </c>
      <c r="B62" s="3" t="s">
        <v>633</v>
      </c>
      <c r="C62" s="3" t="s">
        <v>634</v>
      </c>
      <c r="D62" s="3" t="s">
        <v>115</v>
      </c>
      <c r="E62" s="4">
        <v>37000</v>
      </c>
      <c r="F62" s="5">
        <v>1046.6559999999999</v>
      </c>
      <c r="G62" s="6">
        <v>5.6878700000000003E-3</v>
      </c>
      <c r="H62" s="109"/>
    </row>
    <row r="63" spans="1:8" ht="17.100000000000001" customHeight="1" x14ac:dyDescent="0.2">
      <c r="A63" s="100">
        <v>57</v>
      </c>
      <c r="B63" s="3" t="s">
        <v>224</v>
      </c>
      <c r="C63" s="3" t="s">
        <v>225</v>
      </c>
      <c r="D63" s="3" t="s">
        <v>196</v>
      </c>
      <c r="E63" s="4">
        <v>69000</v>
      </c>
      <c r="F63" s="5">
        <v>998.36099999999999</v>
      </c>
      <c r="G63" s="6">
        <v>5.4254200000000002E-3</v>
      </c>
      <c r="H63" s="109"/>
    </row>
    <row r="64" spans="1:8" ht="29.1" customHeight="1" x14ac:dyDescent="0.2">
      <c r="A64" s="100">
        <v>58</v>
      </c>
      <c r="B64" s="3" t="s">
        <v>254</v>
      </c>
      <c r="C64" s="3" t="s">
        <v>255</v>
      </c>
      <c r="D64" s="3" t="s">
        <v>188</v>
      </c>
      <c r="E64" s="4">
        <v>46000</v>
      </c>
      <c r="F64" s="5">
        <v>997.53300000000002</v>
      </c>
      <c r="G64" s="6">
        <v>5.4209200000000001E-3</v>
      </c>
      <c r="H64" s="109"/>
    </row>
    <row r="65" spans="1:8" ht="17.100000000000001" customHeight="1" x14ac:dyDescent="0.2">
      <c r="A65" s="100">
        <v>59</v>
      </c>
      <c r="B65" s="3" t="s">
        <v>490</v>
      </c>
      <c r="C65" s="3" t="s">
        <v>491</v>
      </c>
      <c r="D65" s="3" t="s">
        <v>203</v>
      </c>
      <c r="E65" s="4">
        <v>410000</v>
      </c>
      <c r="F65" s="5">
        <v>941.77</v>
      </c>
      <c r="G65" s="6">
        <v>5.1178899999999999E-3</v>
      </c>
      <c r="H65" s="109"/>
    </row>
    <row r="66" spans="1:8" ht="17.100000000000001" customHeight="1" x14ac:dyDescent="0.2">
      <c r="A66" s="100">
        <v>60</v>
      </c>
      <c r="B66" s="3" t="s">
        <v>41</v>
      </c>
      <c r="C66" s="3" t="s">
        <v>42</v>
      </c>
      <c r="D66" s="3" t="s">
        <v>28</v>
      </c>
      <c r="E66" s="4">
        <v>420000</v>
      </c>
      <c r="F66" s="5">
        <v>933.45</v>
      </c>
      <c r="G66" s="6">
        <v>5.0726800000000004E-3</v>
      </c>
      <c r="H66" s="109"/>
    </row>
    <row r="67" spans="1:8" ht="17.100000000000001" customHeight="1" x14ac:dyDescent="0.2">
      <c r="A67" s="100">
        <v>61</v>
      </c>
      <c r="B67" s="3" t="s">
        <v>208</v>
      </c>
      <c r="C67" s="3" t="s">
        <v>209</v>
      </c>
      <c r="D67" s="3" t="s">
        <v>210</v>
      </c>
      <c r="E67" s="4">
        <v>342600</v>
      </c>
      <c r="F67" s="5">
        <v>915.59849999999994</v>
      </c>
      <c r="G67" s="6">
        <v>4.9756599999999998E-3</v>
      </c>
      <c r="H67" s="109"/>
    </row>
    <row r="68" spans="1:8" ht="17.100000000000001" customHeight="1" x14ac:dyDescent="0.2">
      <c r="A68" s="100">
        <v>62</v>
      </c>
      <c r="B68" s="3" t="s">
        <v>102</v>
      </c>
      <c r="C68" s="3" t="s">
        <v>103</v>
      </c>
      <c r="D68" s="3" t="s">
        <v>47</v>
      </c>
      <c r="E68" s="4">
        <v>71000</v>
      </c>
      <c r="F68" s="5">
        <v>883.20450000000005</v>
      </c>
      <c r="G68" s="6">
        <v>4.7996200000000001E-3</v>
      </c>
      <c r="H68" s="109"/>
    </row>
    <row r="69" spans="1:8" ht="17.100000000000001" customHeight="1" x14ac:dyDescent="0.2">
      <c r="A69" s="100">
        <v>63</v>
      </c>
      <c r="B69" s="3" t="s">
        <v>545</v>
      </c>
      <c r="C69" s="3" t="s">
        <v>546</v>
      </c>
      <c r="D69" s="3" t="s">
        <v>196</v>
      </c>
      <c r="E69" s="4">
        <v>115000</v>
      </c>
      <c r="F69" s="5">
        <v>851.69</v>
      </c>
      <c r="G69" s="6">
        <v>4.6283599999999998E-3</v>
      </c>
      <c r="H69" s="109"/>
    </row>
    <row r="70" spans="1:8" ht="29.1" customHeight="1" x14ac:dyDescent="0.2">
      <c r="A70" s="100">
        <v>64</v>
      </c>
      <c r="B70" s="3" t="s">
        <v>256</v>
      </c>
      <c r="C70" s="3" t="s">
        <v>257</v>
      </c>
      <c r="D70" s="3" t="s">
        <v>221</v>
      </c>
      <c r="E70" s="4">
        <v>200000</v>
      </c>
      <c r="F70" s="5">
        <v>628.70000000000005</v>
      </c>
      <c r="G70" s="6">
        <v>3.4165599999999999E-3</v>
      </c>
      <c r="H70" s="109"/>
    </row>
    <row r="71" spans="1:8" ht="17.100000000000001" customHeight="1" x14ac:dyDescent="0.2">
      <c r="A71" s="100">
        <v>65</v>
      </c>
      <c r="B71" s="3" t="s">
        <v>104</v>
      </c>
      <c r="C71" s="3" t="s">
        <v>105</v>
      </c>
      <c r="D71" s="3" t="s">
        <v>80</v>
      </c>
      <c r="E71" s="4">
        <v>125372</v>
      </c>
      <c r="F71" s="5">
        <v>561.79193199999997</v>
      </c>
      <c r="G71" s="6">
        <v>3.05296E-3</v>
      </c>
      <c r="H71" s="109"/>
    </row>
    <row r="72" spans="1:8" ht="17.100000000000001" customHeight="1" x14ac:dyDescent="0.2">
      <c r="A72" s="100">
        <v>66</v>
      </c>
      <c r="B72" s="3" t="s">
        <v>538</v>
      </c>
      <c r="C72" s="3" t="s">
        <v>539</v>
      </c>
      <c r="D72" s="3" t="s">
        <v>115</v>
      </c>
      <c r="E72" s="4">
        <v>78929</v>
      </c>
      <c r="F72" s="5">
        <v>503.56702000000001</v>
      </c>
      <c r="G72" s="6">
        <v>2.7365499999999999E-3</v>
      </c>
      <c r="H72" s="109"/>
    </row>
    <row r="73" spans="1:8" ht="17.100000000000001" customHeight="1" x14ac:dyDescent="0.2">
      <c r="A73" s="100">
        <v>67</v>
      </c>
      <c r="B73" s="3" t="s">
        <v>290</v>
      </c>
      <c r="C73" s="3" t="s">
        <v>291</v>
      </c>
      <c r="D73" s="3" t="s">
        <v>115</v>
      </c>
      <c r="E73" s="4">
        <v>14000</v>
      </c>
      <c r="F73" s="5">
        <v>404.69099999999997</v>
      </c>
      <c r="G73" s="6">
        <v>2.19922E-3</v>
      </c>
      <c r="H73" s="109"/>
    </row>
    <row r="74" spans="1:8" ht="14.1" customHeight="1" x14ac:dyDescent="0.2">
      <c r="A74" s="99"/>
      <c r="B74" s="1"/>
      <c r="C74" s="2" t="s">
        <v>135</v>
      </c>
      <c r="D74" s="1"/>
      <c r="E74" s="1" t="s">
        <v>136</v>
      </c>
      <c r="F74" s="8">
        <v>173729.75410950001</v>
      </c>
      <c r="G74" s="9">
        <v>0.94410468000000003</v>
      </c>
      <c r="H74" s="109"/>
    </row>
    <row r="75" spans="1:8" ht="14.1" customHeight="1" x14ac:dyDescent="0.2">
      <c r="A75" s="99"/>
      <c r="B75" s="1"/>
      <c r="C75" s="10"/>
      <c r="D75" s="1"/>
      <c r="E75" s="1"/>
      <c r="F75" s="11"/>
      <c r="G75" s="11"/>
      <c r="H75" s="109"/>
    </row>
    <row r="76" spans="1:8" ht="14.1" customHeight="1" x14ac:dyDescent="0.2">
      <c r="A76" s="99"/>
      <c r="B76" s="1"/>
      <c r="C76" s="2" t="s">
        <v>137</v>
      </c>
      <c r="D76" s="1"/>
      <c r="E76" s="1"/>
      <c r="F76" s="1"/>
      <c r="G76" s="1"/>
      <c r="H76" s="109"/>
    </row>
    <row r="77" spans="1:8" ht="14.1" customHeight="1" x14ac:dyDescent="0.2">
      <c r="A77" s="99"/>
      <c r="B77" s="1"/>
      <c r="C77" s="2" t="s">
        <v>135</v>
      </c>
      <c r="D77" s="1"/>
      <c r="E77" s="1" t="s">
        <v>136</v>
      </c>
      <c r="F77" s="115">
        <v>0</v>
      </c>
      <c r="G77" s="9">
        <v>0</v>
      </c>
      <c r="H77" s="109"/>
    </row>
    <row r="78" spans="1:8" ht="14.1" customHeight="1" x14ac:dyDescent="0.2">
      <c r="A78" s="99"/>
      <c r="B78" s="1"/>
      <c r="C78" s="10"/>
      <c r="D78" s="1"/>
      <c r="E78" s="1"/>
      <c r="F78" s="11"/>
      <c r="G78" s="11"/>
      <c r="H78" s="109"/>
    </row>
    <row r="79" spans="1:8" ht="14.1" customHeight="1" x14ac:dyDescent="0.2">
      <c r="A79" s="99"/>
      <c r="B79" s="1"/>
      <c r="C79" s="2" t="s">
        <v>138</v>
      </c>
      <c r="D79" s="1"/>
      <c r="E79" s="1"/>
      <c r="F79" s="1"/>
      <c r="G79" s="1"/>
      <c r="H79" s="109"/>
    </row>
    <row r="80" spans="1:8" ht="14.1" customHeight="1" x14ac:dyDescent="0.2">
      <c r="A80" s="99"/>
      <c r="B80" s="1"/>
      <c r="C80" s="2" t="s">
        <v>135</v>
      </c>
      <c r="D80" s="1"/>
      <c r="E80" s="1" t="s">
        <v>136</v>
      </c>
      <c r="F80" s="115">
        <v>0</v>
      </c>
      <c r="G80" s="9">
        <v>0</v>
      </c>
      <c r="H80" s="109"/>
    </row>
    <row r="81" spans="1:9" ht="14.1" customHeight="1" x14ac:dyDescent="0.2">
      <c r="A81" s="99"/>
      <c r="B81" s="1"/>
      <c r="C81" s="10"/>
      <c r="D81" s="1"/>
      <c r="E81" s="1"/>
      <c r="F81" s="11"/>
      <c r="G81" s="11"/>
      <c r="H81" s="109"/>
    </row>
    <row r="82" spans="1:9" ht="14.1" customHeight="1" x14ac:dyDescent="0.2">
      <c r="A82" s="99"/>
      <c r="B82" s="1"/>
      <c r="C82" s="2" t="s">
        <v>139</v>
      </c>
      <c r="D82" s="1"/>
      <c r="E82" s="1"/>
      <c r="F82" s="1"/>
      <c r="G82" s="1"/>
      <c r="H82" s="109"/>
    </row>
    <row r="83" spans="1:9" ht="14.1" customHeight="1" x14ac:dyDescent="0.2">
      <c r="A83" s="99"/>
      <c r="B83" s="1"/>
      <c r="C83" s="2" t="s">
        <v>135</v>
      </c>
      <c r="D83" s="1"/>
      <c r="E83" s="1" t="s">
        <v>136</v>
      </c>
      <c r="F83" s="115">
        <v>0</v>
      </c>
      <c r="G83" s="9">
        <v>0</v>
      </c>
      <c r="H83" s="109"/>
    </row>
    <row r="84" spans="1:9" ht="14.1" customHeight="1" x14ac:dyDescent="0.2">
      <c r="A84" s="99"/>
      <c r="B84" s="1"/>
      <c r="C84" s="10"/>
      <c r="D84" s="1"/>
      <c r="E84" s="1"/>
      <c r="F84" s="11"/>
      <c r="G84" s="11"/>
      <c r="H84" s="109"/>
    </row>
    <row r="85" spans="1:9" ht="14.1" customHeight="1" x14ac:dyDescent="0.2">
      <c r="A85" s="99"/>
      <c r="B85" s="1"/>
      <c r="C85" s="2" t="s">
        <v>140</v>
      </c>
      <c r="D85" s="1"/>
      <c r="E85" s="1"/>
      <c r="F85" s="11"/>
      <c r="G85" s="11"/>
      <c r="H85" s="109"/>
    </row>
    <row r="86" spans="1:9" ht="14.1" customHeight="1" x14ac:dyDescent="0.2">
      <c r="A86" s="99"/>
      <c r="B86" s="1"/>
      <c r="C86" s="2" t="s">
        <v>135</v>
      </c>
      <c r="D86" s="1"/>
      <c r="E86" s="1" t="s">
        <v>136</v>
      </c>
      <c r="F86" s="115">
        <v>0</v>
      </c>
      <c r="G86" s="9">
        <v>0</v>
      </c>
      <c r="H86" s="109"/>
    </row>
    <row r="87" spans="1:9" ht="14.1" customHeight="1" x14ac:dyDescent="0.2">
      <c r="A87" s="99"/>
      <c r="B87" s="1"/>
      <c r="C87" s="10"/>
      <c r="D87" s="1"/>
      <c r="E87" s="1"/>
      <c r="F87" s="11"/>
      <c r="G87" s="11"/>
      <c r="H87" s="109"/>
    </row>
    <row r="88" spans="1:9" ht="14.1" customHeight="1" x14ac:dyDescent="0.2">
      <c r="A88" s="99"/>
      <c r="B88" s="1"/>
      <c r="C88" s="2" t="s">
        <v>141</v>
      </c>
      <c r="D88" s="1"/>
      <c r="E88" s="1"/>
      <c r="F88" s="11"/>
      <c r="G88" s="11"/>
      <c r="H88" s="109"/>
      <c r="I88" s="172"/>
    </row>
    <row r="89" spans="1:9" ht="14.1" customHeight="1" x14ac:dyDescent="0.2">
      <c r="A89" s="99"/>
      <c r="B89" s="1"/>
      <c r="C89" s="2" t="s">
        <v>135</v>
      </c>
      <c r="D89" s="1"/>
      <c r="E89" s="1" t="s">
        <v>136</v>
      </c>
      <c r="F89" s="115">
        <v>0</v>
      </c>
      <c r="G89" s="9">
        <v>0</v>
      </c>
      <c r="H89" s="109"/>
    </row>
    <row r="90" spans="1:9" ht="14.1" customHeight="1" x14ac:dyDescent="0.2">
      <c r="A90" s="99"/>
      <c r="B90" s="1"/>
      <c r="C90" s="10"/>
      <c r="D90" s="1"/>
      <c r="E90" s="1"/>
      <c r="F90" s="11"/>
      <c r="G90" s="11"/>
      <c r="H90" s="109"/>
    </row>
    <row r="91" spans="1:9" ht="18" customHeight="1" x14ac:dyDescent="0.2">
      <c r="A91" s="99"/>
      <c r="B91" s="1"/>
      <c r="C91" s="2" t="s">
        <v>142</v>
      </c>
      <c r="D91" s="1"/>
      <c r="E91" s="1"/>
      <c r="F91" s="8">
        <v>173729.75410950001</v>
      </c>
      <c r="G91" s="9">
        <v>0.94410468000000003</v>
      </c>
      <c r="H91" s="109"/>
      <c r="I91" s="172"/>
    </row>
    <row r="92" spans="1:9" ht="14.1" customHeight="1" x14ac:dyDescent="0.2">
      <c r="A92" s="99"/>
      <c r="B92" s="1"/>
      <c r="C92" s="10"/>
      <c r="D92" s="1"/>
      <c r="E92" s="1"/>
      <c r="F92" s="11"/>
      <c r="G92" s="11"/>
      <c r="H92" s="109"/>
    </row>
    <row r="93" spans="1:9" ht="14.1" customHeight="1" x14ac:dyDescent="0.2">
      <c r="A93" s="99"/>
      <c r="B93" s="1"/>
      <c r="C93" s="2" t="s">
        <v>143</v>
      </c>
      <c r="D93" s="1"/>
      <c r="E93" s="1"/>
      <c r="F93" s="11"/>
      <c r="G93" s="11"/>
      <c r="H93" s="109"/>
    </row>
    <row r="94" spans="1:9" ht="24" customHeight="1" x14ac:dyDescent="0.2">
      <c r="A94" s="99"/>
      <c r="B94" s="1"/>
      <c r="C94" s="2" t="s">
        <v>10</v>
      </c>
      <c r="D94" s="1"/>
      <c r="E94" s="1"/>
      <c r="F94" s="11"/>
      <c r="G94" s="11"/>
      <c r="H94" s="109"/>
    </row>
    <row r="95" spans="1:9" ht="14.1" customHeight="1" x14ac:dyDescent="0.2">
      <c r="A95" s="99"/>
      <c r="B95" s="1"/>
      <c r="C95" s="2" t="s">
        <v>135</v>
      </c>
      <c r="D95" s="1"/>
      <c r="E95" s="1" t="s">
        <v>136</v>
      </c>
      <c r="F95" s="115">
        <v>0</v>
      </c>
      <c r="G95" s="9">
        <v>0</v>
      </c>
      <c r="H95" s="109"/>
    </row>
    <row r="96" spans="1:9" ht="14.1" customHeight="1" x14ac:dyDescent="0.2">
      <c r="A96" s="99"/>
      <c r="B96" s="1"/>
      <c r="C96" s="10"/>
      <c r="D96" s="1"/>
      <c r="E96" s="1"/>
      <c r="F96" s="11"/>
      <c r="G96" s="11"/>
      <c r="H96" s="109"/>
    </row>
    <row r="97" spans="1:8" ht="14.1" customHeight="1" x14ac:dyDescent="0.2">
      <c r="A97" s="99"/>
      <c r="B97" s="1"/>
      <c r="C97" s="2" t="s">
        <v>144</v>
      </c>
      <c r="D97" s="1"/>
      <c r="E97" s="1"/>
      <c r="F97" s="1"/>
      <c r="G97" s="1"/>
      <c r="H97" s="109"/>
    </row>
    <row r="98" spans="1:8" ht="14.1" customHeight="1" x14ac:dyDescent="0.2">
      <c r="A98" s="99"/>
      <c r="B98" s="1"/>
      <c r="C98" s="2" t="s">
        <v>135</v>
      </c>
      <c r="D98" s="1"/>
      <c r="E98" s="1" t="s">
        <v>136</v>
      </c>
      <c r="F98" s="115">
        <v>0</v>
      </c>
      <c r="G98" s="9">
        <v>0</v>
      </c>
      <c r="H98" s="109"/>
    </row>
    <row r="99" spans="1:8" ht="14.1" customHeight="1" x14ac:dyDescent="0.2">
      <c r="A99" s="99"/>
      <c r="B99" s="1"/>
      <c r="C99" s="10"/>
      <c r="D99" s="1"/>
      <c r="E99" s="1"/>
      <c r="F99" s="11"/>
      <c r="G99" s="11"/>
      <c r="H99" s="109"/>
    </row>
    <row r="100" spans="1:8" ht="14.1" customHeight="1" x14ac:dyDescent="0.2">
      <c r="A100" s="99"/>
      <c r="B100" s="1"/>
      <c r="C100" s="2" t="s">
        <v>145</v>
      </c>
      <c r="D100" s="1"/>
      <c r="E100" s="1"/>
      <c r="F100" s="1"/>
      <c r="G100" s="1"/>
      <c r="H100" s="109"/>
    </row>
    <row r="101" spans="1:8" ht="14.1" customHeight="1" x14ac:dyDescent="0.2">
      <c r="A101" s="99"/>
      <c r="B101" s="1"/>
      <c r="C101" s="2" t="s">
        <v>135</v>
      </c>
      <c r="D101" s="1"/>
      <c r="E101" s="1" t="s">
        <v>136</v>
      </c>
      <c r="F101" s="115">
        <v>0</v>
      </c>
      <c r="G101" s="9">
        <v>0</v>
      </c>
      <c r="H101" s="109"/>
    </row>
    <row r="102" spans="1:8" ht="14.1" customHeight="1" x14ac:dyDescent="0.2">
      <c r="A102" s="99"/>
      <c r="B102" s="1"/>
      <c r="C102" s="10"/>
      <c r="D102" s="1"/>
      <c r="E102" s="1"/>
      <c r="F102" s="11"/>
      <c r="G102" s="11"/>
      <c r="H102" s="109"/>
    </row>
    <row r="103" spans="1:8" ht="14.1" customHeight="1" x14ac:dyDescent="0.2">
      <c r="A103" s="99"/>
      <c r="B103" s="1"/>
      <c r="C103" s="2" t="s">
        <v>146</v>
      </c>
      <c r="D103" s="1"/>
      <c r="E103" s="1"/>
      <c r="F103" s="11"/>
      <c r="G103" s="11"/>
      <c r="H103" s="109"/>
    </row>
    <row r="104" spans="1:8" ht="14.1" customHeight="1" x14ac:dyDescent="0.2">
      <c r="A104" s="99"/>
      <c r="B104" s="1"/>
      <c r="C104" s="2" t="s">
        <v>135</v>
      </c>
      <c r="D104" s="1"/>
      <c r="E104" s="1" t="s">
        <v>136</v>
      </c>
      <c r="F104" s="115">
        <v>0</v>
      </c>
      <c r="G104" s="9">
        <v>0</v>
      </c>
      <c r="H104" s="109"/>
    </row>
    <row r="105" spans="1:8" ht="14.1" customHeight="1" x14ac:dyDescent="0.2">
      <c r="A105" s="99"/>
      <c r="B105" s="1"/>
      <c r="C105" s="10"/>
      <c r="D105" s="1"/>
      <c r="E105" s="1"/>
      <c r="F105" s="11"/>
      <c r="G105" s="11"/>
      <c r="H105" s="109"/>
    </row>
    <row r="106" spans="1:8" ht="14.1" customHeight="1" x14ac:dyDescent="0.2">
      <c r="A106" s="99"/>
      <c r="B106" s="1"/>
      <c r="C106" s="2" t="s">
        <v>147</v>
      </c>
      <c r="D106" s="1"/>
      <c r="E106" s="1"/>
      <c r="F106" s="8">
        <v>0</v>
      </c>
      <c r="G106" s="9">
        <v>0</v>
      </c>
      <c r="H106" s="109"/>
    </row>
    <row r="107" spans="1:8" ht="14.1" customHeight="1" x14ac:dyDescent="0.2">
      <c r="A107" s="99"/>
      <c r="B107" s="1"/>
      <c r="C107" s="10"/>
      <c r="D107" s="1"/>
      <c r="E107" s="1"/>
      <c r="F107" s="11"/>
      <c r="G107" s="11"/>
      <c r="H107" s="109"/>
    </row>
    <row r="108" spans="1:8" ht="14.1" customHeight="1" x14ac:dyDescent="0.2">
      <c r="A108" s="99"/>
      <c r="B108" s="1"/>
      <c r="C108" s="2" t="s">
        <v>148</v>
      </c>
      <c r="D108" s="1"/>
      <c r="E108" s="1"/>
      <c r="F108" s="11"/>
      <c r="G108" s="11"/>
      <c r="H108" s="109"/>
    </row>
    <row r="109" spans="1:8" ht="14.1" customHeight="1" x14ac:dyDescent="0.2">
      <c r="A109" s="99"/>
      <c r="B109" s="1"/>
      <c r="C109" s="2" t="s">
        <v>149</v>
      </c>
      <c r="D109" s="1"/>
      <c r="E109" s="1"/>
      <c r="F109" s="11"/>
      <c r="G109" s="11"/>
      <c r="H109" s="109"/>
    </row>
    <row r="110" spans="1:8" ht="14.1" customHeight="1" x14ac:dyDescent="0.2">
      <c r="A110" s="99"/>
      <c r="B110" s="1"/>
      <c r="C110" s="2" t="s">
        <v>135</v>
      </c>
      <c r="D110" s="1"/>
      <c r="E110" s="1" t="s">
        <v>136</v>
      </c>
      <c r="F110" s="115">
        <v>0</v>
      </c>
      <c r="G110" s="9">
        <v>0</v>
      </c>
      <c r="H110" s="109"/>
    </row>
    <row r="111" spans="1:8" ht="14.1" customHeight="1" x14ac:dyDescent="0.2">
      <c r="A111" s="99"/>
      <c r="B111" s="1"/>
      <c r="C111" s="10"/>
      <c r="D111" s="1"/>
      <c r="E111" s="1"/>
      <c r="F111" s="11"/>
      <c r="G111" s="11"/>
      <c r="H111" s="109"/>
    </row>
    <row r="112" spans="1:8" ht="14.1" customHeight="1" x14ac:dyDescent="0.2">
      <c r="A112" s="99"/>
      <c r="B112" s="1"/>
      <c r="C112" s="2" t="s">
        <v>150</v>
      </c>
      <c r="D112" s="1"/>
      <c r="E112" s="1"/>
      <c r="F112" s="11"/>
      <c r="G112" s="11"/>
      <c r="H112" s="109"/>
    </row>
    <row r="113" spans="1:8" ht="14.1" customHeight="1" x14ac:dyDescent="0.2">
      <c r="A113" s="99"/>
      <c r="B113" s="1"/>
      <c r="C113" s="2" t="s">
        <v>135</v>
      </c>
      <c r="D113" s="1"/>
      <c r="E113" s="1" t="s">
        <v>136</v>
      </c>
      <c r="F113" s="115">
        <v>0</v>
      </c>
      <c r="G113" s="9">
        <v>0</v>
      </c>
      <c r="H113" s="109"/>
    </row>
    <row r="114" spans="1:8" ht="14.1" customHeight="1" x14ac:dyDescent="0.2">
      <c r="A114" s="99"/>
      <c r="B114" s="1"/>
      <c r="C114" s="10"/>
      <c r="D114" s="1"/>
      <c r="E114" s="1"/>
      <c r="F114" s="11"/>
      <c r="G114" s="11"/>
      <c r="H114" s="109"/>
    </row>
    <row r="115" spans="1:8" ht="14.1" customHeight="1" x14ac:dyDescent="0.2">
      <c r="A115" s="99"/>
      <c r="B115" s="1"/>
      <c r="C115" s="2" t="s">
        <v>151</v>
      </c>
      <c r="D115" s="1"/>
      <c r="E115" s="1"/>
      <c r="F115" s="11"/>
      <c r="G115" s="11"/>
      <c r="H115" s="109"/>
    </row>
    <row r="116" spans="1:8" ht="14.1" customHeight="1" x14ac:dyDescent="0.2">
      <c r="A116" s="99"/>
      <c r="B116" s="1"/>
      <c r="C116" s="2" t="s">
        <v>135</v>
      </c>
      <c r="D116" s="1"/>
      <c r="E116" s="1" t="s">
        <v>136</v>
      </c>
      <c r="F116" s="115">
        <v>0</v>
      </c>
      <c r="G116" s="9">
        <v>0</v>
      </c>
      <c r="H116" s="109"/>
    </row>
    <row r="117" spans="1:8" ht="14.1" customHeight="1" x14ac:dyDescent="0.2">
      <c r="A117" s="99"/>
      <c r="B117" s="1"/>
      <c r="C117" s="10"/>
      <c r="D117" s="1"/>
      <c r="E117" s="1"/>
      <c r="F117" s="11"/>
      <c r="G117" s="11"/>
      <c r="H117" s="109"/>
    </row>
    <row r="118" spans="1:8" ht="14.1" customHeight="1" x14ac:dyDescent="0.2">
      <c r="A118" s="99"/>
      <c r="B118" s="1"/>
      <c r="C118" s="2" t="s">
        <v>152</v>
      </c>
      <c r="D118" s="1"/>
      <c r="E118" s="1"/>
      <c r="F118" s="11"/>
      <c r="G118" s="11"/>
      <c r="H118" s="109"/>
    </row>
    <row r="119" spans="1:8" ht="17.100000000000001" customHeight="1" x14ac:dyDescent="0.2">
      <c r="A119" s="100">
        <v>1</v>
      </c>
      <c r="B119" s="3"/>
      <c r="C119" s="3" t="s">
        <v>153</v>
      </c>
      <c r="D119" s="3"/>
      <c r="E119" s="7"/>
      <c r="F119" s="5">
        <v>10564.589997042</v>
      </c>
      <c r="G119" s="6">
        <v>5.7411459999999997E-2</v>
      </c>
      <c r="H119" s="109">
        <v>6.6015165706411798</v>
      </c>
    </row>
    <row r="120" spans="1:8" ht="14.1" customHeight="1" x14ac:dyDescent="0.2">
      <c r="A120" s="99"/>
      <c r="B120" s="1"/>
      <c r="C120" s="2" t="s">
        <v>135</v>
      </c>
      <c r="D120" s="1"/>
      <c r="E120" s="1" t="s">
        <v>136</v>
      </c>
      <c r="F120" s="8">
        <v>10564.589997042</v>
      </c>
      <c r="G120" s="9">
        <v>5.7411459999999997E-2</v>
      </c>
      <c r="H120" s="109"/>
    </row>
    <row r="121" spans="1:8" ht="14.1" customHeight="1" x14ac:dyDescent="0.2">
      <c r="A121" s="99"/>
      <c r="B121" s="1"/>
      <c r="C121" s="10"/>
      <c r="D121" s="1"/>
      <c r="E121" s="1"/>
      <c r="F121" s="11"/>
      <c r="G121" s="11"/>
      <c r="H121" s="109"/>
    </row>
    <row r="122" spans="1:8" ht="14.1" customHeight="1" x14ac:dyDescent="0.2">
      <c r="A122" s="99"/>
      <c r="B122" s="1"/>
      <c r="C122" s="2" t="s">
        <v>154</v>
      </c>
      <c r="D122" s="1"/>
      <c r="E122" s="1"/>
      <c r="F122" s="8">
        <v>10564.589997042</v>
      </c>
      <c r="G122" s="9">
        <v>5.7411459999999997E-2</v>
      </c>
      <c r="H122" s="109"/>
    </row>
    <row r="123" spans="1:8" ht="14.1" customHeight="1" x14ac:dyDescent="0.2">
      <c r="A123" s="99"/>
      <c r="B123" s="1"/>
      <c r="C123" s="11"/>
      <c r="D123" s="1"/>
      <c r="E123" s="1"/>
      <c r="F123" s="1"/>
      <c r="G123" s="1"/>
      <c r="H123" s="109"/>
    </row>
    <row r="124" spans="1:8" ht="14.1" customHeight="1" x14ac:dyDescent="0.2">
      <c r="A124" s="99"/>
      <c r="B124" s="1"/>
      <c r="C124" s="2" t="s">
        <v>155</v>
      </c>
      <c r="D124" s="1"/>
      <c r="E124" s="1"/>
      <c r="F124" s="1"/>
      <c r="G124" s="1"/>
      <c r="H124" s="109"/>
    </row>
    <row r="125" spans="1:8" ht="14.1" customHeight="1" x14ac:dyDescent="0.2">
      <c r="A125" s="99"/>
      <c r="B125" s="1"/>
      <c r="C125" s="2" t="s">
        <v>156</v>
      </c>
      <c r="D125" s="1"/>
      <c r="E125" s="1"/>
      <c r="F125" s="1"/>
      <c r="G125" s="1"/>
      <c r="H125" s="109"/>
    </row>
    <row r="126" spans="1:8" ht="14.1" customHeight="1" x14ac:dyDescent="0.2">
      <c r="A126" s="99"/>
      <c r="B126" s="1"/>
      <c r="C126" s="2" t="s">
        <v>135</v>
      </c>
      <c r="D126" s="1"/>
      <c r="E126" s="1" t="s">
        <v>136</v>
      </c>
      <c r="F126" s="115">
        <v>0</v>
      </c>
      <c r="G126" s="9">
        <v>0</v>
      </c>
      <c r="H126" s="109"/>
    </row>
    <row r="127" spans="1:8" ht="14.1" customHeight="1" x14ac:dyDescent="0.2">
      <c r="A127" s="99"/>
      <c r="B127" s="1"/>
      <c r="C127" s="10"/>
      <c r="D127" s="1"/>
      <c r="E127" s="1"/>
      <c r="F127" s="11"/>
      <c r="G127" s="11"/>
      <c r="H127" s="109"/>
    </row>
    <row r="128" spans="1:8" ht="14.1" customHeight="1" x14ac:dyDescent="0.2">
      <c r="A128" s="99"/>
      <c r="B128" s="1"/>
      <c r="C128" s="2" t="s">
        <v>157</v>
      </c>
      <c r="D128" s="1"/>
      <c r="E128" s="1"/>
      <c r="F128" s="1"/>
      <c r="G128" s="1"/>
      <c r="H128" s="109"/>
    </row>
    <row r="129" spans="1:8" ht="14.1" customHeight="1" x14ac:dyDescent="0.2">
      <c r="A129" s="99"/>
      <c r="B129" s="1"/>
      <c r="C129" s="2" t="s">
        <v>158</v>
      </c>
      <c r="D129" s="1"/>
      <c r="E129" s="1"/>
      <c r="F129" s="1"/>
      <c r="G129" s="1"/>
      <c r="H129" s="109"/>
    </row>
    <row r="130" spans="1:8" ht="14.1" customHeight="1" x14ac:dyDescent="0.2">
      <c r="A130" s="99"/>
      <c r="B130" s="1"/>
      <c r="C130" s="2" t="s">
        <v>135</v>
      </c>
      <c r="D130" s="1"/>
      <c r="E130" s="1" t="s">
        <v>136</v>
      </c>
      <c r="F130" s="115">
        <v>0</v>
      </c>
      <c r="G130" s="9">
        <v>0</v>
      </c>
      <c r="H130" s="109"/>
    </row>
    <row r="131" spans="1:8" ht="14.1" customHeight="1" x14ac:dyDescent="0.2">
      <c r="A131" s="99"/>
      <c r="B131" s="1"/>
      <c r="C131" s="10"/>
      <c r="D131" s="1"/>
      <c r="E131" s="1"/>
      <c r="F131" s="11"/>
      <c r="G131" s="11"/>
      <c r="H131" s="109"/>
    </row>
    <row r="132" spans="1:8" ht="24" customHeight="1" x14ac:dyDescent="0.2">
      <c r="A132" s="99"/>
      <c r="B132" s="1"/>
      <c r="C132" s="2" t="s">
        <v>159</v>
      </c>
      <c r="D132" s="1"/>
      <c r="E132" s="1"/>
      <c r="F132" s="11"/>
      <c r="G132" s="11"/>
      <c r="H132" s="109"/>
    </row>
    <row r="133" spans="1:8" ht="14.1" customHeight="1" x14ac:dyDescent="0.2">
      <c r="A133" s="99"/>
      <c r="B133" s="1"/>
      <c r="C133" s="2" t="s">
        <v>135</v>
      </c>
      <c r="D133" s="1"/>
      <c r="E133" s="1" t="s">
        <v>136</v>
      </c>
      <c r="F133" s="115">
        <v>0</v>
      </c>
      <c r="G133" s="9">
        <v>0</v>
      </c>
      <c r="H133" s="109"/>
    </row>
    <row r="134" spans="1:8" ht="14.1" customHeight="1" x14ac:dyDescent="0.2">
      <c r="A134" s="99"/>
      <c r="B134" s="1"/>
      <c r="C134" s="10"/>
      <c r="D134" s="1"/>
      <c r="E134" s="1"/>
      <c r="F134" s="11"/>
      <c r="G134" s="11"/>
      <c r="H134" s="109"/>
    </row>
    <row r="135" spans="1:8" ht="14.1" customHeight="1" x14ac:dyDescent="0.2">
      <c r="A135" s="99"/>
      <c r="B135" s="3"/>
      <c r="C135" s="3"/>
      <c r="D135" s="2"/>
      <c r="E135" s="1"/>
      <c r="F135" s="3"/>
      <c r="G135" s="7"/>
      <c r="H135" s="109"/>
    </row>
    <row r="136" spans="1:8" ht="18" customHeight="1" x14ac:dyDescent="0.2">
      <c r="A136" s="101"/>
      <c r="B136" s="3"/>
      <c r="C136" s="3" t="s">
        <v>160</v>
      </c>
      <c r="D136" s="3"/>
      <c r="E136" s="7"/>
      <c r="F136" s="5">
        <v>-278.99164816000001</v>
      </c>
      <c r="G136" s="6">
        <v>-1.5161300000000001E-3</v>
      </c>
      <c r="H136" s="109"/>
    </row>
    <row r="137" spans="1:8" ht="14.1" customHeight="1" x14ac:dyDescent="0.2">
      <c r="A137" s="102"/>
      <c r="B137" s="10"/>
      <c r="C137" s="2" t="s">
        <v>161</v>
      </c>
      <c r="D137" s="11"/>
      <c r="E137" s="11"/>
      <c r="F137" s="8">
        <v>184015.352458382</v>
      </c>
      <c r="G137" s="12">
        <v>1.0000000099999999</v>
      </c>
      <c r="H137" s="109"/>
    </row>
    <row r="138" spans="1:8" ht="14.1" customHeight="1" x14ac:dyDescent="0.2">
      <c r="A138" s="13"/>
      <c r="B138" s="13"/>
      <c r="C138" s="13"/>
      <c r="D138" s="14"/>
      <c r="E138" s="14"/>
      <c r="F138" s="14"/>
      <c r="G138" s="14"/>
    </row>
    <row r="139" spans="1:8" ht="14.1" customHeight="1" x14ac:dyDescent="0.2">
      <c r="A139" s="15"/>
      <c r="B139" s="15"/>
      <c r="C139" s="15"/>
      <c r="D139" s="17"/>
      <c r="E139" s="17"/>
      <c r="F139" s="17"/>
      <c r="G139" s="17"/>
    </row>
    <row r="140" spans="1:8" ht="14.1" customHeight="1" x14ac:dyDescent="0.2">
      <c r="A140" s="15"/>
      <c r="B140" s="194" t="s">
        <v>163</v>
      </c>
      <c r="C140" s="195"/>
      <c r="D140" s="196"/>
      <c r="E140" s="18"/>
      <c r="F140" s="17"/>
      <c r="G140" s="17"/>
    </row>
    <row r="141" spans="1:8" ht="29.1" customHeight="1" x14ac:dyDescent="0.2">
      <c r="A141" s="15"/>
      <c r="B141" s="191" t="s">
        <v>164</v>
      </c>
      <c r="C141" s="192"/>
      <c r="D141" s="2" t="s">
        <v>165</v>
      </c>
      <c r="E141" s="18"/>
      <c r="F141" s="17"/>
      <c r="G141" s="17"/>
    </row>
    <row r="142" spans="1:8" ht="17.100000000000001" customHeight="1" x14ac:dyDescent="0.2">
      <c r="A142" s="15"/>
      <c r="B142" s="191" t="s">
        <v>166</v>
      </c>
      <c r="C142" s="192"/>
      <c r="D142" s="2" t="s">
        <v>165</v>
      </c>
      <c r="E142" s="18"/>
      <c r="F142" s="17"/>
      <c r="G142" s="17"/>
    </row>
    <row r="143" spans="1:8" ht="17.100000000000001" customHeight="1" x14ac:dyDescent="0.2">
      <c r="A143" s="15"/>
      <c r="B143" s="191" t="s">
        <v>167</v>
      </c>
      <c r="C143" s="192"/>
      <c r="D143" s="11" t="s">
        <v>136</v>
      </c>
      <c r="E143" s="18"/>
      <c r="F143" s="17"/>
      <c r="G143" s="17"/>
    </row>
    <row r="144" spans="1:8" ht="24" customHeight="1" x14ac:dyDescent="0.2">
      <c r="A144" s="19"/>
      <c r="B144" s="20" t="s">
        <v>136</v>
      </c>
      <c r="C144" s="20" t="s">
        <v>168</v>
      </c>
      <c r="D144" s="20" t="s">
        <v>169</v>
      </c>
      <c r="E144" s="19"/>
      <c r="F144" s="19"/>
      <c r="G144" s="19"/>
    </row>
    <row r="145" spans="1:7" ht="18" customHeight="1" x14ac:dyDescent="0.2">
      <c r="A145" s="19"/>
      <c r="B145" s="21" t="s">
        <v>170</v>
      </c>
      <c r="C145" s="20" t="s">
        <v>171</v>
      </c>
      <c r="D145" s="20" t="s">
        <v>172</v>
      </c>
      <c r="E145" s="19"/>
      <c r="F145" s="19"/>
      <c r="G145" s="19"/>
    </row>
    <row r="146" spans="1:7" ht="17.100000000000001" customHeight="1" x14ac:dyDescent="0.2">
      <c r="A146" s="19"/>
      <c r="B146" s="3" t="s">
        <v>173</v>
      </c>
      <c r="C146" s="22">
        <v>9.8718000000000004</v>
      </c>
      <c r="D146" s="22">
        <v>9.7124000000000006</v>
      </c>
      <c r="E146" s="19"/>
      <c r="F146" s="16"/>
      <c r="G146" s="23"/>
    </row>
    <row r="147" spans="1:7" ht="17.100000000000001" customHeight="1" x14ac:dyDescent="0.2">
      <c r="A147" s="19"/>
      <c r="B147" s="3" t="s">
        <v>994</v>
      </c>
      <c r="C147" s="22">
        <v>9.8718000000000004</v>
      </c>
      <c r="D147" s="22">
        <v>9.7124000000000006</v>
      </c>
      <c r="E147" s="19"/>
      <c r="F147" s="16"/>
      <c r="G147" s="23"/>
    </row>
    <row r="148" spans="1:7" ht="17.100000000000001" customHeight="1" x14ac:dyDescent="0.2">
      <c r="A148" s="19"/>
      <c r="B148" s="3" t="s">
        <v>174</v>
      </c>
      <c r="C148" s="22">
        <v>9.7979000000000003</v>
      </c>
      <c r="D148" s="22">
        <v>9.6259999999999994</v>
      </c>
      <c r="E148" s="19"/>
      <c r="F148" s="16"/>
      <c r="G148" s="23"/>
    </row>
    <row r="149" spans="1:7" ht="17.100000000000001" customHeight="1" x14ac:dyDescent="0.2">
      <c r="A149" s="19"/>
      <c r="B149" s="3" t="s">
        <v>995</v>
      </c>
      <c r="C149" s="22">
        <v>9.7979000000000003</v>
      </c>
      <c r="D149" s="22">
        <v>9.6258999999999997</v>
      </c>
      <c r="E149" s="19"/>
      <c r="F149" s="16"/>
      <c r="G149" s="23"/>
    </row>
    <row r="150" spans="1:7" ht="14.1" customHeight="1" x14ac:dyDescent="0.2">
      <c r="A150" s="19"/>
      <c r="B150" s="19"/>
      <c r="C150" s="19"/>
      <c r="D150" s="19"/>
      <c r="E150" s="19"/>
      <c r="F150" s="19"/>
      <c r="G150" s="19"/>
    </row>
    <row r="151" spans="1:7" ht="17.100000000000001" customHeight="1" x14ac:dyDescent="0.2">
      <c r="A151" s="19"/>
      <c r="B151" s="191" t="s">
        <v>1044</v>
      </c>
      <c r="C151" s="192"/>
      <c r="D151" s="2" t="s">
        <v>165</v>
      </c>
      <c r="E151" s="19"/>
      <c r="F151" s="19"/>
      <c r="G151" s="19"/>
    </row>
    <row r="152" spans="1:7" ht="18" customHeight="1" x14ac:dyDescent="0.2">
      <c r="A152" s="19"/>
      <c r="B152" s="24"/>
      <c r="C152" s="24"/>
      <c r="D152" s="24"/>
      <c r="E152" s="19"/>
      <c r="F152" s="19"/>
      <c r="G152" s="19"/>
    </row>
    <row r="153" spans="1:7" ht="29.1" customHeight="1" x14ac:dyDescent="0.2">
      <c r="A153" s="19"/>
      <c r="B153" s="191" t="s">
        <v>175</v>
      </c>
      <c r="C153" s="192"/>
      <c r="D153" s="2" t="s">
        <v>165</v>
      </c>
      <c r="E153" s="25"/>
      <c r="F153" s="19"/>
      <c r="G153" s="19"/>
    </row>
    <row r="154" spans="1:7" ht="29.1" customHeight="1" x14ac:dyDescent="0.2">
      <c r="A154" s="19"/>
      <c r="B154" s="191" t="s">
        <v>176</v>
      </c>
      <c r="C154" s="192"/>
      <c r="D154" s="2" t="s">
        <v>165</v>
      </c>
      <c r="E154" s="25"/>
      <c r="F154" s="19"/>
      <c r="G154" s="19"/>
    </row>
    <row r="155" spans="1:7" ht="17.100000000000001" customHeight="1" x14ac:dyDescent="0.2">
      <c r="A155" s="19"/>
      <c r="B155" s="191" t="s">
        <v>177</v>
      </c>
      <c r="C155" s="192"/>
      <c r="D155" s="2" t="s">
        <v>165</v>
      </c>
      <c r="E155" s="25"/>
      <c r="F155" s="19"/>
      <c r="G155" s="19"/>
    </row>
    <row r="156" spans="1:7" ht="17.100000000000001" customHeight="1" x14ac:dyDescent="0.2">
      <c r="A156" s="19"/>
      <c r="B156" s="191" t="s">
        <v>178</v>
      </c>
      <c r="C156" s="192"/>
      <c r="D156" s="26">
        <v>0.41309181397594885</v>
      </c>
      <c r="E156" s="19"/>
      <c r="F156" s="16"/>
      <c r="G156" s="23"/>
    </row>
    <row r="157" spans="1:7" ht="14.1" customHeight="1" x14ac:dyDescent="0.2">
      <c r="A157" s="24"/>
      <c r="B157" s="24"/>
      <c r="C157" s="24"/>
      <c r="D157" s="24"/>
      <c r="E157" s="24"/>
      <c r="F157" s="24"/>
      <c r="G157" s="24"/>
    </row>
    <row r="204" spans="9:9" x14ac:dyDescent="0.2">
      <c r="I204" s="111"/>
    </row>
    <row r="205" spans="9:9" x14ac:dyDescent="0.2">
      <c r="I205" s="111"/>
    </row>
    <row r="206" spans="9:9" x14ac:dyDescent="0.2">
      <c r="I206" s="111"/>
    </row>
    <row r="207" spans="9:9" x14ac:dyDescent="0.2">
      <c r="I207" s="111"/>
    </row>
    <row r="209" spans="9:9" x14ac:dyDescent="0.2">
      <c r="I209" s="172"/>
    </row>
    <row r="210" spans="9:9" x14ac:dyDescent="0.2">
      <c r="I210" s="111"/>
    </row>
    <row r="211" spans="9:9" x14ac:dyDescent="0.2">
      <c r="I211" s="111"/>
    </row>
    <row r="212" spans="9:9" x14ac:dyDescent="0.2">
      <c r="I212" s="111"/>
    </row>
    <row r="213" spans="9:9" x14ac:dyDescent="0.2">
      <c r="I213" s="111"/>
    </row>
    <row r="214" spans="9:9" ht="15" x14ac:dyDescent="0.2">
      <c r="I214" s="173"/>
    </row>
    <row r="215" spans="9:9" ht="15" x14ac:dyDescent="0.25">
      <c r="I215" s="174"/>
    </row>
    <row r="216" spans="9:9" x14ac:dyDescent="0.2">
      <c r="I216" s="111"/>
    </row>
  </sheetData>
  <mergeCells count="13">
    <mergeCell ref="J2:N2"/>
    <mergeCell ref="B142:C142"/>
    <mergeCell ref="B143:C143"/>
    <mergeCell ref="B140:D140"/>
    <mergeCell ref="B141:C141"/>
    <mergeCell ref="A1:H1"/>
    <mergeCell ref="A2:H2"/>
    <mergeCell ref="A3:H3"/>
    <mergeCell ref="B155:C155"/>
    <mergeCell ref="B156:C156"/>
    <mergeCell ref="B151:C151"/>
    <mergeCell ref="B153:C153"/>
    <mergeCell ref="B154:C154"/>
  </mergeCells>
  <hyperlinks>
    <hyperlink ref="I1" location="Index!B36" display="Index" xr:uid="{E1E1F7B4-84DF-47D4-85BA-F1EF36F25CA4}"/>
  </hyperlinks>
  <pageMargins left="5.000000074505806E-2" right="5.000000074505806E-2" top="0.30000001192092896" bottom="0.20000000298023224" header="0" footer="0"/>
  <pageSetup paperSize="9" orientation="landscape" r:id="rId1"/>
  <headerFooter alignWithMargins="0"/>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O117"/>
  <sheetViews>
    <sheetView showGridLines="0" workbookViewId="0">
      <selection sqref="A1:H1"/>
    </sheetView>
  </sheetViews>
  <sheetFormatPr defaultRowHeight="12.75" x14ac:dyDescent="0.2"/>
  <cols>
    <col min="1" max="1" width="5.42578125" bestFit="1"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87" t="s">
        <v>0</v>
      </c>
      <c r="B1" s="187"/>
      <c r="C1" s="187"/>
      <c r="D1" s="187"/>
      <c r="E1" s="187"/>
      <c r="F1" s="187"/>
      <c r="G1" s="187"/>
      <c r="H1" s="187"/>
      <c r="I1" s="167" t="s">
        <v>1055</v>
      </c>
    </row>
    <row r="2" spans="1:15" ht="17.100000000000001" customHeight="1" x14ac:dyDescent="0.2">
      <c r="A2" s="188" t="s">
        <v>819</v>
      </c>
      <c r="B2" s="189"/>
      <c r="C2" s="189"/>
      <c r="D2" s="189"/>
      <c r="E2" s="189"/>
      <c r="F2" s="189"/>
      <c r="G2" s="189"/>
      <c r="H2" s="190"/>
      <c r="J2" s="186" t="s">
        <v>1056</v>
      </c>
      <c r="K2" s="186"/>
      <c r="L2" s="186"/>
      <c r="M2" s="186"/>
      <c r="N2" s="186"/>
    </row>
    <row r="3" spans="1:15" ht="21" customHeight="1" x14ac:dyDescent="0.2">
      <c r="A3" s="187" t="s">
        <v>1052</v>
      </c>
      <c r="B3" s="187"/>
      <c r="C3" s="187"/>
      <c r="D3" s="187"/>
      <c r="E3" s="187"/>
      <c r="F3" s="187"/>
      <c r="G3" s="187"/>
      <c r="H3" s="187"/>
    </row>
    <row r="4" spans="1:15" ht="30" x14ac:dyDescent="0.2">
      <c r="A4" s="163" t="s">
        <v>2</v>
      </c>
      <c r="B4" s="164" t="s">
        <v>3</v>
      </c>
      <c r="C4" s="164" t="s">
        <v>4</v>
      </c>
      <c r="D4" s="164" t="s">
        <v>5</v>
      </c>
      <c r="E4" s="164" t="s">
        <v>6</v>
      </c>
      <c r="F4" s="164" t="s">
        <v>7</v>
      </c>
      <c r="G4" s="164" t="s">
        <v>8</v>
      </c>
      <c r="H4" s="120" t="s">
        <v>881</v>
      </c>
      <c r="I4" s="165"/>
      <c r="J4" s="165"/>
      <c r="K4" s="165"/>
      <c r="L4" s="165"/>
      <c r="M4" s="165"/>
      <c r="N4" s="165"/>
      <c r="O4" s="165"/>
    </row>
    <row r="5" spans="1:15" ht="14.1" customHeight="1" x14ac:dyDescent="0.2">
      <c r="A5" s="99"/>
      <c r="B5" s="1"/>
      <c r="C5" s="2" t="s">
        <v>9</v>
      </c>
      <c r="D5" s="1"/>
      <c r="E5" s="1"/>
      <c r="F5" s="1"/>
      <c r="G5" s="1"/>
      <c r="H5" s="109"/>
    </row>
    <row r="6" spans="1:15" ht="24" customHeight="1" x14ac:dyDescent="0.2">
      <c r="A6" s="99"/>
      <c r="B6" s="1"/>
      <c r="C6" s="2" t="s">
        <v>10</v>
      </c>
      <c r="D6" s="1"/>
      <c r="E6" s="1"/>
      <c r="F6" s="1"/>
      <c r="G6" s="1"/>
      <c r="H6" s="109"/>
    </row>
    <row r="7" spans="1:15" ht="17.100000000000001" customHeight="1" x14ac:dyDescent="0.2">
      <c r="A7" s="100">
        <v>1</v>
      </c>
      <c r="B7" s="3" t="s">
        <v>20</v>
      </c>
      <c r="C7" s="3" t="s">
        <v>21</v>
      </c>
      <c r="D7" s="3" t="s">
        <v>22</v>
      </c>
      <c r="E7" s="4">
        <v>1381374</v>
      </c>
      <c r="F7" s="5">
        <v>11808.675638999999</v>
      </c>
      <c r="G7" s="6">
        <v>0.19617967</v>
      </c>
      <c r="H7" s="109"/>
    </row>
    <row r="8" spans="1:15" ht="17.100000000000001" customHeight="1" x14ac:dyDescent="0.2">
      <c r="A8" s="100">
        <v>2</v>
      </c>
      <c r="B8" s="3" t="s">
        <v>297</v>
      </c>
      <c r="C8" s="3" t="s">
        <v>298</v>
      </c>
      <c r="D8" s="3" t="s">
        <v>22</v>
      </c>
      <c r="E8" s="4">
        <v>593367</v>
      </c>
      <c r="F8" s="5">
        <v>9491.4985319999996</v>
      </c>
      <c r="G8" s="6">
        <v>0.15768398</v>
      </c>
      <c r="H8" s="109"/>
    </row>
    <row r="9" spans="1:15" ht="17.100000000000001" customHeight="1" x14ac:dyDescent="0.2">
      <c r="A9" s="100">
        <v>3</v>
      </c>
      <c r="B9" s="3" t="s">
        <v>32</v>
      </c>
      <c r="C9" s="3" t="s">
        <v>33</v>
      </c>
      <c r="D9" s="3" t="s">
        <v>22</v>
      </c>
      <c r="E9" s="4">
        <v>1000293</v>
      </c>
      <c r="F9" s="5">
        <v>5229.5318040000002</v>
      </c>
      <c r="G9" s="6">
        <v>8.6879159999999997E-2</v>
      </c>
      <c r="H9" s="109"/>
    </row>
    <row r="10" spans="1:15" ht="17.100000000000001" customHeight="1" x14ac:dyDescent="0.2">
      <c r="A10" s="100">
        <v>4</v>
      </c>
      <c r="B10" s="3" t="s">
        <v>197</v>
      </c>
      <c r="C10" s="3" t="s">
        <v>198</v>
      </c>
      <c r="D10" s="3" t="s">
        <v>22</v>
      </c>
      <c r="E10" s="4">
        <v>613557</v>
      </c>
      <c r="F10" s="5">
        <v>5179.0346369999997</v>
      </c>
      <c r="G10" s="6">
        <v>8.6040240000000004E-2</v>
      </c>
      <c r="H10" s="109"/>
    </row>
    <row r="11" spans="1:15" ht="29.1" customHeight="1" x14ac:dyDescent="0.2">
      <c r="A11" s="100">
        <v>5</v>
      </c>
      <c r="B11" s="3" t="s">
        <v>295</v>
      </c>
      <c r="C11" s="3" t="s">
        <v>296</v>
      </c>
      <c r="D11" s="3" t="s">
        <v>120</v>
      </c>
      <c r="E11" s="4">
        <v>176077</v>
      </c>
      <c r="F11" s="5">
        <v>4594.6412764999995</v>
      </c>
      <c r="G11" s="6">
        <v>7.6331609999999994E-2</v>
      </c>
      <c r="H11" s="109"/>
    </row>
    <row r="12" spans="1:15" ht="17.100000000000001" customHeight="1" x14ac:dyDescent="0.2">
      <c r="A12" s="100">
        <v>6</v>
      </c>
      <c r="B12" s="3" t="s">
        <v>338</v>
      </c>
      <c r="C12" s="3" t="s">
        <v>339</v>
      </c>
      <c r="D12" s="3" t="s">
        <v>22</v>
      </c>
      <c r="E12" s="4">
        <v>686458</v>
      </c>
      <c r="F12" s="5">
        <v>1918.9933390000001</v>
      </c>
      <c r="G12" s="6">
        <v>3.1880579999999999E-2</v>
      </c>
      <c r="H12" s="109"/>
      <c r="J12" s="169" t="s">
        <v>1088</v>
      </c>
    </row>
    <row r="13" spans="1:15" ht="17.100000000000001" customHeight="1" x14ac:dyDescent="0.2">
      <c r="A13" s="100">
        <v>7</v>
      </c>
      <c r="B13" s="3" t="s">
        <v>222</v>
      </c>
      <c r="C13" s="3" t="s">
        <v>223</v>
      </c>
      <c r="D13" s="3" t="s">
        <v>22</v>
      </c>
      <c r="E13" s="4">
        <v>1122364</v>
      </c>
      <c r="F13" s="5">
        <v>1784.5587599999999</v>
      </c>
      <c r="G13" s="6">
        <v>2.9647199999999999E-2</v>
      </c>
      <c r="H13" s="109"/>
    </row>
    <row r="14" spans="1:15" ht="17.100000000000001" customHeight="1" x14ac:dyDescent="0.2">
      <c r="A14" s="100">
        <v>8</v>
      </c>
      <c r="B14" s="3" t="s">
        <v>328</v>
      </c>
      <c r="C14" s="3" t="s">
        <v>329</v>
      </c>
      <c r="D14" s="3" t="s">
        <v>22</v>
      </c>
      <c r="E14" s="4">
        <v>143511</v>
      </c>
      <c r="F14" s="5">
        <v>1546.6180469999999</v>
      </c>
      <c r="G14" s="6">
        <v>2.5694249999999998E-2</v>
      </c>
      <c r="H14" s="109"/>
    </row>
    <row r="15" spans="1:15" ht="17.100000000000001" customHeight="1" x14ac:dyDescent="0.2">
      <c r="A15" s="100">
        <v>9</v>
      </c>
      <c r="B15" s="3" t="s">
        <v>371</v>
      </c>
      <c r="C15" s="3" t="s">
        <v>372</v>
      </c>
      <c r="D15" s="3" t="s">
        <v>22</v>
      </c>
      <c r="E15" s="4">
        <v>2094384</v>
      </c>
      <c r="F15" s="5">
        <v>1497.4845600000001</v>
      </c>
      <c r="G15" s="6">
        <v>2.4877980000000001E-2</v>
      </c>
      <c r="H15" s="109"/>
    </row>
    <row r="16" spans="1:15" ht="17.100000000000001" customHeight="1" x14ac:dyDescent="0.2">
      <c r="A16" s="100">
        <v>10</v>
      </c>
      <c r="B16" s="3" t="s">
        <v>301</v>
      </c>
      <c r="C16" s="3" t="s">
        <v>302</v>
      </c>
      <c r="D16" s="3" t="s">
        <v>216</v>
      </c>
      <c r="E16" s="4">
        <v>115413</v>
      </c>
      <c r="F16" s="5">
        <v>1293.77973</v>
      </c>
      <c r="G16" s="6">
        <v>2.14938E-2</v>
      </c>
      <c r="H16" s="109"/>
    </row>
    <row r="17" spans="1:8" ht="17.100000000000001" customHeight="1" x14ac:dyDescent="0.2">
      <c r="A17" s="100">
        <v>11</v>
      </c>
      <c r="B17" s="3" t="s">
        <v>420</v>
      </c>
      <c r="C17" s="3" t="s">
        <v>421</v>
      </c>
      <c r="D17" s="3" t="s">
        <v>22</v>
      </c>
      <c r="E17" s="4">
        <v>555294</v>
      </c>
      <c r="F17" s="5">
        <v>1271.900907</v>
      </c>
      <c r="G17" s="6">
        <v>2.1130320000000001E-2</v>
      </c>
      <c r="H17" s="109"/>
    </row>
    <row r="18" spans="1:8" ht="17.100000000000001" customHeight="1" x14ac:dyDescent="0.2">
      <c r="A18" s="100">
        <v>12</v>
      </c>
      <c r="B18" s="3" t="s">
        <v>418</v>
      </c>
      <c r="C18" s="3" t="s">
        <v>419</v>
      </c>
      <c r="D18" s="3" t="s">
        <v>120</v>
      </c>
      <c r="E18" s="4">
        <v>130000</v>
      </c>
      <c r="F18" s="5">
        <v>1254.4349999999999</v>
      </c>
      <c r="G18" s="6">
        <v>2.084016E-2</v>
      </c>
      <c r="H18" s="109"/>
    </row>
    <row r="19" spans="1:8" ht="17.100000000000001" customHeight="1" x14ac:dyDescent="0.2">
      <c r="A19" s="100">
        <v>13</v>
      </c>
      <c r="B19" s="3" t="s">
        <v>375</v>
      </c>
      <c r="C19" s="3" t="s">
        <v>376</v>
      </c>
      <c r="D19" s="3" t="s">
        <v>120</v>
      </c>
      <c r="E19" s="4">
        <v>140598</v>
      </c>
      <c r="F19" s="5">
        <v>1018.843407</v>
      </c>
      <c r="G19" s="6">
        <v>1.692623E-2</v>
      </c>
      <c r="H19" s="109"/>
    </row>
    <row r="20" spans="1:8" ht="17.100000000000001" customHeight="1" x14ac:dyDescent="0.2">
      <c r="A20" s="100">
        <v>14</v>
      </c>
      <c r="B20" s="3" t="s">
        <v>245</v>
      </c>
      <c r="C20" s="3" t="s">
        <v>246</v>
      </c>
      <c r="D20" s="3" t="s">
        <v>120</v>
      </c>
      <c r="E20" s="4">
        <v>150000</v>
      </c>
      <c r="F20" s="5">
        <v>862.42499999999995</v>
      </c>
      <c r="G20" s="6">
        <v>1.4327619999999999E-2</v>
      </c>
      <c r="H20" s="109"/>
    </row>
    <row r="21" spans="1:8" ht="29.1" customHeight="1" x14ac:dyDescent="0.2">
      <c r="A21" s="100">
        <v>15</v>
      </c>
      <c r="B21" s="3" t="s">
        <v>118</v>
      </c>
      <c r="C21" s="3" t="s">
        <v>119</v>
      </c>
      <c r="D21" s="3" t="s">
        <v>120</v>
      </c>
      <c r="E21" s="4">
        <v>110307</v>
      </c>
      <c r="F21" s="5">
        <v>834.47245499999997</v>
      </c>
      <c r="G21" s="6">
        <v>1.3863240000000001E-2</v>
      </c>
      <c r="H21" s="109"/>
    </row>
    <row r="22" spans="1:8" ht="17.100000000000001" customHeight="1" x14ac:dyDescent="0.2">
      <c r="A22" s="100">
        <v>16</v>
      </c>
      <c r="B22" s="3" t="s">
        <v>384</v>
      </c>
      <c r="C22" s="3" t="s">
        <v>385</v>
      </c>
      <c r="D22" s="3" t="s">
        <v>334</v>
      </c>
      <c r="E22" s="4">
        <v>53776</v>
      </c>
      <c r="F22" s="5">
        <v>754.28906400000005</v>
      </c>
      <c r="G22" s="6">
        <v>1.253114E-2</v>
      </c>
      <c r="H22" s="109"/>
    </row>
    <row r="23" spans="1:8" ht="17.100000000000001" customHeight="1" x14ac:dyDescent="0.2">
      <c r="A23" s="100">
        <v>17</v>
      </c>
      <c r="B23" s="3" t="s">
        <v>521</v>
      </c>
      <c r="C23" s="3" t="s">
        <v>896</v>
      </c>
      <c r="D23" s="3" t="s">
        <v>120</v>
      </c>
      <c r="E23" s="4">
        <v>276816</v>
      </c>
      <c r="F23" s="5">
        <v>733.00876800000003</v>
      </c>
      <c r="G23" s="6">
        <v>1.217761E-2</v>
      </c>
      <c r="H23" s="109"/>
    </row>
    <row r="24" spans="1:8" ht="17.100000000000001" customHeight="1" x14ac:dyDescent="0.2">
      <c r="A24" s="100">
        <v>18</v>
      </c>
      <c r="B24" s="3" t="s">
        <v>820</v>
      </c>
      <c r="C24" s="3" t="s">
        <v>821</v>
      </c>
      <c r="D24" s="3" t="s">
        <v>120</v>
      </c>
      <c r="E24" s="4">
        <v>190425</v>
      </c>
      <c r="F24" s="5">
        <v>667.53483749999998</v>
      </c>
      <c r="G24" s="6">
        <v>1.108988E-2</v>
      </c>
      <c r="H24" s="109"/>
    </row>
    <row r="25" spans="1:8" ht="17.100000000000001" customHeight="1" x14ac:dyDescent="0.2">
      <c r="A25" s="100">
        <v>19</v>
      </c>
      <c r="B25" s="3" t="s">
        <v>332</v>
      </c>
      <c r="C25" s="3" t="s">
        <v>333</v>
      </c>
      <c r="D25" s="3" t="s">
        <v>334</v>
      </c>
      <c r="E25" s="4">
        <v>63962</v>
      </c>
      <c r="F25" s="5">
        <v>652.12457099999995</v>
      </c>
      <c r="G25" s="6">
        <v>1.0833860000000001E-2</v>
      </c>
      <c r="H25" s="109"/>
    </row>
    <row r="26" spans="1:8" ht="17.100000000000001" customHeight="1" x14ac:dyDescent="0.2">
      <c r="A26" s="100">
        <v>20</v>
      </c>
      <c r="B26" s="3" t="s">
        <v>346</v>
      </c>
      <c r="C26" s="3" t="s">
        <v>347</v>
      </c>
      <c r="D26" s="3" t="s">
        <v>120</v>
      </c>
      <c r="E26" s="4">
        <v>10562</v>
      </c>
      <c r="F26" s="5">
        <v>645.56000200000005</v>
      </c>
      <c r="G26" s="6">
        <v>1.072481E-2</v>
      </c>
      <c r="H26" s="109"/>
    </row>
    <row r="27" spans="1:8" ht="17.100000000000001" customHeight="1" x14ac:dyDescent="0.2">
      <c r="A27" s="100">
        <v>21</v>
      </c>
      <c r="B27" s="3" t="s">
        <v>199</v>
      </c>
      <c r="C27" s="3" t="s">
        <v>200</v>
      </c>
      <c r="D27" s="3" t="s">
        <v>22</v>
      </c>
      <c r="E27" s="4">
        <v>97813</v>
      </c>
      <c r="F27" s="5">
        <v>579.93327699999998</v>
      </c>
      <c r="G27" s="6">
        <v>9.6345400000000005E-3</v>
      </c>
      <c r="H27" s="109"/>
    </row>
    <row r="28" spans="1:8" ht="17.100000000000001" customHeight="1" x14ac:dyDescent="0.2">
      <c r="A28" s="100">
        <v>22</v>
      </c>
      <c r="B28" s="3" t="s">
        <v>705</v>
      </c>
      <c r="C28" s="3" t="s">
        <v>706</v>
      </c>
      <c r="D28" s="3" t="s">
        <v>216</v>
      </c>
      <c r="E28" s="4">
        <v>116152</v>
      </c>
      <c r="F28" s="5">
        <v>567.75097600000004</v>
      </c>
      <c r="G28" s="6">
        <v>9.4321500000000003E-3</v>
      </c>
      <c r="H28" s="109"/>
    </row>
    <row r="29" spans="1:8" ht="17.100000000000001" customHeight="1" x14ac:dyDescent="0.2">
      <c r="A29" s="100">
        <v>23</v>
      </c>
      <c r="B29" s="3" t="s">
        <v>324</v>
      </c>
      <c r="C29" s="3" t="s">
        <v>325</v>
      </c>
      <c r="D29" s="3" t="s">
        <v>22</v>
      </c>
      <c r="E29" s="4">
        <v>25198</v>
      </c>
      <c r="F29" s="5">
        <v>435.73641500000002</v>
      </c>
      <c r="G29" s="6">
        <v>7.23897E-3</v>
      </c>
      <c r="H29" s="109"/>
    </row>
    <row r="30" spans="1:8" ht="29.1" customHeight="1" x14ac:dyDescent="0.2">
      <c r="A30" s="100">
        <v>24</v>
      </c>
      <c r="B30" s="3" t="s">
        <v>775</v>
      </c>
      <c r="C30" s="3" t="s">
        <v>776</v>
      </c>
      <c r="D30" s="3" t="s">
        <v>216</v>
      </c>
      <c r="E30" s="4">
        <v>32775</v>
      </c>
      <c r="F30" s="5">
        <v>361.13133749999997</v>
      </c>
      <c r="G30" s="6">
        <v>5.9995400000000003E-3</v>
      </c>
      <c r="H30" s="109"/>
    </row>
    <row r="31" spans="1:8" ht="17.100000000000001" customHeight="1" x14ac:dyDescent="0.2">
      <c r="A31" s="100">
        <v>25</v>
      </c>
      <c r="B31" s="3" t="s">
        <v>822</v>
      </c>
      <c r="C31" s="3" t="s">
        <v>823</v>
      </c>
      <c r="D31" s="3" t="s">
        <v>120</v>
      </c>
      <c r="E31" s="4">
        <v>202808</v>
      </c>
      <c r="F31" s="5">
        <v>294.88283200000001</v>
      </c>
      <c r="G31" s="6">
        <v>4.8989400000000001E-3</v>
      </c>
      <c r="H31" s="109"/>
    </row>
    <row r="32" spans="1:8" ht="14.1" customHeight="1" x14ac:dyDescent="0.2">
      <c r="A32" s="99"/>
      <c r="B32" s="1"/>
      <c r="C32" s="2" t="s">
        <v>135</v>
      </c>
      <c r="D32" s="1"/>
      <c r="E32" s="1" t="s">
        <v>136</v>
      </c>
      <c r="F32" s="8">
        <v>55278.845173499998</v>
      </c>
      <c r="G32" s="9">
        <v>0.91835747999999995</v>
      </c>
      <c r="H32" s="109"/>
    </row>
    <row r="33" spans="1:8" ht="14.1" customHeight="1" x14ac:dyDescent="0.2">
      <c r="A33" s="99"/>
      <c r="B33" s="1"/>
      <c r="C33" s="10"/>
      <c r="D33" s="1"/>
      <c r="E33" s="1"/>
      <c r="F33" s="11"/>
      <c r="G33" s="11"/>
      <c r="H33" s="109"/>
    </row>
    <row r="34" spans="1:8" ht="14.1" customHeight="1" x14ac:dyDescent="0.2">
      <c r="A34" s="99"/>
      <c r="B34" s="1"/>
      <c r="C34" s="2" t="s">
        <v>137</v>
      </c>
      <c r="D34" s="1"/>
      <c r="E34" s="1"/>
      <c r="F34" s="1"/>
      <c r="G34" s="1"/>
      <c r="H34" s="109"/>
    </row>
    <row r="35" spans="1:8" ht="14.1" customHeight="1" x14ac:dyDescent="0.2">
      <c r="A35" s="99"/>
      <c r="B35" s="1"/>
      <c r="C35" s="2" t="s">
        <v>135</v>
      </c>
      <c r="D35" s="1"/>
      <c r="E35" s="1" t="s">
        <v>136</v>
      </c>
      <c r="F35" s="115">
        <v>0</v>
      </c>
      <c r="G35" s="9">
        <v>0</v>
      </c>
      <c r="H35" s="109"/>
    </row>
    <row r="36" spans="1:8" ht="14.1" customHeight="1" x14ac:dyDescent="0.2">
      <c r="A36" s="99"/>
      <c r="B36" s="1"/>
      <c r="C36" s="10"/>
      <c r="D36" s="1"/>
      <c r="E36" s="1"/>
      <c r="F36" s="11"/>
      <c r="G36" s="11"/>
      <c r="H36" s="109"/>
    </row>
    <row r="37" spans="1:8" ht="14.1" customHeight="1" x14ac:dyDescent="0.2">
      <c r="A37" s="99"/>
      <c r="B37" s="1"/>
      <c r="C37" s="2" t="s">
        <v>138</v>
      </c>
      <c r="D37" s="1"/>
      <c r="E37" s="1"/>
      <c r="F37" s="1"/>
      <c r="G37" s="1"/>
      <c r="H37" s="109"/>
    </row>
    <row r="38" spans="1:8" ht="14.1" customHeight="1" x14ac:dyDescent="0.2">
      <c r="A38" s="99"/>
      <c r="B38" s="1"/>
      <c r="C38" s="2" t="s">
        <v>135</v>
      </c>
      <c r="D38" s="1"/>
      <c r="E38" s="1" t="s">
        <v>136</v>
      </c>
      <c r="F38" s="115">
        <v>0</v>
      </c>
      <c r="G38" s="9">
        <v>0</v>
      </c>
      <c r="H38" s="109"/>
    </row>
    <row r="39" spans="1:8" ht="14.1" customHeight="1" x14ac:dyDescent="0.2">
      <c r="A39" s="99"/>
      <c r="B39" s="1"/>
      <c r="C39" s="10"/>
      <c r="D39" s="1"/>
      <c r="E39" s="1"/>
      <c r="F39" s="11"/>
      <c r="G39" s="11"/>
      <c r="H39" s="109"/>
    </row>
    <row r="40" spans="1:8" ht="14.1" customHeight="1" x14ac:dyDescent="0.2">
      <c r="A40" s="99"/>
      <c r="B40" s="1"/>
      <c r="C40" s="2" t="s">
        <v>139</v>
      </c>
      <c r="D40" s="1"/>
      <c r="E40" s="1"/>
      <c r="F40" s="1"/>
      <c r="G40" s="1"/>
      <c r="H40" s="109"/>
    </row>
    <row r="41" spans="1:8" ht="14.1" customHeight="1" x14ac:dyDescent="0.2">
      <c r="A41" s="99"/>
      <c r="B41" s="1"/>
      <c r="C41" s="2" t="s">
        <v>135</v>
      </c>
      <c r="D41" s="1"/>
      <c r="E41" s="1" t="s">
        <v>136</v>
      </c>
      <c r="F41" s="115">
        <v>0</v>
      </c>
      <c r="G41" s="9">
        <v>0</v>
      </c>
      <c r="H41" s="109"/>
    </row>
    <row r="42" spans="1:8" ht="14.1" customHeight="1" x14ac:dyDescent="0.2">
      <c r="A42" s="99"/>
      <c r="B42" s="1"/>
      <c r="C42" s="10"/>
      <c r="D42" s="1"/>
      <c r="E42" s="1"/>
      <c r="F42" s="11"/>
      <c r="G42" s="11"/>
      <c r="H42" s="109"/>
    </row>
    <row r="43" spans="1:8" ht="14.1" customHeight="1" x14ac:dyDescent="0.2">
      <c r="A43" s="99"/>
      <c r="B43" s="1"/>
      <c r="C43" s="2" t="s">
        <v>140</v>
      </c>
      <c r="D43" s="1"/>
      <c r="E43" s="1"/>
      <c r="F43" s="11"/>
      <c r="G43" s="11"/>
      <c r="H43" s="109"/>
    </row>
    <row r="44" spans="1:8" ht="14.1" customHeight="1" x14ac:dyDescent="0.2">
      <c r="A44" s="99"/>
      <c r="B44" s="1"/>
      <c r="C44" s="2" t="s">
        <v>135</v>
      </c>
      <c r="D44" s="1"/>
      <c r="E44" s="1" t="s">
        <v>136</v>
      </c>
      <c r="F44" s="115">
        <v>0</v>
      </c>
      <c r="G44" s="9">
        <v>0</v>
      </c>
      <c r="H44" s="109"/>
    </row>
    <row r="45" spans="1:8" ht="14.1" customHeight="1" x14ac:dyDescent="0.2">
      <c r="A45" s="99"/>
      <c r="B45" s="1"/>
      <c r="C45" s="10"/>
      <c r="D45" s="1"/>
      <c r="E45" s="1"/>
      <c r="F45" s="11"/>
      <c r="G45" s="11"/>
      <c r="H45" s="109"/>
    </row>
    <row r="46" spans="1:8" ht="14.1" customHeight="1" x14ac:dyDescent="0.2">
      <c r="A46" s="99"/>
      <c r="B46" s="1"/>
      <c r="C46" s="2" t="s">
        <v>141</v>
      </c>
      <c r="D46" s="1"/>
      <c r="E46" s="1"/>
      <c r="F46" s="11"/>
      <c r="G46" s="11"/>
      <c r="H46" s="109"/>
    </row>
    <row r="47" spans="1:8" ht="14.1" customHeight="1" x14ac:dyDescent="0.2">
      <c r="A47" s="99"/>
      <c r="B47" s="1"/>
      <c r="C47" s="2" t="s">
        <v>135</v>
      </c>
      <c r="D47" s="1"/>
      <c r="E47" s="1" t="s">
        <v>136</v>
      </c>
      <c r="F47" s="115">
        <v>0</v>
      </c>
      <c r="G47" s="9">
        <v>0</v>
      </c>
      <c r="H47" s="109"/>
    </row>
    <row r="48" spans="1:8" ht="14.1" customHeight="1" x14ac:dyDescent="0.2">
      <c r="A48" s="99"/>
      <c r="B48" s="1"/>
      <c r="C48" s="10"/>
      <c r="D48" s="1"/>
      <c r="E48" s="1"/>
      <c r="F48" s="11"/>
      <c r="G48" s="11"/>
      <c r="H48" s="109"/>
    </row>
    <row r="49" spans="1:8" ht="18" customHeight="1" x14ac:dyDescent="0.2">
      <c r="A49" s="99"/>
      <c r="B49" s="1"/>
      <c r="C49" s="2" t="s">
        <v>142</v>
      </c>
      <c r="D49" s="1"/>
      <c r="E49" s="1"/>
      <c r="F49" s="8">
        <v>55278.845173499998</v>
      </c>
      <c r="G49" s="9">
        <v>0.91835747999999995</v>
      </c>
      <c r="H49" s="109"/>
    </row>
    <row r="50" spans="1:8" ht="14.1" customHeight="1" x14ac:dyDescent="0.2">
      <c r="A50" s="99"/>
      <c r="B50" s="1"/>
      <c r="C50" s="10"/>
      <c r="D50" s="1"/>
      <c r="E50" s="1"/>
      <c r="F50" s="11"/>
      <c r="G50" s="11"/>
      <c r="H50" s="109"/>
    </row>
    <row r="51" spans="1:8" ht="14.1" customHeight="1" x14ac:dyDescent="0.2">
      <c r="A51" s="99"/>
      <c r="B51" s="1"/>
      <c r="C51" s="2" t="s">
        <v>143</v>
      </c>
      <c r="D51" s="1"/>
      <c r="E51" s="1"/>
      <c r="F51" s="11"/>
      <c r="G51" s="11"/>
      <c r="H51" s="109"/>
    </row>
    <row r="52" spans="1:8" ht="24" customHeight="1" x14ac:dyDescent="0.2">
      <c r="A52" s="99"/>
      <c r="B52" s="1"/>
      <c r="C52" s="2" t="s">
        <v>10</v>
      </c>
      <c r="D52" s="1"/>
      <c r="E52" s="1"/>
      <c r="F52" s="11"/>
      <c r="G52" s="11"/>
      <c r="H52" s="109"/>
    </row>
    <row r="53" spans="1:8" ht="14.1" customHeight="1" x14ac:dyDescent="0.2">
      <c r="A53" s="99"/>
      <c r="B53" s="1"/>
      <c r="C53" s="2" t="s">
        <v>135</v>
      </c>
      <c r="D53" s="1"/>
      <c r="E53" s="1" t="s">
        <v>136</v>
      </c>
      <c r="F53" s="115">
        <v>0</v>
      </c>
      <c r="G53" s="9">
        <v>0</v>
      </c>
      <c r="H53" s="109"/>
    </row>
    <row r="54" spans="1:8" ht="14.1" customHeight="1" x14ac:dyDescent="0.2">
      <c r="A54" s="99"/>
      <c r="B54" s="1"/>
      <c r="C54" s="10"/>
      <c r="D54" s="1"/>
      <c r="E54" s="1"/>
      <c r="F54" s="11"/>
      <c r="G54" s="11"/>
      <c r="H54" s="109"/>
    </row>
    <row r="55" spans="1:8" ht="14.1" customHeight="1" x14ac:dyDescent="0.2">
      <c r="A55" s="99"/>
      <c r="B55" s="1"/>
      <c r="C55" s="2" t="s">
        <v>144</v>
      </c>
      <c r="D55" s="1"/>
      <c r="E55" s="1"/>
      <c r="F55" s="1"/>
      <c r="G55" s="1"/>
      <c r="H55" s="109"/>
    </row>
    <row r="56" spans="1:8" ht="14.1" customHeight="1" x14ac:dyDescent="0.2">
      <c r="A56" s="99"/>
      <c r="B56" s="1"/>
      <c r="C56" s="2" t="s">
        <v>135</v>
      </c>
      <c r="D56" s="1"/>
      <c r="E56" s="1" t="s">
        <v>136</v>
      </c>
      <c r="F56" s="115">
        <v>0</v>
      </c>
      <c r="G56" s="9">
        <v>0</v>
      </c>
      <c r="H56" s="109"/>
    </row>
    <row r="57" spans="1:8" ht="14.1" customHeight="1" x14ac:dyDescent="0.2">
      <c r="A57" s="99"/>
      <c r="B57" s="1"/>
      <c r="C57" s="10"/>
      <c r="D57" s="1"/>
      <c r="E57" s="1"/>
      <c r="F57" s="11"/>
      <c r="G57" s="11"/>
      <c r="H57" s="109"/>
    </row>
    <row r="58" spans="1:8" ht="14.1" customHeight="1" x14ac:dyDescent="0.2">
      <c r="A58" s="99"/>
      <c r="B58" s="1"/>
      <c r="C58" s="2" t="s">
        <v>145</v>
      </c>
      <c r="D58" s="1"/>
      <c r="E58" s="1"/>
      <c r="F58" s="1"/>
      <c r="G58" s="1"/>
      <c r="H58" s="109"/>
    </row>
    <row r="59" spans="1:8" ht="14.1" customHeight="1" x14ac:dyDescent="0.2">
      <c r="A59" s="99"/>
      <c r="B59" s="1"/>
      <c r="C59" s="2" t="s">
        <v>135</v>
      </c>
      <c r="D59" s="1"/>
      <c r="E59" s="1" t="s">
        <v>136</v>
      </c>
      <c r="F59" s="115">
        <v>0</v>
      </c>
      <c r="G59" s="9">
        <v>0</v>
      </c>
      <c r="H59" s="109"/>
    </row>
    <row r="60" spans="1:8" ht="14.1" customHeight="1" x14ac:dyDescent="0.2">
      <c r="A60" s="99"/>
      <c r="B60" s="1"/>
      <c r="C60" s="10"/>
      <c r="D60" s="1"/>
      <c r="E60" s="1"/>
      <c r="F60" s="11"/>
      <c r="G60" s="11"/>
      <c r="H60" s="109"/>
    </row>
    <row r="61" spans="1:8" ht="14.1" customHeight="1" x14ac:dyDescent="0.2">
      <c r="A61" s="99"/>
      <c r="B61" s="1"/>
      <c r="C61" s="2" t="s">
        <v>146</v>
      </c>
      <c r="D61" s="1"/>
      <c r="E61" s="1"/>
      <c r="F61" s="11"/>
      <c r="G61" s="11"/>
      <c r="H61" s="109"/>
    </row>
    <row r="62" spans="1:8" ht="14.1" customHeight="1" x14ac:dyDescent="0.2">
      <c r="A62" s="99"/>
      <c r="B62" s="1"/>
      <c r="C62" s="2" t="s">
        <v>135</v>
      </c>
      <c r="D62" s="1"/>
      <c r="E62" s="1" t="s">
        <v>136</v>
      </c>
      <c r="F62" s="115">
        <v>0</v>
      </c>
      <c r="G62" s="9">
        <v>0</v>
      </c>
      <c r="H62" s="109"/>
    </row>
    <row r="63" spans="1:8" ht="14.1" customHeight="1" x14ac:dyDescent="0.2">
      <c r="A63" s="99"/>
      <c r="B63" s="1"/>
      <c r="C63" s="10"/>
      <c r="D63" s="1"/>
      <c r="E63" s="1"/>
      <c r="F63" s="11"/>
      <c r="G63" s="11"/>
      <c r="H63" s="109"/>
    </row>
    <row r="64" spans="1:8" ht="14.1" customHeight="1" x14ac:dyDescent="0.2">
      <c r="A64" s="99"/>
      <c r="B64" s="1"/>
      <c r="C64" s="2" t="s">
        <v>147</v>
      </c>
      <c r="D64" s="1"/>
      <c r="E64" s="1"/>
      <c r="F64" s="8">
        <v>0</v>
      </c>
      <c r="G64" s="9">
        <v>0</v>
      </c>
      <c r="H64" s="109"/>
    </row>
    <row r="65" spans="1:8" ht="14.1" customHeight="1" x14ac:dyDescent="0.2">
      <c r="A65" s="99"/>
      <c r="B65" s="1"/>
      <c r="C65" s="10"/>
      <c r="D65" s="1"/>
      <c r="E65" s="1"/>
      <c r="F65" s="11"/>
      <c r="G65" s="11"/>
      <c r="H65" s="109"/>
    </row>
    <row r="66" spans="1:8" ht="14.1" customHeight="1" x14ac:dyDescent="0.2">
      <c r="A66" s="99"/>
      <c r="B66" s="1"/>
      <c r="C66" s="2" t="s">
        <v>148</v>
      </c>
      <c r="D66" s="1"/>
      <c r="E66" s="1"/>
      <c r="F66" s="11"/>
      <c r="G66" s="11"/>
      <c r="H66" s="109"/>
    </row>
    <row r="67" spans="1:8" ht="14.1" customHeight="1" x14ac:dyDescent="0.2">
      <c r="A67" s="99"/>
      <c r="B67" s="1"/>
      <c r="C67" s="2" t="s">
        <v>149</v>
      </c>
      <c r="D67" s="1"/>
      <c r="E67" s="1"/>
      <c r="F67" s="11"/>
      <c r="G67" s="11"/>
      <c r="H67" s="109"/>
    </row>
    <row r="68" spans="1:8" ht="14.1" customHeight="1" x14ac:dyDescent="0.2">
      <c r="A68" s="99"/>
      <c r="B68" s="1"/>
      <c r="C68" s="2" t="s">
        <v>135</v>
      </c>
      <c r="D68" s="1"/>
      <c r="E68" s="1" t="s">
        <v>136</v>
      </c>
      <c r="F68" s="115">
        <v>0</v>
      </c>
      <c r="G68" s="9">
        <v>0</v>
      </c>
      <c r="H68" s="109"/>
    </row>
    <row r="69" spans="1:8" ht="14.1" customHeight="1" x14ac:dyDescent="0.2">
      <c r="A69" s="99"/>
      <c r="B69" s="1"/>
      <c r="C69" s="10"/>
      <c r="D69" s="1"/>
      <c r="E69" s="1"/>
      <c r="F69" s="11"/>
      <c r="G69" s="11"/>
      <c r="H69" s="109"/>
    </row>
    <row r="70" spans="1:8" ht="14.1" customHeight="1" x14ac:dyDescent="0.2">
      <c r="A70" s="99"/>
      <c r="B70" s="1"/>
      <c r="C70" s="2" t="s">
        <v>150</v>
      </c>
      <c r="D70" s="1"/>
      <c r="E70" s="1"/>
      <c r="F70" s="11"/>
      <c r="G70" s="11"/>
      <c r="H70" s="109"/>
    </row>
    <row r="71" spans="1:8" ht="14.1" customHeight="1" x14ac:dyDescent="0.2">
      <c r="A71" s="99"/>
      <c r="B71" s="1"/>
      <c r="C71" s="2" t="s">
        <v>135</v>
      </c>
      <c r="D71" s="1"/>
      <c r="E71" s="1" t="s">
        <v>136</v>
      </c>
      <c r="F71" s="115">
        <v>0</v>
      </c>
      <c r="G71" s="9">
        <v>0</v>
      </c>
      <c r="H71" s="109"/>
    </row>
    <row r="72" spans="1:8" ht="14.1" customHeight="1" x14ac:dyDescent="0.2">
      <c r="A72" s="99"/>
      <c r="B72" s="1"/>
      <c r="C72" s="10"/>
      <c r="D72" s="1"/>
      <c r="E72" s="1"/>
      <c r="F72" s="11"/>
      <c r="G72" s="11"/>
      <c r="H72" s="109"/>
    </row>
    <row r="73" spans="1:8" ht="14.1" customHeight="1" x14ac:dyDescent="0.2">
      <c r="A73" s="99"/>
      <c r="B73" s="1"/>
      <c r="C73" s="2" t="s">
        <v>151</v>
      </c>
      <c r="D73" s="1"/>
      <c r="E73" s="1"/>
      <c r="F73" s="11"/>
      <c r="G73" s="11"/>
      <c r="H73" s="109"/>
    </row>
    <row r="74" spans="1:8" ht="14.1" customHeight="1" x14ac:dyDescent="0.2">
      <c r="A74" s="99"/>
      <c r="B74" s="1"/>
      <c r="C74" s="2" t="s">
        <v>135</v>
      </c>
      <c r="D74" s="1"/>
      <c r="E74" s="1" t="s">
        <v>136</v>
      </c>
      <c r="F74" s="115">
        <v>0</v>
      </c>
      <c r="G74" s="9">
        <v>0</v>
      </c>
      <c r="H74" s="109"/>
    </row>
    <row r="75" spans="1:8" ht="14.1" customHeight="1" x14ac:dyDescent="0.2">
      <c r="A75" s="99"/>
      <c r="B75" s="1"/>
      <c r="C75" s="10"/>
      <c r="D75" s="1"/>
      <c r="E75" s="1"/>
      <c r="F75" s="11"/>
      <c r="G75" s="11"/>
      <c r="H75" s="109"/>
    </row>
    <row r="76" spans="1:8" ht="14.1" customHeight="1" x14ac:dyDescent="0.2">
      <c r="A76" s="99"/>
      <c r="B76" s="1"/>
      <c r="C76" s="2" t="s">
        <v>152</v>
      </c>
      <c r="D76" s="1"/>
      <c r="E76" s="1"/>
      <c r="F76" s="11"/>
      <c r="G76" s="11"/>
      <c r="H76" s="109"/>
    </row>
    <row r="77" spans="1:8" ht="17.100000000000001" customHeight="1" x14ac:dyDescent="0.2">
      <c r="A77" s="100">
        <v>1</v>
      </c>
      <c r="B77" s="3"/>
      <c r="C77" s="3" t="s">
        <v>153</v>
      </c>
      <c r="D77" s="3"/>
      <c r="E77" s="7"/>
      <c r="F77" s="5">
        <v>4097.8271329879999</v>
      </c>
      <c r="G77" s="6">
        <v>6.8077940000000003E-2</v>
      </c>
      <c r="H77" s="109">
        <v>6.6015165706411798</v>
      </c>
    </row>
    <row r="78" spans="1:8" ht="14.1" customHeight="1" x14ac:dyDescent="0.2">
      <c r="A78" s="99"/>
      <c r="B78" s="1"/>
      <c r="C78" s="2" t="s">
        <v>135</v>
      </c>
      <c r="D78" s="1"/>
      <c r="E78" s="1" t="s">
        <v>136</v>
      </c>
      <c r="F78" s="8">
        <v>4097.8271329879999</v>
      </c>
      <c r="G78" s="9">
        <v>6.8077940000000003E-2</v>
      </c>
      <c r="H78" s="109"/>
    </row>
    <row r="79" spans="1:8" ht="14.1" customHeight="1" x14ac:dyDescent="0.2">
      <c r="A79" s="99"/>
      <c r="B79" s="1"/>
      <c r="C79" s="10"/>
      <c r="D79" s="1"/>
      <c r="E79" s="1"/>
      <c r="F79" s="11"/>
      <c r="G79" s="11"/>
      <c r="H79" s="109"/>
    </row>
    <row r="80" spans="1:8" ht="14.1" customHeight="1" x14ac:dyDescent="0.2">
      <c r="A80" s="99"/>
      <c r="B80" s="1"/>
      <c r="C80" s="2" t="s">
        <v>154</v>
      </c>
      <c r="D80" s="1"/>
      <c r="E80" s="1"/>
      <c r="F80" s="8">
        <v>4097.8271329879999</v>
      </c>
      <c r="G80" s="9">
        <v>6.8077940000000003E-2</v>
      </c>
      <c r="H80" s="109"/>
    </row>
    <row r="81" spans="1:8" ht="14.1" customHeight="1" x14ac:dyDescent="0.2">
      <c r="A81" s="99"/>
      <c r="B81" s="1"/>
      <c r="C81" s="11"/>
      <c r="D81" s="1"/>
      <c r="E81" s="1"/>
      <c r="F81" s="1"/>
      <c r="G81" s="1"/>
      <c r="H81" s="109"/>
    </row>
    <row r="82" spans="1:8" ht="14.1" customHeight="1" x14ac:dyDescent="0.2">
      <c r="A82" s="99"/>
      <c r="B82" s="1"/>
      <c r="C82" s="2" t="s">
        <v>155</v>
      </c>
      <c r="D82" s="1"/>
      <c r="E82" s="1"/>
      <c r="F82" s="1"/>
      <c r="G82" s="1"/>
      <c r="H82" s="109"/>
    </row>
    <row r="83" spans="1:8" ht="14.1" customHeight="1" x14ac:dyDescent="0.2">
      <c r="A83" s="99"/>
      <c r="B83" s="1"/>
      <c r="C83" s="2" t="s">
        <v>156</v>
      </c>
      <c r="D83" s="1"/>
      <c r="E83" s="1"/>
      <c r="F83" s="1"/>
      <c r="G83" s="1"/>
      <c r="H83" s="109"/>
    </row>
    <row r="84" spans="1:8" ht="14.1" customHeight="1" x14ac:dyDescent="0.2">
      <c r="A84" s="99"/>
      <c r="B84" s="1"/>
      <c r="C84" s="2" t="s">
        <v>135</v>
      </c>
      <c r="D84" s="1"/>
      <c r="E84" s="1" t="s">
        <v>136</v>
      </c>
      <c r="F84" s="115">
        <v>0</v>
      </c>
      <c r="G84" s="9">
        <v>0</v>
      </c>
      <c r="H84" s="109"/>
    </row>
    <row r="85" spans="1:8" ht="14.1" customHeight="1" x14ac:dyDescent="0.2">
      <c r="A85" s="99"/>
      <c r="B85" s="1"/>
      <c r="C85" s="10"/>
      <c r="D85" s="1"/>
      <c r="E85" s="1"/>
      <c r="F85" s="11"/>
      <c r="G85" s="11"/>
      <c r="H85" s="109"/>
    </row>
    <row r="86" spans="1:8" ht="14.1" customHeight="1" x14ac:dyDescent="0.2">
      <c r="A86" s="99"/>
      <c r="B86" s="1"/>
      <c r="C86" s="2" t="s">
        <v>157</v>
      </c>
      <c r="D86" s="1"/>
      <c r="E86" s="1"/>
      <c r="F86" s="1"/>
      <c r="G86" s="1"/>
      <c r="H86" s="109"/>
    </row>
    <row r="87" spans="1:8" ht="14.1" customHeight="1" x14ac:dyDescent="0.2">
      <c r="A87" s="99"/>
      <c r="B87" s="1"/>
      <c r="C87" s="2" t="s">
        <v>158</v>
      </c>
      <c r="D87" s="1"/>
      <c r="E87" s="1"/>
      <c r="F87" s="1"/>
      <c r="G87" s="1"/>
      <c r="H87" s="109"/>
    </row>
    <row r="88" spans="1:8" ht="14.1" customHeight="1" x14ac:dyDescent="0.2">
      <c r="A88" s="99"/>
      <c r="B88" s="1"/>
      <c r="C88" s="2" t="s">
        <v>135</v>
      </c>
      <c r="D88" s="1"/>
      <c r="E88" s="1" t="s">
        <v>136</v>
      </c>
      <c r="F88" s="115">
        <v>0</v>
      </c>
      <c r="G88" s="9">
        <v>0</v>
      </c>
      <c r="H88" s="109"/>
    </row>
    <row r="89" spans="1:8" ht="14.1" customHeight="1" x14ac:dyDescent="0.2">
      <c r="A89" s="99"/>
      <c r="B89" s="1"/>
      <c r="C89" s="10"/>
      <c r="D89" s="1"/>
      <c r="E89" s="1"/>
      <c r="F89" s="11"/>
      <c r="G89" s="11"/>
      <c r="H89" s="109"/>
    </row>
    <row r="90" spans="1:8" ht="24" customHeight="1" x14ac:dyDescent="0.2">
      <c r="A90" s="99"/>
      <c r="B90" s="1"/>
      <c r="C90" s="2" t="s">
        <v>159</v>
      </c>
      <c r="D90" s="1"/>
      <c r="E90" s="1"/>
      <c r="F90" s="11"/>
      <c r="G90" s="11"/>
      <c r="H90" s="109"/>
    </row>
    <row r="91" spans="1:8" ht="14.1" customHeight="1" x14ac:dyDescent="0.2">
      <c r="A91" s="99"/>
      <c r="B91" s="1"/>
      <c r="C91" s="2" t="s">
        <v>135</v>
      </c>
      <c r="D91" s="1"/>
      <c r="E91" s="1" t="s">
        <v>136</v>
      </c>
      <c r="F91" s="115">
        <v>0</v>
      </c>
      <c r="G91" s="9">
        <v>0</v>
      </c>
      <c r="H91" s="109"/>
    </row>
    <row r="92" spans="1:8" ht="14.1" customHeight="1" x14ac:dyDescent="0.2">
      <c r="A92" s="99"/>
      <c r="B92" s="1"/>
      <c r="C92" s="10"/>
      <c r="D92" s="1"/>
      <c r="E92" s="1"/>
      <c r="F92" s="11"/>
      <c r="G92" s="11"/>
      <c r="H92" s="109"/>
    </row>
    <row r="93" spans="1:8" ht="14.1" customHeight="1" x14ac:dyDescent="0.2">
      <c r="A93" s="99"/>
      <c r="B93" s="3"/>
      <c r="C93" s="3"/>
      <c r="D93" s="2"/>
      <c r="E93" s="1"/>
      <c r="F93" s="3"/>
      <c r="G93" s="7"/>
      <c r="H93" s="109"/>
    </row>
    <row r="94" spans="1:8" ht="18" customHeight="1" x14ac:dyDescent="0.2">
      <c r="A94" s="101"/>
      <c r="B94" s="3"/>
      <c r="C94" s="3" t="s">
        <v>160</v>
      </c>
      <c r="D94" s="3"/>
      <c r="E94" s="7"/>
      <c r="F94" s="5">
        <v>816.49552998000001</v>
      </c>
      <c r="G94" s="6">
        <v>1.356459E-2</v>
      </c>
      <c r="H94" s="109"/>
    </row>
    <row r="95" spans="1:8" ht="14.1" customHeight="1" x14ac:dyDescent="0.2">
      <c r="A95" s="102"/>
      <c r="B95" s="10"/>
      <c r="C95" s="2" t="s">
        <v>161</v>
      </c>
      <c r="D95" s="11"/>
      <c r="E95" s="11"/>
      <c r="F95" s="8">
        <v>60193.167836467997</v>
      </c>
      <c r="G95" s="12">
        <v>1.0000000099999999</v>
      </c>
      <c r="H95" s="109"/>
    </row>
    <row r="96" spans="1:8" ht="14.1" customHeight="1" x14ac:dyDescent="0.2">
      <c r="A96" s="13"/>
      <c r="B96" s="13"/>
      <c r="C96" s="13"/>
      <c r="D96" s="14"/>
      <c r="E96" s="14"/>
      <c r="F96" s="14"/>
      <c r="G96" s="14"/>
    </row>
    <row r="97" spans="1:7" ht="14.1" customHeight="1" x14ac:dyDescent="0.2">
      <c r="A97" s="15"/>
      <c r="B97" s="15"/>
      <c r="C97" s="15"/>
      <c r="D97" s="17"/>
      <c r="E97" s="17"/>
      <c r="F97" s="17"/>
      <c r="G97" s="17"/>
    </row>
    <row r="98" spans="1:7" ht="14.1" customHeight="1" x14ac:dyDescent="0.2">
      <c r="A98" s="15"/>
      <c r="B98" s="194" t="s">
        <v>163</v>
      </c>
      <c r="C98" s="195"/>
      <c r="D98" s="196"/>
      <c r="E98" s="18"/>
      <c r="F98" s="17"/>
      <c r="G98" s="17"/>
    </row>
    <row r="99" spans="1:7" ht="29.1" customHeight="1" x14ac:dyDescent="0.2">
      <c r="A99" s="15"/>
      <c r="B99" s="191" t="s">
        <v>164</v>
      </c>
      <c r="C99" s="192"/>
      <c r="D99" s="2" t="s">
        <v>165</v>
      </c>
      <c r="E99" s="18"/>
      <c r="F99" s="17"/>
      <c r="G99" s="17"/>
    </row>
    <row r="100" spans="1:7" ht="17.100000000000001" customHeight="1" x14ac:dyDescent="0.2">
      <c r="A100" s="15"/>
      <c r="B100" s="191" t="s">
        <v>166</v>
      </c>
      <c r="C100" s="192"/>
      <c r="D100" s="2" t="s">
        <v>165</v>
      </c>
      <c r="E100" s="18"/>
      <c r="F100" s="17"/>
      <c r="G100" s="17"/>
    </row>
    <row r="101" spans="1:7" ht="17.100000000000001" customHeight="1" x14ac:dyDescent="0.2">
      <c r="A101" s="15"/>
      <c r="B101" s="191" t="s">
        <v>167</v>
      </c>
      <c r="C101" s="192"/>
      <c r="D101" s="11" t="s">
        <v>136</v>
      </c>
      <c r="E101" s="18"/>
      <c r="F101" s="17"/>
      <c r="G101" s="17"/>
    </row>
    <row r="102" spans="1:7" ht="24" customHeight="1" x14ac:dyDescent="0.2">
      <c r="A102" s="19"/>
      <c r="B102" s="20" t="s">
        <v>136</v>
      </c>
      <c r="C102" s="20" t="s">
        <v>168</v>
      </c>
      <c r="D102" s="20" t="s">
        <v>169</v>
      </c>
      <c r="E102" s="19"/>
      <c r="F102" s="19"/>
      <c r="G102" s="19"/>
    </row>
    <row r="103" spans="1:7" ht="18" customHeight="1" x14ac:dyDescent="0.2">
      <c r="A103" s="19"/>
      <c r="B103" s="21" t="s">
        <v>170</v>
      </c>
      <c r="C103" s="20" t="s">
        <v>171</v>
      </c>
      <c r="D103" s="20" t="s">
        <v>172</v>
      </c>
      <c r="E103" s="19"/>
      <c r="F103" s="19"/>
      <c r="G103" s="19"/>
    </row>
    <row r="104" spans="1:7" ht="17.100000000000001" customHeight="1" x14ac:dyDescent="0.2">
      <c r="A104" s="19"/>
      <c r="B104" s="3" t="s">
        <v>173</v>
      </c>
      <c r="C104" s="22">
        <v>69.683599999999998</v>
      </c>
      <c r="D104" s="22">
        <v>69.086399999999998</v>
      </c>
      <c r="E104" s="19"/>
      <c r="F104" s="16"/>
      <c r="G104" s="23"/>
    </row>
    <row r="105" spans="1:7" ht="17.100000000000001" customHeight="1" x14ac:dyDescent="0.2">
      <c r="A105" s="19"/>
      <c r="B105" s="3" t="s">
        <v>994</v>
      </c>
      <c r="C105" s="22">
        <v>25.465</v>
      </c>
      <c r="D105" s="22">
        <v>25.2468</v>
      </c>
      <c r="E105" s="19"/>
      <c r="F105" s="16"/>
      <c r="G105" s="23"/>
    </row>
    <row r="106" spans="1:7" ht="29.1" customHeight="1" x14ac:dyDescent="0.2">
      <c r="A106" s="19"/>
      <c r="B106" s="3" t="s">
        <v>824</v>
      </c>
      <c r="C106" s="22">
        <v>71.647199999999998</v>
      </c>
      <c r="D106" s="22">
        <v>71.033000000000001</v>
      </c>
      <c r="E106" s="19"/>
      <c r="F106" s="16"/>
      <c r="G106" s="23"/>
    </row>
    <row r="107" spans="1:7" ht="29.1" customHeight="1" x14ac:dyDescent="0.2">
      <c r="A107" s="19"/>
      <c r="B107" s="3" t="s">
        <v>1051</v>
      </c>
      <c r="C107" s="22">
        <v>25.9085</v>
      </c>
      <c r="D107" s="22">
        <v>25.685700000000001</v>
      </c>
      <c r="E107" s="19"/>
      <c r="F107" s="16"/>
      <c r="G107" s="23"/>
    </row>
    <row r="108" spans="1:7" ht="17.100000000000001" customHeight="1" x14ac:dyDescent="0.2">
      <c r="A108" s="19"/>
      <c r="B108" s="3" t="s">
        <v>174</v>
      </c>
      <c r="C108" s="22">
        <v>63.894599999999997</v>
      </c>
      <c r="D108" s="22">
        <v>63.2517</v>
      </c>
      <c r="E108" s="19"/>
      <c r="F108" s="16"/>
      <c r="G108" s="23"/>
    </row>
    <row r="109" spans="1:7" ht="17.100000000000001" customHeight="1" x14ac:dyDescent="0.2">
      <c r="A109" s="19"/>
      <c r="B109" s="3" t="s">
        <v>995</v>
      </c>
      <c r="C109" s="22">
        <v>22.9696</v>
      </c>
      <c r="D109" s="22">
        <v>22.738499999999998</v>
      </c>
      <c r="E109" s="19"/>
      <c r="F109" s="16"/>
      <c r="G109" s="23"/>
    </row>
    <row r="110" spans="1:7" ht="14.1" customHeight="1" x14ac:dyDescent="0.2">
      <c r="A110" s="19"/>
      <c r="B110" s="19"/>
      <c r="C110" s="19"/>
      <c r="D110" s="19"/>
      <c r="E110" s="19"/>
      <c r="F110" s="19"/>
      <c r="G110" s="19"/>
    </row>
    <row r="111" spans="1:7" ht="17.100000000000001" customHeight="1" x14ac:dyDescent="0.2">
      <c r="A111" s="19"/>
      <c r="B111" s="191" t="s">
        <v>1044</v>
      </c>
      <c r="C111" s="192"/>
      <c r="D111" s="2" t="s">
        <v>165</v>
      </c>
      <c r="E111" s="19"/>
      <c r="F111" s="19"/>
      <c r="G111" s="19"/>
    </row>
    <row r="112" spans="1:7" ht="18" customHeight="1" x14ac:dyDescent="0.2">
      <c r="A112" s="19"/>
      <c r="B112" s="24"/>
      <c r="C112" s="24"/>
      <c r="D112" s="24"/>
      <c r="E112" s="19"/>
      <c r="F112" s="19"/>
      <c r="G112" s="19"/>
    </row>
    <row r="113" spans="1:7" ht="29.1" customHeight="1" x14ac:dyDescent="0.2">
      <c r="A113" s="19"/>
      <c r="B113" s="191" t="s">
        <v>175</v>
      </c>
      <c r="C113" s="192"/>
      <c r="D113" s="2" t="s">
        <v>165</v>
      </c>
      <c r="E113" s="25"/>
      <c r="F113" s="19"/>
      <c r="G113" s="19"/>
    </row>
    <row r="114" spans="1:7" ht="29.1" customHeight="1" x14ac:dyDescent="0.2">
      <c r="A114" s="19"/>
      <c r="B114" s="191" t="s">
        <v>176</v>
      </c>
      <c r="C114" s="192"/>
      <c r="D114" s="2" t="s">
        <v>165</v>
      </c>
      <c r="E114" s="25"/>
      <c r="F114" s="19"/>
      <c r="G114" s="19"/>
    </row>
    <row r="115" spans="1:7" ht="17.100000000000001" customHeight="1" x14ac:dyDescent="0.2">
      <c r="A115" s="19"/>
      <c r="B115" s="191" t="s">
        <v>177</v>
      </c>
      <c r="C115" s="192"/>
      <c r="D115" s="2" t="s">
        <v>165</v>
      </c>
      <c r="E115" s="25"/>
      <c r="F115" s="19"/>
      <c r="G115" s="19"/>
    </row>
    <row r="116" spans="1:7" ht="17.100000000000001" customHeight="1" x14ac:dyDescent="0.2">
      <c r="A116" s="19"/>
      <c r="B116" s="191" t="s">
        <v>178</v>
      </c>
      <c r="C116" s="192"/>
      <c r="D116" s="26">
        <v>0.67232511368339187</v>
      </c>
      <c r="E116" s="19"/>
      <c r="F116" s="16"/>
      <c r="G116" s="23"/>
    </row>
    <row r="117" spans="1:7" ht="14.1" customHeight="1" x14ac:dyDescent="0.2">
      <c r="A117" s="24"/>
      <c r="B117" s="24"/>
      <c r="C117" s="24"/>
      <c r="D117" s="24"/>
      <c r="E117" s="24"/>
      <c r="F117" s="24"/>
      <c r="G117" s="24"/>
    </row>
  </sheetData>
  <mergeCells count="13">
    <mergeCell ref="J2:N2"/>
    <mergeCell ref="B100:C100"/>
    <mergeCell ref="B101:C101"/>
    <mergeCell ref="B98:D98"/>
    <mergeCell ref="B99:C99"/>
    <mergeCell ref="B116:C116"/>
    <mergeCell ref="B111:C111"/>
    <mergeCell ref="B113:C113"/>
    <mergeCell ref="A1:H1"/>
    <mergeCell ref="A2:H2"/>
    <mergeCell ref="A3:H3"/>
    <mergeCell ref="B114:C114"/>
    <mergeCell ref="B115:C115"/>
  </mergeCells>
  <hyperlinks>
    <hyperlink ref="I1" location="Index!B37" display="Index" xr:uid="{D9E4BDDF-52C1-4C6C-8F30-4AF003A2FA92}"/>
  </hyperlinks>
  <pageMargins left="5.000000074505806E-2" right="5.000000074505806E-2" top="0.30000001192092896" bottom="0.20000000298023224" header="0" footer="0"/>
  <pageSetup paperSize="9" orientation="landscape" r:id="rId1"/>
  <headerFooter alignWithMargins="0"/>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FA16C-D82D-4C27-911B-D41E67F546BF}">
  <dimension ref="A1:N61"/>
  <sheetViews>
    <sheetView workbookViewId="0">
      <selection sqref="A1:H1"/>
    </sheetView>
  </sheetViews>
  <sheetFormatPr defaultRowHeight="15" x14ac:dyDescent="0.25"/>
  <cols>
    <col min="1" max="1" width="5.42578125" style="38" bestFit="1" customWidth="1"/>
    <col min="2" max="2" width="19.7109375" style="38" bestFit="1" customWidth="1"/>
    <col min="3" max="3" width="40.28515625" style="38" bestFit="1" customWidth="1"/>
    <col min="4" max="4" width="15.28515625" style="38" bestFit="1" customWidth="1"/>
    <col min="5" max="5" width="12.42578125" style="38" bestFit="1" customWidth="1"/>
    <col min="6" max="6" width="16.42578125" style="38" bestFit="1" customWidth="1"/>
    <col min="7" max="7" width="8.5703125" style="38" bestFit="1" customWidth="1"/>
    <col min="8" max="8" width="8.42578125" style="38" bestFit="1" customWidth="1"/>
    <col min="9" max="10" width="9.140625" style="180"/>
    <col min="11" max="11" width="10.5703125" style="180" bestFit="1" customWidth="1"/>
    <col min="12" max="14" width="9.140625" style="180"/>
    <col min="15" max="245" width="9.140625" style="38"/>
    <col min="246" max="246" width="5.42578125" style="38" bestFit="1" customWidth="1"/>
    <col min="247" max="247" width="20.42578125" style="38" bestFit="1" customWidth="1"/>
    <col min="248" max="248" width="41.42578125" style="38" customWidth="1"/>
    <col min="249" max="249" width="15.28515625" style="38" bestFit="1" customWidth="1"/>
    <col min="250" max="250" width="16.7109375" style="38" bestFit="1" customWidth="1"/>
    <col min="251" max="251" width="11.28515625" style="38" bestFit="1" customWidth="1"/>
    <col min="252" max="252" width="14" style="38" bestFit="1" customWidth="1"/>
    <col min="253" max="253" width="11.85546875" style="38" bestFit="1" customWidth="1"/>
    <col min="254" max="254" width="14.85546875" style="38" bestFit="1" customWidth="1"/>
    <col min="255" max="255" width="9.7109375" style="38" customWidth="1"/>
    <col min="256" max="256" width="4.85546875" style="38" customWidth="1"/>
    <col min="257" max="501" width="9.140625" style="38"/>
    <col min="502" max="502" width="5.42578125" style="38" bestFit="1" customWidth="1"/>
    <col min="503" max="503" width="20.42578125" style="38" bestFit="1" customWidth="1"/>
    <col min="504" max="504" width="41.42578125" style="38" customWidth="1"/>
    <col min="505" max="505" width="15.28515625" style="38" bestFit="1" customWidth="1"/>
    <col min="506" max="506" width="16.7109375" style="38" bestFit="1" customWidth="1"/>
    <col min="507" max="507" width="11.28515625" style="38" bestFit="1" customWidth="1"/>
    <col min="508" max="508" width="14" style="38" bestFit="1" customWidth="1"/>
    <col min="509" max="509" width="11.85546875" style="38" bestFit="1" customWidth="1"/>
    <col min="510" max="510" width="14.85546875" style="38" bestFit="1" customWidth="1"/>
    <col min="511" max="511" width="9.7109375" style="38" customWidth="1"/>
    <col min="512" max="512" width="4.85546875" style="38" customWidth="1"/>
    <col min="513" max="757" width="9.140625" style="38"/>
    <col min="758" max="758" width="5.42578125" style="38" bestFit="1" customWidth="1"/>
    <col min="759" max="759" width="20.42578125" style="38" bestFit="1" customWidth="1"/>
    <col min="760" max="760" width="41.42578125" style="38" customWidth="1"/>
    <col min="761" max="761" width="15.28515625" style="38" bestFit="1" customWidth="1"/>
    <col min="762" max="762" width="16.7109375" style="38" bestFit="1" customWidth="1"/>
    <col min="763" max="763" width="11.28515625" style="38" bestFit="1" customWidth="1"/>
    <col min="764" max="764" width="14" style="38" bestFit="1" customWidth="1"/>
    <col min="765" max="765" width="11.85546875" style="38" bestFit="1" customWidth="1"/>
    <col min="766" max="766" width="14.85546875" style="38" bestFit="1" customWidth="1"/>
    <col min="767" max="767" width="9.7109375" style="38" customWidth="1"/>
    <col min="768" max="768" width="4.85546875" style="38" customWidth="1"/>
    <col min="769" max="1013" width="9.140625" style="38"/>
    <col min="1014" max="1014" width="5.42578125" style="38" bestFit="1" customWidth="1"/>
    <col min="1015" max="1015" width="20.42578125" style="38" bestFit="1" customWidth="1"/>
    <col min="1016" max="1016" width="41.42578125" style="38" customWidth="1"/>
    <col min="1017" max="1017" width="15.28515625" style="38" bestFit="1" customWidth="1"/>
    <col min="1018" max="1018" width="16.7109375" style="38" bestFit="1" customWidth="1"/>
    <col min="1019" max="1019" width="11.28515625" style="38" bestFit="1" customWidth="1"/>
    <col min="1020" max="1020" width="14" style="38" bestFit="1" customWidth="1"/>
    <col min="1021" max="1021" width="11.85546875" style="38" bestFit="1" customWidth="1"/>
    <col min="1022" max="1022" width="14.85546875" style="38" bestFit="1" customWidth="1"/>
    <col min="1023" max="1023" width="9.7109375" style="38" customWidth="1"/>
    <col min="1024" max="1024" width="4.85546875" style="38" customWidth="1"/>
    <col min="1025" max="1269" width="9.140625" style="38"/>
    <col min="1270" max="1270" width="5.42578125" style="38" bestFit="1" customWidth="1"/>
    <col min="1271" max="1271" width="20.42578125" style="38" bestFit="1" customWidth="1"/>
    <col min="1272" max="1272" width="41.42578125" style="38" customWidth="1"/>
    <col min="1273" max="1273" width="15.28515625" style="38" bestFit="1" customWidth="1"/>
    <col min="1274" max="1274" width="16.7109375" style="38" bestFit="1" customWidth="1"/>
    <col min="1275" max="1275" width="11.28515625" style="38" bestFit="1" customWidth="1"/>
    <col min="1276" max="1276" width="14" style="38" bestFit="1" customWidth="1"/>
    <col min="1277" max="1277" width="11.85546875" style="38" bestFit="1" customWidth="1"/>
    <col min="1278" max="1278" width="14.85546875" style="38" bestFit="1" customWidth="1"/>
    <col min="1279" max="1279" width="9.7109375" style="38" customWidth="1"/>
    <col min="1280" max="1280" width="4.85546875" style="38" customWidth="1"/>
    <col min="1281" max="1525" width="9.140625" style="38"/>
    <col min="1526" max="1526" width="5.42578125" style="38" bestFit="1" customWidth="1"/>
    <col min="1527" max="1527" width="20.42578125" style="38" bestFit="1" customWidth="1"/>
    <col min="1528" max="1528" width="41.42578125" style="38" customWidth="1"/>
    <col min="1529" max="1529" width="15.28515625" style="38" bestFit="1" customWidth="1"/>
    <col min="1530" max="1530" width="16.7109375" style="38" bestFit="1" customWidth="1"/>
    <col min="1531" max="1531" width="11.28515625" style="38" bestFit="1" customWidth="1"/>
    <col min="1532" max="1532" width="14" style="38" bestFit="1" customWidth="1"/>
    <col min="1533" max="1533" width="11.85546875" style="38" bestFit="1" customWidth="1"/>
    <col min="1534" max="1534" width="14.85546875" style="38" bestFit="1" customWidth="1"/>
    <col min="1535" max="1535" width="9.7109375" style="38" customWidth="1"/>
    <col min="1536" max="1536" width="4.85546875" style="38" customWidth="1"/>
    <col min="1537" max="1781" width="9.140625" style="38"/>
    <col min="1782" max="1782" width="5.42578125" style="38" bestFit="1" customWidth="1"/>
    <col min="1783" max="1783" width="20.42578125" style="38" bestFit="1" customWidth="1"/>
    <col min="1784" max="1784" width="41.42578125" style="38" customWidth="1"/>
    <col min="1785" max="1785" width="15.28515625" style="38" bestFit="1" customWidth="1"/>
    <col min="1786" max="1786" width="16.7109375" style="38" bestFit="1" customWidth="1"/>
    <col min="1787" max="1787" width="11.28515625" style="38" bestFit="1" customWidth="1"/>
    <col min="1788" max="1788" width="14" style="38" bestFit="1" customWidth="1"/>
    <col min="1789" max="1789" width="11.85546875" style="38" bestFit="1" customWidth="1"/>
    <col min="1790" max="1790" width="14.85546875" style="38" bestFit="1" customWidth="1"/>
    <col min="1791" max="1791" width="9.7109375" style="38" customWidth="1"/>
    <col min="1792" max="1792" width="4.85546875" style="38" customWidth="1"/>
    <col min="1793" max="2037" width="9.140625" style="38"/>
    <col min="2038" max="2038" width="5.42578125" style="38" bestFit="1" customWidth="1"/>
    <col min="2039" max="2039" width="20.42578125" style="38" bestFit="1" customWidth="1"/>
    <col min="2040" max="2040" width="41.42578125" style="38" customWidth="1"/>
    <col min="2041" max="2041" width="15.28515625" style="38" bestFit="1" customWidth="1"/>
    <col min="2042" max="2042" width="16.7109375" style="38" bestFit="1" customWidth="1"/>
    <col min="2043" max="2043" width="11.28515625" style="38" bestFit="1" customWidth="1"/>
    <col min="2044" max="2044" width="14" style="38" bestFit="1" customWidth="1"/>
    <col min="2045" max="2045" width="11.85546875" style="38" bestFit="1" customWidth="1"/>
    <col min="2046" max="2046" width="14.85546875" style="38" bestFit="1" customWidth="1"/>
    <col min="2047" max="2047" width="9.7109375" style="38" customWidth="1"/>
    <col min="2048" max="2048" width="4.85546875" style="38" customWidth="1"/>
    <col min="2049" max="2293" width="9.140625" style="38"/>
    <col min="2294" max="2294" width="5.42578125" style="38" bestFit="1" customWidth="1"/>
    <col min="2295" max="2295" width="20.42578125" style="38" bestFit="1" customWidth="1"/>
    <col min="2296" max="2296" width="41.42578125" style="38" customWidth="1"/>
    <col min="2297" max="2297" width="15.28515625" style="38" bestFit="1" customWidth="1"/>
    <col min="2298" max="2298" width="16.7109375" style="38" bestFit="1" customWidth="1"/>
    <col min="2299" max="2299" width="11.28515625" style="38" bestFit="1" customWidth="1"/>
    <col min="2300" max="2300" width="14" style="38" bestFit="1" customWidth="1"/>
    <col min="2301" max="2301" width="11.85546875" style="38" bestFit="1" customWidth="1"/>
    <col min="2302" max="2302" width="14.85546875" style="38" bestFit="1" customWidth="1"/>
    <col min="2303" max="2303" width="9.7109375" style="38" customWidth="1"/>
    <col min="2304" max="2304" width="4.85546875" style="38" customWidth="1"/>
    <col min="2305" max="2549" width="9.140625" style="38"/>
    <col min="2550" max="2550" width="5.42578125" style="38" bestFit="1" customWidth="1"/>
    <col min="2551" max="2551" width="20.42578125" style="38" bestFit="1" customWidth="1"/>
    <col min="2552" max="2552" width="41.42578125" style="38" customWidth="1"/>
    <col min="2553" max="2553" width="15.28515625" style="38" bestFit="1" customWidth="1"/>
    <col min="2554" max="2554" width="16.7109375" style="38" bestFit="1" customWidth="1"/>
    <col min="2555" max="2555" width="11.28515625" style="38" bestFit="1" customWidth="1"/>
    <col min="2556" max="2556" width="14" style="38" bestFit="1" customWidth="1"/>
    <col min="2557" max="2557" width="11.85546875" style="38" bestFit="1" customWidth="1"/>
    <col min="2558" max="2558" width="14.85546875" style="38" bestFit="1" customWidth="1"/>
    <col min="2559" max="2559" width="9.7109375" style="38" customWidth="1"/>
    <col min="2560" max="2560" width="4.85546875" style="38" customWidth="1"/>
    <col min="2561" max="2805" width="9.140625" style="38"/>
    <col min="2806" max="2806" width="5.42578125" style="38" bestFit="1" customWidth="1"/>
    <col min="2807" max="2807" width="20.42578125" style="38" bestFit="1" customWidth="1"/>
    <col min="2808" max="2808" width="41.42578125" style="38" customWidth="1"/>
    <col min="2809" max="2809" width="15.28515625" style="38" bestFit="1" customWidth="1"/>
    <col min="2810" max="2810" width="16.7109375" style="38" bestFit="1" customWidth="1"/>
    <col min="2811" max="2811" width="11.28515625" style="38" bestFit="1" customWidth="1"/>
    <col min="2812" max="2812" width="14" style="38" bestFit="1" customWidth="1"/>
    <col min="2813" max="2813" width="11.85546875" style="38" bestFit="1" customWidth="1"/>
    <col min="2814" max="2814" width="14.85546875" style="38" bestFit="1" customWidth="1"/>
    <col min="2815" max="2815" width="9.7109375" style="38" customWidth="1"/>
    <col min="2816" max="2816" width="4.85546875" style="38" customWidth="1"/>
    <col min="2817" max="3061" width="9.140625" style="38"/>
    <col min="3062" max="3062" width="5.42578125" style="38" bestFit="1" customWidth="1"/>
    <col min="3063" max="3063" width="20.42578125" style="38" bestFit="1" customWidth="1"/>
    <col min="3064" max="3064" width="41.42578125" style="38" customWidth="1"/>
    <col min="3065" max="3065" width="15.28515625" style="38" bestFit="1" customWidth="1"/>
    <col min="3066" max="3066" width="16.7109375" style="38" bestFit="1" customWidth="1"/>
    <col min="3067" max="3067" width="11.28515625" style="38" bestFit="1" customWidth="1"/>
    <col min="3068" max="3068" width="14" style="38" bestFit="1" customWidth="1"/>
    <col min="3069" max="3069" width="11.85546875" style="38" bestFit="1" customWidth="1"/>
    <col min="3070" max="3070" width="14.85546875" style="38" bestFit="1" customWidth="1"/>
    <col min="3071" max="3071" width="9.7109375" style="38" customWidth="1"/>
    <col min="3072" max="3072" width="4.85546875" style="38" customWidth="1"/>
    <col min="3073" max="3317" width="9.140625" style="38"/>
    <col min="3318" max="3318" width="5.42578125" style="38" bestFit="1" customWidth="1"/>
    <col min="3319" max="3319" width="20.42578125" style="38" bestFit="1" customWidth="1"/>
    <col min="3320" max="3320" width="41.42578125" style="38" customWidth="1"/>
    <col min="3321" max="3321" width="15.28515625" style="38" bestFit="1" customWidth="1"/>
    <col min="3322" max="3322" width="16.7109375" style="38" bestFit="1" customWidth="1"/>
    <col min="3323" max="3323" width="11.28515625" style="38" bestFit="1" customWidth="1"/>
    <col min="3324" max="3324" width="14" style="38" bestFit="1" customWidth="1"/>
    <col min="3325" max="3325" width="11.85546875" style="38" bestFit="1" customWidth="1"/>
    <col min="3326" max="3326" width="14.85546875" style="38" bestFit="1" customWidth="1"/>
    <col min="3327" max="3327" width="9.7109375" style="38" customWidth="1"/>
    <col min="3328" max="3328" width="4.85546875" style="38" customWidth="1"/>
    <col min="3329" max="3573" width="9.140625" style="38"/>
    <col min="3574" max="3574" width="5.42578125" style="38" bestFit="1" customWidth="1"/>
    <col min="3575" max="3575" width="20.42578125" style="38" bestFit="1" customWidth="1"/>
    <col min="3576" max="3576" width="41.42578125" style="38" customWidth="1"/>
    <col min="3577" max="3577" width="15.28515625" style="38" bestFit="1" customWidth="1"/>
    <col min="3578" max="3578" width="16.7109375" style="38" bestFit="1" customWidth="1"/>
    <col min="3579" max="3579" width="11.28515625" style="38" bestFit="1" customWidth="1"/>
    <col min="3580" max="3580" width="14" style="38" bestFit="1" customWidth="1"/>
    <col min="3581" max="3581" width="11.85546875" style="38" bestFit="1" customWidth="1"/>
    <col min="3582" max="3582" width="14.85546875" style="38" bestFit="1" customWidth="1"/>
    <col min="3583" max="3583" width="9.7109375" style="38" customWidth="1"/>
    <col min="3584" max="3584" width="4.85546875" style="38" customWidth="1"/>
    <col min="3585" max="3829" width="9.140625" style="38"/>
    <col min="3830" max="3830" width="5.42578125" style="38" bestFit="1" customWidth="1"/>
    <col min="3831" max="3831" width="20.42578125" style="38" bestFit="1" customWidth="1"/>
    <col min="3832" max="3832" width="41.42578125" style="38" customWidth="1"/>
    <col min="3833" max="3833" width="15.28515625" style="38" bestFit="1" customWidth="1"/>
    <col min="3834" max="3834" width="16.7109375" style="38" bestFit="1" customWidth="1"/>
    <col min="3835" max="3835" width="11.28515625" style="38" bestFit="1" customWidth="1"/>
    <col min="3836" max="3836" width="14" style="38" bestFit="1" customWidth="1"/>
    <col min="3837" max="3837" width="11.85546875" style="38" bestFit="1" customWidth="1"/>
    <col min="3838" max="3838" width="14.85546875" style="38" bestFit="1" customWidth="1"/>
    <col min="3839" max="3839" width="9.7109375" style="38" customWidth="1"/>
    <col min="3840" max="3840" width="4.85546875" style="38" customWidth="1"/>
    <col min="3841" max="4085" width="9.140625" style="38"/>
    <col min="4086" max="4086" width="5.42578125" style="38" bestFit="1" customWidth="1"/>
    <col min="4087" max="4087" width="20.42578125" style="38" bestFit="1" customWidth="1"/>
    <col min="4088" max="4088" width="41.42578125" style="38" customWidth="1"/>
    <col min="4089" max="4089" width="15.28515625" style="38" bestFit="1" customWidth="1"/>
    <col min="4090" max="4090" width="16.7109375" style="38" bestFit="1" customWidth="1"/>
    <col min="4091" max="4091" width="11.28515625" style="38" bestFit="1" customWidth="1"/>
    <col min="4092" max="4092" width="14" style="38" bestFit="1" customWidth="1"/>
    <col min="4093" max="4093" width="11.85546875" style="38" bestFit="1" customWidth="1"/>
    <col min="4094" max="4094" width="14.85546875" style="38" bestFit="1" customWidth="1"/>
    <col min="4095" max="4095" width="9.7109375" style="38" customWidth="1"/>
    <col min="4096" max="4096" width="4.85546875" style="38" customWidth="1"/>
    <col min="4097" max="4341" width="9.140625" style="38"/>
    <col min="4342" max="4342" width="5.42578125" style="38" bestFit="1" customWidth="1"/>
    <col min="4343" max="4343" width="20.42578125" style="38" bestFit="1" customWidth="1"/>
    <col min="4344" max="4344" width="41.42578125" style="38" customWidth="1"/>
    <col min="4345" max="4345" width="15.28515625" style="38" bestFit="1" customWidth="1"/>
    <col min="4346" max="4346" width="16.7109375" style="38" bestFit="1" customWidth="1"/>
    <col min="4347" max="4347" width="11.28515625" style="38" bestFit="1" customWidth="1"/>
    <col min="4348" max="4348" width="14" style="38" bestFit="1" customWidth="1"/>
    <col min="4349" max="4349" width="11.85546875" style="38" bestFit="1" customWidth="1"/>
    <col min="4350" max="4350" width="14.85546875" style="38" bestFit="1" customWidth="1"/>
    <col min="4351" max="4351" width="9.7109375" style="38" customWidth="1"/>
    <col min="4352" max="4352" width="4.85546875" style="38" customWidth="1"/>
    <col min="4353" max="4597" width="9.140625" style="38"/>
    <col min="4598" max="4598" width="5.42578125" style="38" bestFit="1" customWidth="1"/>
    <col min="4599" max="4599" width="20.42578125" style="38" bestFit="1" customWidth="1"/>
    <col min="4600" max="4600" width="41.42578125" style="38" customWidth="1"/>
    <col min="4601" max="4601" width="15.28515625" style="38" bestFit="1" customWidth="1"/>
    <col min="4602" max="4602" width="16.7109375" style="38" bestFit="1" customWidth="1"/>
    <col min="4603" max="4603" width="11.28515625" style="38" bestFit="1" customWidth="1"/>
    <col min="4604" max="4604" width="14" style="38" bestFit="1" customWidth="1"/>
    <col min="4605" max="4605" width="11.85546875" style="38" bestFit="1" customWidth="1"/>
    <col min="4606" max="4606" width="14.85546875" style="38" bestFit="1" customWidth="1"/>
    <col min="4607" max="4607" width="9.7109375" style="38" customWidth="1"/>
    <col min="4608" max="4608" width="4.85546875" style="38" customWidth="1"/>
    <col min="4609" max="4853" width="9.140625" style="38"/>
    <col min="4854" max="4854" width="5.42578125" style="38" bestFit="1" customWidth="1"/>
    <col min="4855" max="4855" width="20.42578125" style="38" bestFit="1" customWidth="1"/>
    <col min="4856" max="4856" width="41.42578125" style="38" customWidth="1"/>
    <col min="4857" max="4857" width="15.28515625" style="38" bestFit="1" customWidth="1"/>
    <col min="4858" max="4858" width="16.7109375" style="38" bestFit="1" customWidth="1"/>
    <col min="4859" max="4859" width="11.28515625" style="38" bestFit="1" customWidth="1"/>
    <col min="4860" max="4860" width="14" style="38" bestFit="1" customWidth="1"/>
    <col min="4861" max="4861" width="11.85546875" style="38" bestFit="1" customWidth="1"/>
    <col min="4862" max="4862" width="14.85546875" style="38" bestFit="1" customWidth="1"/>
    <col min="4863" max="4863" width="9.7109375" style="38" customWidth="1"/>
    <col min="4864" max="4864" width="4.85546875" style="38" customWidth="1"/>
    <col min="4865" max="5109" width="9.140625" style="38"/>
    <col min="5110" max="5110" width="5.42578125" style="38" bestFit="1" customWidth="1"/>
    <col min="5111" max="5111" width="20.42578125" style="38" bestFit="1" customWidth="1"/>
    <col min="5112" max="5112" width="41.42578125" style="38" customWidth="1"/>
    <col min="5113" max="5113" width="15.28515625" style="38" bestFit="1" customWidth="1"/>
    <col min="5114" max="5114" width="16.7109375" style="38" bestFit="1" customWidth="1"/>
    <col min="5115" max="5115" width="11.28515625" style="38" bestFit="1" customWidth="1"/>
    <col min="5116" max="5116" width="14" style="38" bestFit="1" customWidth="1"/>
    <col min="5117" max="5117" width="11.85546875" style="38" bestFit="1" customWidth="1"/>
    <col min="5118" max="5118" width="14.85546875" style="38" bestFit="1" customWidth="1"/>
    <col min="5119" max="5119" width="9.7109375" style="38" customWidth="1"/>
    <col min="5120" max="5120" width="4.85546875" style="38" customWidth="1"/>
    <col min="5121" max="5365" width="9.140625" style="38"/>
    <col min="5366" max="5366" width="5.42578125" style="38" bestFit="1" customWidth="1"/>
    <col min="5367" max="5367" width="20.42578125" style="38" bestFit="1" customWidth="1"/>
    <col min="5368" max="5368" width="41.42578125" style="38" customWidth="1"/>
    <col min="5369" max="5369" width="15.28515625" style="38" bestFit="1" customWidth="1"/>
    <col min="5370" max="5370" width="16.7109375" style="38" bestFit="1" customWidth="1"/>
    <col min="5371" max="5371" width="11.28515625" style="38" bestFit="1" customWidth="1"/>
    <col min="5372" max="5372" width="14" style="38" bestFit="1" customWidth="1"/>
    <col min="5373" max="5373" width="11.85546875" style="38" bestFit="1" customWidth="1"/>
    <col min="5374" max="5374" width="14.85546875" style="38" bestFit="1" customWidth="1"/>
    <col min="5375" max="5375" width="9.7109375" style="38" customWidth="1"/>
    <col min="5376" max="5376" width="4.85546875" style="38" customWidth="1"/>
    <col min="5377" max="5621" width="9.140625" style="38"/>
    <col min="5622" max="5622" width="5.42578125" style="38" bestFit="1" customWidth="1"/>
    <col min="5623" max="5623" width="20.42578125" style="38" bestFit="1" customWidth="1"/>
    <col min="5624" max="5624" width="41.42578125" style="38" customWidth="1"/>
    <col min="5625" max="5625" width="15.28515625" style="38" bestFit="1" customWidth="1"/>
    <col min="5626" max="5626" width="16.7109375" style="38" bestFit="1" customWidth="1"/>
    <col min="5627" max="5627" width="11.28515625" style="38" bestFit="1" customWidth="1"/>
    <col min="5628" max="5628" width="14" style="38" bestFit="1" customWidth="1"/>
    <col min="5629" max="5629" width="11.85546875" style="38" bestFit="1" customWidth="1"/>
    <col min="5630" max="5630" width="14.85546875" style="38" bestFit="1" customWidth="1"/>
    <col min="5631" max="5631" width="9.7109375" style="38" customWidth="1"/>
    <col min="5632" max="5632" width="4.85546875" style="38" customWidth="1"/>
    <col min="5633" max="5877" width="9.140625" style="38"/>
    <col min="5878" max="5878" width="5.42578125" style="38" bestFit="1" customWidth="1"/>
    <col min="5879" max="5879" width="20.42578125" style="38" bestFit="1" customWidth="1"/>
    <col min="5880" max="5880" width="41.42578125" style="38" customWidth="1"/>
    <col min="5881" max="5881" width="15.28515625" style="38" bestFit="1" customWidth="1"/>
    <col min="5882" max="5882" width="16.7109375" style="38" bestFit="1" customWidth="1"/>
    <col min="5883" max="5883" width="11.28515625" style="38" bestFit="1" customWidth="1"/>
    <col min="5884" max="5884" width="14" style="38" bestFit="1" customWidth="1"/>
    <col min="5885" max="5885" width="11.85546875" style="38" bestFit="1" customWidth="1"/>
    <col min="5886" max="5886" width="14.85546875" style="38" bestFit="1" customWidth="1"/>
    <col min="5887" max="5887" width="9.7109375" style="38" customWidth="1"/>
    <col min="5888" max="5888" width="4.85546875" style="38" customWidth="1"/>
    <col min="5889" max="6133" width="9.140625" style="38"/>
    <col min="6134" max="6134" width="5.42578125" style="38" bestFit="1" customWidth="1"/>
    <col min="6135" max="6135" width="20.42578125" style="38" bestFit="1" customWidth="1"/>
    <col min="6136" max="6136" width="41.42578125" style="38" customWidth="1"/>
    <col min="6137" max="6137" width="15.28515625" style="38" bestFit="1" customWidth="1"/>
    <col min="6138" max="6138" width="16.7109375" style="38" bestFit="1" customWidth="1"/>
    <col min="6139" max="6139" width="11.28515625" style="38" bestFit="1" customWidth="1"/>
    <col min="6140" max="6140" width="14" style="38" bestFit="1" customWidth="1"/>
    <col min="6141" max="6141" width="11.85546875" style="38" bestFit="1" customWidth="1"/>
    <col min="6142" max="6142" width="14.85546875" style="38" bestFit="1" customWidth="1"/>
    <col min="6143" max="6143" width="9.7109375" style="38" customWidth="1"/>
    <col min="6144" max="6144" width="4.85546875" style="38" customWidth="1"/>
    <col min="6145" max="6389" width="9.140625" style="38"/>
    <col min="6390" max="6390" width="5.42578125" style="38" bestFit="1" customWidth="1"/>
    <col min="6391" max="6391" width="20.42578125" style="38" bestFit="1" customWidth="1"/>
    <col min="6392" max="6392" width="41.42578125" style="38" customWidth="1"/>
    <col min="6393" max="6393" width="15.28515625" style="38" bestFit="1" customWidth="1"/>
    <col min="6394" max="6394" width="16.7109375" style="38" bestFit="1" customWidth="1"/>
    <col min="6395" max="6395" width="11.28515625" style="38" bestFit="1" customWidth="1"/>
    <col min="6396" max="6396" width="14" style="38" bestFit="1" customWidth="1"/>
    <col min="6397" max="6397" width="11.85546875" style="38" bestFit="1" customWidth="1"/>
    <col min="6398" max="6398" width="14.85546875" style="38" bestFit="1" customWidth="1"/>
    <col min="6399" max="6399" width="9.7109375" style="38" customWidth="1"/>
    <col min="6400" max="6400" width="4.85546875" style="38" customWidth="1"/>
    <col min="6401" max="6645" width="9.140625" style="38"/>
    <col min="6646" max="6646" width="5.42578125" style="38" bestFit="1" customWidth="1"/>
    <col min="6647" max="6647" width="20.42578125" style="38" bestFit="1" customWidth="1"/>
    <col min="6648" max="6648" width="41.42578125" style="38" customWidth="1"/>
    <col min="6649" max="6649" width="15.28515625" style="38" bestFit="1" customWidth="1"/>
    <col min="6650" max="6650" width="16.7109375" style="38" bestFit="1" customWidth="1"/>
    <col min="6651" max="6651" width="11.28515625" style="38" bestFit="1" customWidth="1"/>
    <col min="6652" max="6652" width="14" style="38" bestFit="1" customWidth="1"/>
    <col min="6653" max="6653" width="11.85546875" style="38" bestFit="1" customWidth="1"/>
    <col min="6654" max="6654" width="14.85546875" style="38" bestFit="1" customWidth="1"/>
    <col min="6655" max="6655" width="9.7109375" style="38" customWidth="1"/>
    <col min="6656" max="6656" width="4.85546875" style="38" customWidth="1"/>
    <col min="6657" max="6901" width="9.140625" style="38"/>
    <col min="6902" max="6902" width="5.42578125" style="38" bestFit="1" customWidth="1"/>
    <col min="6903" max="6903" width="20.42578125" style="38" bestFit="1" customWidth="1"/>
    <col min="6904" max="6904" width="41.42578125" style="38" customWidth="1"/>
    <col min="6905" max="6905" width="15.28515625" style="38" bestFit="1" customWidth="1"/>
    <col min="6906" max="6906" width="16.7109375" style="38" bestFit="1" customWidth="1"/>
    <col min="6907" max="6907" width="11.28515625" style="38" bestFit="1" customWidth="1"/>
    <col min="6908" max="6908" width="14" style="38" bestFit="1" customWidth="1"/>
    <col min="6909" max="6909" width="11.85546875" style="38" bestFit="1" customWidth="1"/>
    <col min="6910" max="6910" width="14.85546875" style="38" bestFit="1" customWidth="1"/>
    <col min="6911" max="6911" width="9.7109375" style="38" customWidth="1"/>
    <col min="6912" max="6912" width="4.85546875" style="38" customWidth="1"/>
    <col min="6913" max="7157" width="9.140625" style="38"/>
    <col min="7158" max="7158" width="5.42578125" style="38" bestFit="1" customWidth="1"/>
    <col min="7159" max="7159" width="20.42578125" style="38" bestFit="1" customWidth="1"/>
    <col min="7160" max="7160" width="41.42578125" style="38" customWidth="1"/>
    <col min="7161" max="7161" width="15.28515625" style="38" bestFit="1" customWidth="1"/>
    <col min="7162" max="7162" width="16.7109375" style="38" bestFit="1" customWidth="1"/>
    <col min="7163" max="7163" width="11.28515625" style="38" bestFit="1" customWidth="1"/>
    <col min="7164" max="7164" width="14" style="38" bestFit="1" customWidth="1"/>
    <col min="7165" max="7165" width="11.85546875" style="38" bestFit="1" customWidth="1"/>
    <col min="7166" max="7166" width="14.85546875" style="38" bestFit="1" customWidth="1"/>
    <col min="7167" max="7167" width="9.7109375" style="38" customWidth="1"/>
    <col min="7168" max="7168" width="4.85546875" style="38" customWidth="1"/>
    <col min="7169" max="7413" width="9.140625" style="38"/>
    <col min="7414" max="7414" width="5.42578125" style="38" bestFit="1" customWidth="1"/>
    <col min="7415" max="7415" width="20.42578125" style="38" bestFit="1" customWidth="1"/>
    <col min="7416" max="7416" width="41.42578125" style="38" customWidth="1"/>
    <col min="7417" max="7417" width="15.28515625" style="38" bestFit="1" customWidth="1"/>
    <col min="7418" max="7418" width="16.7109375" style="38" bestFit="1" customWidth="1"/>
    <col min="7419" max="7419" width="11.28515625" style="38" bestFit="1" customWidth="1"/>
    <col min="7420" max="7420" width="14" style="38" bestFit="1" customWidth="1"/>
    <col min="7421" max="7421" width="11.85546875" style="38" bestFit="1" customWidth="1"/>
    <col min="7422" max="7422" width="14.85546875" style="38" bestFit="1" customWidth="1"/>
    <col min="7423" max="7423" width="9.7109375" style="38" customWidth="1"/>
    <col min="7424" max="7424" width="4.85546875" style="38" customWidth="1"/>
    <col min="7425" max="7669" width="9.140625" style="38"/>
    <col min="7670" max="7670" width="5.42578125" style="38" bestFit="1" customWidth="1"/>
    <col min="7671" max="7671" width="20.42578125" style="38" bestFit="1" customWidth="1"/>
    <col min="7672" max="7672" width="41.42578125" style="38" customWidth="1"/>
    <col min="7673" max="7673" width="15.28515625" style="38" bestFit="1" customWidth="1"/>
    <col min="7674" max="7674" width="16.7109375" style="38" bestFit="1" customWidth="1"/>
    <col min="7675" max="7675" width="11.28515625" style="38" bestFit="1" customWidth="1"/>
    <col min="7676" max="7676" width="14" style="38" bestFit="1" customWidth="1"/>
    <col min="7677" max="7677" width="11.85546875" style="38" bestFit="1" customWidth="1"/>
    <col min="7678" max="7678" width="14.85546875" style="38" bestFit="1" customWidth="1"/>
    <col min="7679" max="7679" width="9.7109375" style="38" customWidth="1"/>
    <col min="7680" max="7680" width="4.85546875" style="38" customWidth="1"/>
    <col min="7681" max="7925" width="9.140625" style="38"/>
    <col min="7926" max="7926" width="5.42578125" style="38" bestFit="1" customWidth="1"/>
    <col min="7927" max="7927" width="20.42578125" style="38" bestFit="1" customWidth="1"/>
    <col min="7928" max="7928" width="41.42578125" style="38" customWidth="1"/>
    <col min="7929" max="7929" width="15.28515625" style="38" bestFit="1" customWidth="1"/>
    <col min="7930" max="7930" width="16.7109375" style="38" bestFit="1" customWidth="1"/>
    <col min="7931" max="7931" width="11.28515625" style="38" bestFit="1" customWidth="1"/>
    <col min="7932" max="7932" width="14" style="38" bestFit="1" customWidth="1"/>
    <col min="7933" max="7933" width="11.85546875" style="38" bestFit="1" customWidth="1"/>
    <col min="7934" max="7934" width="14.85546875" style="38" bestFit="1" customWidth="1"/>
    <col min="7935" max="7935" width="9.7109375" style="38" customWidth="1"/>
    <col min="7936" max="7936" width="4.85546875" style="38" customWidth="1"/>
    <col min="7937" max="8181" width="9.140625" style="38"/>
    <col min="8182" max="8182" width="5.42578125" style="38" bestFit="1" customWidth="1"/>
    <col min="8183" max="8183" width="20.42578125" style="38" bestFit="1" customWidth="1"/>
    <col min="8184" max="8184" width="41.42578125" style="38" customWidth="1"/>
    <col min="8185" max="8185" width="15.28515625" style="38" bestFit="1" customWidth="1"/>
    <col min="8186" max="8186" width="16.7109375" style="38" bestFit="1" customWidth="1"/>
    <col min="8187" max="8187" width="11.28515625" style="38" bestFit="1" customWidth="1"/>
    <col min="8188" max="8188" width="14" style="38" bestFit="1" customWidth="1"/>
    <col min="8189" max="8189" width="11.85546875" style="38" bestFit="1" customWidth="1"/>
    <col min="8190" max="8190" width="14.85546875" style="38" bestFit="1" customWidth="1"/>
    <col min="8191" max="8191" width="9.7109375" style="38" customWidth="1"/>
    <col min="8192" max="8192" width="4.85546875" style="38" customWidth="1"/>
    <col min="8193" max="8437" width="9.140625" style="38"/>
    <col min="8438" max="8438" width="5.42578125" style="38" bestFit="1" customWidth="1"/>
    <col min="8439" max="8439" width="20.42578125" style="38" bestFit="1" customWidth="1"/>
    <col min="8440" max="8440" width="41.42578125" style="38" customWidth="1"/>
    <col min="8441" max="8441" width="15.28515625" style="38" bestFit="1" customWidth="1"/>
    <col min="8442" max="8442" width="16.7109375" style="38" bestFit="1" customWidth="1"/>
    <col min="8443" max="8443" width="11.28515625" style="38" bestFit="1" customWidth="1"/>
    <col min="8444" max="8444" width="14" style="38" bestFit="1" customWidth="1"/>
    <col min="8445" max="8445" width="11.85546875" style="38" bestFit="1" customWidth="1"/>
    <col min="8446" max="8446" width="14.85546875" style="38" bestFit="1" customWidth="1"/>
    <col min="8447" max="8447" width="9.7109375" style="38" customWidth="1"/>
    <col min="8448" max="8448" width="4.85546875" style="38" customWidth="1"/>
    <col min="8449" max="8693" width="9.140625" style="38"/>
    <col min="8694" max="8694" width="5.42578125" style="38" bestFit="1" customWidth="1"/>
    <col min="8695" max="8695" width="20.42578125" style="38" bestFit="1" customWidth="1"/>
    <col min="8696" max="8696" width="41.42578125" style="38" customWidth="1"/>
    <col min="8697" max="8697" width="15.28515625" style="38" bestFit="1" customWidth="1"/>
    <col min="8698" max="8698" width="16.7109375" style="38" bestFit="1" customWidth="1"/>
    <col min="8699" max="8699" width="11.28515625" style="38" bestFit="1" customWidth="1"/>
    <col min="8700" max="8700" width="14" style="38" bestFit="1" customWidth="1"/>
    <col min="8701" max="8701" width="11.85546875" style="38" bestFit="1" customWidth="1"/>
    <col min="8702" max="8702" width="14.85546875" style="38" bestFit="1" customWidth="1"/>
    <col min="8703" max="8703" width="9.7109375" style="38" customWidth="1"/>
    <col min="8704" max="8704" width="4.85546875" style="38" customWidth="1"/>
    <col min="8705" max="8949" width="9.140625" style="38"/>
    <col min="8950" max="8950" width="5.42578125" style="38" bestFit="1" customWidth="1"/>
    <col min="8951" max="8951" width="20.42578125" style="38" bestFit="1" customWidth="1"/>
    <col min="8952" max="8952" width="41.42578125" style="38" customWidth="1"/>
    <col min="8953" max="8953" width="15.28515625" style="38" bestFit="1" customWidth="1"/>
    <col min="8954" max="8954" width="16.7109375" style="38" bestFit="1" customWidth="1"/>
    <col min="8955" max="8955" width="11.28515625" style="38" bestFit="1" customWidth="1"/>
    <col min="8956" max="8956" width="14" style="38" bestFit="1" customWidth="1"/>
    <col min="8957" max="8957" width="11.85546875" style="38" bestFit="1" customWidth="1"/>
    <col min="8958" max="8958" width="14.85546875" style="38" bestFit="1" customWidth="1"/>
    <col min="8959" max="8959" width="9.7109375" style="38" customWidth="1"/>
    <col min="8960" max="8960" width="4.85546875" style="38" customWidth="1"/>
    <col min="8961" max="9205" width="9.140625" style="38"/>
    <col min="9206" max="9206" width="5.42578125" style="38" bestFit="1" customWidth="1"/>
    <col min="9207" max="9207" width="20.42578125" style="38" bestFit="1" customWidth="1"/>
    <col min="9208" max="9208" width="41.42578125" style="38" customWidth="1"/>
    <col min="9209" max="9209" width="15.28515625" style="38" bestFit="1" customWidth="1"/>
    <col min="9210" max="9210" width="16.7109375" style="38" bestFit="1" customWidth="1"/>
    <col min="9211" max="9211" width="11.28515625" style="38" bestFit="1" customWidth="1"/>
    <col min="9212" max="9212" width="14" style="38" bestFit="1" customWidth="1"/>
    <col min="9213" max="9213" width="11.85546875" style="38" bestFit="1" customWidth="1"/>
    <col min="9214" max="9214" width="14.85546875" style="38" bestFit="1" customWidth="1"/>
    <col min="9215" max="9215" width="9.7109375" style="38" customWidth="1"/>
    <col min="9216" max="9216" width="4.85546875" style="38" customWidth="1"/>
    <col min="9217" max="9461" width="9.140625" style="38"/>
    <col min="9462" max="9462" width="5.42578125" style="38" bestFit="1" customWidth="1"/>
    <col min="9463" max="9463" width="20.42578125" style="38" bestFit="1" customWidth="1"/>
    <col min="9464" max="9464" width="41.42578125" style="38" customWidth="1"/>
    <col min="9465" max="9465" width="15.28515625" style="38" bestFit="1" customWidth="1"/>
    <col min="9466" max="9466" width="16.7109375" style="38" bestFit="1" customWidth="1"/>
    <col min="9467" max="9467" width="11.28515625" style="38" bestFit="1" customWidth="1"/>
    <col min="9468" max="9468" width="14" style="38" bestFit="1" customWidth="1"/>
    <col min="9469" max="9469" width="11.85546875" style="38" bestFit="1" customWidth="1"/>
    <col min="9470" max="9470" width="14.85546875" style="38" bestFit="1" customWidth="1"/>
    <col min="9471" max="9471" width="9.7109375" style="38" customWidth="1"/>
    <col min="9472" max="9472" width="4.85546875" style="38" customWidth="1"/>
    <col min="9473" max="9717" width="9.140625" style="38"/>
    <col min="9718" max="9718" width="5.42578125" style="38" bestFit="1" customWidth="1"/>
    <col min="9719" max="9719" width="20.42578125" style="38" bestFit="1" customWidth="1"/>
    <col min="9720" max="9720" width="41.42578125" style="38" customWidth="1"/>
    <col min="9721" max="9721" width="15.28515625" style="38" bestFit="1" customWidth="1"/>
    <col min="9722" max="9722" width="16.7109375" style="38" bestFit="1" customWidth="1"/>
    <col min="9723" max="9723" width="11.28515625" style="38" bestFit="1" customWidth="1"/>
    <col min="9724" max="9724" width="14" style="38" bestFit="1" customWidth="1"/>
    <col min="9725" max="9725" width="11.85546875" style="38" bestFit="1" customWidth="1"/>
    <col min="9726" max="9726" width="14.85546875" style="38" bestFit="1" customWidth="1"/>
    <col min="9727" max="9727" width="9.7109375" style="38" customWidth="1"/>
    <col min="9728" max="9728" width="4.85546875" style="38" customWidth="1"/>
    <col min="9729" max="9973" width="9.140625" style="38"/>
    <col min="9974" max="9974" width="5.42578125" style="38" bestFit="1" customWidth="1"/>
    <col min="9975" max="9975" width="20.42578125" style="38" bestFit="1" customWidth="1"/>
    <col min="9976" max="9976" width="41.42578125" style="38" customWidth="1"/>
    <col min="9977" max="9977" width="15.28515625" style="38" bestFit="1" customWidth="1"/>
    <col min="9978" max="9978" width="16.7109375" style="38" bestFit="1" customWidth="1"/>
    <col min="9979" max="9979" width="11.28515625" style="38" bestFit="1" customWidth="1"/>
    <col min="9980" max="9980" width="14" style="38" bestFit="1" customWidth="1"/>
    <col min="9981" max="9981" width="11.85546875" style="38" bestFit="1" customWidth="1"/>
    <col min="9982" max="9982" width="14.85546875" style="38" bestFit="1" customWidth="1"/>
    <col min="9983" max="9983" width="9.7109375" style="38" customWidth="1"/>
    <col min="9984" max="9984" width="4.85546875" style="38" customWidth="1"/>
    <col min="9985" max="10229" width="9.140625" style="38"/>
    <col min="10230" max="10230" width="5.42578125" style="38" bestFit="1" customWidth="1"/>
    <col min="10231" max="10231" width="20.42578125" style="38" bestFit="1" customWidth="1"/>
    <col min="10232" max="10232" width="41.42578125" style="38" customWidth="1"/>
    <col min="10233" max="10233" width="15.28515625" style="38" bestFit="1" customWidth="1"/>
    <col min="10234" max="10234" width="16.7109375" style="38" bestFit="1" customWidth="1"/>
    <col min="10235" max="10235" width="11.28515625" style="38" bestFit="1" customWidth="1"/>
    <col min="10236" max="10236" width="14" style="38" bestFit="1" customWidth="1"/>
    <col min="10237" max="10237" width="11.85546875" style="38" bestFit="1" customWidth="1"/>
    <col min="10238" max="10238" width="14.85546875" style="38" bestFit="1" customWidth="1"/>
    <col min="10239" max="10239" width="9.7109375" style="38" customWidth="1"/>
    <col min="10240" max="10240" width="4.85546875" style="38" customWidth="1"/>
    <col min="10241" max="10485" width="9.140625" style="38"/>
    <col min="10486" max="10486" width="5.42578125" style="38" bestFit="1" customWidth="1"/>
    <col min="10487" max="10487" width="20.42578125" style="38" bestFit="1" customWidth="1"/>
    <col min="10488" max="10488" width="41.42578125" style="38" customWidth="1"/>
    <col min="10489" max="10489" width="15.28515625" style="38" bestFit="1" customWidth="1"/>
    <col min="10490" max="10490" width="16.7109375" style="38" bestFit="1" customWidth="1"/>
    <col min="10491" max="10491" width="11.28515625" style="38" bestFit="1" customWidth="1"/>
    <col min="10492" max="10492" width="14" style="38" bestFit="1" customWidth="1"/>
    <col min="10493" max="10493" width="11.85546875" style="38" bestFit="1" customWidth="1"/>
    <col min="10494" max="10494" width="14.85546875" style="38" bestFit="1" customWidth="1"/>
    <col min="10495" max="10495" width="9.7109375" style="38" customWidth="1"/>
    <col min="10496" max="10496" width="4.85546875" style="38" customWidth="1"/>
    <col min="10497" max="10741" width="9.140625" style="38"/>
    <col min="10742" max="10742" width="5.42578125" style="38" bestFit="1" customWidth="1"/>
    <col min="10743" max="10743" width="20.42578125" style="38" bestFit="1" customWidth="1"/>
    <col min="10744" max="10744" width="41.42578125" style="38" customWidth="1"/>
    <col min="10745" max="10745" width="15.28515625" style="38" bestFit="1" customWidth="1"/>
    <col min="10746" max="10746" width="16.7109375" style="38" bestFit="1" customWidth="1"/>
    <col min="10747" max="10747" width="11.28515625" style="38" bestFit="1" customWidth="1"/>
    <col min="10748" max="10748" width="14" style="38" bestFit="1" customWidth="1"/>
    <col min="10749" max="10749" width="11.85546875" style="38" bestFit="1" customWidth="1"/>
    <col min="10750" max="10750" width="14.85546875" style="38" bestFit="1" customWidth="1"/>
    <col min="10751" max="10751" width="9.7109375" style="38" customWidth="1"/>
    <col min="10752" max="10752" width="4.85546875" style="38" customWidth="1"/>
    <col min="10753" max="10997" width="9.140625" style="38"/>
    <col min="10998" max="10998" width="5.42578125" style="38" bestFit="1" customWidth="1"/>
    <col min="10999" max="10999" width="20.42578125" style="38" bestFit="1" customWidth="1"/>
    <col min="11000" max="11000" width="41.42578125" style="38" customWidth="1"/>
    <col min="11001" max="11001" width="15.28515625" style="38" bestFit="1" customWidth="1"/>
    <col min="11002" max="11002" width="16.7109375" style="38" bestFit="1" customWidth="1"/>
    <col min="11003" max="11003" width="11.28515625" style="38" bestFit="1" customWidth="1"/>
    <col min="11004" max="11004" width="14" style="38" bestFit="1" customWidth="1"/>
    <col min="11005" max="11005" width="11.85546875" style="38" bestFit="1" customWidth="1"/>
    <col min="11006" max="11006" width="14.85546875" style="38" bestFit="1" customWidth="1"/>
    <col min="11007" max="11007" width="9.7109375" style="38" customWidth="1"/>
    <col min="11008" max="11008" width="4.85546875" style="38" customWidth="1"/>
    <col min="11009" max="11253" width="9.140625" style="38"/>
    <col min="11254" max="11254" width="5.42578125" style="38" bestFit="1" customWidth="1"/>
    <col min="11255" max="11255" width="20.42578125" style="38" bestFit="1" customWidth="1"/>
    <col min="11256" max="11256" width="41.42578125" style="38" customWidth="1"/>
    <col min="11257" max="11257" width="15.28515625" style="38" bestFit="1" customWidth="1"/>
    <col min="11258" max="11258" width="16.7109375" style="38" bestFit="1" customWidth="1"/>
    <col min="11259" max="11259" width="11.28515625" style="38" bestFit="1" customWidth="1"/>
    <col min="11260" max="11260" width="14" style="38" bestFit="1" customWidth="1"/>
    <col min="11261" max="11261" width="11.85546875" style="38" bestFit="1" customWidth="1"/>
    <col min="11262" max="11262" width="14.85546875" style="38" bestFit="1" customWidth="1"/>
    <col min="11263" max="11263" width="9.7109375" style="38" customWidth="1"/>
    <col min="11264" max="11264" width="4.85546875" style="38" customWidth="1"/>
    <col min="11265" max="11509" width="9.140625" style="38"/>
    <col min="11510" max="11510" width="5.42578125" style="38" bestFit="1" customWidth="1"/>
    <col min="11511" max="11511" width="20.42578125" style="38" bestFit="1" customWidth="1"/>
    <col min="11512" max="11512" width="41.42578125" style="38" customWidth="1"/>
    <col min="11513" max="11513" width="15.28515625" style="38" bestFit="1" customWidth="1"/>
    <col min="11514" max="11514" width="16.7109375" style="38" bestFit="1" customWidth="1"/>
    <col min="11515" max="11515" width="11.28515625" style="38" bestFit="1" customWidth="1"/>
    <col min="11516" max="11516" width="14" style="38" bestFit="1" customWidth="1"/>
    <col min="11517" max="11517" width="11.85546875" style="38" bestFit="1" customWidth="1"/>
    <col min="11518" max="11518" width="14.85546875" style="38" bestFit="1" customWidth="1"/>
    <col min="11519" max="11519" width="9.7109375" style="38" customWidth="1"/>
    <col min="11520" max="11520" width="4.85546875" style="38" customWidth="1"/>
    <col min="11521" max="11765" width="9.140625" style="38"/>
    <col min="11766" max="11766" width="5.42578125" style="38" bestFit="1" customWidth="1"/>
    <col min="11767" max="11767" width="20.42578125" style="38" bestFit="1" customWidth="1"/>
    <col min="11768" max="11768" width="41.42578125" style="38" customWidth="1"/>
    <col min="11769" max="11769" width="15.28515625" style="38" bestFit="1" customWidth="1"/>
    <col min="11770" max="11770" width="16.7109375" style="38" bestFit="1" customWidth="1"/>
    <col min="11771" max="11771" width="11.28515625" style="38" bestFit="1" customWidth="1"/>
    <col min="11772" max="11772" width="14" style="38" bestFit="1" customWidth="1"/>
    <col min="11773" max="11773" width="11.85546875" style="38" bestFit="1" customWidth="1"/>
    <col min="11774" max="11774" width="14.85546875" style="38" bestFit="1" customWidth="1"/>
    <col min="11775" max="11775" width="9.7109375" style="38" customWidth="1"/>
    <col min="11776" max="11776" width="4.85546875" style="38" customWidth="1"/>
    <col min="11777" max="12021" width="9.140625" style="38"/>
    <col min="12022" max="12022" width="5.42578125" style="38" bestFit="1" customWidth="1"/>
    <col min="12023" max="12023" width="20.42578125" style="38" bestFit="1" customWidth="1"/>
    <col min="12024" max="12024" width="41.42578125" style="38" customWidth="1"/>
    <col min="12025" max="12025" width="15.28515625" style="38" bestFit="1" customWidth="1"/>
    <col min="12026" max="12026" width="16.7109375" style="38" bestFit="1" customWidth="1"/>
    <col min="12027" max="12027" width="11.28515625" style="38" bestFit="1" customWidth="1"/>
    <col min="12028" max="12028" width="14" style="38" bestFit="1" customWidth="1"/>
    <col min="12029" max="12029" width="11.85546875" style="38" bestFit="1" customWidth="1"/>
    <col min="12030" max="12030" width="14.85546875" style="38" bestFit="1" customWidth="1"/>
    <col min="12031" max="12031" width="9.7109375" style="38" customWidth="1"/>
    <col min="12032" max="12032" width="4.85546875" style="38" customWidth="1"/>
    <col min="12033" max="12277" width="9.140625" style="38"/>
    <col min="12278" max="12278" width="5.42578125" style="38" bestFit="1" customWidth="1"/>
    <col min="12279" max="12279" width="20.42578125" style="38" bestFit="1" customWidth="1"/>
    <col min="12280" max="12280" width="41.42578125" style="38" customWidth="1"/>
    <col min="12281" max="12281" width="15.28515625" style="38" bestFit="1" customWidth="1"/>
    <col min="12282" max="12282" width="16.7109375" style="38" bestFit="1" customWidth="1"/>
    <col min="12283" max="12283" width="11.28515625" style="38" bestFit="1" customWidth="1"/>
    <col min="12284" max="12284" width="14" style="38" bestFit="1" customWidth="1"/>
    <col min="12285" max="12285" width="11.85546875" style="38" bestFit="1" customWidth="1"/>
    <col min="12286" max="12286" width="14.85546875" style="38" bestFit="1" customWidth="1"/>
    <col min="12287" max="12287" width="9.7109375" style="38" customWidth="1"/>
    <col min="12288" max="12288" width="4.85546875" style="38" customWidth="1"/>
    <col min="12289" max="12533" width="9.140625" style="38"/>
    <col min="12534" max="12534" width="5.42578125" style="38" bestFit="1" customWidth="1"/>
    <col min="12535" max="12535" width="20.42578125" style="38" bestFit="1" customWidth="1"/>
    <col min="12536" max="12536" width="41.42578125" style="38" customWidth="1"/>
    <col min="12537" max="12537" width="15.28515625" style="38" bestFit="1" customWidth="1"/>
    <col min="12538" max="12538" width="16.7109375" style="38" bestFit="1" customWidth="1"/>
    <col min="12539" max="12539" width="11.28515625" style="38" bestFit="1" customWidth="1"/>
    <col min="12540" max="12540" width="14" style="38" bestFit="1" customWidth="1"/>
    <col min="12541" max="12541" width="11.85546875" style="38" bestFit="1" customWidth="1"/>
    <col min="12542" max="12542" width="14.85546875" style="38" bestFit="1" customWidth="1"/>
    <col min="12543" max="12543" width="9.7109375" style="38" customWidth="1"/>
    <col min="12544" max="12544" width="4.85546875" style="38" customWidth="1"/>
    <col min="12545" max="12789" width="9.140625" style="38"/>
    <col min="12790" max="12790" width="5.42578125" style="38" bestFit="1" customWidth="1"/>
    <col min="12791" max="12791" width="20.42578125" style="38" bestFit="1" customWidth="1"/>
    <col min="12792" max="12792" width="41.42578125" style="38" customWidth="1"/>
    <col min="12793" max="12793" width="15.28515625" style="38" bestFit="1" customWidth="1"/>
    <col min="12794" max="12794" width="16.7109375" style="38" bestFit="1" customWidth="1"/>
    <col min="12795" max="12795" width="11.28515625" style="38" bestFit="1" customWidth="1"/>
    <col min="12796" max="12796" width="14" style="38" bestFit="1" customWidth="1"/>
    <col min="12797" max="12797" width="11.85546875" style="38" bestFit="1" customWidth="1"/>
    <col min="12798" max="12798" width="14.85546875" style="38" bestFit="1" customWidth="1"/>
    <col min="12799" max="12799" width="9.7109375" style="38" customWidth="1"/>
    <col min="12800" max="12800" width="4.85546875" style="38" customWidth="1"/>
    <col min="12801" max="13045" width="9.140625" style="38"/>
    <col min="13046" max="13046" width="5.42578125" style="38" bestFit="1" customWidth="1"/>
    <col min="13047" max="13047" width="20.42578125" style="38" bestFit="1" customWidth="1"/>
    <col min="13048" max="13048" width="41.42578125" style="38" customWidth="1"/>
    <col min="13049" max="13049" width="15.28515625" style="38" bestFit="1" customWidth="1"/>
    <col min="13050" max="13050" width="16.7109375" style="38" bestFit="1" customWidth="1"/>
    <col min="13051" max="13051" width="11.28515625" style="38" bestFit="1" customWidth="1"/>
    <col min="13052" max="13052" width="14" style="38" bestFit="1" customWidth="1"/>
    <col min="13053" max="13053" width="11.85546875" style="38" bestFit="1" customWidth="1"/>
    <col min="13054" max="13054" width="14.85546875" style="38" bestFit="1" customWidth="1"/>
    <col min="13055" max="13055" width="9.7109375" style="38" customWidth="1"/>
    <col min="13056" max="13056" width="4.85546875" style="38" customWidth="1"/>
    <col min="13057" max="13301" width="9.140625" style="38"/>
    <col min="13302" max="13302" width="5.42578125" style="38" bestFit="1" customWidth="1"/>
    <col min="13303" max="13303" width="20.42578125" style="38" bestFit="1" customWidth="1"/>
    <col min="13304" max="13304" width="41.42578125" style="38" customWidth="1"/>
    <col min="13305" max="13305" width="15.28515625" style="38" bestFit="1" customWidth="1"/>
    <col min="13306" max="13306" width="16.7109375" style="38" bestFit="1" customWidth="1"/>
    <col min="13307" max="13307" width="11.28515625" style="38" bestFit="1" customWidth="1"/>
    <col min="13308" max="13308" width="14" style="38" bestFit="1" customWidth="1"/>
    <col min="13309" max="13309" width="11.85546875" style="38" bestFit="1" customWidth="1"/>
    <col min="13310" max="13310" width="14.85546875" style="38" bestFit="1" customWidth="1"/>
    <col min="13311" max="13311" width="9.7109375" style="38" customWidth="1"/>
    <col min="13312" max="13312" width="4.85546875" style="38" customWidth="1"/>
    <col min="13313" max="13557" width="9.140625" style="38"/>
    <col min="13558" max="13558" width="5.42578125" style="38" bestFit="1" customWidth="1"/>
    <col min="13559" max="13559" width="20.42578125" style="38" bestFit="1" customWidth="1"/>
    <col min="13560" max="13560" width="41.42578125" style="38" customWidth="1"/>
    <col min="13561" max="13561" width="15.28515625" style="38" bestFit="1" customWidth="1"/>
    <col min="13562" max="13562" width="16.7109375" style="38" bestFit="1" customWidth="1"/>
    <col min="13563" max="13563" width="11.28515625" style="38" bestFit="1" customWidth="1"/>
    <col min="13564" max="13564" width="14" style="38" bestFit="1" customWidth="1"/>
    <col min="13565" max="13565" width="11.85546875" style="38" bestFit="1" customWidth="1"/>
    <col min="13566" max="13566" width="14.85546875" style="38" bestFit="1" customWidth="1"/>
    <col min="13567" max="13567" width="9.7109375" style="38" customWidth="1"/>
    <col min="13568" max="13568" width="4.85546875" style="38" customWidth="1"/>
    <col min="13569" max="13813" width="9.140625" style="38"/>
    <col min="13814" max="13814" width="5.42578125" style="38" bestFit="1" customWidth="1"/>
    <col min="13815" max="13815" width="20.42578125" style="38" bestFit="1" customWidth="1"/>
    <col min="13816" max="13816" width="41.42578125" style="38" customWidth="1"/>
    <col min="13817" max="13817" width="15.28515625" style="38" bestFit="1" customWidth="1"/>
    <col min="13818" max="13818" width="16.7109375" style="38" bestFit="1" customWidth="1"/>
    <col min="13819" max="13819" width="11.28515625" style="38" bestFit="1" customWidth="1"/>
    <col min="13820" max="13820" width="14" style="38" bestFit="1" customWidth="1"/>
    <col min="13821" max="13821" width="11.85546875" style="38" bestFit="1" customWidth="1"/>
    <col min="13822" max="13822" width="14.85546875" style="38" bestFit="1" customWidth="1"/>
    <col min="13823" max="13823" width="9.7109375" style="38" customWidth="1"/>
    <col min="13824" max="13824" width="4.85546875" style="38" customWidth="1"/>
    <col min="13825" max="14069" width="9.140625" style="38"/>
    <col min="14070" max="14070" width="5.42578125" style="38" bestFit="1" customWidth="1"/>
    <col min="14071" max="14071" width="20.42578125" style="38" bestFit="1" customWidth="1"/>
    <col min="14072" max="14072" width="41.42578125" style="38" customWidth="1"/>
    <col min="14073" max="14073" width="15.28515625" style="38" bestFit="1" customWidth="1"/>
    <col min="14074" max="14074" width="16.7109375" style="38" bestFit="1" customWidth="1"/>
    <col min="14075" max="14075" width="11.28515625" style="38" bestFit="1" customWidth="1"/>
    <col min="14076" max="14076" width="14" style="38" bestFit="1" customWidth="1"/>
    <col min="14077" max="14077" width="11.85546875" style="38" bestFit="1" customWidth="1"/>
    <col min="14078" max="14078" width="14.85546875" style="38" bestFit="1" customWidth="1"/>
    <col min="14079" max="14079" width="9.7109375" style="38" customWidth="1"/>
    <col min="14080" max="14080" width="4.85546875" style="38" customWidth="1"/>
    <col min="14081" max="14325" width="9.140625" style="38"/>
    <col min="14326" max="14326" width="5.42578125" style="38" bestFit="1" customWidth="1"/>
    <col min="14327" max="14327" width="20.42578125" style="38" bestFit="1" customWidth="1"/>
    <col min="14328" max="14328" width="41.42578125" style="38" customWidth="1"/>
    <col min="14329" max="14329" width="15.28515625" style="38" bestFit="1" customWidth="1"/>
    <col min="14330" max="14330" width="16.7109375" style="38" bestFit="1" customWidth="1"/>
    <col min="14331" max="14331" width="11.28515625" style="38" bestFit="1" customWidth="1"/>
    <col min="14332" max="14332" width="14" style="38" bestFit="1" customWidth="1"/>
    <col min="14333" max="14333" width="11.85546875" style="38" bestFit="1" customWidth="1"/>
    <col min="14334" max="14334" width="14.85546875" style="38" bestFit="1" customWidth="1"/>
    <col min="14335" max="14335" width="9.7109375" style="38" customWidth="1"/>
    <col min="14336" max="14336" width="4.85546875" style="38" customWidth="1"/>
    <col min="14337" max="14581" width="9.140625" style="38"/>
    <col min="14582" max="14582" width="5.42578125" style="38" bestFit="1" customWidth="1"/>
    <col min="14583" max="14583" width="20.42578125" style="38" bestFit="1" customWidth="1"/>
    <col min="14584" max="14584" width="41.42578125" style="38" customWidth="1"/>
    <col min="14585" max="14585" width="15.28515625" style="38" bestFit="1" customWidth="1"/>
    <col min="14586" max="14586" width="16.7109375" style="38" bestFit="1" customWidth="1"/>
    <col min="14587" max="14587" width="11.28515625" style="38" bestFit="1" customWidth="1"/>
    <col min="14588" max="14588" width="14" style="38" bestFit="1" customWidth="1"/>
    <col min="14589" max="14589" width="11.85546875" style="38" bestFit="1" customWidth="1"/>
    <col min="14590" max="14590" width="14.85546875" style="38" bestFit="1" customWidth="1"/>
    <col min="14591" max="14591" width="9.7109375" style="38" customWidth="1"/>
    <col min="14592" max="14592" width="4.85546875" style="38" customWidth="1"/>
    <col min="14593" max="14837" width="9.140625" style="38"/>
    <col min="14838" max="14838" width="5.42578125" style="38" bestFit="1" customWidth="1"/>
    <col min="14839" max="14839" width="20.42578125" style="38" bestFit="1" customWidth="1"/>
    <col min="14840" max="14840" width="41.42578125" style="38" customWidth="1"/>
    <col min="14841" max="14841" width="15.28515625" style="38" bestFit="1" customWidth="1"/>
    <col min="14842" max="14842" width="16.7109375" style="38" bestFit="1" customWidth="1"/>
    <col min="14843" max="14843" width="11.28515625" style="38" bestFit="1" customWidth="1"/>
    <col min="14844" max="14844" width="14" style="38" bestFit="1" customWidth="1"/>
    <col min="14845" max="14845" width="11.85546875" style="38" bestFit="1" customWidth="1"/>
    <col min="14846" max="14846" width="14.85546875" style="38" bestFit="1" customWidth="1"/>
    <col min="14847" max="14847" width="9.7109375" style="38" customWidth="1"/>
    <col min="14848" max="14848" width="4.85546875" style="38" customWidth="1"/>
    <col min="14849" max="15093" width="9.140625" style="38"/>
    <col min="15094" max="15094" width="5.42578125" style="38" bestFit="1" customWidth="1"/>
    <col min="15095" max="15095" width="20.42578125" style="38" bestFit="1" customWidth="1"/>
    <col min="15096" max="15096" width="41.42578125" style="38" customWidth="1"/>
    <col min="15097" max="15097" width="15.28515625" style="38" bestFit="1" customWidth="1"/>
    <col min="15098" max="15098" width="16.7109375" style="38" bestFit="1" customWidth="1"/>
    <col min="15099" max="15099" width="11.28515625" style="38" bestFit="1" customWidth="1"/>
    <col min="15100" max="15100" width="14" style="38" bestFit="1" customWidth="1"/>
    <col min="15101" max="15101" width="11.85546875" style="38" bestFit="1" customWidth="1"/>
    <col min="15102" max="15102" width="14.85546875" style="38" bestFit="1" customWidth="1"/>
    <col min="15103" max="15103" width="9.7109375" style="38" customWidth="1"/>
    <col min="15104" max="15104" width="4.85546875" style="38" customWidth="1"/>
    <col min="15105" max="15349" width="9.140625" style="38"/>
    <col min="15350" max="15350" width="5.42578125" style="38" bestFit="1" customWidth="1"/>
    <col min="15351" max="15351" width="20.42578125" style="38" bestFit="1" customWidth="1"/>
    <col min="15352" max="15352" width="41.42578125" style="38" customWidth="1"/>
    <col min="15353" max="15353" width="15.28515625" style="38" bestFit="1" customWidth="1"/>
    <col min="15354" max="15354" width="16.7109375" style="38" bestFit="1" customWidth="1"/>
    <col min="15355" max="15355" width="11.28515625" style="38" bestFit="1" customWidth="1"/>
    <col min="15356" max="15356" width="14" style="38" bestFit="1" customWidth="1"/>
    <col min="15357" max="15357" width="11.85546875" style="38" bestFit="1" customWidth="1"/>
    <col min="15358" max="15358" width="14.85546875" style="38" bestFit="1" customWidth="1"/>
    <col min="15359" max="15359" width="9.7109375" style="38" customWidth="1"/>
    <col min="15360" max="15360" width="4.85546875" style="38" customWidth="1"/>
    <col min="15361" max="15605" width="9.140625" style="38"/>
    <col min="15606" max="15606" width="5.42578125" style="38" bestFit="1" customWidth="1"/>
    <col min="15607" max="15607" width="20.42578125" style="38" bestFit="1" customWidth="1"/>
    <col min="15608" max="15608" width="41.42578125" style="38" customWidth="1"/>
    <col min="15609" max="15609" width="15.28515625" style="38" bestFit="1" customWidth="1"/>
    <col min="15610" max="15610" width="16.7109375" style="38" bestFit="1" customWidth="1"/>
    <col min="15611" max="15611" width="11.28515625" style="38" bestFit="1" customWidth="1"/>
    <col min="15612" max="15612" width="14" style="38" bestFit="1" customWidth="1"/>
    <col min="15613" max="15613" width="11.85546875" style="38" bestFit="1" customWidth="1"/>
    <col min="15614" max="15614" width="14.85546875" style="38" bestFit="1" customWidth="1"/>
    <col min="15615" max="15615" width="9.7109375" style="38" customWidth="1"/>
    <col min="15616" max="15616" width="4.85546875" style="38" customWidth="1"/>
    <col min="15617" max="15861" width="9.140625" style="38"/>
    <col min="15862" max="15862" width="5.42578125" style="38" bestFit="1" customWidth="1"/>
    <col min="15863" max="15863" width="20.42578125" style="38" bestFit="1" customWidth="1"/>
    <col min="15864" max="15864" width="41.42578125" style="38" customWidth="1"/>
    <col min="15865" max="15865" width="15.28515625" style="38" bestFit="1" customWidth="1"/>
    <col min="15866" max="15866" width="16.7109375" style="38" bestFit="1" customWidth="1"/>
    <col min="15867" max="15867" width="11.28515625" style="38" bestFit="1" customWidth="1"/>
    <col min="15868" max="15868" width="14" style="38" bestFit="1" customWidth="1"/>
    <col min="15869" max="15869" width="11.85546875" style="38" bestFit="1" customWidth="1"/>
    <col min="15870" max="15870" width="14.85546875" style="38" bestFit="1" customWidth="1"/>
    <col min="15871" max="15871" width="9.7109375" style="38" customWidth="1"/>
    <col min="15872" max="15872" width="4.85546875" style="38" customWidth="1"/>
    <col min="15873" max="16117" width="9.140625" style="38"/>
    <col min="16118" max="16118" width="5.42578125" style="38" bestFit="1" customWidth="1"/>
    <col min="16119" max="16119" width="20.42578125" style="38" bestFit="1" customWidth="1"/>
    <col min="16120" max="16120" width="41.42578125" style="38" customWidth="1"/>
    <col min="16121" max="16121" width="15.28515625" style="38" bestFit="1" customWidth="1"/>
    <col min="16122" max="16122" width="16.7109375" style="38" bestFit="1" customWidth="1"/>
    <col min="16123" max="16123" width="11.28515625" style="38" bestFit="1" customWidth="1"/>
    <col min="16124" max="16124" width="14" style="38" bestFit="1" customWidth="1"/>
    <col min="16125" max="16125" width="11.85546875" style="38" bestFit="1" customWidth="1"/>
    <col min="16126" max="16126" width="14.85546875" style="38" bestFit="1" customWidth="1"/>
    <col min="16127" max="16127" width="9.7109375" style="38" customWidth="1"/>
    <col min="16128" max="16128" width="4.85546875" style="38" customWidth="1"/>
    <col min="16129" max="16384" width="9.140625" style="38"/>
  </cols>
  <sheetData>
    <row r="1" spans="1:14" x14ac:dyDescent="0.25">
      <c r="A1" s="221" t="s">
        <v>0</v>
      </c>
      <c r="B1" s="221"/>
      <c r="C1" s="221"/>
      <c r="D1" s="221"/>
      <c r="E1" s="221"/>
      <c r="F1" s="221"/>
      <c r="G1" s="221"/>
      <c r="H1" s="221"/>
      <c r="I1" s="167" t="s">
        <v>1055</v>
      </c>
      <c r="J1" s="179"/>
      <c r="K1" s="179"/>
      <c r="L1" s="179"/>
      <c r="M1" s="179"/>
      <c r="N1" s="179"/>
    </row>
    <row r="2" spans="1:14" x14ac:dyDescent="0.25">
      <c r="A2" s="222" t="s">
        <v>875</v>
      </c>
      <c r="B2" s="222"/>
      <c r="C2" s="222"/>
      <c r="D2" s="222"/>
      <c r="E2" s="222"/>
      <c r="F2" s="222"/>
      <c r="G2" s="222"/>
      <c r="H2" s="222"/>
      <c r="J2" s="186" t="s">
        <v>1056</v>
      </c>
      <c r="K2" s="186"/>
      <c r="L2" s="186"/>
      <c r="M2" s="186"/>
      <c r="N2" s="186"/>
    </row>
    <row r="3" spans="1:14" ht="15" customHeight="1" x14ac:dyDescent="0.25">
      <c r="A3" s="223" t="s">
        <v>876</v>
      </c>
      <c r="B3" s="223"/>
      <c r="C3" s="223"/>
      <c r="D3" s="223"/>
      <c r="E3" s="223"/>
      <c r="F3" s="223"/>
      <c r="G3" s="223"/>
      <c r="H3" s="223"/>
      <c r="J3" s="179"/>
      <c r="K3" s="179"/>
      <c r="L3" s="179"/>
      <c r="M3" s="179"/>
      <c r="N3" s="179"/>
    </row>
    <row r="4" spans="1:14" ht="30" x14ac:dyDescent="0.25">
      <c r="A4" s="39" t="s">
        <v>877</v>
      </c>
      <c r="B4" s="39" t="s">
        <v>878</v>
      </c>
      <c r="C4" s="39" t="s">
        <v>879</v>
      </c>
      <c r="D4" s="39" t="s">
        <v>880</v>
      </c>
      <c r="E4" s="39" t="s">
        <v>6</v>
      </c>
      <c r="F4" s="39" t="s">
        <v>7</v>
      </c>
      <c r="G4" s="39" t="s">
        <v>8</v>
      </c>
      <c r="H4" s="40" t="s">
        <v>881</v>
      </c>
      <c r="I4" s="181"/>
      <c r="J4" s="182"/>
      <c r="K4" s="182"/>
      <c r="L4" s="182"/>
      <c r="M4" s="182"/>
      <c r="N4" s="182"/>
    </row>
    <row r="5" spans="1:14" ht="26.25" x14ac:dyDescent="0.25">
      <c r="A5" s="41"/>
      <c r="B5" s="41"/>
      <c r="C5" s="42" t="s">
        <v>882</v>
      </c>
      <c r="D5" s="41"/>
      <c r="E5" s="41"/>
      <c r="F5" s="43"/>
      <c r="G5" s="43"/>
      <c r="H5" s="44"/>
      <c r="J5" s="179"/>
      <c r="K5" s="179"/>
      <c r="L5" s="179"/>
      <c r="M5" s="179"/>
      <c r="N5" s="179"/>
    </row>
    <row r="6" spans="1:14" ht="26.25" x14ac:dyDescent="0.25">
      <c r="A6" s="41">
        <v>1</v>
      </c>
      <c r="B6" s="41" t="s">
        <v>883</v>
      </c>
      <c r="C6" s="45" t="s">
        <v>900</v>
      </c>
      <c r="D6" s="41" t="s">
        <v>884</v>
      </c>
      <c r="E6" s="46">
        <v>12185595.022</v>
      </c>
      <c r="F6" s="47">
        <v>11385.0267711</v>
      </c>
      <c r="G6" s="48">
        <v>0.97123836000000019</v>
      </c>
      <c r="H6" s="44"/>
      <c r="I6" s="181"/>
      <c r="J6" s="182"/>
      <c r="K6" s="183"/>
      <c r="L6" s="182"/>
      <c r="M6" s="182"/>
      <c r="N6" s="182"/>
    </row>
    <row r="7" spans="1:14" x14ac:dyDescent="0.25">
      <c r="A7" s="49"/>
      <c r="B7" s="44"/>
      <c r="C7" s="44"/>
      <c r="D7" s="44"/>
      <c r="E7" s="44"/>
      <c r="F7" s="44"/>
      <c r="G7" s="44"/>
      <c r="H7" s="50"/>
      <c r="J7" s="179"/>
      <c r="K7" s="179"/>
      <c r="L7" s="179"/>
      <c r="M7" s="179"/>
      <c r="N7" s="179"/>
    </row>
    <row r="8" spans="1:14" ht="25.5" x14ac:dyDescent="0.25">
      <c r="A8" s="51"/>
      <c r="B8" s="51"/>
      <c r="C8" s="52" t="s">
        <v>885</v>
      </c>
      <c r="D8" s="52"/>
      <c r="E8" s="53"/>
      <c r="F8" s="54">
        <v>11385.0267711</v>
      </c>
      <c r="G8" s="55">
        <v>0.97123836000000019</v>
      </c>
      <c r="H8" s="56"/>
      <c r="J8" s="179"/>
      <c r="K8" s="179"/>
      <c r="L8" s="179"/>
      <c r="M8" s="179"/>
      <c r="N8" s="179"/>
    </row>
    <row r="9" spans="1:14" x14ac:dyDescent="0.25">
      <c r="A9" s="51"/>
      <c r="B9" s="51"/>
      <c r="C9" s="51"/>
      <c r="D9" s="51"/>
      <c r="E9" s="51"/>
      <c r="F9" s="57"/>
      <c r="G9" s="51"/>
      <c r="H9" s="44"/>
      <c r="J9" s="179"/>
      <c r="K9" s="179"/>
      <c r="L9" s="179"/>
      <c r="M9" s="179"/>
      <c r="N9" s="179"/>
    </row>
    <row r="10" spans="1:14" x14ac:dyDescent="0.25">
      <c r="A10" s="41"/>
      <c r="B10" s="41"/>
      <c r="C10" s="58" t="s">
        <v>886</v>
      </c>
      <c r="D10" s="58"/>
      <c r="E10" s="58"/>
      <c r="F10" s="59"/>
      <c r="G10" s="51"/>
      <c r="H10" s="44"/>
      <c r="J10" s="179"/>
      <c r="K10" s="179"/>
      <c r="L10" s="179"/>
      <c r="M10" s="179"/>
      <c r="N10" s="179"/>
    </row>
    <row r="11" spans="1:14" x14ac:dyDescent="0.25">
      <c r="A11" s="41"/>
      <c r="B11" s="41"/>
      <c r="C11" s="60" t="s">
        <v>887</v>
      </c>
      <c r="D11" s="58"/>
      <c r="E11" s="58"/>
      <c r="F11" s="59"/>
      <c r="G11" s="51"/>
      <c r="H11" s="44"/>
      <c r="J11" s="179"/>
      <c r="K11" s="179"/>
      <c r="L11" s="179"/>
      <c r="M11" s="179"/>
      <c r="N11" s="179"/>
    </row>
    <row r="12" spans="1:14" x14ac:dyDescent="0.25">
      <c r="A12" s="51"/>
      <c r="B12" s="51"/>
      <c r="C12" s="61" t="s">
        <v>153</v>
      </c>
      <c r="D12" s="58"/>
      <c r="E12" s="58"/>
      <c r="F12" s="62">
        <v>377.11586278200002</v>
      </c>
      <c r="G12" s="63">
        <v>3.2171148954003428E-2</v>
      </c>
      <c r="H12" s="64">
        <v>6.6</v>
      </c>
      <c r="J12" s="179"/>
      <c r="K12" s="179"/>
      <c r="L12" s="179"/>
      <c r="M12" s="179"/>
      <c r="N12" s="179"/>
    </row>
    <row r="13" spans="1:14" x14ac:dyDescent="0.25">
      <c r="A13" s="51"/>
      <c r="B13" s="51"/>
      <c r="C13" s="61"/>
      <c r="D13" s="58"/>
      <c r="E13" s="58"/>
      <c r="F13" s="62"/>
      <c r="G13" s="65"/>
      <c r="H13" s="44"/>
      <c r="J13" s="184" t="s">
        <v>1089</v>
      </c>
      <c r="K13" s="179"/>
      <c r="L13" s="179"/>
      <c r="M13" s="179"/>
      <c r="N13" s="179"/>
    </row>
    <row r="14" spans="1:14" x14ac:dyDescent="0.25">
      <c r="A14" s="51"/>
      <c r="B14" s="51"/>
      <c r="C14" s="66" t="s">
        <v>154</v>
      </c>
      <c r="D14" s="51"/>
      <c r="E14" s="51"/>
      <c r="F14" s="67">
        <v>377.11586278200002</v>
      </c>
      <c r="G14" s="55">
        <v>3.2171148954003428E-2</v>
      </c>
      <c r="H14" s="44"/>
      <c r="J14" s="179"/>
      <c r="K14" s="179"/>
      <c r="L14" s="179"/>
      <c r="M14" s="179"/>
      <c r="N14" s="179"/>
    </row>
    <row r="15" spans="1:14" x14ac:dyDescent="0.25">
      <c r="A15" s="51"/>
      <c r="B15" s="51"/>
      <c r="C15" s="51"/>
      <c r="D15" s="51"/>
      <c r="E15" s="51"/>
      <c r="F15" s="57"/>
      <c r="G15" s="51"/>
      <c r="H15" s="44"/>
      <c r="J15" s="179"/>
      <c r="K15" s="179"/>
      <c r="L15" s="179"/>
      <c r="M15" s="179"/>
      <c r="N15" s="179"/>
    </row>
    <row r="16" spans="1:14" x14ac:dyDescent="0.25">
      <c r="A16" s="51"/>
      <c r="B16" s="51"/>
      <c r="C16" s="61" t="s">
        <v>888</v>
      </c>
      <c r="D16" s="58"/>
      <c r="E16" s="58"/>
      <c r="F16" s="62">
        <v>-39.966863250372626</v>
      </c>
      <c r="G16" s="63">
        <v>-3.4095089540036034E-3</v>
      </c>
      <c r="H16" s="68"/>
      <c r="J16" s="179"/>
      <c r="K16" s="179"/>
      <c r="L16" s="179"/>
      <c r="M16" s="179"/>
      <c r="N16" s="179"/>
    </row>
    <row r="17" spans="1:14" x14ac:dyDescent="0.25">
      <c r="A17" s="51"/>
      <c r="B17" s="51"/>
      <c r="C17" s="51"/>
      <c r="D17" s="51"/>
      <c r="E17" s="51"/>
      <c r="F17" s="57"/>
      <c r="G17" s="51"/>
      <c r="H17" s="44"/>
      <c r="J17" s="179"/>
      <c r="K17" s="179"/>
      <c r="L17" s="179"/>
      <c r="M17" s="179"/>
      <c r="N17" s="179"/>
    </row>
    <row r="18" spans="1:14" x14ac:dyDescent="0.25">
      <c r="A18" s="51"/>
      <c r="B18" s="51"/>
      <c r="C18" s="66" t="s">
        <v>161</v>
      </c>
      <c r="D18" s="51"/>
      <c r="E18" s="51"/>
      <c r="F18" s="67">
        <v>11722.175770631628</v>
      </c>
      <c r="G18" s="69">
        <v>1</v>
      </c>
      <c r="H18" s="70"/>
      <c r="J18" s="179"/>
      <c r="K18" s="179"/>
      <c r="L18" s="179"/>
      <c r="M18" s="179"/>
      <c r="N18" s="179"/>
    </row>
    <row r="19" spans="1:14" x14ac:dyDescent="0.25">
      <c r="F19" s="71"/>
      <c r="H19" s="72"/>
      <c r="J19" s="179"/>
      <c r="K19" s="179"/>
      <c r="L19" s="179"/>
      <c r="M19" s="179"/>
      <c r="N19" s="179"/>
    </row>
    <row r="20" spans="1:14" x14ac:dyDescent="0.25">
      <c r="B20" s="73" t="s">
        <v>163</v>
      </c>
      <c r="C20" s="74"/>
      <c r="D20" s="74"/>
      <c r="E20" s="74"/>
      <c r="F20" s="75"/>
      <c r="G20" s="74"/>
      <c r="J20" s="179"/>
      <c r="K20" s="179"/>
      <c r="L20" s="179"/>
      <c r="M20" s="179"/>
      <c r="N20" s="179"/>
    </row>
    <row r="21" spans="1:14" x14ac:dyDescent="0.25">
      <c r="B21" s="74" t="s">
        <v>889</v>
      </c>
      <c r="C21" s="74"/>
      <c r="D21" s="74"/>
      <c r="E21" s="74"/>
      <c r="F21" s="76"/>
      <c r="G21" s="76"/>
      <c r="J21" s="179"/>
      <c r="K21" s="179"/>
      <c r="L21" s="179"/>
      <c r="M21" s="179"/>
      <c r="N21" s="179"/>
    </row>
    <row r="22" spans="1:14" x14ac:dyDescent="0.25">
      <c r="B22" s="219" t="s">
        <v>890</v>
      </c>
      <c r="C22" s="219"/>
      <c r="D22" s="74"/>
      <c r="E22" s="74"/>
      <c r="F22" s="77"/>
      <c r="G22" s="77"/>
      <c r="J22" s="179"/>
      <c r="K22" s="179"/>
      <c r="L22" s="179"/>
      <c r="M22" s="179"/>
      <c r="N22" s="179"/>
    </row>
    <row r="23" spans="1:14" x14ac:dyDescent="0.25">
      <c r="B23" s="224" t="s">
        <v>167</v>
      </c>
      <c r="C23" s="225"/>
      <c r="D23" s="226"/>
      <c r="E23" s="78"/>
      <c r="F23" s="74"/>
      <c r="G23" s="74"/>
      <c r="J23" s="179"/>
      <c r="K23" s="179"/>
      <c r="L23" s="179"/>
      <c r="M23" s="179"/>
      <c r="N23" s="179"/>
    </row>
    <row r="24" spans="1:14" x14ac:dyDescent="0.25">
      <c r="B24" s="79"/>
      <c r="C24" s="80" t="s">
        <v>168</v>
      </c>
      <c r="D24" s="80" t="s">
        <v>169</v>
      </c>
      <c r="E24" s="81"/>
      <c r="F24" s="81"/>
      <c r="G24" s="74"/>
      <c r="J24" s="179"/>
      <c r="K24" s="179"/>
      <c r="L24" s="179"/>
      <c r="M24" s="179"/>
      <c r="N24" s="179"/>
    </row>
    <row r="25" spans="1:14" x14ac:dyDescent="0.25">
      <c r="B25" s="82" t="s">
        <v>891</v>
      </c>
      <c r="C25" s="83">
        <v>44957</v>
      </c>
      <c r="D25" s="83">
        <v>44985</v>
      </c>
      <c r="E25" s="84"/>
      <c r="F25" s="84"/>
      <c r="G25" s="85"/>
      <c r="J25" s="179"/>
      <c r="K25" s="179"/>
      <c r="L25" s="179"/>
      <c r="M25" s="179"/>
      <c r="N25" s="179"/>
    </row>
    <row r="26" spans="1:14" x14ac:dyDescent="0.25">
      <c r="B26" s="86" t="s">
        <v>173</v>
      </c>
      <c r="C26" s="87">
        <v>25.369599999999998</v>
      </c>
      <c r="D26" s="87">
        <v>25.3124</v>
      </c>
      <c r="E26" s="88"/>
      <c r="F26" s="89"/>
      <c r="G26" s="85"/>
      <c r="J26" s="179"/>
      <c r="K26" s="179"/>
      <c r="L26" s="179"/>
      <c r="M26" s="179"/>
      <c r="N26" s="179"/>
    </row>
    <row r="27" spans="1:14" x14ac:dyDescent="0.25">
      <c r="B27" s="116" t="s">
        <v>994</v>
      </c>
      <c r="C27" s="87">
        <v>22.563700000000001</v>
      </c>
      <c r="D27" s="87">
        <v>22.512499999999999</v>
      </c>
      <c r="E27" s="88"/>
      <c r="F27" s="89"/>
      <c r="G27" s="85"/>
      <c r="J27" s="179"/>
      <c r="K27" s="179"/>
      <c r="L27" s="179"/>
      <c r="M27" s="179"/>
      <c r="N27" s="179"/>
    </row>
    <row r="28" spans="1:14" x14ac:dyDescent="0.25">
      <c r="B28" s="86" t="s">
        <v>174</v>
      </c>
      <c r="C28" s="87">
        <v>23.717700000000001</v>
      </c>
      <c r="D28" s="87">
        <v>23.648399999999999</v>
      </c>
      <c r="E28" s="88"/>
      <c r="F28" s="89"/>
      <c r="G28" s="89"/>
      <c r="J28" s="179"/>
      <c r="K28" s="179"/>
      <c r="L28" s="179"/>
      <c r="M28" s="179"/>
      <c r="N28" s="179"/>
    </row>
    <row r="29" spans="1:14" x14ac:dyDescent="0.25">
      <c r="B29" s="117" t="s">
        <v>995</v>
      </c>
      <c r="C29" s="87">
        <v>20.324200000000001</v>
      </c>
      <c r="D29" s="87">
        <v>20.264700000000001</v>
      </c>
      <c r="E29" s="88"/>
      <c r="F29" s="89"/>
      <c r="G29" s="89"/>
      <c r="J29" s="179"/>
      <c r="K29" s="179"/>
      <c r="L29" s="179"/>
      <c r="M29" s="179"/>
      <c r="N29" s="179"/>
    </row>
    <row r="30" spans="1:14" ht="15" customHeight="1" x14ac:dyDescent="0.25">
      <c r="B30" s="90"/>
      <c r="C30" s="91"/>
      <c r="D30" s="91"/>
      <c r="E30" s="91"/>
      <c r="F30" s="91"/>
      <c r="G30" s="74"/>
      <c r="J30" s="179"/>
      <c r="K30" s="179"/>
      <c r="L30" s="179"/>
      <c r="M30" s="179"/>
      <c r="N30" s="179"/>
    </row>
    <row r="31" spans="1:14" x14ac:dyDescent="0.25">
      <c r="B31" s="227" t="s">
        <v>892</v>
      </c>
      <c r="C31" s="227"/>
      <c r="D31" s="227"/>
      <c r="E31" s="92"/>
      <c r="F31" s="92"/>
      <c r="G31" s="85"/>
      <c r="J31" s="179"/>
      <c r="K31" s="179"/>
      <c r="L31" s="179"/>
      <c r="M31" s="179"/>
      <c r="N31" s="179"/>
    </row>
    <row r="32" spans="1:14" x14ac:dyDescent="0.25">
      <c r="B32" s="219" t="s">
        <v>893</v>
      </c>
      <c r="C32" s="219"/>
      <c r="D32" s="219"/>
      <c r="E32" s="74"/>
      <c r="F32" s="74"/>
      <c r="G32" s="74"/>
      <c r="J32" s="179"/>
      <c r="K32" s="179"/>
      <c r="L32" s="179"/>
      <c r="M32" s="179"/>
      <c r="N32" s="179"/>
    </row>
    <row r="33" spans="2:14" ht="15" customHeight="1" x14ac:dyDescent="0.25">
      <c r="B33" s="93" t="s">
        <v>894</v>
      </c>
      <c r="C33" s="93"/>
      <c r="D33" s="93"/>
      <c r="E33" s="94"/>
      <c r="F33" s="94"/>
      <c r="G33" s="74"/>
      <c r="J33" s="179"/>
      <c r="K33" s="179"/>
      <c r="L33" s="179"/>
      <c r="M33" s="179"/>
      <c r="N33" s="179"/>
    </row>
    <row r="34" spans="2:14" x14ac:dyDescent="0.25">
      <c r="B34" s="220" t="s">
        <v>895</v>
      </c>
      <c r="C34" s="220"/>
      <c r="D34" s="220"/>
      <c r="E34" s="85"/>
      <c r="F34" s="85"/>
      <c r="G34" s="85"/>
      <c r="J34" s="179"/>
      <c r="K34" s="179"/>
      <c r="L34" s="179"/>
      <c r="M34" s="179"/>
      <c r="N34" s="179"/>
    </row>
    <row r="35" spans="2:14" x14ac:dyDescent="0.25">
      <c r="J35" s="179"/>
      <c r="K35" s="179"/>
      <c r="L35" s="179"/>
      <c r="M35" s="179"/>
      <c r="N35" s="179"/>
    </row>
    <row r="36" spans="2:14" x14ac:dyDescent="0.25">
      <c r="J36" s="179"/>
      <c r="K36" s="179"/>
      <c r="L36" s="179"/>
      <c r="M36" s="179"/>
      <c r="N36" s="179"/>
    </row>
    <row r="37" spans="2:14" x14ac:dyDescent="0.25">
      <c r="J37" s="179"/>
      <c r="K37" s="179"/>
      <c r="L37" s="179"/>
      <c r="M37" s="179"/>
      <c r="N37" s="179"/>
    </row>
    <row r="38" spans="2:14" x14ac:dyDescent="0.25">
      <c r="J38" s="179"/>
      <c r="K38" s="179"/>
      <c r="L38" s="179"/>
      <c r="M38" s="179"/>
      <c r="N38" s="179"/>
    </row>
    <row r="39" spans="2:14" x14ac:dyDescent="0.25">
      <c r="J39" s="179"/>
      <c r="K39" s="179"/>
      <c r="L39" s="179"/>
      <c r="M39" s="179"/>
      <c r="N39" s="179"/>
    </row>
    <row r="40" spans="2:14" x14ac:dyDescent="0.25">
      <c r="J40" s="179"/>
      <c r="K40" s="179"/>
      <c r="L40" s="179"/>
      <c r="M40" s="179"/>
      <c r="N40" s="179"/>
    </row>
    <row r="41" spans="2:14" x14ac:dyDescent="0.25">
      <c r="J41" s="179"/>
      <c r="K41" s="179"/>
      <c r="L41" s="179"/>
      <c r="M41" s="179"/>
      <c r="N41" s="179"/>
    </row>
    <row r="42" spans="2:14" x14ac:dyDescent="0.25">
      <c r="J42" s="179"/>
      <c r="K42" s="179"/>
      <c r="L42" s="179"/>
      <c r="M42" s="179"/>
      <c r="N42" s="179"/>
    </row>
    <row r="43" spans="2:14" x14ac:dyDescent="0.25">
      <c r="J43" s="179"/>
      <c r="K43" s="179"/>
      <c r="L43" s="179"/>
      <c r="M43" s="179"/>
      <c r="N43" s="179"/>
    </row>
    <row r="44" spans="2:14" x14ac:dyDescent="0.25">
      <c r="J44" s="179"/>
      <c r="K44" s="179"/>
      <c r="L44" s="179"/>
      <c r="M44" s="179"/>
      <c r="N44" s="179"/>
    </row>
    <row r="45" spans="2:14" x14ac:dyDescent="0.25">
      <c r="J45" s="179"/>
      <c r="K45" s="179"/>
      <c r="L45" s="179"/>
      <c r="M45" s="179"/>
      <c r="N45" s="179"/>
    </row>
    <row r="46" spans="2:14" x14ac:dyDescent="0.25">
      <c r="J46" s="179"/>
      <c r="K46" s="179"/>
      <c r="L46" s="179"/>
      <c r="M46" s="179"/>
      <c r="N46" s="179"/>
    </row>
    <row r="47" spans="2:14" x14ac:dyDescent="0.25">
      <c r="J47" s="179"/>
      <c r="K47" s="179"/>
      <c r="L47" s="179"/>
      <c r="M47" s="179"/>
      <c r="N47" s="179"/>
    </row>
    <row r="48" spans="2:14" x14ac:dyDescent="0.25">
      <c r="J48" s="179"/>
      <c r="K48" s="179"/>
      <c r="L48" s="179"/>
      <c r="M48" s="179"/>
      <c r="N48" s="179"/>
    </row>
    <row r="49" spans="10:14" x14ac:dyDescent="0.25">
      <c r="J49" s="179"/>
      <c r="K49" s="179"/>
      <c r="L49" s="179"/>
      <c r="M49" s="179"/>
      <c r="N49" s="179"/>
    </row>
    <row r="50" spans="10:14" x14ac:dyDescent="0.25">
      <c r="J50" s="179"/>
      <c r="K50" s="179"/>
      <c r="L50" s="179"/>
      <c r="M50" s="179"/>
      <c r="N50" s="179"/>
    </row>
    <row r="51" spans="10:14" x14ac:dyDescent="0.25">
      <c r="J51" s="179"/>
      <c r="K51" s="179"/>
      <c r="L51" s="179"/>
      <c r="M51" s="179"/>
      <c r="N51" s="179"/>
    </row>
    <row r="52" spans="10:14" x14ac:dyDescent="0.25">
      <c r="J52" s="179"/>
      <c r="K52" s="179"/>
      <c r="L52" s="179"/>
      <c r="M52" s="179"/>
      <c r="N52" s="179"/>
    </row>
    <row r="53" spans="10:14" x14ac:dyDescent="0.25">
      <c r="J53" s="179"/>
      <c r="K53" s="179"/>
      <c r="L53" s="179"/>
      <c r="M53" s="179"/>
      <c r="N53" s="179"/>
    </row>
    <row r="54" spans="10:14" x14ac:dyDescent="0.25">
      <c r="J54" s="179"/>
      <c r="K54" s="179"/>
      <c r="L54" s="179"/>
      <c r="M54" s="179"/>
      <c r="N54" s="179"/>
    </row>
    <row r="55" spans="10:14" x14ac:dyDescent="0.25">
      <c r="J55" s="179"/>
      <c r="K55" s="179"/>
      <c r="L55" s="179"/>
      <c r="M55" s="179"/>
      <c r="N55" s="179"/>
    </row>
    <row r="56" spans="10:14" x14ac:dyDescent="0.25">
      <c r="J56" s="179"/>
      <c r="K56" s="179"/>
      <c r="L56" s="179"/>
      <c r="M56" s="179"/>
      <c r="N56" s="179"/>
    </row>
    <row r="57" spans="10:14" x14ac:dyDescent="0.25">
      <c r="J57" s="179"/>
      <c r="K57" s="179"/>
      <c r="L57" s="179"/>
      <c r="M57" s="179"/>
      <c r="N57" s="179"/>
    </row>
    <row r="58" spans="10:14" x14ac:dyDescent="0.25">
      <c r="J58" s="179"/>
      <c r="K58" s="179"/>
      <c r="L58" s="179"/>
      <c r="M58" s="179"/>
      <c r="N58" s="179"/>
    </row>
    <row r="59" spans="10:14" x14ac:dyDescent="0.25">
      <c r="J59" s="179"/>
      <c r="K59" s="179"/>
      <c r="L59" s="179"/>
      <c r="M59" s="179"/>
      <c r="N59" s="179"/>
    </row>
    <row r="60" spans="10:14" x14ac:dyDescent="0.25">
      <c r="J60" s="179"/>
      <c r="K60" s="179"/>
      <c r="L60" s="179"/>
      <c r="M60" s="179"/>
      <c r="N60" s="179"/>
    </row>
    <row r="61" spans="10:14" x14ac:dyDescent="0.25">
      <c r="J61" s="179"/>
      <c r="K61" s="179"/>
      <c r="L61" s="179"/>
      <c r="M61" s="179"/>
      <c r="N61" s="179"/>
    </row>
  </sheetData>
  <mergeCells count="9">
    <mergeCell ref="J2:N2"/>
    <mergeCell ref="B32:D32"/>
    <mergeCell ref="B34:D34"/>
    <mergeCell ref="A1:H1"/>
    <mergeCell ref="A2:H2"/>
    <mergeCell ref="A3:H3"/>
    <mergeCell ref="B22:C22"/>
    <mergeCell ref="B23:D23"/>
    <mergeCell ref="B31:D31"/>
  </mergeCells>
  <hyperlinks>
    <hyperlink ref="I1" location="Index!B38" display="Index" xr:uid="{EAA90CCC-997B-448B-8342-EB3500E4A999}"/>
  </hyperlinks>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AAAFC-629A-4933-9950-27F1EFBD1083}">
  <dimension ref="B1:G183"/>
  <sheetViews>
    <sheetView zoomScale="90" zoomScaleNormal="90" workbookViewId="0"/>
  </sheetViews>
  <sheetFormatPr defaultRowHeight="12.75" x14ac:dyDescent="0.2"/>
  <cols>
    <col min="1" max="1" width="10.42578125" style="157" customWidth="1"/>
    <col min="2" max="2" width="41.140625" style="157" customWidth="1"/>
    <col min="3" max="3" width="54.7109375" style="157" customWidth="1"/>
    <col min="4" max="4" width="17.28515625" style="157" bestFit="1" customWidth="1"/>
    <col min="5" max="5" width="20.140625" style="157" bestFit="1" customWidth="1"/>
    <col min="6" max="6" width="16.5703125" style="157" customWidth="1"/>
    <col min="7" max="7" width="18.7109375" style="157" bestFit="1" customWidth="1"/>
    <col min="8" max="16384" width="9.140625" style="157"/>
  </cols>
  <sheetData>
    <row r="1" spans="2:7" x14ac:dyDescent="0.2">
      <c r="G1" s="237" t="s">
        <v>998</v>
      </c>
    </row>
    <row r="2" spans="2:7" x14ac:dyDescent="0.2">
      <c r="B2" s="238" t="s">
        <v>1091</v>
      </c>
      <c r="C2" s="238"/>
      <c r="D2" s="238"/>
      <c r="E2" s="238"/>
      <c r="F2" s="238"/>
      <c r="G2" s="238"/>
    </row>
    <row r="3" spans="2:7" x14ac:dyDescent="0.2">
      <c r="B3" s="238" t="s">
        <v>1092</v>
      </c>
      <c r="C3" s="238"/>
      <c r="D3" s="238"/>
      <c r="E3" s="238"/>
      <c r="F3" s="238"/>
      <c r="G3" s="238"/>
    </row>
    <row r="4" spans="2:7" x14ac:dyDescent="0.2">
      <c r="B4" s="237"/>
      <c r="C4" s="237"/>
      <c r="D4" s="237"/>
      <c r="E4" s="237"/>
      <c r="F4" s="237"/>
      <c r="G4" s="237"/>
    </row>
    <row r="5" spans="2:7" x14ac:dyDescent="0.2">
      <c r="B5" s="238" t="s">
        <v>1093</v>
      </c>
      <c r="C5" s="238"/>
      <c r="D5" s="238"/>
      <c r="E5" s="238"/>
      <c r="F5" s="238"/>
      <c r="G5" s="238"/>
    </row>
    <row r="6" spans="2:7" x14ac:dyDescent="0.2">
      <c r="B6" s="237" t="s">
        <v>1094</v>
      </c>
    </row>
    <row r="8" spans="2:7" ht="25.5" x14ac:dyDescent="0.2">
      <c r="B8" s="239" t="s">
        <v>1095</v>
      </c>
      <c r="C8" s="239" t="s">
        <v>1096</v>
      </c>
      <c r="D8" s="239" t="s">
        <v>1097</v>
      </c>
      <c r="E8" s="240" t="s">
        <v>1098</v>
      </c>
      <c r="F8" s="240" t="s">
        <v>1099</v>
      </c>
      <c r="G8" s="240" t="s">
        <v>1100</v>
      </c>
    </row>
    <row r="9" spans="2:7" x14ac:dyDescent="0.2">
      <c r="B9" s="241" t="s">
        <v>630</v>
      </c>
      <c r="C9" s="241" t="s">
        <v>955</v>
      </c>
      <c r="D9" s="242" t="s">
        <v>1101</v>
      </c>
      <c r="E9" s="243">
        <v>264.82</v>
      </c>
      <c r="F9" s="244">
        <v>231.5</v>
      </c>
      <c r="G9" s="245">
        <v>11.754405</v>
      </c>
    </row>
    <row r="10" spans="2:7" x14ac:dyDescent="0.2">
      <c r="B10" s="241" t="s">
        <v>630</v>
      </c>
      <c r="C10" s="241" t="s">
        <v>963</v>
      </c>
      <c r="D10" s="242" t="s">
        <v>1101</v>
      </c>
      <c r="E10" s="243">
        <v>582.29999999999995</v>
      </c>
      <c r="F10" s="244">
        <v>596.75</v>
      </c>
      <c r="G10" s="245">
        <v>88.643128000000004</v>
      </c>
    </row>
    <row r="11" spans="2:7" x14ac:dyDescent="0.2">
      <c r="B11" s="241" t="s">
        <v>630</v>
      </c>
      <c r="C11" s="241" t="s">
        <v>959</v>
      </c>
      <c r="D11" s="242" t="s">
        <v>1101</v>
      </c>
      <c r="E11" s="243">
        <v>367.55</v>
      </c>
      <c r="F11" s="244">
        <v>344.5</v>
      </c>
      <c r="G11" s="245">
        <v>41.937480000000001</v>
      </c>
    </row>
    <row r="12" spans="2:7" x14ac:dyDescent="0.2">
      <c r="B12" s="241" t="s">
        <v>630</v>
      </c>
      <c r="C12" s="246" t="s">
        <v>962</v>
      </c>
      <c r="D12" s="242" t="s">
        <v>1101</v>
      </c>
      <c r="E12" s="243">
        <v>2848.25</v>
      </c>
      <c r="F12" s="244">
        <v>2849.2</v>
      </c>
      <c r="G12" s="245">
        <v>35.170940000000002</v>
      </c>
    </row>
    <row r="13" spans="2:7" x14ac:dyDescent="0.2">
      <c r="B13" s="241" t="s">
        <v>630</v>
      </c>
      <c r="C13" s="247" t="s">
        <v>953</v>
      </c>
      <c r="D13" s="242" t="s">
        <v>1101</v>
      </c>
      <c r="E13" s="243">
        <v>477.1</v>
      </c>
      <c r="F13" s="244">
        <v>465.4</v>
      </c>
      <c r="G13" s="245">
        <v>10.93939</v>
      </c>
    </row>
    <row r="14" spans="2:7" x14ac:dyDescent="0.2">
      <c r="B14" s="241" t="s">
        <v>630</v>
      </c>
      <c r="C14" s="247" t="s">
        <v>960</v>
      </c>
      <c r="D14" s="242" t="s">
        <v>1101</v>
      </c>
      <c r="E14" s="243">
        <v>868.56</v>
      </c>
      <c r="F14" s="244">
        <v>849.75</v>
      </c>
      <c r="G14" s="245">
        <v>28.872225</v>
      </c>
    </row>
    <row r="15" spans="2:7" x14ac:dyDescent="0.2">
      <c r="B15" s="241" t="s">
        <v>630</v>
      </c>
      <c r="C15" s="247" t="s">
        <v>968</v>
      </c>
      <c r="D15" s="242" t="s">
        <v>1101</v>
      </c>
      <c r="E15" s="243">
        <v>6477</v>
      </c>
      <c r="F15" s="244">
        <v>6152.75</v>
      </c>
      <c r="G15" s="245">
        <v>120.84921</v>
      </c>
    </row>
    <row r="16" spans="2:7" x14ac:dyDescent="0.2">
      <c r="B16" s="241" t="s">
        <v>630</v>
      </c>
      <c r="C16" s="247" t="s">
        <v>965</v>
      </c>
      <c r="D16" s="242" t="s">
        <v>1101</v>
      </c>
      <c r="E16" s="243">
        <v>790.61</v>
      </c>
      <c r="F16" s="244">
        <v>747.25</v>
      </c>
      <c r="G16" s="245">
        <v>76.392166599999996</v>
      </c>
    </row>
    <row r="17" spans="2:7" x14ac:dyDescent="0.2">
      <c r="B17" s="241" t="s">
        <v>630</v>
      </c>
      <c r="C17" s="247" t="s">
        <v>961</v>
      </c>
      <c r="D17" s="242" t="s">
        <v>1101</v>
      </c>
      <c r="E17" s="243">
        <v>536.91999999999996</v>
      </c>
      <c r="F17" s="244">
        <v>535.04999999999995</v>
      </c>
      <c r="G17" s="245">
        <v>28.364025600000002</v>
      </c>
    </row>
    <row r="18" spans="2:7" x14ac:dyDescent="0.2">
      <c r="B18" s="241" t="s">
        <v>630</v>
      </c>
      <c r="C18" s="247" t="s">
        <v>966</v>
      </c>
      <c r="D18" s="242" t="s">
        <v>1101</v>
      </c>
      <c r="E18" s="243">
        <v>369.47</v>
      </c>
      <c r="F18" s="244">
        <v>353.05</v>
      </c>
      <c r="G18" s="245">
        <v>99.914646400000009</v>
      </c>
    </row>
    <row r="19" spans="2:7" x14ac:dyDescent="0.2">
      <c r="B19" s="241" t="s">
        <v>630</v>
      </c>
      <c r="C19" s="247" t="s">
        <v>949</v>
      </c>
      <c r="D19" s="242" t="s">
        <v>1101</v>
      </c>
      <c r="E19" s="243">
        <v>93.9</v>
      </c>
      <c r="F19" s="244">
        <v>87.9</v>
      </c>
      <c r="G19" s="245">
        <v>1.8772968999999999</v>
      </c>
    </row>
    <row r="20" spans="2:7" x14ac:dyDescent="0.2">
      <c r="B20" s="241" t="s">
        <v>630</v>
      </c>
      <c r="C20" s="247" t="s">
        <v>950</v>
      </c>
      <c r="D20" s="242" t="s">
        <v>1101</v>
      </c>
      <c r="E20" s="243">
        <v>2709.15</v>
      </c>
      <c r="F20" s="244">
        <v>2621.35</v>
      </c>
      <c r="G20" s="245">
        <v>6.9485589999999995</v>
      </c>
    </row>
    <row r="21" spans="2:7" x14ac:dyDescent="0.2">
      <c r="B21" s="241" t="s">
        <v>630</v>
      </c>
      <c r="C21" s="247" t="s">
        <v>971</v>
      </c>
      <c r="D21" s="242" t="s">
        <v>1101</v>
      </c>
      <c r="E21" s="243">
        <v>869.68</v>
      </c>
      <c r="F21" s="244">
        <v>858.55</v>
      </c>
      <c r="G21" s="245">
        <v>160.39896479999999</v>
      </c>
    </row>
    <row r="22" spans="2:7" x14ac:dyDescent="0.2">
      <c r="B22" s="241" t="s">
        <v>630</v>
      </c>
      <c r="C22" s="247" t="s">
        <v>956</v>
      </c>
      <c r="D22" s="242" t="s">
        <v>1101</v>
      </c>
      <c r="E22" s="243">
        <v>602.45000000000005</v>
      </c>
      <c r="F22" s="244">
        <v>552.9</v>
      </c>
      <c r="G22" s="245">
        <v>14.872190400000001</v>
      </c>
    </row>
    <row r="23" spans="2:7" x14ac:dyDescent="0.2">
      <c r="B23" s="241" t="s">
        <v>630</v>
      </c>
      <c r="C23" s="247" t="s">
        <v>972</v>
      </c>
      <c r="D23" s="242" t="s">
        <v>1101</v>
      </c>
      <c r="E23" s="243">
        <v>1790.4</v>
      </c>
      <c r="F23" s="244">
        <v>1737.55</v>
      </c>
      <c r="G23" s="245">
        <v>164.54891799999999</v>
      </c>
    </row>
    <row r="24" spans="2:7" x14ac:dyDescent="0.2">
      <c r="B24" s="241" t="s">
        <v>630</v>
      </c>
      <c r="C24" s="247" t="s">
        <v>970</v>
      </c>
      <c r="D24" s="242" t="s">
        <v>1101</v>
      </c>
      <c r="E24" s="243">
        <v>8898.86</v>
      </c>
      <c r="F24" s="244">
        <v>8682.75</v>
      </c>
      <c r="G24" s="245">
        <v>137.85176700000002</v>
      </c>
    </row>
    <row r="25" spans="2:7" x14ac:dyDescent="0.2">
      <c r="B25" s="241" t="s">
        <v>630</v>
      </c>
      <c r="C25" s="247" t="s">
        <v>969</v>
      </c>
      <c r="D25" s="242" t="s">
        <v>1101</v>
      </c>
      <c r="E25" s="243">
        <v>150.78</v>
      </c>
      <c r="F25" s="244">
        <v>153.05000000000001</v>
      </c>
      <c r="G25" s="245">
        <v>166.67194190000001</v>
      </c>
    </row>
    <row r="26" spans="2:7" x14ac:dyDescent="0.2">
      <c r="B26" s="241" t="s">
        <v>630</v>
      </c>
      <c r="C26" s="247" t="s">
        <v>967</v>
      </c>
      <c r="D26" s="242" t="s">
        <v>1101</v>
      </c>
      <c r="E26" s="243">
        <v>2345.5300000000002</v>
      </c>
      <c r="F26" s="244">
        <v>2334.4499999999998</v>
      </c>
      <c r="G26" s="245">
        <v>87.626024000000001</v>
      </c>
    </row>
    <row r="27" spans="2:7" x14ac:dyDescent="0.2">
      <c r="B27" s="241" t="s">
        <v>630</v>
      </c>
      <c r="C27" s="247" t="s">
        <v>958</v>
      </c>
      <c r="D27" s="242" t="s">
        <v>1101</v>
      </c>
      <c r="E27" s="243">
        <v>3253.65</v>
      </c>
      <c r="F27" s="244">
        <v>3260.45</v>
      </c>
      <c r="G27" s="245">
        <v>20.645797899999998</v>
      </c>
    </row>
    <row r="28" spans="2:7" x14ac:dyDescent="0.2">
      <c r="B28" s="241" t="s">
        <v>630</v>
      </c>
      <c r="C28" s="247" t="s">
        <v>957</v>
      </c>
      <c r="D28" s="242" t="s">
        <v>1101</v>
      </c>
      <c r="E28" s="243">
        <v>206.93</v>
      </c>
      <c r="F28" s="244">
        <v>203.4</v>
      </c>
      <c r="G28" s="245">
        <v>21.805368200000004</v>
      </c>
    </row>
    <row r="29" spans="2:7" x14ac:dyDescent="0.2">
      <c r="B29" s="241" t="s">
        <v>630</v>
      </c>
      <c r="C29" s="247" t="s">
        <v>951</v>
      </c>
      <c r="D29" s="242" t="s">
        <v>1101</v>
      </c>
      <c r="E29" s="243">
        <v>2538.4299999999998</v>
      </c>
      <c r="F29" s="244">
        <v>2388.6</v>
      </c>
      <c r="G29" s="245">
        <v>8.0854189999999999</v>
      </c>
    </row>
    <row r="30" spans="2:7" x14ac:dyDescent="0.2">
      <c r="B30" s="241" t="s">
        <v>630</v>
      </c>
      <c r="C30" s="247" t="s">
        <v>954</v>
      </c>
      <c r="D30" s="242" t="s">
        <v>1101</v>
      </c>
      <c r="E30" s="243">
        <v>407.97</v>
      </c>
      <c r="F30" s="244">
        <v>388.7</v>
      </c>
      <c r="G30" s="245">
        <v>9.2751075000000007</v>
      </c>
    </row>
    <row r="31" spans="2:7" x14ac:dyDescent="0.2">
      <c r="B31" s="241" t="s">
        <v>630</v>
      </c>
      <c r="C31" s="247" t="s">
        <v>964</v>
      </c>
      <c r="D31" s="242" t="s">
        <v>1101</v>
      </c>
      <c r="E31" s="243">
        <v>217.04</v>
      </c>
      <c r="F31" s="244">
        <v>196.25</v>
      </c>
      <c r="G31" s="245">
        <v>97.449749999999995</v>
      </c>
    </row>
    <row r="32" spans="2:7" x14ac:dyDescent="0.2">
      <c r="B32" s="241" t="s">
        <v>630</v>
      </c>
      <c r="C32" s="247" t="s">
        <v>952</v>
      </c>
      <c r="D32" s="242" t="s">
        <v>1101</v>
      </c>
      <c r="E32" s="243">
        <v>472.75</v>
      </c>
      <c r="F32" s="244">
        <v>467.7</v>
      </c>
      <c r="G32" s="245">
        <v>9.1529460000000018</v>
      </c>
    </row>
    <row r="33" spans="2:7" x14ac:dyDescent="0.2">
      <c r="B33" s="248"/>
      <c r="C33" s="113"/>
      <c r="D33" s="242"/>
      <c r="E33" s="249"/>
      <c r="F33" s="249"/>
      <c r="G33" s="245"/>
    </row>
    <row r="34" spans="2:7" x14ac:dyDescent="0.2">
      <c r="B34" s="241" t="s">
        <v>647</v>
      </c>
      <c r="C34" s="247" t="s">
        <v>963</v>
      </c>
      <c r="D34" s="242" t="s">
        <v>1101</v>
      </c>
      <c r="E34" s="244">
        <v>575.57000000000005</v>
      </c>
      <c r="F34" s="249">
        <v>596.75</v>
      </c>
      <c r="G34" s="245">
        <v>265.92938400000003</v>
      </c>
    </row>
    <row r="35" spans="2:7" x14ac:dyDescent="0.2">
      <c r="B35" s="241" t="s">
        <v>647</v>
      </c>
      <c r="C35" s="247" t="s">
        <v>960</v>
      </c>
      <c r="D35" s="242" t="s">
        <v>1101</v>
      </c>
      <c r="E35" s="244">
        <v>860.71</v>
      </c>
      <c r="F35" s="249">
        <v>849.75</v>
      </c>
      <c r="G35" s="245">
        <v>73.142970000000005</v>
      </c>
    </row>
    <row r="36" spans="2:7" x14ac:dyDescent="0.2">
      <c r="B36" s="241" t="s">
        <v>647</v>
      </c>
      <c r="C36" s="247" t="s">
        <v>973</v>
      </c>
      <c r="D36" s="242" t="s">
        <v>1101</v>
      </c>
      <c r="E36" s="244">
        <v>1401.66</v>
      </c>
      <c r="F36" s="249">
        <v>1344.05</v>
      </c>
      <c r="G36" s="245">
        <v>28.388176000000001</v>
      </c>
    </row>
    <row r="37" spans="2:7" x14ac:dyDescent="0.2">
      <c r="B37" s="241" t="s">
        <v>647</v>
      </c>
      <c r="C37" s="247" t="s">
        <v>968</v>
      </c>
      <c r="D37" s="242" t="s">
        <v>1101</v>
      </c>
      <c r="E37" s="244">
        <v>6452.55</v>
      </c>
      <c r="F37" s="249">
        <v>6152.75</v>
      </c>
      <c r="G37" s="245">
        <v>157.90963439999999</v>
      </c>
    </row>
    <row r="38" spans="2:7" x14ac:dyDescent="0.2">
      <c r="B38" s="241" t="s">
        <v>647</v>
      </c>
      <c r="C38" s="247" t="s">
        <v>977</v>
      </c>
      <c r="D38" s="242" t="s">
        <v>1101</v>
      </c>
      <c r="E38" s="244">
        <v>164.13</v>
      </c>
      <c r="F38" s="249">
        <v>159.19999999999999</v>
      </c>
      <c r="G38" s="245">
        <v>95.219279999999998</v>
      </c>
    </row>
    <row r="39" spans="2:7" x14ac:dyDescent="0.2">
      <c r="B39" s="241" t="s">
        <v>647</v>
      </c>
      <c r="C39" s="247" t="s">
        <v>975</v>
      </c>
      <c r="D39" s="242" t="s">
        <v>1101</v>
      </c>
      <c r="E39" s="244">
        <v>932.74</v>
      </c>
      <c r="F39" s="249">
        <v>913</v>
      </c>
      <c r="G39" s="245">
        <v>52.323374999999999</v>
      </c>
    </row>
    <row r="40" spans="2:7" x14ac:dyDescent="0.2">
      <c r="B40" s="241" t="s">
        <v>647</v>
      </c>
      <c r="C40" s="247" t="s">
        <v>950</v>
      </c>
      <c r="D40" s="242" t="s">
        <v>1101</v>
      </c>
      <c r="E40" s="244">
        <v>2684.67</v>
      </c>
      <c r="F40" s="249">
        <v>2621.35</v>
      </c>
      <c r="G40" s="245">
        <v>301.5674606</v>
      </c>
    </row>
    <row r="41" spans="2:7" x14ac:dyDescent="0.2">
      <c r="B41" s="241" t="s">
        <v>647</v>
      </c>
      <c r="C41" s="247" t="s">
        <v>980</v>
      </c>
      <c r="D41" s="242" t="s">
        <v>1101</v>
      </c>
      <c r="E41" s="244">
        <v>1657.34</v>
      </c>
      <c r="F41" s="249">
        <v>1608.35</v>
      </c>
      <c r="G41" s="245">
        <v>759.16475639999999</v>
      </c>
    </row>
    <row r="42" spans="2:7" x14ac:dyDescent="0.2">
      <c r="B42" s="241" t="s">
        <v>647</v>
      </c>
      <c r="C42" s="247" t="s">
        <v>971</v>
      </c>
      <c r="D42" s="242" t="s">
        <v>1101</v>
      </c>
      <c r="E42" s="244">
        <v>859.13</v>
      </c>
      <c r="F42" s="249">
        <v>858.55</v>
      </c>
      <c r="G42" s="245">
        <v>281.49487199999999</v>
      </c>
    </row>
    <row r="43" spans="2:7" x14ac:dyDescent="0.2">
      <c r="B43" s="241" t="s">
        <v>647</v>
      </c>
      <c r="C43" s="247" t="s">
        <v>972</v>
      </c>
      <c r="D43" s="242" t="s">
        <v>1101</v>
      </c>
      <c r="E43" s="244">
        <v>1745.18</v>
      </c>
      <c r="F43" s="249">
        <v>1737.55</v>
      </c>
      <c r="G43" s="245">
        <v>361.02523799999994</v>
      </c>
    </row>
    <row r="44" spans="2:7" x14ac:dyDescent="0.2">
      <c r="B44" s="241" t="s">
        <v>647</v>
      </c>
      <c r="C44" s="247" t="s">
        <v>979</v>
      </c>
      <c r="D44" s="242" t="s">
        <v>1101</v>
      </c>
      <c r="E44" s="244">
        <v>770.05</v>
      </c>
      <c r="F44" s="249">
        <v>744.7</v>
      </c>
      <c r="G44" s="245">
        <v>95.270240999999999</v>
      </c>
    </row>
    <row r="45" spans="2:7" x14ac:dyDescent="0.2">
      <c r="B45" s="241" t="s">
        <v>647</v>
      </c>
      <c r="C45" s="247" t="s">
        <v>981</v>
      </c>
      <c r="D45" s="242" t="s">
        <v>1101</v>
      </c>
      <c r="E45" s="244">
        <v>17911.560000000001</v>
      </c>
      <c r="F45" s="249">
        <v>17403.400000000001</v>
      </c>
      <c r="G45" s="245">
        <v>1219.5322799999999</v>
      </c>
    </row>
    <row r="46" spans="2:7" x14ac:dyDescent="0.2">
      <c r="B46" s="241" t="s">
        <v>647</v>
      </c>
      <c r="C46" s="247" t="s">
        <v>967</v>
      </c>
      <c r="D46" s="242" t="s">
        <v>1101</v>
      </c>
      <c r="E46" s="244">
        <v>2442.73</v>
      </c>
      <c r="F46" s="249">
        <v>2334.4499999999998</v>
      </c>
      <c r="G46" s="245">
        <v>154.63416000000001</v>
      </c>
    </row>
    <row r="47" spans="2:7" x14ac:dyDescent="0.2">
      <c r="B47" s="241" t="s">
        <v>647</v>
      </c>
      <c r="C47" s="247" t="s">
        <v>978</v>
      </c>
      <c r="D47" s="242" t="s">
        <v>1101</v>
      </c>
      <c r="E47" s="244">
        <v>540.76</v>
      </c>
      <c r="F47" s="249">
        <v>526.35</v>
      </c>
      <c r="G47" s="245">
        <v>72.774190000000004</v>
      </c>
    </row>
    <row r="48" spans="2:7" x14ac:dyDescent="0.2">
      <c r="B48" s="241" t="s">
        <v>647</v>
      </c>
      <c r="C48" s="247" t="s">
        <v>974</v>
      </c>
      <c r="D48" s="242" t="s">
        <v>1101</v>
      </c>
      <c r="E48" s="244">
        <v>1212.1600000000001</v>
      </c>
      <c r="F48" s="249">
        <v>1211.8</v>
      </c>
      <c r="G48" s="245">
        <v>34.131959999999999</v>
      </c>
    </row>
    <row r="49" spans="2:7" x14ac:dyDescent="0.2">
      <c r="B49" s="241" t="s">
        <v>647</v>
      </c>
      <c r="C49" s="247" t="s">
        <v>976</v>
      </c>
      <c r="D49" s="242" t="s">
        <v>1101</v>
      </c>
      <c r="E49" s="244">
        <v>7400.18</v>
      </c>
      <c r="F49" s="249">
        <v>7295.25</v>
      </c>
      <c r="G49" s="245">
        <v>64.453689999999995</v>
      </c>
    </row>
    <row r="50" spans="2:7" x14ac:dyDescent="0.2">
      <c r="B50" s="241"/>
      <c r="C50" s="247"/>
      <c r="D50" s="242"/>
      <c r="E50" s="249"/>
      <c r="F50" s="249"/>
      <c r="G50" s="245"/>
    </row>
    <row r="51" spans="2:7" x14ac:dyDescent="0.2">
      <c r="B51" s="241" t="s">
        <v>698</v>
      </c>
      <c r="C51" s="3" t="s">
        <v>959</v>
      </c>
      <c r="D51" s="242" t="s">
        <v>1101</v>
      </c>
      <c r="E51" s="249">
        <v>348.25</v>
      </c>
      <c r="F51" s="244">
        <v>344.5</v>
      </c>
      <c r="G51" s="250">
        <v>8.7369749999999993</v>
      </c>
    </row>
    <row r="52" spans="2:7" x14ac:dyDescent="0.2">
      <c r="B52" s="241" t="s">
        <v>698</v>
      </c>
      <c r="C52" s="3" t="s">
        <v>989</v>
      </c>
      <c r="D52" s="242" t="s">
        <v>1101</v>
      </c>
      <c r="E52" s="249">
        <v>149.41</v>
      </c>
      <c r="F52" s="244">
        <v>146.05000000000001</v>
      </c>
      <c r="G52" s="250">
        <v>70.183850000000007</v>
      </c>
    </row>
    <row r="53" spans="2:7" x14ac:dyDescent="0.2">
      <c r="B53" s="241" t="s">
        <v>698</v>
      </c>
      <c r="C53" s="3" t="s">
        <v>962</v>
      </c>
      <c r="D53" s="242" t="s">
        <v>1101</v>
      </c>
      <c r="E53" s="249">
        <v>2837.87</v>
      </c>
      <c r="F53" s="244">
        <v>2849.2</v>
      </c>
      <c r="G53" s="250">
        <v>33.161172000000001</v>
      </c>
    </row>
    <row r="54" spans="2:7" x14ac:dyDescent="0.2">
      <c r="B54" s="241" t="s">
        <v>698</v>
      </c>
      <c r="C54" s="3" t="s">
        <v>960</v>
      </c>
      <c r="D54" s="242" t="s">
        <v>1101</v>
      </c>
      <c r="E54" s="249">
        <v>857.79</v>
      </c>
      <c r="F54" s="244">
        <v>849.75</v>
      </c>
      <c r="G54" s="250">
        <v>55.819634999999998</v>
      </c>
    </row>
    <row r="55" spans="2:7" x14ac:dyDescent="0.2">
      <c r="B55" s="241" t="s">
        <v>698</v>
      </c>
      <c r="C55" s="3" t="s">
        <v>968</v>
      </c>
      <c r="D55" s="242" t="s">
        <v>1101</v>
      </c>
      <c r="E55" s="249">
        <v>6442.31</v>
      </c>
      <c r="F55" s="244">
        <v>6152.75</v>
      </c>
      <c r="G55" s="245">
        <v>169.18889399999998</v>
      </c>
    </row>
    <row r="56" spans="2:7" x14ac:dyDescent="0.2">
      <c r="B56" s="241" t="s">
        <v>698</v>
      </c>
      <c r="C56" s="3" t="s">
        <v>977</v>
      </c>
      <c r="D56" s="242" t="s">
        <v>1101</v>
      </c>
      <c r="E56" s="249">
        <v>167.14</v>
      </c>
      <c r="F56" s="244">
        <v>159.19999999999999</v>
      </c>
      <c r="G56" s="245">
        <v>52.370604000000007</v>
      </c>
    </row>
    <row r="57" spans="2:7" x14ac:dyDescent="0.2">
      <c r="B57" s="241" t="s">
        <v>698</v>
      </c>
      <c r="C57" s="3" t="s">
        <v>983</v>
      </c>
      <c r="D57" s="242" t="s">
        <v>1101</v>
      </c>
      <c r="E57" s="249">
        <v>2935.47</v>
      </c>
      <c r="F57" s="244">
        <v>2845.25</v>
      </c>
      <c r="G57" s="245">
        <v>9.4693015999999997</v>
      </c>
    </row>
    <row r="58" spans="2:7" x14ac:dyDescent="0.2">
      <c r="B58" s="241" t="s">
        <v>698</v>
      </c>
      <c r="C58" s="3" t="s">
        <v>950</v>
      </c>
      <c r="D58" s="242" t="s">
        <v>1101</v>
      </c>
      <c r="E58" s="249">
        <v>2696.75</v>
      </c>
      <c r="F58" s="244">
        <v>2621.35</v>
      </c>
      <c r="G58" s="245">
        <v>65.3164546</v>
      </c>
    </row>
    <row r="59" spans="2:7" x14ac:dyDescent="0.2">
      <c r="B59" s="241" t="s">
        <v>698</v>
      </c>
      <c r="C59" s="3" t="s">
        <v>980</v>
      </c>
      <c r="D59" s="242" t="s">
        <v>1101</v>
      </c>
      <c r="E59" s="249">
        <v>1662.26</v>
      </c>
      <c r="F59" s="244">
        <v>1608.35</v>
      </c>
      <c r="G59" s="245">
        <v>443.62714159999996</v>
      </c>
    </row>
    <row r="60" spans="2:7" x14ac:dyDescent="0.2">
      <c r="B60" s="241" t="s">
        <v>698</v>
      </c>
      <c r="C60" s="3" t="s">
        <v>985</v>
      </c>
      <c r="D60" s="242" t="s">
        <v>1101</v>
      </c>
      <c r="E60" s="249">
        <v>498.38</v>
      </c>
      <c r="F60" s="244">
        <v>491.25</v>
      </c>
      <c r="G60" s="245">
        <v>25.030831200000002</v>
      </c>
    </row>
    <row r="61" spans="2:7" x14ac:dyDescent="0.2">
      <c r="B61" s="241" t="s">
        <v>698</v>
      </c>
      <c r="C61" s="3" t="s">
        <v>992</v>
      </c>
      <c r="D61" s="242" t="s">
        <v>1101</v>
      </c>
      <c r="E61" s="249">
        <v>2544</v>
      </c>
      <c r="F61" s="244">
        <v>2472.0500000000002</v>
      </c>
      <c r="G61" s="245">
        <v>186.09033260000001</v>
      </c>
    </row>
    <row r="62" spans="2:7" x14ac:dyDescent="0.2">
      <c r="B62" s="241" t="s">
        <v>698</v>
      </c>
      <c r="C62" s="3" t="s">
        <v>982</v>
      </c>
      <c r="D62" s="242" t="s">
        <v>1101</v>
      </c>
      <c r="E62" s="249">
        <v>236.18</v>
      </c>
      <c r="F62" s="244">
        <v>216.4</v>
      </c>
      <c r="G62" s="245">
        <v>4.8917520000000003</v>
      </c>
    </row>
    <row r="63" spans="2:7" x14ac:dyDescent="0.2">
      <c r="B63" s="241" t="s">
        <v>698</v>
      </c>
      <c r="C63" s="3" t="s">
        <v>971</v>
      </c>
      <c r="D63" s="242" t="s">
        <v>1101</v>
      </c>
      <c r="E63" s="249">
        <v>864.25</v>
      </c>
      <c r="F63" s="244">
        <v>858.55</v>
      </c>
      <c r="G63" s="245">
        <v>298.49078879999996</v>
      </c>
    </row>
    <row r="64" spans="2:7" x14ac:dyDescent="0.2">
      <c r="B64" s="241" t="s">
        <v>698</v>
      </c>
      <c r="C64" s="3" t="s">
        <v>991</v>
      </c>
      <c r="D64" s="242" t="s">
        <v>1101</v>
      </c>
      <c r="E64" s="249">
        <v>1600.36</v>
      </c>
      <c r="F64" s="244">
        <v>1497</v>
      </c>
      <c r="G64" s="245">
        <v>172.23558</v>
      </c>
    </row>
    <row r="65" spans="2:7" x14ac:dyDescent="0.2">
      <c r="B65" s="241" t="s">
        <v>698</v>
      </c>
      <c r="C65" s="3" t="s">
        <v>984</v>
      </c>
      <c r="D65" s="242" t="s">
        <v>1101</v>
      </c>
      <c r="E65" s="249">
        <v>1351.62</v>
      </c>
      <c r="F65" s="244">
        <v>1277.0999999999999</v>
      </c>
      <c r="G65" s="245">
        <v>19.698714000000002</v>
      </c>
    </row>
    <row r="66" spans="2:7" x14ac:dyDescent="0.2">
      <c r="B66" s="241" t="s">
        <v>698</v>
      </c>
      <c r="C66" s="3" t="s">
        <v>979</v>
      </c>
      <c r="D66" s="242" t="s">
        <v>1101</v>
      </c>
      <c r="E66" s="249">
        <v>776.68</v>
      </c>
      <c r="F66" s="244">
        <v>744.7</v>
      </c>
      <c r="G66" s="245">
        <v>55.429958399999997</v>
      </c>
    </row>
    <row r="67" spans="2:7" x14ac:dyDescent="0.2">
      <c r="B67" s="241" t="s">
        <v>698</v>
      </c>
      <c r="C67" s="3" t="s">
        <v>978</v>
      </c>
      <c r="D67" s="242" t="s">
        <v>1101</v>
      </c>
      <c r="E67" s="249">
        <v>533.84</v>
      </c>
      <c r="F67" s="244">
        <v>526.35</v>
      </c>
      <c r="G67" s="245">
        <v>36.387095000000002</v>
      </c>
    </row>
    <row r="68" spans="2:7" x14ac:dyDescent="0.2">
      <c r="B68" s="241" t="s">
        <v>698</v>
      </c>
      <c r="C68" s="3" t="s">
        <v>986</v>
      </c>
      <c r="D68" s="242" t="s">
        <v>1101</v>
      </c>
      <c r="E68" s="249">
        <v>726.79</v>
      </c>
      <c r="F68" s="244">
        <v>718.05</v>
      </c>
      <c r="G68" s="245">
        <v>27.4237392</v>
      </c>
    </row>
    <row r="69" spans="2:7" x14ac:dyDescent="0.2">
      <c r="B69" s="241" t="s">
        <v>698</v>
      </c>
      <c r="C69" s="3" t="s">
        <v>990</v>
      </c>
      <c r="D69" s="242" t="s">
        <v>1101</v>
      </c>
      <c r="E69" s="249">
        <v>113.15</v>
      </c>
      <c r="F69" s="244">
        <v>104.7</v>
      </c>
      <c r="G69" s="245">
        <v>98.1045175</v>
      </c>
    </row>
    <row r="70" spans="2:7" x14ac:dyDescent="0.2">
      <c r="B70" s="241" t="s">
        <v>698</v>
      </c>
      <c r="C70" s="3" t="s">
        <v>988</v>
      </c>
      <c r="D70" s="242" t="s">
        <v>1101</v>
      </c>
      <c r="E70" s="249">
        <v>3541.65</v>
      </c>
      <c r="F70" s="244">
        <v>3333.9</v>
      </c>
      <c r="G70" s="245">
        <v>47.359364400000004</v>
      </c>
    </row>
    <row r="71" spans="2:7" x14ac:dyDescent="0.2">
      <c r="B71" s="241" t="s">
        <v>698</v>
      </c>
      <c r="C71" s="3" t="s">
        <v>993</v>
      </c>
      <c r="D71" s="242" t="s">
        <v>1101</v>
      </c>
      <c r="E71" s="249">
        <v>1153.76</v>
      </c>
      <c r="F71" s="244">
        <v>1107.95</v>
      </c>
      <c r="G71" s="245">
        <v>281.60029950000001</v>
      </c>
    </row>
    <row r="72" spans="2:7" x14ac:dyDescent="0.2">
      <c r="B72" s="241" t="s">
        <v>698</v>
      </c>
      <c r="C72" s="3" t="s">
        <v>951</v>
      </c>
      <c r="D72" s="242" t="s">
        <v>1101</v>
      </c>
      <c r="E72" s="249">
        <v>2508.92</v>
      </c>
      <c r="F72" s="244">
        <v>2388.6</v>
      </c>
      <c r="G72" s="245">
        <v>30.724592200000004</v>
      </c>
    </row>
    <row r="73" spans="2:7" x14ac:dyDescent="0.2">
      <c r="B73" s="241" t="s">
        <v>698</v>
      </c>
      <c r="C73" s="3" t="s">
        <v>987</v>
      </c>
      <c r="D73" s="242" t="s">
        <v>1101</v>
      </c>
      <c r="E73" s="249">
        <v>316.19</v>
      </c>
      <c r="F73" s="244">
        <v>270.25</v>
      </c>
      <c r="G73" s="245">
        <v>68.139600000000002</v>
      </c>
    </row>
    <row r="74" spans="2:7" x14ac:dyDescent="0.2">
      <c r="B74" s="241"/>
      <c r="C74" s="185"/>
      <c r="D74" s="242"/>
      <c r="E74" s="251"/>
      <c r="F74" s="252"/>
      <c r="G74" s="245"/>
    </row>
    <row r="75" spans="2:7" hidden="1" x14ac:dyDescent="0.2">
      <c r="B75" s="241"/>
      <c r="C75" s="253"/>
      <c r="D75" s="242"/>
      <c r="E75" s="252"/>
      <c r="F75" s="252"/>
      <c r="G75" s="245"/>
    </row>
    <row r="77" spans="2:7" x14ac:dyDescent="0.2">
      <c r="B77" s="237" t="s">
        <v>1102</v>
      </c>
      <c r="E77" s="254"/>
      <c r="F77" s="254"/>
      <c r="G77" s="254"/>
    </row>
    <row r="79" spans="2:7" x14ac:dyDescent="0.2">
      <c r="B79" s="255" t="s">
        <v>1095</v>
      </c>
      <c r="C79" s="255" t="s">
        <v>1103</v>
      </c>
    </row>
    <row r="80" spans="2:7" x14ac:dyDescent="0.2">
      <c r="B80" s="241" t="s">
        <v>630</v>
      </c>
      <c r="C80" s="256">
        <v>0.66669999999999996</v>
      </c>
    </row>
    <row r="81" spans="2:7" x14ac:dyDescent="0.2">
      <c r="B81" s="241" t="s">
        <v>647</v>
      </c>
      <c r="C81" s="257">
        <v>0.1671</v>
      </c>
    </row>
    <row r="82" spans="2:7" x14ac:dyDescent="0.2">
      <c r="B82" s="258" t="s">
        <v>698</v>
      </c>
      <c r="C82" s="257">
        <v>0.28889999999999999</v>
      </c>
    </row>
    <row r="84" spans="2:7" x14ac:dyDescent="0.2">
      <c r="B84" s="237" t="s">
        <v>1104</v>
      </c>
    </row>
    <row r="85" spans="2:7" x14ac:dyDescent="0.2">
      <c r="B85" s="237"/>
    </row>
    <row r="86" spans="2:7" ht="63.75" x14ac:dyDescent="0.2">
      <c r="B86" s="239" t="s">
        <v>1095</v>
      </c>
      <c r="C86" s="240" t="s">
        <v>1105</v>
      </c>
      <c r="D86" s="240" t="s">
        <v>1106</v>
      </c>
      <c r="E86" s="240" t="s">
        <v>1107</v>
      </c>
      <c r="F86" s="240" t="s">
        <v>1108</v>
      </c>
      <c r="G86" s="240" t="s">
        <v>1109</v>
      </c>
    </row>
    <row r="87" spans="2:7" ht="15" customHeight="1" x14ac:dyDescent="0.2">
      <c r="B87" s="241" t="s">
        <v>630</v>
      </c>
      <c r="C87" s="259">
        <f>592+698+1+639+16+681+624+17+465+532+510+583+595+1253</f>
        <v>7206</v>
      </c>
      <c r="D87" s="259">
        <f>592+666+1+639+16+681+624+17+465+532+470+583+595+1253</f>
        <v>7134</v>
      </c>
      <c r="E87" s="250">
        <f>4495.99+4695.0754+5.2245+4278.04+119.81+4703.61+4844.3952+97.8796+3811.1272+4172.337+3779.15+4305.67+4043.68+8452.2959</f>
        <v>51804.284799999994</v>
      </c>
      <c r="F87" s="250">
        <f>4426.35+5092.9764+4.9094+4392.74+112.5+4290.16+4453.2102+99.9323+3799.1367+4254.2162+3731.01+4401.67+4138.77+8580.74</f>
        <v>51778.321199999998</v>
      </c>
      <c r="G87" s="260">
        <f t="shared" ref="G87:G94" si="0">+F87-E87</f>
        <v>-25.963599999995495</v>
      </c>
    </row>
    <row r="88" spans="2:7" ht="15" customHeight="1" x14ac:dyDescent="0.2">
      <c r="B88" s="258" t="s">
        <v>179</v>
      </c>
      <c r="C88" s="259">
        <f>700+495</f>
        <v>1195</v>
      </c>
      <c r="D88" s="259">
        <f>700+495</f>
        <v>1195</v>
      </c>
      <c r="E88" s="250">
        <f>5198.2+1863.279</f>
        <v>7061.4789999999994</v>
      </c>
      <c r="F88" s="250">
        <f>5030.86+1946.424</f>
        <v>6977.2839999999997</v>
      </c>
      <c r="G88" s="260">
        <f t="shared" si="0"/>
        <v>-84.194999999999709</v>
      </c>
    </row>
    <row r="89" spans="2:7" ht="15" customHeight="1" x14ac:dyDescent="0.2">
      <c r="B89" s="241" t="s">
        <v>647</v>
      </c>
      <c r="C89" s="263">
        <f>5061+4765+5303+4783+14+3721+2029+3523+16+4080+35+4498+4272+3089</f>
        <v>45189</v>
      </c>
      <c r="D89" s="263">
        <f>5061+4550+5303+4783+14+3721+2029+3523+16+3960+35+4498+4272+3089</f>
        <v>44854</v>
      </c>
      <c r="E89" s="264">
        <f>34709.76+30322.71973+32163.99+30319.2+120.7204+23543.7228+12022.9249+24953.5394+89.91+29064.8+200.8319+32150.9287+31481.67446+23689.34</f>
        <v>304834.06229000003</v>
      </c>
      <c r="F89" s="264">
        <f>35230.27+32213.3015+33286.49+28711.13+122.9396+22575.5819+12508.3733+24331.15496+84.8627+27976.39+193.2501+32746.02869+31560.88239+24364.48</f>
        <v>305905.13513999997</v>
      </c>
      <c r="G89" s="265">
        <f t="shared" si="0"/>
        <v>1071.0728499999386</v>
      </c>
    </row>
    <row r="90" spans="2:7" ht="15" customHeight="1" x14ac:dyDescent="0.2">
      <c r="B90" s="258" t="s">
        <v>698</v>
      </c>
      <c r="C90" s="259">
        <f>1457+1762+1712+1689+1724+1676+1648+1683+1683+1726+1726</f>
        <v>18486</v>
      </c>
      <c r="D90" s="259">
        <f>1457+1706+1712+1689+1724+1676+1648+1683+1683+1726+1726</f>
        <v>18430</v>
      </c>
      <c r="E90" s="250">
        <f>9647.08+11093.2302+10791.45+11632.472+12255.4536+11958.5765+12114.8082+12360.367+12187.199+12423.103+12370.33</f>
        <v>128834.0695</v>
      </c>
      <c r="F90" s="250">
        <f>9908.46+11698.9857+11068.64+10789.8388+11655.5599+12071.8268+12000.61615+12143.96+12432.605+12274.193+12489.60227</f>
        <v>128534.28762</v>
      </c>
      <c r="G90" s="265">
        <f t="shared" si="0"/>
        <v>-299.781879999995</v>
      </c>
    </row>
    <row r="91" spans="2:7" x14ac:dyDescent="0.2">
      <c r="B91" s="266" t="s">
        <v>815</v>
      </c>
      <c r="C91" s="259">
        <v>500</v>
      </c>
      <c r="D91" s="259">
        <v>500</v>
      </c>
      <c r="E91" s="250">
        <v>2417.11</v>
      </c>
      <c r="F91" s="250">
        <v>2635.38</v>
      </c>
      <c r="G91" s="265">
        <f t="shared" si="0"/>
        <v>218.26999999999998</v>
      </c>
    </row>
    <row r="92" spans="2:7" x14ac:dyDescent="0.2">
      <c r="B92" s="241" t="s">
        <v>544</v>
      </c>
      <c r="C92" s="263">
        <f>50+10+375+220+445+160</f>
        <v>1260</v>
      </c>
      <c r="D92" s="263">
        <f>50+10+375+220+445+160</f>
        <v>1260</v>
      </c>
      <c r="E92" s="267">
        <f>344.7+84.0062+1781.484+1522.6445+3242.3265+1270.783</f>
        <v>8245.9441999999999</v>
      </c>
      <c r="F92" s="264">
        <f>341.7614+85.4046+1779.2769+1492.3994+3127.7222+1287.6582</f>
        <v>8114.2227000000003</v>
      </c>
      <c r="G92" s="265">
        <f t="shared" si="0"/>
        <v>-131.72149999999965</v>
      </c>
    </row>
    <row r="93" spans="2:7" x14ac:dyDescent="0.2">
      <c r="B93" s="241" t="s">
        <v>808</v>
      </c>
      <c r="C93" s="263">
        <f>150+66+105+102</f>
        <v>423</v>
      </c>
      <c r="D93" s="263">
        <f>150+66+105+102</f>
        <v>423</v>
      </c>
      <c r="E93" s="267">
        <f>1326.8625+323.069+947.5594+690.9175</f>
        <v>3288.4083999999998</v>
      </c>
      <c r="F93" s="264">
        <f>1183.76575195+326.42+996.32+710.06</f>
        <v>3216.56575195</v>
      </c>
      <c r="G93" s="265">
        <f t="shared" si="0"/>
        <v>-71.842648049999752</v>
      </c>
    </row>
    <row r="94" spans="2:7" x14ac:dyDescent="0.2">
      <c r="B94" s="258" t="s">
        <v>819</v>
      </c>
      <c r="C94" s="263">
        <f>150+200+27+60</f>
        <v>437</v>
      </c>
      <c r="D94" s="263">
        <f>150+200+27+60</f>
        <v>437</v>
      </c>
      <c r="E94" s="264">
        <f>1326.8625+1452.18+243.6581+451.494</f>
        <v>3474.1946000000003</v>
      </c>
      <c r="F94" s="264">
        <f>1182.48949245+1430.3528+256.1581+458.91</f>
        <v>3327.91039245</v>
      </c>
      <c r="G94" s="268">
        <f t="shared" si="0"/>
        <v>-146.28420755000025</v>
      </c>
    </row>
    <row r="96" spans="2:7" ht="15" customHeight="1" x14ac:dyDescent="0.2">
      <c r="E96" s="262"/>
      <c r="F96" s="262"/>
    </row>
    <row r="97" spans="2:7" x14ac:dyDescent="0.2">
      <c r="B97" s="237" t="s">
        <v>1110</v>
      </c>
      <c r="F97" s="262"/>
      <c r="G97" s="261"/>
    </row>
    <row r="99" spans="2:7" ht="25.5" x14ac:dyDescent="0.2">
      <c r="B99" s="239" t="s">
        <v>1095</v>
      </c>
      <c r="C99" s="239" t="s">
        <v>1096</v>
      </c>
      <c r="D99" s="239" t="s">
        <v>1097</v>
      </c>
      <c r="E99" s="240" t="s">
        <v>1098</v>
      </c>
      <c r="F99" s="240" t="s">
        <v>1099</v>
      </c>
      <c r="G99" s="240" t="s">
        <v>1111</v>
      </c>
    </row>
    <row r="100" spans="2:7" x14ac:dyDescent="0.2">
      <c r="B100" s="241"/>
      <c r="C100" s="241"/>
      <c r="D100" s="242" t="s">
        <v>1112</v>
      </c>
      <c r="E100" s="252"/>
      <c r="F100" s="249"/>
      <c r="G100" s="245"/>
    </row>
    <row r="101" spans="2:7" x14ac:dyDescent="0.2">
      <c r="B101" s="241"/>
      <c r="C101" s="258"/>
      <c r="D101" s="242" t="s">
        <v>1112</v>
      </c>
      <c r="E101" s="269"/>
      <c r="F101" s="249"/>
      <c r="G101" s="269"/>
    </row>
    <row r="102" spans="2:7" x14ac:dyDescent="0.2">
      <c r="C102" s="270"/>
      <c r="D102" s="271"/>
      <c r="E102" s="272"/>
      <c r="F102" s="273"/>
      <c r="G102" s="273"/>
    </row>
    <row r="103" spans="2:7" x14ac:dyDescent="0.2">
      <c r="B103" s="237" t="s">
        <v>1113</v>
      </c>
    </row>
    <row r="105" spans="2:7" x14ac:dyDescent="0.2">
      <c r="B105" s="255" t="s">
        <v>1095</v>
      </c>
      <c r="C105" s="255" t="s">
        <v>1103</v>
      </c>
    </row>
    <row r="106" spans="2:7" x14ac:dyDescent="0.2">
      <c r="B106" s="241"/>
      <c r="C106" s="274"/>
    </row>
    <row r="107" spans="2:7" x14ac:dyDescent="0.2">
      <c r="B107" s="275"/>
      <c r="C107" s="276"/>
    </row>
    <row r="108" spans="2:7" x14ac:dyDescent="0.2">
      <c r="B108" s="237" t="s">
        <v>1114</v>
      </c>
    </row>
    <row r="109" spans="2:7" x14ac:dyDescent="0.2">
      <c r="B109" s="237"/>
    </row>
    <row r="110" spans="2:7" ht="63.75" x14ac:dyDescent="0.2">
      <c r="B110" s="239" t="s">
        <v>1095</v>
      </c>
      <c r="C110" s="240" t="s">
        <v>1105</v>
      </c>
      <c r="D110" s="240" t="s">
        <v>1106</v>
      </c>
      <c r="E110" s="240" t="s">
        <v>1107</v>
      </c>
      <c r="F110" s="240" t="s">
        <v>1115</v>
      </c>
      <c r="G110" s="240" t="s">
        <v>1116</v>
      </c>
    </row>
    <row r="111" spans="2:7" x14ac:dyDescent="0.2">
      <c r="B111" s="241" t="s">
        <v>647</v>
      </c>
      <c r="C111" s="263">
        <f>25+223+229+179+40+120+87+220</f>
        <v>1123</v>
      </c>
      <c r="D111" s="263">
        <f>25+223+229+179+40+120+87+220</f>
        <v>1123</v>
      </c>
      <c r="E111" s="264">
        <f>195.9995+1570.23+2027.92+1402.3108+282.3372+925.4074+688.7076+1474.96</f>
        <v>8567.8724999999995</v>
      </c>
      <c r="F111" s="264">
        <f>187.8+1773.43+2217.26+1328.3916+273.06+944.82+682.1739+1490.25</f>
        <v>8897.1854999999996</v>
      </c>
      <c r="G111" s="277">
        <f t="shared" ref="G111:G118" si="1">+F111-E111</f>
        <v>329.3130000000001</v>
      </c>
    </row>
    <row r="112" spans="2:7" x14ac:dyDescent="0.2">
      <c r="B112" s="258" t="s">
        <v>179</v>
      </c>
      <c r="C112" s="278">
        <f>1890+745+194+394+300+166+37+1204+102</f>
        <v>5032</v>
      </c>
      <c r="D112" s="278">
        <f>1890+745+194+394+300+166+37+1204+102</f>
        <v>5032</v>
      </c>
      <c r="E112" s="279">
        <f>11395.37+5551.8216+1627.3139+3130.9363+4421.94+9533.71109+671.6815</f>
        <v>36332.774389999999</v>
      </c>
      <c r="F112" s="279">
        <f>12184.88+6524.8294+1592.5863+3425.732+4178.1+9479.694+641.3705</f>
        <v>38027.192199999998</v>
      </c>
      <c r="G112" s="277">
        <f t="shared" si="1"/>
        <v>1694.417809999999</v>
      </c>
    </row>
    <row r="113" spans="2:7" x14ac:dyDescent="0.2">
      <c r="B113" s="258" t="s">
        <v>802</v>
      </c>
      <c r="C113" s="278">
        <f>25+107</f>
        <v>132</v>
      </c>
      <c r="D113" s="278">
        <f>25+107</f>
        <v>132</v>
      </c>
      <c r="E113" s="279">
        <f>286.4909+868.75</f>
        <v>1155.2409</v>
      </c>
      <c r="F113" s="279">
        <f>294.683+930.34</f>
        <v>1225.0230000000001</v>
      </c>
      <c r="G113" s="277">
        <f t="shared" si="1"/>
        <v>69.782100000000128</v>
      </c>
    </row>
    <row r="114" spans="2:7" x14ac:dyDescent="0.2">
      <c r="B114" s="241" t="s">
        <v>808</v>
      </c>
      <c r="C114" s="280">
        <f>95+189</f>
        <v>284</v>
      </c>
      <c r="D114" s="280">
        <f>95+189</f>
        <v>284</v>
      </c>
      <c r="E114" s="279">
        <f>311.711+901.6695</f>
        <v>1213.3805</v>
      </c>
      <c r="F114" s="279">
        <f>267.23+857.28</f>
        <v>1124.51</v>
      </c>
      <c r="G114" s="277">
        <f t="shared" si="1"/>
        <v>-88.870499999999993</v>
      </c>
    </row>
    <row r="115" spans="2:7" x14ac:dyDescent="0.2">
      <c r="B115" s="241" t="s">
        <v>816</v>
      </c>
      <c r="C115" s="263">
        <v>8368</v>
      </c>
      <c r="D115" s="263">
        <v>8368</v>
      </c>
      <c r="E115" s="267">
        <v>75631.650500000003</v>
      </c>
      <c r="F115" s="264">
        <v>72687.448900000003</v>
      </c>
      <c r="G115" s="265">
        <f t="shared" si="1"/>
        <v>-2944.2016000000003</v>
      </c>
    </row>
    <row r="116" spans="2:7" x14ac:dyDescent="0.2">
      <c r="B116" s="241" t="s">
        <v>544</v>
      </c>
      <c r="C116" s="280">
        <f>473+230+298+1389+594+235+268+100</f>
        <v>3587</v>
      </c>
      <c r="D116" s="280">
        <f>473+230+298+1389+594+235+268+100</f>
        <v>3587</v>
      </c>
      <c r="E116" s="279">
        <f>3005.425+1717.0198+2241.4338+7387.7731+4314.042+1819.599603+2109.35+1479.3624</f>
        <v>24074.005702999995</v>
      </c>
      <c r="F116" s="279">
        <f>3011.65+2032.6718+2127.4822+7957.6124+4229.146+1850.2725+2104.96+1534.824</f>
        <v>24848.618899999998</v>
      </c>
      <c r="G116" s="277">
        <f t="shared" si="1"/>
        <v>774.6131970000024</v>
      </c>
    </row>
    <row r="117" spans="2:7" hidden="1" x14ac:dyDescent="0.2">
      <c r="B117" s="258"/>
      <c r="C117" s="280"/>
      <c r="D117" s="280"/>
      <c r="E117" s="279"/>
      <c r="F117" s="279"/>
      <c r="G117" s="277">
        <f t="shared" si="1"/>
        <v>0</v>
      </c>
    </row>
    <row r="118" spans="2:7" s="237" customFormat="1" hidden="1" x14ac:dyDescent="0.2">
      <c r="B118" s="281"/>
      <c r="C118" s="263"/>
      <c r="D118" s="263"/>
      <c r="E118" s="264"/>
      <c r="F118" s="264"/>
      <c r="G118" s="277">
        <f t="shared" si="1"/>
        <v>0</v>
      </c>
    </row>
    <row r="119" spans="2:7" hidden="1" x14ac:dyDescent="0.2">
      <c r="B119" s="258"/>
      <c r="C119" s="278"/>
      <c r="D119" s="278"/>
      <c r="E119" s="279"/>
      <c r="F119" s="279"/>
      <c r="G119" s="277">
        <f>+F119-E119</f>
        <v>0</v>
      </c>
    </row>
    <row r="120" spans="2:7" hidden="1" x14ac:dyDescent="0.2">
      <c r="B120" s="266"/>
      <c r="C120" s="282"/>
      <c r="D120" s="282"/>
      <c r="E120" s="283"/>
      <c r="F120" s="283"/>
      <c r="G120" s="284">
        <f>+F120-E120</f>
        <v>0</v>
      </c>
    </row>
    <row r="121" spans="2:7" ht="15" customHeight="1" x14ac:dyDescent="0.2"/>
    <row r="122" spans="2:7" x14ac:dyDescent="0.2">
      <c r="B122" s="285"/>
      <c r="C122" s="286"/>
      <c r="D122" s="286"/>
      <c r="E122" s="287"/>
      <c r="F122" s="287"/>
      <c r="G122" s="287"/>
    </row>
    <row r="123" spans="2:7" x14ac:dyDescent="0.2">
      <c r="B123" s="237" t="s">
        <v>1117</v>
      </c>
      <c r="D123" s="288"/>
    </row>
    <row r="125" spans="2:7" ht="25.5" x14ac:dyDescent="0.2">
      <c r="B125" s="240" t="s">
        <v>1095</v>
      </c>
      <c r="C125" s="240" t="s">
        <v>1096</v>
      </c>
      <c r="D125" s="240" t="s">
        <v>1118</v>
      </c>
      <c r="E125" s="240" t="s">
        <v>1119</v>
      </c>
      <c r="F125" s="240" t="s">
        <v>1120</v>
      </c>
      <c r="G125" s="240" t="s">
        <v>1121</v>
      </c>
    </row>
    <row r="126" spans="2:7" x14ac:dyDescent="0.2">
      <c r="B126" s="289" t="s">
        <v>1122</v>
      </c>
      <c r="C126" s="289" t="s">
        <v>1122</v>
      </c>
      <c r="D126" s="289" t="s">
        <v>1122</v>
      </c>
      <c r="E126" s="289" t="s">
        <v>1122</v>
      </c>
      <c r="F126" s="289" t="s">
        <v>1122</v>
      </c>
      <c r="G126" s="289" t="s">
        <v>1122</v>
      </c>
    </row>
    <row r="127" spans="2:7" x14ac:dyDescent="0.2">
      <c r="D127" s="288"/>
      <c r="E127" s="288"/>
      <c r="F127" s="290"/>
      <c r="G127" s="290"/>
    </row>
    <row r="128" spans="2:7" x14ac:dyDescent="0.2">
      <c r="D128" s="288"/>
      <c r="E128" s="288"/>
      <c r="F128" s="290"/>
      <c r="G128" s="290"/>
    </row>
    <row r="129" spans="2:7" x14ac:dyDescent="0.2">
      <c r="B129" s="237" t="s">
        <v>1123</v>
      </c>
      <c r="G129" s="157" t="s">
        <v>948</v>
      </c>
    </row>
    <row r="130" spans="2:7" x14ac:dyDescent="0.2">
      <c r="B130" s="237"/>
    </row>
    <row r="131" spans="2:7" x14ac:dyDescent="0.2">
      <c r="B131" s="255" t="s">
        <v>1095</v>
      </c>
      <c r="C131" s="255" t="s">
        <v>1103</v>
      </c>
    </row>
    <row r="132" spans="2:7" x14ac:dyDescent="0.2">
      <c r="B132" s="289" t="s">
        <v>1122</v>
      </c>
      <c r="C132" s="289" t="s">
        <v>1122</v>
      </c>
    </row>
    <row r="133" spans="2:7" x14ac:dyDescent="0.2">
      <c r="C133" s="291"/>
      <c r="D133" s="276"/>
    </row>
    <row r="134" spans="2:7" x14ac:dyDescent="0.2">
      <c r="B134" s="237" t="s">
        <v>1124</v>
      </c>
    </row>
    <row r="136" spans="2:7" ht="38.25" x14ac:dyDescent="0.2">
      <c r="B136" s="239" t="s">
        <v>1095</v>
      </c>
      <c r="C136" s="240" t="s">
        <v>1125</v>
      </c>
      <c r="D136" s="240" t="s">
        <v>1126</v>
      </c>
      <c r="E136" s="240" t="s">
        <v>1127</v>
      </c>
      <c r="F136" s="240" t="s">
        <v>1128</v>
      </c>
    </row>
    <row r="137" spans="2:7" x14ac:dyDescent="0.2">
      <c r="B137" s="292"/>
      <c r="C137" s="289"/>
      <c r="D137" s="293"/>
      <c r="E137" s="277"/>
      <c r="F137" s="277">
        <f>+E137-D137</f>
        <v>0</v>
      </c>
    </row>
    <row r="138" spans="2:7" x14ac:dyDescent="0.2">
      <c r="B138" s="294"/>
      <c r="C138" s="295"/>
      <c r="D138" s="296"/>
      <c r="E138" s="296"/>
      <c r="F138" s="297"/>
    </row>
    <row r="139" spans="2:7" x14ac:dyDescent="0.2">
      <c r="B139" s="294"/>
      <c r="C139" s="295"/>
      <c r="D139" s="296"/>
      <c r="E139" s="296"/>
      <c r="F139" s="297"/>
    </row>
    <row r="141" spans="2:7" x14ac:dyDescent="0.2">
      <c r="B141" s="237" t="s">
        <v>1129</v>
      </c>
    </row>
    <row r="143" spans="2:7" ht="25.5" x14ac:dyDescent="0.2">
      <c r="B143" s="240" t="s">
        <v>1095</v>
      </c>
      <c r="C143" s="240" t="s">
        <v>1096</v>
      </c>
      <c r="D143" s="240" t="s">
        <v>1118</v>
      </c>
      <c r="E143" s="240" t="s">
        <v>1119</v>
      </c>
      <c r="F143" s="240" t="s">
        <v>1120</v>
      </c>
      <c r="G143" s="240" t="s">
        <v>1121</v>
      </c>
    </row>
    <row r="144" spans="2:7" x14ac:dyDescent="0.2">
      <c r="B144" s="241" t="s">
        <v>1122</v>
      </c>
      <c r="C144" s="241" t="s">
        <v>1122</v>
      </c>
      <c r="D144" s="241" t="s">
        <v>1122</v>
      </c>
      <c r="E144" s="241" t="s">
        <v>1122</v>
      </c>
      <c r="F144" s="241" t="s">
        <v>1122</v>
      </c>
      <c r="G144" s="241" t="s">
        <v>1122</v>
      </c>
    </row>
    <row r="145" spans="2:7" x14ac:dyDescent="0.2">
      <c r="C145" s="270"/>
      <c r="D145" s="298"/>
      <c r="E145" s="299"/>
      <c r="F145" s="290"/>
      <c r="G145" s="290"/>
    </row>
    <row r="146" spans="2:7" x14ac:dyDescent="0.2">
      <c r="B146" s="237" t="s">
        <v>1130</v>
      </c>
    </row>
    <row r="147" spans="2:7" x14ac:dyDescent="0.2">
      <c r="B147" s="237"/>
    </row>
    <row r="148" spans="2:7" x14ac:dyDescent="0.2">
      <c r="B148" s="255" t="s">
        <v>1095</v>
      </c>
      <c r="C148" s="255" t="s">
        <v>1103</v>
      </c>
    </row>
    <row r="149" spans="2:7" x14ac:dyDescent="0.2">
      <c r="B149" s="241" t="s">
        <v>1122</v>
      </c>
      <c r="C149" s="241" t="s">
        <v>1122</v>
      </c>
    </row>
    <row r="150" spans="2:7" x14ac:dyDescent="0.2">
      <c r="B150" s="275"/>
      <c r="C150" s="276"/>
    </row>
    <row r="151" spans="2:7" x14ac:dyDescent="0.2">
      <c r="B151" s="237" t="s">
        <v>1131</v>
      </c>
    </row>
    <row r="153" spans="2:7" ht="38.25" x14ac:dyDescent="0.2">
      <c r="B153" s="239" t="s">
        <v>1095</v>
      </c>
      <c r="C153" s="240" t="s">
        <v>1125</v>
      </c>
      <c r="D153" s="240" t="s">
        <v>1132</v>
      </c>
      <c r="E153" s="240" t="s">
        <v>1133</v>
      </c>
      <c r="F153" s="240" t="s">
        <v>1128</v>
      </c>
    </row>
    <row r="154" spans="2:7" x14ac:dyDescent="0.2">
      <c r="B154" s="241"/>
      <c r="C154" s="289"/>
      <c r="D154" s="293"/>
      <c r="E154" s="289"/>
      <c r="F154" s="289"/>
    </row>
    <row r="155" spans="2:7" x14ac:dyDescent="0.2">
      <c r="G155" s="300"/>
    </row>
    <row r="156" spans="2:7" x14ac:dyDescent="0.2">
      <c r="F156" s="301"/>
      <c r="G156" s="262"/>
    </row>
    <row r="157" spans="2:7" x14ac:dyDescent="0.2">
      <c r="B157" s="237" t="s">
        <v>1134</v>
      </c>
    </row>
    <row r="158" spans="2:7" x14ac:dyDescent="0.2">
      <c r="B158" s="237"/>
    </row>
    <row r="159" spans="2:7" x14ac:dyDescent="0.2">
      <c r="E159" s="262"/>
    </row>
    <row r="160" spans="2:7" x14ac:dyDescent="0.2">
      <c r="B160" s="237" t="s">
        <v>1135</v>
      </c>
      <c r="E160" s="262"/>
    </row>
    <row r="161" spans="2:7" x14ac:dyDescent="0.2">
      <c r="E161" s="262"/>
    </row>
    <row r="162" spans="2:7" ht="25.5" x14ac:dyDescent="0.2">
      <c r="B162" s="239" t="s">
        <v>1095</v>
      </c>
      <c r="C162" s="240" t="s">
        <v>1096</v>
      </c>
      <c r="D162" s="240" t="s">
        <v>1097</v>
      </c>
      <c r="E162" s="240" t="s">
        <v>1136</v>
      </c>
      <c r="F162" s="240" t="s">
        <v>1137</v>
      </c>
      <c r="G162" s="240" t="s">
        <v>1138</v>
      </c>
    </row>
    <row r="163" spans="2:7" x14ac:dyDescent="0.2">
      <c r="B163" s="258" t="s">
        <v>1122</v>
      </c>
      <c r="C163" s="281" t="s">
        <v>1122</v>
      </c>
      <c r="D163" s="302" t="s">
        <v>1122</v>
      </c>
      <c r="E163" s="269" t="s">
        <v>1122</v>
      </c>
      <c r="F163" s="269" t="s">
        <v>1122</v>
      </c>
      <c r="G163" s="269" t="s">
        <v>1122</v>
      </c>
    </row>
    <row r="164" spans="2:7" x14ac:dyDescent="0.2">
      <c r="E164" s="262"/>
    </row>
    <row r="165" spans="2:7" x14ac:dyDescent="0.2">
      <c r="B165" s="237" t="s">
        <v>1139</v>
      </c>
      <c r="E165" s="262"/>
    </row>
    <row r="166" spans="2:7" x14ac:dyDescent="0.2">
      <c r="B166" s="237"/>
      <c r="E166" s="262"/>
    </row>
    <row r="167" spans="2:7" x14ac:dyDescent="0.2">
      <c r="B167" s="255" t="s">
        <v>1095</v>
      </c>
      <c r="C167" s="255" t="s">
        <v>1103</v>
      </c>
      <c r="E167" s="262"/>
    </row>
    <row r="168" spans="2:7" x14ac:dyDescent="0.2">
      <c r="B168" s="289" t="s">
        <v>1122</v>
      </c>
      <c r="C168" s="278" t="s">
        <v>1122</v>
      </c>
      <c r="E168" s="262"/>
    </row>
    <row r="169" spans="2:7" x14ac:dyDescent="0.2">
      <c r="E169" s="262"/>
    </row>
    <row r="170" spans="2:7" x14ac:dyDescent="0.2">
      <c r="B170" s="237" t="s">
        <v>1140</v>
      </c>
      <c r="E170" s="262"/>
    </row>
    <row r="171" spans="2:7" x14ac:dyDescent="0.2">
      <c r="E171" s="262"/>
    </row>
    <row r="172" spans="2:7" ht="63.75" x14ac:dyDescent="0.2">
      <c r="B172" s="239" t="s">
        <v>1095</v>
      </c>
      <c r="C172" s="240" t="s">
        <v>1105</v>
      </c>
      <c r="D172" s="240" t="s">
        <v>1106</v>
      </c>
      <c r="E172" s="240" t="s">
        <v>1107</v>
      </c>
      <c r="F172" s="240" t="s">
        <v>1108</v>
      </c>
      <c r="G172" s="240" t="s">
        <v>1109</v>
      </c>
    </row>
    <row r="173" spans="2:7" x14ac:dyDescent="0.2">
      <c r="B173" s="278"/>
      <c r="C173" s="278"/>
      <c r="D173" s="259"/>
      <c r="E173" s="303"/>
      <c r="F173" s="304"/>
      <c r="G173" s="305"/>
    </row>
    <row r="174" spans="2:7" x14ac:dyDescent="0.2">
      <c r="E174" s="262"/>
    </row>
    <row r="175" spans="2:7" x14ac:dyDescent="0.2">
      <c r="E175" s="262"/>
    </row>
    <row r="176" spans="2:7" x14ac:dyDescent="0.2">
      <c r="B176" s="237" t="s">
        <v>1141</v>
      </c>
      <c r="E176" s="262"/>
    </row>
    <row r="177" spans="2:7" x14ac:dyDescent="0.2">
      <c r="E177" s="262"/>
    </row>
    <row r="178" spans="2:7" ht="63.75" x14ac:dyDescent="0.2">
      <c r="B178" s="239" t="s">
        <v>1095</v>
      </c>
      <c r="C178" s="240" t="s">
        <v>1105</v>
      </c>
      <c r="D178" s="240" t="s">
        <v>1106</v>
      </c>
      <c r="E178" s="240" t="s">
        <v>1107</v>
      </c>
      <c r="F178" s="240" t="s">
        <v>1108</v>
      </c>
      <c r="G178" s="240" t="s">
        <v>1109</v>
      </c>
    </row>
    <row r="179" spans="2:7" x14ac:dyDescent="0.2">
      <c r="B179" s="242"/>
      <c r="C179" s="289"/>
      <c r="D179" s="289"/>
      <c r="E179" s="306"/>
      <c r="F179" s="306"/>
      <c r="G179" s="306"/>
    </row>
    <row r="180" spans="2:7" x14ac:dyDescent="0.2">
      <c r="E180" s="262"/>
    </row>
    <row r="181" spans="2:7" x14ac:dyDescent="0.2">
      <c r="E181" s="262"/>
    </row>
    <row r="182" spans="2:7" x14ac:dyDescent="0.2">
      <c r="E182" s="262"/>
    </row>
    <row r="183" spans="2:7" x14ac:dyDescent="0.2">
      <c r="B183" s="157" t="s">
        <v>1142</v>
      </c>
    </row>
  </sheetData>
  <mergeCells count="3">
    <mergeCell ref="B2:G2"/>
    <mergeCell ref="B3:G3"/>
    <mergeCell ref="B5: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Index</vt:lpstr>
      <vt:lpstr>CAPEXG</vt:lpstr>
      <vt:lpstr>MIDCAP</vt:lpstr>
      <vt:lpstr>MULTI1</vt:lpstr>
      <vt:lpstr>MULTI2</vt:lpstr>
      <vt:lpstr>MULTIP</vt:lpstr>
      <vt:lpstr>SESCAP1</vt:lpstr>
      <vt:lpstr>SESCAP2</vt:lpstr>
      <vt:lpstr>SESCAP3</vt:lpstr>
      <vt:lpstr>SESCAP4</vt:lpstr>
      <vt:lpstr>SESCAP5</vt:lpstr>
      <vt:lpstr>SESCAP6</vt:lpstr>
      <vt:lpstr>SESCAP7</vt:lpstr>
      <vt:lpstr>SLTADV3</vt:lpstr>
      <vt:lpstr>SLTADV4</vt:lpstr>
      <vt:lpstr>SLTAX1</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SUNFCF</vt:lpstr>
      <vt:lpstr>SUNFOP</vt:lpstr>
      <vt:lpstr>GLOB</vt:lpstr>
      <vt:lpstr>Annexure-A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Boopathi V - Sundaram Mutual</cp:lastModifiedBy>
  <dcterms:created xsi:type="dcterms:W3CDTF">2023-03-02T10:52:42Z</dcterms:created>
  <dcterms:modified xsi:type="dcterms:W3CDTF">2023-03-09T12:07:36Z</dcterms:modified>
</cp:coreProperties>
</file>