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CF03F0D1-D212-42F0-BC61-420D7B28E186}" xr6:coauthVersionLast="47" xr6:coauthVersionMax="47" xr10:uidLastSave="{00000000-0000-0000-0000-000000000000}"/>
  <bookViews>
    <workbookView xWindow="-108" yWindow="-108" windowWidth="41496" windowHeight="16896" xr2:uid="{C96BCFB5-9A05-446D-A9FF-0A4B1A02AC3A}"/>
  </bookViews>
  <sheets>
    <sheet name="IDF029" sheetId="1" r:id="rId1"/>
  </sheets>
  <definedNames>
    <definedName name="_xlnm._FilterDatabase" localSheetId="0" hidden="1">'IDF029'!$A$7:$H$123</definedName>
    <definedName name="JR_PAGE_ANCHOR_0_38">'IDF029'!$A$2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</calcChain>
</file>

<file path=xl/sharedStrings.xml><?xml version="1.0" encoding="utf-8"?>
<sst xmlns="http://schemas.openxmlformats.org/spreadsheetml/2006/main" count="282" uniqueCount="242">
  <si>
    <t>IDF029</t>
  </si>
  <si>
    <t>INDEX</t>
  </si>
  <si>
    <t>Portfolio Statement as on March 31,2025</t>
  </si>
  <si>
    <t>Bandhan Nifty 50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</si>
  <si>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</si>
  <si>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</si>
  <si>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</si>
  <si>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</si>
  <si>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</si>
  <si>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</si>
  <si>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</si>
  <si>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</si>
  <si>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</si>
  <si>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</si>
  <si>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</si>
  <si>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</si>
  <si>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</si>
  <si>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</si>
  <si>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</si>
  <si>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</si>
  <si>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</si>
  <si>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</si>
  <si>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</si>
  <si>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</si>
  <si>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</si>
  <si>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</si>
  <si>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</si>
  <si>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</si>
  <si>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</si>
  <si>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</si>
  <si>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</si>
  <si>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</si>
  <si>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</si>
  <si>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</si>
  <si>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</si>
  <si>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</si>
  <si>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</si>
  <si>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</si>
  <si>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</si>
  <si>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</si>
  <si>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</si>
  <si>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</si>
  <si>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</si>
  <si>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</si>
  <si>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</si>
  <si>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</si>
  <si>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</si>
  <si>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</si>
  <si>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</si>
  <si>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</si>
  <si>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</si>
  <si>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</si>
  <si>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</si>
  <si>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</si>
  <si>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</si>
  <si>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</si>
  <si>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</si>
  <si>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</si>
  <si>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</si>
  <si>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</si>
  <si>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</si>
  <si>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</si>
  <si>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</si>
  <si>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</si>
  <si>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</si>
  <si>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</si>
  <si>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</si>
  <si>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</si>
  <si>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</si>
  <si>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</si>
  <si>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</si>
  <si>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</si>
  <si>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</si>
  <si>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</si>
  <si>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MAUD01</t>
  </si>
  <si>
    <t>Maruti Suzuki India Limited</t>
  </si>
  <si>
    <t>INE585B01010</t>
  </si>
  <si>
    <t>TELC03</t>
  </si>
  <si>
    <t>Tata Motors Limited</t>
  </si>
  <si>
    <t>INE155A01022</t>
  </si>
  <si>
    <t>ZMPL01</t>
  </si>
  <si>
    <t>Zomato Limited</t>
  </si>
  <si>
    <t>INE758T01015</t>
  </si>
  <si>
    <t>Retailing</t>
  </si>
  <si>
    <t>ULCC01</t>
  </si>
  <si>
    <t>UltraTech Cement Limited</t>
  </si>
  <si>
    <t>INE481G01011</t>
  </si>
  <si>
    <t>Cement &amp; Cement Products</t>
  </si>
  <si>
    <t>PGCI01</t>
  </si>
  <si>
    <t>Power Grid Corporation of India Limited</t>
  </si>
  <si>
    <t>INE752E01010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</si>
  <si>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</si>
  <si>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</si>
  <si>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</si>
  <si>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</si>
  <si>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</si>
  <si>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</si>
  <si>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</si>
  <si>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</si>
  <si>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LAKM02</t>
  </si>
  <si>
    <t>Trent Limited</t>
  </si>
  <si>
    <t>INE849A01020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</si>
  <si>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</si>
  <si>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</si>
  <si>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</si>
  <si>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</si>
  <si>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</si>
  <si>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</si>
  <si>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</si>
  <si>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</si>
  <si>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</si>
  <si>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</si>
  <si>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JVSL04</t>
  </si>
  <si>
    <t>JSW Steel Limited</t>
  </si>
  <si>
    <t>INE019A01038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</si>
  <si>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</si>
  <si>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</si>
  <si>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</si>
  <si>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</si>
  <si>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</si>
  <si>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</si>
  <si>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</si>
  <si>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</si>
  <si>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</si>
  <si>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</si>
  <si>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</si>
  <si>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SHTR02</t>
  </si>
  <si>
    <t>Shriram Finance Limited</t>
  </si>
  <si>
    <t>INE721A01047</t>
  </si>
  <si>
    <t>COAL01</t>
  </si>
  <si>
    <t>Coal India Limited</t>
  </si>
  <si>
    <t>INE522F01014</t>
  </si>
  <si>
    <t>Consumable Fuels</t>
  </si>
  <si>
    <t>TEMA02</t>
  </si>
  <si>
    <t>Tech Mahindra Limited</t>
  </si>
  <si>
    <t>INE669C01036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</si>
  <si>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</si>
  <si>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</si>
  <si>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</si>
  <si>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</si>
  <si>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</si>
  <si>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</si>
  <si>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</si>
  <si>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CIPL03</t>
  </si>
  <si>
    <t>Cipla Limited</t>
  </si>
  <si>
    <t>INE059A01026</t>
  </si>
  <si>
    <t>NEST02</t>
  </si>
  <si>
    <t>Nestle India Limited</t>
  </si>
  <si>
    <t>INE239A01024</t>
  </si>
  <si>
    <t>Food Products</t>
  </si>
  <si>
    <t>RELS01</t>
  </si>
  <si>
    <t>Jio Financial Services Limited</t>
  </si>
  <si>
    <t>INE758E01017</t>
  </si>
  <si>
    <t>WIPR02</t>
  </si>
  <si>
    <t>Wipro Limited</t>
  </si>
  <si>
    <t>INE075A01022</t>
  </si>
  <si>
    <t>EIML02</t>
  </si>
  <si>
    <t>Eicher Motors Limited</t>
  </si>
  <si>
    <t>INE066A01021</t>
  </si>
  <si>
    <t>HDLI01</t>
  </si>
  <si>
    <t>HDFC Life Insurance Company Limited</t>
  </si>
  <si>
    <t>INE795G01014</t>
  </si>
  <si>
    <t>Insurance</t>
  </si>
  <si>
    <t>DRRL03</t>
  </si>
  <si>
    <t>Dr. Reddy's Laboratories Limited</t>
  </si>
  <si>
    <t>INE089A01031</t>
  </si>
  <si>
    <t>SLIF01</t>
  </si>
  <si>
    <t>SBI Life Insurance Company Limited</t>
  </si>
  <si>
    <t>INE123W01016</t>
  </si>
  <si>
    <t>APOL02</t>
  </si>
  <si>
    <t>Apollo Hospitals Enterprise Limited</t>
  </si>
  <si>
    <t>INE437A01024</t>
  </si>
  <si>
    <t>Healthcare Services</t>
  </si>
  <si>
    <t>TTEA02</t>
  </si>
  <si>
    <t>Tata Consumer Products Limited</t>
  </si>
  <si>
    <t>INE192A01025</t>
  </si>
  <si>
    <t>Agricultural Food &amp; other Products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</si>
  <si>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</si>
  <si>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</si>
  <si>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</si>
  <si>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</si>
  <si>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</si>
  <si>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</si>
  <si>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</si>
  <si>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</si>
  <si>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</si>
  <si>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</si>
  <si>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</si>
  <si>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</si>
  <si>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</si>
  <si>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</si>
  <si>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</si>
  <si>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</si>
  <si>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</si>
  <si>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</si>
  <si>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</si>
  <si>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</si>
  <si>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</si>
  <si>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</si>
  <si>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</si>
  <si>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</si>
  <si>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</si>
  <si>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</si>
  <si>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</si>
  <si>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</si>
  <si>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</si>
  <si>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</si>
  <si>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Tata Group</t>
  </si>
  <si>
    <t>Mukesh Ambani Group</t>
  </si>
  <si>
    <t>Government of India</t>
  </si>
  <si>
    <t>Infosys Group</t>
  </si>
  <si>
    <t>Bharti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</si>
  <si>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</si>
  <si>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</si>
  <si>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</si>
  <si>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</si>
  <si>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</si>
  <si>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</si>
  <si>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</si>
  <si>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</si>
  <si>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</si>
  <si>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</si>
  <si>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</si>
  <si>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</si>
  <si>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</si>
  <si>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IDF029-AG</t>
  </si>
  <si>
    <t>Growth</t>
  </si>
  <si>
    <t>IDF029-AD</t>
  </si>
  <si>
    <t>IDCW #</t>
  </si>
  <si>
    <t>Direct Plan</t>
  </si>
  <si>
    <t>IDF029-ZG</t>
  </si>
  <si>
    <t>IDF029-ZD</t>
  </si>
  <si>
    <t># Income Distribution cum capital withdrawal option</t>
  </si>
  <si>
    <t>(4) No Dividend declared during the period ended March 31, 2025.</t>
  </si>
  <si>
    <t xml:space="preserve">(5) Total outstanding exposure in derivative instruments as on March 31, 2025 is Rs. Nil. </t>
  </si>
  <si>
    <t>(6) Total Market value of investments in foreign securities/ADRs/GDRs as at March 31, 2025 is Rs. Nil.</t>
  </si>
  <si>
    <t>(7) During the period, the portfolio turnover ratio - For Equity Securities is 0.05 times and aggregate for all asset category is 0.05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</si>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</sst>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15" fontId="12" fillId="0" borderId="21" xfId="1" applyNumberFormat="1" applyFont="1" applyBorder="1"/>
    <xf numFmtId="0" fontId="13" fillId="0" borderId="22" xfId="1" applyFont="1" applyBorder="1"/>
    <xf numFmtId="166" fontId="13" fillId="0" borderId="23" xfId="2" applyFont="1" applyFill="1" applyBorder="1" applyAlignment="1"/>
    <xf numFmtId="0" fontId="13" fillId="0" borderId="24" xfId="1" applyFont="1" applyBorder="1"/>
    <xf numFmtId="0" fontId="13" fillId="0" borderId="0" xfId="1" applyFont="1"/>
    <xf numFmtId="166" fontId="13" fillId="0" borderId="25" xfId="2" applyFont="1" applyFill="1" applyBorder="1" applyAlignment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2" applyFont="1" applyFill="1" applyBorder="1" applyAlignment="1"/>
    <xf numFmtId="0" fontId="12" fillId="0" borderId="21" xfId="1" applyFont="1" applyBorder="1"/>
    <xf numFmtId="0" fontId="12" fillId="0" borderId="22" xfId="1" applyFont="1" applyBorder="1"/>
    <xf numFmtId="167" fontId="15" fillId="0" borderId="22" xfId="2" applyNumberFormat="1" applyFont="1" applyFill="1" applyBorder="1" applyAlignment="1"/>
    <xf numFmtId="10" fontId="15" fillId="0" borderId="23" xfId="3" applyNumberFormat="1" applyFont="1" applyFill="1" applyBorder="1" applyAlignment="1"/>
    <xf numFmtId="0" fontId="12" fillId="0" borderId="26" xfId="1" applyFont="1" applyBorder="1"/>
    <xf numFmtId="15" fontId="12" fillId="0" borderId="27" xfId="2" applyNumberFormat="1" applyFont="1" applyFill="1" applyBorder="1" applyAlignment="1"/>
    <xf numFmtId="167" fontId="13" fillId="0" borderId="28" xfId="2" applyNumberFormat="1" applyFont="1" applyFill="1" applyBorder="1" applyAlignment="1"/>
    <xf numFmtId="2" fontId="12" fillId="0" borderId="24" xfId="1" applyNumberFormat="1" applyFont="1" applyBorder="1"/>
    <xf numFmtId="168" fontId="12" fillId="0" borderId="0" xfId="2" applyNumberFormat="1" applyFont="1" applyFill="1" applyBorder="1" applyAlignment="1"/>
    <xf numFmtId="0" fontId="3" fillId="0" borderId="0" xfId="1" applyFont="1"/>
    <xf numFmtId="4" fontId="14" fillId="0" borderId="25" xfId="3" applyNumberFormat="1" applyFont="1" applyFill="1" applyBorder="1" applyAlignment="1"/>
    <xf numFmtId="2" fontId="13" fillId="0" borderId="24" xfId="1" applyNumberFormat="1" applyFont="1" applyBorder="1"/>
    <xf numFmtId="168" fontId="13" fillId="0" borderId="0" xfId="1" applyNumberFormat="1" applyFont="1"/>
    <xf numFmtId="166" fontId="14" fillId="0" borderId="25" xfId="2" applyFont="1" applyFill="1" applyBorder="1" applyAlignment="1"/>
    <xf numFmtId="169" fontId="13" fillId="0" borderId="0" xfId="3" applyNumberFormat="1" applyFont="1" applyFill="1" applyBorder="1" applyAlignment="1"/>
    <xf numFmtId="169" fontId="13" fillId="0" borderId="0" xfId="0" applyNumberFormat="1" applyFont="1"/>
    <xf numFmtId="2" fontId="13" fillId="0" borderId="0" xfId="1" applyNumberFormat="1" applyFont="1"/>
    <xf numFmtId="170" fontId="14" fillId="0" borderId="0" xfId="2" applyNumberFormat="1" applyFont="1" applyFill="1" applyBorder="1" applyAlignment="1"/>
    <xf numFmtId="2" fontId="13" fillId="0" borderId="26" xfId="1" applyNumberFormat="1" applyFont="1" applyBorder="1"/>
    <xf numFmtId="168" fontId="13" fillId="0" borderId="27" xfId="1" applyNumberFormat="1" applyFont="1" applyBorder="1"/>
    <xf numFmtId="10" fontId="13" fillId="0" borderId="27" xfId="3" applyNumberFormat="1" applyFont="1" applyFill="1" applyBorder="1" applyAlignment="1"/>
    <xf numFmtId="168" fontId="13" fillId="0" borderId="0" xfId="2" applyNumberFormat="1" applyFont="1" applyFill="1" applyBorder="1" applyAlignment="1"/>
    <xf numFmtId="167" fontId="13" fillId="0" borderId="0" xfId="2" applyNumberFormat="1" applyFont="1" applyFill="1" applyBorder="1" applyAlignment="1"/>
    <xf numFmtId="0" fontId="13" fillId="0" borderId="25" xfId="1" applyFont="1" applyBorder="1"/>
    <xf numFmtId="168" fontId="13" fillId="0" borderId="0" xfId="3" applyNumberFormat="1" applyFont="1" applyFill="1" applyBorder="1" applyAlignment="1"/>
    <xf numFmtId="166" fontId="14" fillId="0" borderId="0" xfId="2" applyFont="1" applyFill="1" applyBorder="1" applyAlignment="1"/>
    <xf numFmtId="171" fontId="13" fillId="0" borderId="0" xfId="2" applyNumberFormat="1" applyFont="1" applyFill="1" applyBorder="1" applyAlignment="1"/>
    <xf numFmtId="166" fontId="13" fillId="0" borderId="0" xfId="2" applyFont="1" applyFill="1" applyBorder="1" applyAlignment="1"/>
    <xf numFmtId="0" fontId="11" fillId="0" borderId="0" xfId="0" applyFont="1"/>
  </cellXfs>
  <cellStyles count="4">
    <cellStyle name="Comma 3" xfId="2" xr:uid="{FE4F7CB0-A516-493F-854D-EE3754C5692C}"/>
    <cellStyle name="Normal" xfId="0" builtinId="0"/>
    <cellStyle name="Normal 3 2 2" xfId="1" xr:uid="{FC5EA969-0AE9-4B45-8597-AF4C0D90F28F}"/>
    <cellStyle name="Percent 2" xfId="3" xr:uid="{221E98DB-C7E7-4D17-9F14-8FF3EB486F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2857500</xdr:colOff>
      <xdr:row>136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5A0F3A-FFFD-4C1D-AF62-C553BECE58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2293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126</xdr:row>
      <xdr:rowOff>0</xdr:rowOff>
    </xdr:from>
    <xdr:to>
      <xdr:col>7</xdr:col>
      <xdr:colOff>571500</xdr:colOff>
      <xdr:row>136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9132D-B9FE-4311-9F7A-30CF9CF1D3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12293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9595-90BC-42C2-8396-ADB854A788EF}">
  <sheetPr codeName="Sheet23">
    <outlinePr summaryBelow="0"/>
  </sheetPr>
  <dimension ref="A1:H125"/>
  <sheetViews>
    <sheetView tabSelected="1" topLeftCell="A96" workbookViewId="0">
      <selection activeCell="E96" sqref="E96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1244786</v>
      </c>
      <c r="F8" s="19">
        <v>22757.18</v>
      </c>
      <c r="G8" s="20">
        <v>0.13070000000000001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1154960</v>
      </c>
      <c r="F9" s="19">
        <v>15572.9</v>
      </c>
      <c r="G9" s="20">
        <v>8.9399999999999993E-2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1108648</v>
      </c>
      <c r="F10" s="19">
        <v>14136.37</v>
      </c>
      <c r="G10" s="20">
        <v>8.1199999999999994E-2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589047</v>
      </c>
      <c r="F11" s="19">
        <v>9251.8700000000008</v>
      </c>
      <c r="G11" s="20">
        <v>5.3100000000000001E-2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31</v>
      </c>
      <c r="E12" s="18">
        <v>438978</v>
      </c>
      <c r="F12" s="19">
        <v>7609.24</v>
      </c>
      <c r="G12" s="20">
        <v>4.3700000000000003E-2</v>
      </c>
      <c r="H12" s="21"/>
    </row>
    <row r="13" spans="1:8" ht="12.9" customHeight="1" x14ac:dyDescent="0.25">
      <c r="A13" s="16" t="s">
        <v>32</v>
      </c>
      <c r="B13" s="17" t="s">
        <v>33</v>
      </c>
      <c r="C13" s="13" t="s">
        <v>34</v>
      </c>
      <c r="D13" s="14" t="s">
        <v>35</v>
      </c>
      <c r="E13" s="18">
        <v>192090</v>
      </c>
      <c r="F13" s="19">
        <v>6708.36</v>
      </c>
      <c r="G13" s="20">
        <v>3.85E-2</v>
      </c>
      <c r="H13" s="21"/>
    </row>
    <row r="14" spans="1:8" ht="12.9" customHeight="1" x14ac:dyDescent="0.25">
      <c r="A14" s="16" t="s">
        <v>36</v>
      </c>
      <c r="B14" s="17" t="s">
        <v>37</v>
      </c>
      <c r="C14" s="13" t="s">
        <v>38</v>
      </c>
      <c r="D14" s="14" t="s">
        <v>39</v>
      </c>
      <c r="E14" s="18">
        <v>1523173</v>
      </c>
      <c r="F14" s="19">
        <v>6241.2</v>
      </c>
      <c r="G14" s="20">
        <v>3.5799999999999998E-2</v>
      </c>
      <c r="H14" s="21"/>
    </row>
    <row r="15" spans="1:8" ht="12.9" customHeight="1" x14ac:dyDescent="0.25">
      <c r="A15" s="16" t="s">
        <v>40</v>
      </c>
      <c r="B15" s="17" t="s">
        <v>41</v>
      </c>
      <c r="C15" s="13" t="s">
        <v>42</v>
      </c>
      <c r="D15" s="14" t="s">
        <v>27</v>
      </c>
      <c r="E15" s="18">
        <v>167118</v>
      </c>
      <c r="F15" s="19">
        <v>6026.53</v>
      </c>
      <c r="G15" s="20">
        <v>3.4599999999999999E-2</v>
      </c>
      <c r="H15" s="21"/>
    </row>
    <row r="16" spans="1:8" ht="12.9" customHeight="1" x14ac:dyDescent="0.25">
      <c r="A16" s="16" t="s">
        <v>43</v>
      </c>
      <c r="B16" s="17" t="s">
        <v>44</v>
      </c>
      <c r="C16" s="13" t="s">
        <v>45</v>
      </c>
      <c r="D16" s="14" t="s">
        <v>16</v>
      </c>
      <c r="E16" s="18">
        <v>240599</v>
      </c>
      <c r="F16" s="19">
        <v>5223.8900000000003</v>
      </c>
      <c r="G16" s="20">
        <v>0.03</v>
      </c>
      <c r="H16" s="21"/>
    </row>
    <row r="17" spans="1:8" ht="12.9" customHeight="1" x14ac:dyDescent="0.25">
      <c r="A17" s="16" t="s">
        <v>46</v>
      </c>
      <c r="B17" s="17" t="s">
        <v>47</v>
      </c>
      <c r="C17" s="13" t="s">
        <v>48</v>
      </c>
      <c r="D17" s="14" t="s">
        <v>16</v>
      </c>
      <c r="E17" s="18">
        <v>467577</v>
      </c>
      <c r="F17" s="19">
        <v>5152.7</v>
      </c>
      <c r="G17" s="20">
        <v>2.9600000000000001E-2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16</v>
      </c>
      <c r="E18" s="18">
        <v>628655</v>
      </c>
      <c r="F18" s="19">
        <v>4850.07</v>
      </c>
      <c r="G18" s="20">
        <v>2.7900000000000001E-2</v>
      </c>
      <c r="H18" s="21"/>
    </row>
    <row r="19" spans="1:8" ht="12.9" customHeight="1" x14ac:dyDescent="0.25">
      <c r="A19" s="16" t="s">
        <v>52</v>
      </c>
      <c r="B19" s="17" t="s">
        <v>53</v>
      </c>
      <c r="C19" s="13" t="s">
        <v>54</v>
      </c>
      <c r="D19" s="14" t="s">
        <v>55</v>
      </c>
      <c r="E19" s="18">
        <v>144999</v>
      </c>
      <c r="F19" s="19">
        <v>3865.38</v>
      </c>
      <c r="G19" s="20">
        <v>2.2200000000000001E-2</v>
      </c>
      <c r="H19" s="21"/>
    </row>
    <row r="20" spans="1:8" ht="12.9" customHeight="1" x14ac:dyDescent="0.25">
      <c r="A20" s="16" t="s">
        <v>56</v>
      </c>
      <c r="B20" s="17" t="s">
        <v>57</v>
      </c>
      <c r="C20" s="13" t="s">
        <v>58</v>
      </c>
      <c r="D20" s="14" t="s">
        <v>59</v>
      </c>
      <c r="E20" s="18">
        <v>42790</v>
      </c>
      <c r="F20" s="19">
        <v>3827.82</v>
      </c>
      <c r="G20" s="20">
        <v>2.1999999999999999E-2</v>
      </c>
      <c r="H20" s="21"/>
    </row>
    <row r="21" spans="1:8" ht="12.9" customHeight="1" x14ac:dyDescent="0.25">
      <c r="A21" s="16" t="s">
        <v>60</v>
      </c>
      <c r="B21" s="17" t="s">
        <v>61</v>
      </c>
      <c r="C21" s="13" t="s">
        <v>62</v>
      </c>
      <c r="D21" s="14" t="s">
        <v>39</v>
      </c>
      <c r="E21" s="18">
        <v>145222</v>
      </c>
      <c r="F21" s="19">
        <v>3280.35</v>
      </c>
      <c r="G21" s="20">
        <v>1.8800000000000001E-2</v>
      </c>
      <c r="H21" s="21"/>
    </row>
    <row r="22" spans="1:8" ht="12.9" customHeight="1" x14ac:dyDescent="0.25">
      <c r="A22" s="16" t="s">
        <v>63</v>
      </c>
      <c r="B22" s="17" t="s">
        <v>64</v>
      </c>
      <c r="C22" s="13" t="s">
        <v>65</v>
      </c>
      <c r="D22" s="14" t="s">
        <v>66</v>
      </c>
      <c r="E22" s="18">
        <v>176418</v>
      </c>
      <c r="F22" s="19">
        <v>3060.32</v>
      </c>
      <c r="G22" s="20">
        <v>1.7600000000000001E-2</v>
      </c>
      <c r="H22" s="21"/>
    </row>
    <row r="23" spans="1:8" ht="12.9" customHeight="1" x14ac:dyDescent="0.25">
      <c r="A23" s="16" t="s">
        <v>67</v>
      </c>
      <c r="B23" s="17" t="s">
        <v>68</v>
      </c>
      <c r="C23" s="13" t="s">
        <v>69</v>
      </c>
      <c r="D23" s="14" t="s">
        <v>70</v>
      </c>
      <c r="E23" s="18">
        <v>775883</v>
      </c>
      <c r="F23" s="19">
        <v>2774.56</v>
      </c>
      <c r="G23" s="20">
        <v>1.5900000000000001E-2</v>
      </c>
      <c r="H23" s="21"/>
    </row>
    <row r="24" spans="1:8" ht="12.9" customHeight="1" x14ac:dyDescent="0.25">
      <c r="A24" s="16" t="s">
        <v>71</v>
      </c>
      <c r="B24" s="17" t="s">
        <v>72</v>
      </c>
      <c r="C24" s="13" t="s">
        <v>73</v>
      </c>
      <c r="D24" s="14" t="s">
        <v>27</v>
      </c>
      <c r="E24" s="18">
        <v>173561</v>
      </c>
      <c r="F24" s="19">
        <v>2763.96</v>
      </c>
      <c r="G24" s="20">
        <v>1.5900000000000001E-2</v>
      </c>
      <c r="H24" s="21"/>
    </row>
    <row r="25" spans="1:8" ht="12.9" customHeight="1" x14ac:dyDescent="0.25">
      <c r="A25" s="16" t="s">
        <v>74</v>
      </c>
      <c r="B25" s="17" t="s">
        <v>75</v>
      </c>
      <c r="C25" s="13" t="s">
        <v>76</v>
      </c>
      <c r="D25" s="14" t="s">
        <v>55</v>
      </c>
      <c r="E25" s="18">
        <v>21476</v>
      </c>
      <c r="F25" s="19">
        <v>2474.5</v>
      </c>
      <c r="G25" s="20">
        <v>1.4200000000000001E-2</v>
      </c>
      <c r="H25" s="21"/>
    </row>
    <row r="26" spans="1:8" ht="12.9" customHeight="1" x14ac:dyDescent="0.25">
      <c r="A26" s="16" t="s">
        <v>77</v>
      </c>
      <c r="B26" s="17" t="s">
        <v>78</v>
      </c>
      <c r="C26" s="13" t="s">
        <v>79</v>
      </c>
      <c r="D26" s="14" t="s">
        <v>55</v>
      </c>
      <c r="E26" s="18">
        <v>341476</v>
      </c>
      <c r="F26" s="19">
        <v>2303.08</v>
      </c>
      <c r="G26" s="20">
        <v>1.32E-2</v>
      </c>
      <c r="H26" s="21"/>
    </row>
    <row r="27" spans="1:8" ht="12.9" customHeight="1" x14ac:dyDescent="0.25">
      <c r="A27" s="16" t="s">
        <v>80</v>
      </c>
      <c r="B27" s="17" t="s">
        <v>81</v>
      </c>
      <c r="C27" s="13" t="s">
        <v>82</v>
      </c>
      <c r="D27" s="14" t="s">
        <v>83</v>
      </c>
      <c r="E27" s="18">
        <v>1136801</v>
      </c>
      <c r="F27" s="19">
        <v>2292.9299999999998</v>
      </c>
      <c r="G27" s="20">
        <v>1.32E-2</v>
      </c>
      <c r="H27" s="21"/>
    </row>
    <row r="28" spans="1:8" ht="12.9" customHeight="1" x14ac:dyDescent="0.25">
      <c r="A28" s="16" t="s">
        <v>84</v>
      </c>
      <c r="B28" s="17" t="s">
        <v>85</v>
      </c>
      <c r="C28" s="13" t="s">
        <v>86</v>
      </c>
      <c r="D28" s="14" t="s">
        <v>87</v>
      </c>
      <c r="E28" s="18">
        <v>19037</v>
      </c>
      <c r="F28" s="19">
        <v>2191.0700000000002</v>
      </c>
      <c r="G28" s="20">
        <v>1.26E-2</v>
      </c>
      <c r="H28" s="21"/>
    </row>
    <row r="29" spans="1:8" ht="12.9" customHeight="1" x14ac:dyDescent="0.25">
      <c r="A29" s="16" t="s">
        <v>88</v>
      </c>
      <c r="B29" s="17" t="s">
        <v>89</v>
      </c>
      <c r="C29" s="13" t="s">
        <v>90</v>
      </c>
      <c r="D29" s="14" t="s">
        <v>70</v>
      </c>
      <c r="E29" s="18">
        <v>741615</v>
      </c>
      <c r="F29" s="19">
        <v>2153.2800000000002</v>
      </c>
      <c r="G29" s="20">
        <v>1.24E-2</v>
      </c>
      <c r="H29" s="21"/>
    </row>
    <row r="30" spans="1:8" ht="12.9" customHeight="1" x14ac:dyDescent="0.25">
      <c r="A30" s="16" t="s">
        <v>91</v>
      </c>
      <c r="B30" s="17" t="s">
        <v>92</v>
      </c>
      <c r="C30" s="13" t="s">
        <v>93</v>
      </c>
      <c r="D30" s="14" t="s">
        <v>94</v>
      </c>
      <c r="E30" s="18">
        <v>1353064</v>
      </c>
      <c r="F30" s="19">
        <v>2086.9699999999998</v>
      </c>
      <c r="G30" s="20">
        <v>1.2E-2</v>
      </c>
      <c r="H30" s="21"/>
    </row>
    <row r="31" spans="1:8" ht="12.9" customHeight="1" x14ac:dyDescent="0.25">
      <c r="A31" s="16" t="s">
        <v>95</v>
      </c>
      <c r="B31" s="17" t="s">
        <v>96</v>
      </c>
      <c r="C31" s="13" t="s">
        <v>97</v>
      </c>
      <c r="D31" s="14" t="s">
        <v>98</v>
      </c>
      <c r="E31" s="18">
        <v>67487</v>
      </c>
      <c r="F31" s="19">
        <v>2067.36</v>
      </c>
      <c r="G31" s="20">
        <v>1.1900000000000001E-2</v>
      </c>
      <c r="H31" s="21"/>
    </row>
    <row r="32" spans="1:8" ht="12.9" customHeight="1" x14ac:dyDescent="0.25">
      <c r="A32" s="16" t="s">
        <v>99</v>
      </c>
      <c r="B32" s="17" t="s">
        <v>100</v>
      </c>
      <c r="C32" s="13" t="s">
        <v>101</v>
      </c>
      <c r="D32" s="14" t="s">
        <v>83</v>
      </c>
      <c r="E32" s="18">
        <v>36364</v>
      </c>
      <c r="F32" s="19">
        <v>1936.44</v>
      </c>
      <c r="G32" s="20">
        <v>1.11E-2</v>
      </c>
      <c r="H32" s="21"/>
    </row>
    <row r="33" spans="1:8" ht="12.9" customHeight="1" x14ac:dyDescent="0.25">
      <c r="A33" s="16" t="s">
        <v>102</v>
      </c>
      <c r="B33" s="17" t="s">
        <v>103</v>
      </c>
      <c r="C33" s="13" t="s">
        <v>104</v>
      </c>
      <c r="D33" s="14" t="s">
        <v>59</v>
      </c>
      <c r="E33" s="18">
        <v>89022</v>
      </c>
      <c r="F33" s="19">
        <v>1786.98</v>
      </c>
      <c r="G33" s="20">
        <v>1.03E-2</v>
      </c>
      <c r="H33" s="21"/>
    </row>
    <row r="34" spans="1:8" ht="12.9" customHeight="1" x14ac:dyDescent="0.25">
      <c r="A34" s="16" t="s">
        <v>105</v>
      </c>
      <c r="B34" s="17" t="s">
        <v>106</v>
      </c>
      <c r="C34" s="13" t="s">
        <v>107</v>
      </c>
      <c r="D34" s="14" t="s">
        <v>108</v>
      </c>
      <c r="E34" s="18">
        <v>586036</v>
      </c>
      <c r="F34" s="19">
        <v>1765.84</v>
      </c>
      <c r="G34" s="20">
        <v>1.01E-2</v>
      </c>
      <c r="H34" s="21"/>
    </row>
    <row r="35" spans="1:8" ht="12.9" customHeight="1" x14ac:dyDescent="0.25">
      <c r="A35" s="16" t="s">
        <v>109</v>
      </c>
      <c r="B35" s="17" t="s">
        <v>110</v>
      </c>
      <c r="C35" s="13" t="s">
        <v>111</v>
      </c>
      <c r="D35" s="14" t="s">
        <v>98</v>
      </c>
      <c r="E35" s="18">
        <v>74015</v>
      </c>
      <c r="F35" s="19">
        <v>1732.43</v>
      </c>
      <c r="G35" s="20">
        <v>0.01</v>
      </c>
      <c r="H35" s="21"/>
    </row>
    <row r="36" spans="1:8" ht="12.9" customHeight="1" x14ac:dyDescent="0.25">
      <c r="A36" s="16" t="s">
        <v>112</v>
      </c>
      <c r="B36" s="17" t="s">
        <v>113</v>
      </c>
      <c r="C36" s="13" t="s">
        <v>114</v>
      </c>
      <c r="D36" s="14" t="s">
        <v>94</v>
      </c>
      <c r="E36" s="18">
        <v>155247</v>
      </c>
      <c r="F36" s="19">
        <v>1650.59</v>
      </c>
      <c r="G36" s="20">
        <v>9.4999999999999998E-3</v>
      </c>
      <c r="H36" s="21"/>
    </row>
    <row r="37" spans="1:8" ht="12.9" customHeight="1" x14ac:dyDescent="0.25">
      <c r="A37" s="16" t="s">
        <v>115</v>
      </c>
      <c r="B37" s="17" t="s">
        <v>116</v>
      </c>
      <c r="C37" s="13" t="s">
        <v>117</v>
      </c>
      <c r="D37" s="14" t="s">
        <v>87</v>
      </c>
      <c r="E37" s="18">
        <v>62806</v>
      </c>
      <c r="F37" s="19">
        <v>1639.96</v>
      </c>
      <c r="G37" s="20">
        <v>9.4000000000000004E-3</v>
      </c>
      <c r="H37" s="21"/>
    </row>
    <row r="38" spans="1:8" ht="12.9" customHeight="1" x14ac:dyDescent="0.25">
      <c r="A38" s="16" t="s">
        <v>118</v>
      </c>
      <c r="B38" s="17" t="s">
        <v>119</v>
      </c>
      <c r="C38" s="13" t="s">
        <v>120</v>
      </c>
      <c r="D38" s="14" t="s">
        <v>121</v>
      </c>
      <c r="E38" s="18">
        <v>236907</v>
      </c>
      <c r="F38" s="19">
        <v>1616.77</v>
      </c>
      <c r="G38" s="20">
        <v>9.2999999999999992E-3</v>
      </c>
      <c r="H38" s="21"/>
    </row>
    <row r="39" spans="1:8" ht="12.9" customHeight="1" x14ac:dyDescent="0.25">
      <c r="A39" s="16" t="s">
        <v>122</v>
      </c>
      <c r="B39" s="17" t="s">
        <v>123</v>
      </c>
      <c r="C39" s="13" t="s">
        <v>124</v>
      </c>
      <c r="D39" s="14" t="s">
        <v>125</v>
      </c>
      <c r="E39" s="18">
        <v>635567</v>
      </c>
      <c r="F39" s="19">
        <v>1565.91</v>
      </c>
      <c r="G39" s="20">
        <v>8.9999999999999993E-3</v>
      </c>
      <c r="H39" s="21"/>
    </row>
    <row r="40" spans="1:8" ht="12.9" customHeight="1" x14ac:dyDescent="0.25">
      <c r="A40" s="16" t="s">
        <v>126</v>
      </c>
      <c r="B40" s="17" t="s">
        <v>127</v>
      </c>
      <c r="C40" s="13" t="s">
        <v>128</v>
      </c>
      <c r="D40" s="14" t="s">
        <v>59</v>
      </c>
      <c r="E40" s="18">
        <v>229019</v>
      </c>
      <c r="F40" s="19">
        <v>1502.36</v>
      </c>
      <c r="G40" s="20">
        <v>8.6E-3</v>
      </c>
      <c r="H40" s="21"/>
    </row>
    <row r="41" spans="1:8" ht="12.9" customHeight="1" x14ac:dyDescent="0.25">
      <c r="A41" s="16" t="s">
        <v>129</v>
      </c>
      <c r="B41" s="17" t="s">
        <v>130</v>
      </c>
      <c r="C41" s="13" t="s">
        <v>131</v>
      </c>
      <c r="D41" s="14" t="s">
        <v>132</v>
      </c>
      <c r="E41" s="18">
        <v>371661</v>
      </c>
      <c r="F41" s="19">
        <v>1479.95</v>
      </c>
      <c r="G41" s="20">
        <v>8.5000000000000006E-3</v>
      </c>
      <c r="H41" s="21"/>
    </row>
    <row r="42" spans="1:8" ht="12.9" customHeight="1" x14ac:dyDescent="0.25">
      <c r="A42" s="16" t="s">
        <v>133</v>
      </c>
      <c r="B42" s="17" t="s">
        <v>134</v>
      </c>
      <c r="C42" s="13" t="s">
        <v>135</v>
      </c>
      <c r="D42" s="14" t="s">
        <v>27</v>
      </c>
      <c r="E42" s="18">
        <v>103788</v>
      </c>
      <c r="F42" s="19">
        <v>1471.97</v>
      </c>
      <c r="G42" s="20">
        <v>8.5000000000000006E-3</v>
      </c>
      <c r="H42" s="21"/>
    </row>
    <row r="43" spans="1:8" ht="12.9" customHeight="1" x14ac:dyDescent="0.25">
      <c r="A43" s="16" t="s">
        <v>136</v>
      </c>
      <c r="B43" s="17" t="s">
        <v>137</v>
      </c>
      <c r="C43" s="13" t="s">
        <v>138</v>
      </c>
      <c r="D43" s="14" t="s">
        <v>55</v>
      </c>
      <c r="E43" s="18">
        <v>18147</v>
      </c>
      <c r="F43" s="19">
        <v>1429.77</v>
      </c>
      <c r="G43" s="20">
        <v>8.2000000000000007E-3</v>
      </c>
      <c r="H43" s="21"/>
    </row>
    <row r="44" spans="1:8" ht="12.9" customHeight="1" x14ac:dyDescent="0.25">
      <c r="A44" s="16" t="s">
        <v>139</v>
      </c>
      <c r="B44" s="17" t="s">
        <v>140</v>
      </c>
      <c r="C44" s="13" t="s">
        <v>141</v>
      </c>
      <c r="D44" s="14" t="s">
        <v>142</v>
      </c>
      <c r="E44" s="18">
        <v>120753</v>
      </c>
      <c r="F44" s="19">
        <v>1428.45</v>
      </c>
      <c r="G44" s="20">
        <v>8.2000000000000007E-3</v>
      </c>
      <c r="H44" s="21"/>
    </row>
    <row r="45" spans="1:8" ht="12.9" customHeight="1" x14ac:dyDescent="0.25">
      <c r="A45" s="16" t="s">
        <v>143</v>
      </c>
      <c r="B45" s="17" t="s">
        <v>144</v>
      </c>
      <c r="C45" s="13" t="s">
        <v>145</v>
      </c>
      <c r="D45" s="14" t="s">
        <v>66</v>
      </c>
      <c r="E45" s="18">
        <v>92053</v>
      </c>
      <c r="F45" s="19">
        <v>1327.59</v>
      </c>
      <c r="G45" s="20">
        <v>7.6E-3</v>
      </c>
      <c r="H45" s="21"/>
    </row>
    <row r="46" spans="1:8" ht="12.9" customHeight="1" x14ac:dyDescent="0.25">
      <c r="A46" s="16" t="s">
        <v>146</v>
      </c>
      <c r="B46" s="17" t="s">
        <v>147</v>
      </c>
      <c r="C46" s="13" t="s">
        <v>148</v>
      </c>
      <c r="D46" s="14" t="s">
        <v>149</v>
      </c>
      <c r="E46" s="18">
        <v>58670</v>
      </c>
      <c r="F46" s="19">
        <v>1320.52</v>
      </c>
      <c r="G46" s="20">
        <v>7.6E-3</v>
      </c>
      <c r="H46" s="21"/>
    </row>
    <row r="47" spans="1:8" ht="12.9" customHeight="1" x14ac:dyDescent="0.25">
      <c r="A47" s="16" t="s">
        <v>150</v>
      </c>
      <c r="B47" s="17" t="s">
        <v>151</v>
      </c>
      <c r="C47" s="13" t="s">
        <v>152</v>
      </c>
      <c r="D47" s="14" t="s">
        <v>59</v>
      </c>
      <c r="E47" s="18">
        <v>535991</v>
      </c>
      <c r="F47" s="19">
        <v>1219.43</v>
      </c>
      <c r="G47" s="20">
        <v>7.0000000000000001E-3</v>
      </c>
      <c r="H47" s="21"/>
    </row>
    <row r="48" spans="1:8" ht="12.9" customHeight="1" x14ac:dyDescent="0.25">
      <c r="A48" s="16" t="s">
        <v>153</v>
      </c>
      <c r="B48" s="17" t="s">
        <v>154</v>
      </c>
      <c r="C48" s="13" t="s">
        <v>155</v>
      </c>
      <c r="D48" s="14" t="s">
        <v>27</v>
      </c>
      <c r="E48" s="18">
        <v>464771</v>
      </c>
      <c r="F48" s="19">
        <v>1218.8599999999999</v>
      </c>
      <c r="G48" s="20">
        <v>7.0000000000000001E-3</v>
      </c>
      <c r="H48" s="21"/>
    </row>
    <row r="49" spans="1:8" ht="12.9" customHeight="1" x14ac:dyDescent="0.25">
      <c r="A49" s="16" t="s">
        <v>156</v>
      </c>
      <c r="B49" s="17" t="s">
        <v>157</v>
      </c>
      <c r="C49" s="13" t="s">
        <v>158</v>
      </c>
      <c r="D49" s="14" t="s">
        <v>55</v>
      </c>
      <c r="E49" s="18">
        <v>22488</v>
      </c>
      <c r="F49" s="19">
        <v>1202.5899999999999</v>
      </c>
      <c r="G49" s="20">
        <v>6.8999999999999999E-3</v>
      </c>
      <c r="H49" s="21"/>
    </row>
    <row r="50" spans="1:8" ht="12.9" customHeight="1" x14ac:dyDescent="0.25">
      <c r="A50" s="16" t="s">
        <v>159</v>
      </c>
      <c r="B50" s="17" t="s">
        <v>160</v>
      </c>
      <c r="C50" s="13" t="s">
        <v>161</v>
      </c>
      <c r="D50" s="14" t="s">
        <v>162</v>
      </c>
      <c r="E50" s="18">
        <v>175179</v>
      </c>
      <c r="F50" s="19">
        <v>1201.2</v>
      </c>
      <c r="G50" s="20">
        <v>6.8999999999999999E-3</v>
      </c>
      <c r="H50" s="21"/>
    </row>
    <row r="51" spans="1:8" ht="12.9" customHeight="1" x14ac:dyDescent="0.25">
      <c r="A51" s="16" t="s">
        <v>163</v>
      </c>
      <c r="B51" s="17" t="s">
        <v>164</v>
      </c>
      <c r="C51" s="13" t="s">
        <v>165</v>
      </c>
      <c r="D51" s="14" t="s">
        <v>66</v>
      </c>
      <c r="E51" s="18">
        <v>99815</v>
      </c>
      <c r="F51" s="19">
        <v>1142.08</v>
      </c>
      <c r="G51" s="20">
        <v>6.6E-3</v>
      </c>
      <c r="H51" s="21"/>
    </row>
    <row r="52" spans="1:8" ht="12.9" customHeight="1" x14ac:dyDescent="0.25">
      <c r="A52" s="16" t="s">
        <v>166</v>
      </c>
      <c r="B52" s="17" t="s">
        <v>167</v>
      </c>
      <c r="C52" s="13" t="s">
        <v>168</v>
      </c>
      <c r="D52" s="14" t="s">
        <v>162</v>
      </c>
      <c r="E52" s="18">
        <v>73337</v>
      </c>
      <c r="F52" s="19">
        <v>1135.1500000000001</v>
      </c>
      <c r="G52" s="20">
        <v>6.4999999999999997E-3</v>
      </c>
      <c r="H52" s="21"/>
    </row>
    <row r="53" spans="1:8" ht="12.9" customHeight="1" x14ac:dyDescent="0.25">
      <c r="A53" s="16" t="s">
        <v>169</v>
      </c>
      <c r="B53" s="17" t="s">
        <v>170</v>
      </c>
      <c r="C53" s="13" t="s">
        <v>171</v>
      </c>
      <c r="D53" s="14" t="s">
        <v>172</v>
      </c>
      <c r="E53" s="18">
        <v>16531</v>
      </c>
      <c r="F53" s="19">
        <v>1093.72</v>
      </c>
      <c r="G53" s="20">
        <v>6.3E-3</v>
      </c>
      <c r="H53" s="21"/>
    </row>
    <row r="54" spans="1:8" ht="12.9" customHeight="1" x14ac:dyDescent="0.25">
      <c r="A54" s="16" t="s">
        <v>173</v>
      </c>
      <c r="B54" s="17" t="s">
        <v>174</v>
      </c>
      <c r="C54" s="13" t="s">
        <v>175</v>
      </c>
      <c r="D54" s="14" t="s">
        <v>176</v>
      </c>
      <c r="E54" s="18">
        <v>106555</v>
      </c>
      <c r="F54" s="19">
        <v>1067.57</v>
      </c>
      <c r="G54" s="20">
        <v>6.1000000000000004E-3</v>
      </c>
      <c r="H54" s="21"/>
    </row>
    <row r="55" spans="1:8" ht="12.9" customHeight="1" x14ac:dyDescent="0.25">
      <c r="A55" s="16" t="s">
        <v>177</v>
      </c>
      <c r="B55" s="17" t="s">
        <v>178</v>
      </c>
      <c r="C55" s="13" t="s">
        <v>179</v>
      </c>
      <c r="D55" s="14" t="s">
        <v>180</v>
      </c>
      <c r="E55" s="18">
        <v>42619</v>
      </c>
      <c r="F55" s="19">
        <v>986.97</v>
      </c>
      <c r="G55" s="20">
        <v>5.7000000000000002E-3</v>
      </c>
      <c r="H55" s="21"/>
    </row>
    <row r="56" spans="1:8" ht="12.9" customHeight="1" x14ac:dyDescent="0.25">
      <c r="A56" s="16" t="s">
        <v>181</v>
      </c>
      <c r="B56" s="17" t="s">
        <v>182</v>
      </c>
      <c r="C56" s="13" t="s">
        <v>183</v>
      </c>
      <c r="D56" s="14" t="s">
        <v>55</v>
      </c>
      <c r="E56" s="18">
        <v>21241</v>
      </c>
      <c r="F56" s="19">
        <v>790.79</v>
      </c>
      <c r="G56" s="20">
        <v>4.4999999999999997E-3</v>
      </c>
      <c r="H56" s="21"/>
    </row>
    <row r="57" spans="1:8" ht="12.9" customHeight="1" x14ac:dyDescent="0.25">
      <c r="A57" s="16" t="s">
        <v>184</v>
      </c>
      <c r="B57" s="17" t="s">
        <v>185</v>
      </c>
      <c r="C57" s="13" t="s">
        <v>186</v>
      </c>
      <c r="D57" s="14" t="s">
        <v>16</v>
      </c>
      <c r="E57" s="18">
        <v>107758</v>
      </c>
      <c r="F57" s="19">
        <v>700.27</v>
      </c>
      <c r="G57" s="20">
        <v>4.0000000000000001E-3</v>
      </c>
      <c r="H57" s="21"/>
    </row>
    <row r="58" spans="1:8" ht="12.9" customHeight="1" x14ac:dyDescent="0.25">
      <c r="A58" s="5"/>
      <c r="B58" s="22" t="s">
        <v>187</v>
      </c>
      <c r="C58" s="23"/>
      <c r="D58" s="22"/>
      <c r="E58" s="22"/>
      <c r="F58" s="24">
        <v>174086.05</v>
      </c>
      <c r="G58" s="25">
        <v>0.99980000000000002</v>
      </c>
      <c r="H58" s="26"/>
    </row>
    <row r="59" spans="1:8" ht="12.9" customHeight="1" x14ac:dyDescent="0.25">
      <c r="A59" s="5"/>
      <c r="B59" s="12" t="s">
        <v>188</v>
      </c>
      <c r="C59" s="27"/>
      <c r="D59" s="28"/>
      <c r="E59" s="28"/>
      <c r="F59" s="29" t="s">
        <v>189</v>
      </c>
      <c r="G59" s="29" t="s">
        <v>189</v>
      </c>
      <c r="H59" s="26" t="s">
        <v>189</v>
      </c>
    </row>
    <row r="60" spans="1:8" ht="12.9" customHeight="1" x14ac:dyDescent="0.25">
      <c r="A60" s="5"/>
      <c r="B60" s="22" t="s">
        <v>187</v>
      </c>
      <c r="C60" s="27"/>
      <c r="D60" s="28"/>
      <c r="E60" s="28"/>
      <c r="F60" s="29" t="s">
        <v>189</v>
      </c>
      <c r="G60" s="29" t="s">
        <v>189</v>
      </c>
      <c r="H60" s="26" t="s">
        <v>189</v>
      </c>
    </row>
    <row r="61" spans="1:8" ht="12.9" customHeight="1" x14ac:dyDescent="0.25">
      <c r="A61" s="5"/>
      <c r="B61" s="22" t="s">
        <v>190</v>
      </c>
      <c r="C61" s="27"/>
      <c r="D61" s="28"/>
      <c r="E61" s="30"/>
      <c r="F61" s="31">
        <v>174086.05</v>
      </c>
      <c r="G61" s="32">
        <v>0.99980000000000002</v>
      </c>
      <c r="H61" s="33"/>
    </row>
    <row r="62" spans="1:8" ht="12.9" customHeight="1" x14ac:dyDescent="0.25">
      <c r="A62" s="5"/>
      <c r="B62" s="12" t="s">
        <v>191</v>
      </c>
      <c r="C62" s="13"/>
      <c r="D62" s="14"/>
      <c r="E62" s="14"/>
      <c r="F62" s="14"/>
      <c r="G62" s="14"/>
      <c r="H62" s="15"/>
    </row>
    <row r="63" spans="1:8" ht="12.9" customHeight="1" x14ac:dyDescent="0.25">
      <c r="A63" s="5"/>
      <c r="B63" s="34" t="s">
        <v>192</v>
      </c>
      <c r="C63" s="13"/>
      <c r="D63" s="14"/>
      <c r="E63" s="14"/>
      <c r="F63" s="14"/>
      <c r="G63" s="14"/>
      <c r="H63" s="15"/>
    </row>
    <row r="64" spans="1:8" ht="12.9" customHeight="1" x14ac:dyDescent="0.25">
      <c r="A64" s="16" t="s">
        <v>193</v>
      </c>
      <c r="B64" s="17" t="s">
        <v>194</v>
      </c>
      <c r="C64" s="13"/>
      <c r="D64" s="14"/>
      <c r="E64" s="35"/>
      <c r="F64" s="19">
        <v>229.12</v>
      </c>
      <c r="G64" s="20">
        <v>1.2999999999999999E-3</v>
      </c>
      <c r="H64" s="21">
        <v>6.6807062683238091E-2</v>
      </c>
    </row>
    <row r="65" spans="1:8" ht="12.9" customHeight="1" x14ac:dyDescent="0.25">
      <c r="A65" s="5"/>
      <c r="B65" s="22" t="s">
        <v>190</v>
      </c>
      <c r="C65" s="27"/>
      <c r="D65" s="28"/>
      <c r="E65" s="30"/>
      <c r="F65" s="31">
        <v>229.12</v>
      </c>
      <c r="G65" s="32">
        <v>1.2999999999999999E-3</v>
      </c>
      <c r="H65" s="33"/>
    </row>
    <row r="66" spans="1:8" ht="12.9" customHeight="1" x14ac:dyDescent="0.25">
      <c r="A66" s="5"/>
      <c r="B66" s="34" t="s">
        <v>195</v>
      </c>
      <c r="C66" s="36"/>
      <c r="D66" s="37"/>
      <c r="E66" s="37"/>
      <c r="F66" s="37"/>
      <c r="G66" s="37"/>
      <c r="H66" s="38"/>
    </row>
    <row r="67" spans="1:8" ht="12.9" customHeight="1" x14ac:dyDescent="0.25">
      <c r="A67" s="5"/>
      <c r="B67" s="28" t="s">
        <v>196</v>
      </c>
      <c r="C67" s="27"/>
      <c r="D67" s="28"/>
      <c r="E67" s="28"/>
      <c r="F67" s="24">
        <v>1.27</v>
      </c>
      <c r="G67" s="39" t="s">
        <v>197</v>
      </c>
      <c r="H67" s="38"/>
    </row>
    <row r="68" spans="1:8" ht="12.9" customHeight="1" x14ac:dyDescent="0.25">
      <c r="A68" s="5"/>
      <c r="B68" s="22" t="s">
        <v>187</v>
      </c>
      <c r="C68" s="23"/>
      <c r="D68" s="22"/>
      <c r="E68" s="22"/>
      <c r="F68" s="24">
        <v>1.27</v>
      </c>
      <c r="G68" s="39" t="s">
        <v>197</v>
      </c>
      <c r="H68" s="38"/>
    </row>
    <row r="69" spans="1:8" ht="12.9" customHeight="1" x14ac:dyDescent="0.25">
      <c r="A69" s="5"/>
      <c r="B69" s="22" t="s">
        <v>198</v>
      </c>
      <c r="C69" s="27"/>
      <c r="D69" s="28"/>
      <c r="E69" s="28"/>
      <c r="F69" s="24">
        <v>-215.73</v>
      </c>
      <c r="G69" s="40">
        <v>-1.1000000000000001E-3</v>
      </c>
      <c r="H69" s="38"/>
    </row>
    <row r="70" spans="1:8" ht="12.9" customHeight="1" thickBot="1" x14ac:dyDescent="0.3">
      <c r="A70" s="5"/>
      <c r="B70" s="41" t="s">
        <v>199</v>
      </c>
      <c r="C70" s="42"/>
      <c r="D70" s="43"/>
      <c r="E70" s="43"/>
      <c r="F70" s="44">
        <v>174100.70865628391</v>
      </c>
      <c r="G70" s="45">
        <v>1</v>
      </c>
      <c r="H70" s="46"/>
    </row>
    <row r="71" spans="1:8" ht="12.9" customHeight="1" x14ac:dyDescent="0.25">
      <c r="A71" s="5"/>
      <c r="B71" s="47"/>
      <c r="C71" s="5"/>
      <c r="D71" s="5"/>
      <c r="E71" s="5"/>
      <c r="F71" s="5"/>
      <c r="G71" s="5"/>
      <c r="H71" s="5"/>
    </row>
    <row r="72" spans="1:8" ht="12.9" customHeight="1" x14ac:dyDescent="0.25">
      <c r="A72" s="5"/>
      <c r="B72" s="47" t="s">
        <v>200</v>
      </c>
      <c r="C72" s="5"/>
      <c r="D72" s="5"/>
      <c r="E72" s="5"/>
      <c r="F72" s="5"/>
      <c r="G72" s="5"/>
      <c r="H72" s="5"/>
    </row>
    <row r="73" spans="1:8" ht="12.9" customHeight="1" x14ac:dyDescent="0.25">
      <c r="A73" s="5"/>
      <c r="B73" s="47"/>
      <c r="C73" s="5"/>
      <c r="D73" s="5"/>
      <c r="E73" s="5"/>
      <c r="F73" s="5"/>
      <c r="G73" s="5"/>
      <c r="H73" s="5"/>
    </row>
    <row r="74" spans="1:8" x14ac:dyDescent="0.25">
      <c r="B74" s="48" t="s">
        <v>201</v>
      </c>
      <c r="C74" s="5"/>
      <c r="D74" s="5"/>
      <c r="E74" s="5"/>
      <c r="F74" s="5"/>
    </row>
    <row r="75" spans="1:8" x14ac:dyDescent="0.25">
      <c r="B75" s="49" t="s">
        <v>202</v>
      </c>
      <c r="C75" s="49" t="s">
        <v>9</v>
      </c>
    </row>
    <row r="76" spans="1:8" x14ac:dyDescent="0.25">
      <c r="B76" s="50" t="str">
        <f t="shared" ref="B76:B82" si="0">+B8</f>
        <v>HDFC Bank Limited</v>
      </c>
      <c r="C76" s="51">
        <f t="shared" ref="C76:C82" si="1">+G8</f>
        <v>0.13070000000000001</v>
      </c>
    </row>
    <row r="77" spans="1:8" x14ac:dyDescent="0.25">
      <c r="B77" s="50" t="str">
        <f t="shared" si="0"/>
        <v>ICICI Bank Limited</v>
      </c>
      <c r="C77" s="51">
        <f t="shared" si="1"/>
        <v>8.9399999999999993E-2</v>
      </c>
    </row>
    <row r="78" spans="1:8" x14ac:dyDescent="0.25">
      <c r="B78" s="50" t="str">
        <f t="shared" si="0"/>
        <v>Reliance Industries Limited</v>
      </c>
      <c r="C78" s="51">
        <f t="shared" si="1"/>
        <v>8.1199999999999994E-2</v>
      </c>
    </row>
    <row r="79" spans="1:8" x14ac:dyDescent="0.25">
      <c r="B79" s="50" t="str">
        <f t="shared" si="0"/>
        <v>Infosys Limited</v>
      </c>
      <c r="C79" s="51">
        <f t="shared" si="1"/>
        <v>5.3100000000000001E-2</v>
      </c>
    </row>
    <row r="80" spans="1:8" x14ac:dyDescent="0.25">
      <c r="B80" s="50" t="str">
        <f t="shared" si="0"/>
        <v>Bharti Airtel Limited</v>
      </c>
      <c r="C80" s="51">
        <f t="shared" si="1"/>
        <v>4.3700000000000003E-2</v>
      </c>
    </row>
    <row r="81" spans="2:3" x14ac:dyDescent="0.25">
      <c r="B81" s="50" t="str">
        <f t="shared" si="0"/>
        <v>Larsen &amp; Toubro Limited</v>
      </c>
      <c r="C81" s="51">
        <f t="shared" si="1"/>
        <v>3.85E-2</v>
      </c>
    </row>
    <row r="82" spans="2:3" x14ac:dyDescent="0.25">
      <c r="B82" s="50" t="str">
        <f t="shared" si="0"/>
        <v>ITC Limited</v>
      </c>
      <c r="C82" s="51">
        <f t="shared" si="1"/>
        <v>3.5799999999999998E-2</v>
      </c>
    </row>
    <row r="84" spans="2:3" x14ac:dyDescent="0.25">
      <c r="B84" s="48" t="s">
        <v>203</v>
      </c>
    </row>
    <row r="85" spans="2:3" x14ac:dyDescent="0.25">
      <c r="B85" s="49" t="s">
        <v>204</v>
      </c>
      <c r="C85" s="49" t="s">
        <v>9</v>
      </c>
    </row>
    <row r="86" spans="2:3" x14ac:dyDescent="0.25">
      <c r="B86" s="50" t="s">
        <v>205</v>
      </c>
      <c r="C86" s="51">
        <v>0.1376</v>
      </c>
    </row>
    <row r="87" spans="2:3" x14ac:dyDescent="0.25">
      <c r="B87" s="50" t="s">
        <v>206</v>
      </c>
      <c r="C87" s="51">
        <v>8.9399999999999993E-2</v>
      </c>
    </row>
    <row r="88" spans="2:3" x14ac:dyDescent="0.25">
      <c r="B88" s="50" t="s">
        <v>207</v>
      </c>
      <c r="C88" s="51">
        <v>8.8899999999999979E-2</v>
      </c>
    </row>
    <row r="89" spans="2:3" x14ac:dyDescent="0.25">
      <c r="B89" s="50" t="s">
        <v>208</v>
      </c>
      <c r="C89" s="51">
        <v>8.1199999999999994E-2</v>
      </c>
    </row>
    <row r="90" spans="2:3" x14ac:dyDescent="0.25">
      <c r="B90" s="50" t="s">
        <v>209</v>
      </c>
      <c r="C90" s="51">
        <v>6.2400000000000004E-2</v>
      </c>
    </row>
    <row r="91" spans="2:3" x14ac:dyDescent="0.25">
      <c r="B91" s="50" t="s">
        <v>210</v>
      </c>
      <c r="C91" s="51">
        <v>5.3100000000000001E-2</v>
      </c>
    </row>
    <row r="92" spans="2:3" x14ac:dyDescent="0.25">
      <c r="B92" s="50" t="s">
        <v>211</v>
      </c>
      <c r="C92" s="51">
        <v>4.3700000000000003E-2</v>
      </c>
    </row>
    <row r="94" spans="2:3" x14ac:dyDescent="0.25">
      <c r="B94" s="48" t="s">
        <v>212</v>
      </c>
    </row>
    <row r="95" spans="2:3" x14ac:dyDescent="0.25">
      <c r="B95" s="49" t="s">
        <v>213</v>
      </c>
      <c r="C95" s="49" t="s">
        <v>9</v>
      </c>
    </row>
    <row r="96" spans="2:3" x14ac:dyDescent="0.25">
      <c r="B96" s="50" t="s">
        <v>214</v>
      </c>
      <c r="C96" s="51">
        <v>0.37290000000000001</v>
      </c>
    </row>
    <row r="97" spans="1:8" x14ac:dyDescent="0.25">
      <c r="B97" s="50" t="s">
        <v>215</v>
      </c>
      <c r="C97" s="51">
        <v>0.11910000000000001</v>
      </c>
    </row>
    <row r="98" spans="1:8" x14ac:dyDescent="0.25">
      <c r="B98" s="50" t="s">
        <v>216</v>
      </c>
      <c r="C98" s="51">
        <v>9.8699999999999996E-2</v>
      </c>
    </row>
    <row r="99" spans="1:8" x14ac:dyDescent="0.25">
      <c r="B99" s="50" t="s">
        <v>217</v>
      </c>
      <c r="C99" s="51">
        <v>6.9200000000000012E-2</v>
      </c>
    </row>
    <row r="100" spans="1:8" ht="12.9" customHeight="1" thickBot="1" x14ac:dyDescent="0.3">
      <c r="A100" s="5"/>
      <c r="B100" s="47"/>
      <c r="C100" s="5"/>
      <c r="D100" s="5"/>
      <c r="E100" s="5"/>
      <c r="F100" s="5"/>
      <c r="G100" s="5"/>
      <c r="H100" s="5"/>
    </row>
    <row r="101" spans="1:8" x14ac:dyDescent="0.25">
      <c r="B101" s="52" t="s">
        <v>218</v>
      </c>
      <c r="C101" s="53"/>
      <c r="D101" s="53"/>
      <c r="E101" s="53"/>
      <c r="F101" s="54"/>
    </row>
    <row r="102" spans="1:8" x14ac:dyDescent="0.25">
      <c r="B102" s="55" t="s">
        <v>219</v>
      </c>
      <c r="C102" s="56"/>
      <c r="D102" s="56"/>
      <c r="E102" s="56"/>
      <c r="F102" s="57"/>
    </row>
    <row r="103" spans="1:8" x14ac:dyDescent="0.25">
      <c r="B103" s="58" t="s">
        <v>220</v>
      </c>
      <c r="C103" s="56"/>
      <c r="D103" s="56"/>
      <c r="E103" s="59"/>
      <c r="F103" s="57"/>
    </row>
    <row r="104" spans="1:8" ht="14.4" thickBot="1" x14ac:dyDescent="0.3">
      <c r="B104" s="60" t="s">
        <v>221</v>
      </c>
      <c r="C104" s="61"/>
      <c r="D104" s="61"/>
      <c r="E104" s="61"/>
      <c r="F104" s="62"/>
    </row>
    <row r="105" spans="1:8" x14ac:dyDescent="0.25">
      <c r="B105" s="63" t="s">
        <v>222</v>
      </c>
      <c r="C105" s="64" t="s">
        <v>223</v>
      </c>
      <c r="D105" s="64"/>
      <c r="E105" s="65"/>
      <c r="F105" s="66"/>
    </row>
    <row r="106" spans="1:8" ht="14.4" thickBot="1" x14ac:dyDescent="0.3">
      <c r="B106" s="67"/>
      <c r="C106" s="68">
        <v>45747</v>
      </c>
      <c r="D106" s="68">
        <v>45565</v>
      </c>
      <c r="E106" s="68"/>
      <c r="F106" s="69"/>
    </row>
    <row r="107" spans="1:8" x14ac:dyDescent="0.25">
      <c r="B107" s="70" t="s">
        <v>224</v>
      </c>
      <c r="C107" s="71"/>
      <c r="D107" s="71"/>
      <c r="E107" s="72"/>
      <c r="F107" s="73"/>
    </row>
    <row r="108" spans="1:8" x14ac:dyDescent="0.25">
      <c r="A108" s="1" t="s">
        <v>225</v>
      </c>
      <c r="B108" s="74" t="s">
        <v>226</v>
      </c>
      <c r="C108" s="75">
        <v>50.3917</v>
      </c>
      <c r="D108" s="75">
        <v>55.279699999999998</v>
      </c>
      <c r="E108" s="72"/>
      <c r="F108" s="76"/>
    </row>
    <row r="109" spans="1:8" x14ac:dyDescent="0.25">
      <c r="A109" s="1" t="s">
        <v>227</v>
      </c>
      <c r="B109" s="74" t="s">
        <v>228</v>
      </c>
      <c r="C109" s="75">
        <v>45.736499999999999</v>
      </c>
      <c r="D109" s="75">
        <v>50.172899999999998</v>
      </c>
      <c r="E109" s="72"/>
      <c r="F109" s="76"/>
    </row>
    <row r="110" spans="1:8" x14ac:dyDescent="0.25">
      <c r="A110" s="1"/>
      <c r="B110" s="70"/>
      <c r="C110" s="77"/>
      <c r="D110" s="77"/>
      <c r="E110" s="72"/>
      <c r="F110" s="73"/>
    </row>
    <row r="111" spans="1:8" x14ac:dyDescent="0.25">
      <c r="A111" s="1"/>
      <c r="B111" s="70" t="s">
        <v>229</v>
      </c>
      <c r="C111" s="78"/>
      <c r="D111" s="78"/>
      <c r="E111" s="72"/>
      <c r="F111" s="73"/>
    </row>
    <row r="112" spans="1:8" x14ac:dyDescent="0.25">
      <c r="A112" s="1" t="s">
        <v>230</v>
      </c>
      <c r="B112" s="74" t="s">
        <v>226</v>
      </c>
      <c r="C112" s="75">
        <v>51.806899999999999</v>
      </c>
      <c r="D112" s="75">
        <v>56.6905</v>
      </c>
      <c r="E112" s="72"/>
      <c r="F112" s="76"/>
    </row>
    <row r="113" spans="1:6" x14ac:dyDescent="0.25">
      <c r="A113" s="1" t="s">
        <v>231</v>
      </c>
      <c r="B113" s="74" t="s">
        <v>228</v>
      </c>
      <c r="C113" s="75">
        <v>47.0867</v>
      </c>
      <c r="D113" s="75">
        <v>51.525500000000001</v>
      </c>
      <c r="E113" s="72"/>
      <c r="F113" s="76"/>
    </row>
    <row r="114" spans="1:6" x14ac:dyDescent="0.25">
      <c r="B114" s="74"/>
      <c r="C114" s="79"/>
      <c r="D114" s="79"/>
      <c r="E114" s="80"/>
      <c r="F114" s="76"/>
    </row>
    <row r="115" spans="1:6" ht="14.4" thickBot="1" x14ac:dyDescent="0.3">
      <c r="B115" s="81" t="s">
        <v>232</v>
      </c>
      <c r="C115" s="82"/>
      <c r="D115" s="82"/>
      <c r="E115" s="83"/>
      <c r="F115" s="69"/>
    </row>
    <row r="116" spans="1:6" x14ac:dyDescent="0.25">
      <c r="B116" s="55" t="s">
        <v>233</v>
      </c>
      <c r="C116" s="84"/>
      <c r="D116" s="75"/>
      <c r="E116" s="85"/>
      <c r="F116" s="86"/>
    </row>
    <row r="117" spans="1:6" x14ac:dyDescent="0.25">
      <c r="B117" s="55" t="s">
        <v>234</v>
      </c>
      <c r="C117" s="75"/>
      <c r="D117" s="87"/>
      <c r="E117" s="88"/>
      <c r="F117" s="73"/>
    </row>
    <row r="118" spans="1:6" x14ac:dyDescent="0.25">
      <c r="B118" s="55" t="s">
        <v>235</v>
      </c>
      <c r="C118" s="85"/>
      <c r="D118" s="56"/>
      <c r="E118" s="88"/>
      <c r="F118" s="73"/>
    </row>
    <row r="119" spans="1:6" x14ac:dyDescent="0.25">
      <c r="B119" s="55" t="s">
        <v>236</v>
      </c>
      <c r="C119" s="56"/>
      <c r="D119" s="89"/>
      <c r="E119" s="90"/>
      <c r="F119" s="73"/>
    </row>
    <row r="120" spans="1:6" x14ac:dyDescent="0.25">
      <c r="B120" s="55" t="s">
        <v>237</v>
      </c>
      <c r="C120" s="56"/>
      <c r="D120" s="56"/>
      <c r="E120" s="56"/>
      <c r="F120" s="57"/>
    </row>
    <row r="121" spans="1:6" x14ac:dyDescent="0.25">
      <c r="B121" s="55" t="s">
        <v>238</v>
      </c>
      <c r="C121" s="56"/>
      <c r="D121" s="56"/>
      <c r="E121" s="56"/>
      <c r="F121" s="57"/>
    </row>
    <row r="122" spans="1:6" ht="14.4" thickBot="1" x14ac:dyDescent="0.3">
      <c r="B122" s="60"/>
      <c r="C122" s="61"/>
      <c r="D122" s="61"/>
      <c r="E122" s="61"/>
      <c r="F122" s="62"/>
    </row>
    <row r="123" spans="1:6" x14ac:dyDescent="0.25">
      <c r="B123" s="56"/>
      <c r="C123" s="56"/>
      <c r="D123" s="56"/>
      <c r="E123" s="56"/>
      <c r="F123" s="90"/>
    </row>
    <row r="124" spans="1:6" x14ac:dyDescent="0.25">
      <c r="F124" s="91" t="s">
        <v>239</v>
      </c>
    </row>
    <row r="125" spans="1:6" x14ac:dyDescent="0.25">
      <c r="B125" s="91" t="s">
        <v>240</v>
      </c>
      <c r="F125" s="91" t="s">
        <v>241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IDF029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2025-04-07T18:45:08Z</dcterms:created>
  <dcterms:modified xsi:type="dcterms:W3CDTF">2025-04-07T18:45:08Z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4ab53625-24d2-41db-b457-6b8267c0251b</vt:lpwstr>
  </property>
  <property fmtid="{D5CDD505-2E9C-101B-9397-08002B2CF9AE}" pid="8" name="MSIP_Label_af1741f6-9e47-426e-a683-937c37d4ebc5_ContentBits">
    <vt:lpwstr>3</vt:lpwstr>
  </property>
</Properties>
</file>