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Half Yearly Reports\Mar 25\HY Portfolios\ROM\"/>
    </mc:Choice>
  </mc:AlternateContent>
  <xr:revisionPtr revIDLastSave="0" documentId="8_{51BD3432-02DC-4F89-918C-AE5C53B91458}" xr6:coauthVersionLast="47" xr6:coauthVersionMax="47" xr10:uidLastSave="{00000000-0000-0000-0000-000000000000}"/>
  <bookViews>
    <workbookView xWindow="-108" yWindow="-108" windowWidth="41496" windowHeight="16896" xr2:uid="{0717C798-1B14-42C1-83C6-6E9002529D18}"/>
  </bookViews>
  <sheets>
    <sheet name="IDF295" sheetId="1" r:id="rId1"/>
  </sheets>
  <definedNames>
    <definedName name="JR_PAGE_ANCHOR_0_56">'IDF295'!$A$2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2" i="1" l="1"/>
  <c r="B82" i="1"/>
  <c r="C81" i="1"/>
  <c r="B81" i="1"/>
  <c r="C80" i="1"/>
  <c r="B80" i="1"/>
  <c r="C79" i="1"/>
  <c r="B79" i="1"/>
  <c r="C78" i="1"/>
  <c r="B78" i="1"/>
  <c r="C77" i="1"/>
  <c r="B77" i="1"/>
  <c r="C76" i="1"/>
  <c r="B76" i="1"/>
</calcChain>
</file>

<file path=xl/sharedStrings.xml><?xml version="1.0" encoding="utf-8"?>
<sst xmlns="http://schemas.openxmlformats.org/spreadsheetml/2006/main" count="282" uniqueCount="241">
  <si>
    <t>IDF295</t>
  </si>
  <si>
    <t>INDEX</t>
  </si>
  <si>
    <t>Portfolio Statement as on March 31,2025</t>
  </si>
  <si>
    <t>Bandhan Nifty Alpha 50 Index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</si>
  <si>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</si>
  <si>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</si>
  <si>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</si>
  <si>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</si>
  <si>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</si>
  <si>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</si>
  <si>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</si>
  <si>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</si>
  <si>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</si>
  <si>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PGEL02</t>
  </si>
  <si>
    <t>PG Electroplast Limited</t>
  </si>
  <si>
    <t>INE457L01029</t>
  </si>
  <si>
    <t>Consumer Durables</t>
  </si>
  <si>
    <t>BSEL02</t>
  </si>
  <si>
    <t>BSE Limited</t>
  </si>
  <si>
    <t>INE118H01025</t>
  </si>
  <si>
    <t>Capital Markets</t>
  </si>
  <si>
    <t>MAZG02</t>
  </si>
  <si>
    <t>Mazagon Dock Shipbuilders Limited</t>
  </si>
  <si>
    <t>INE249Z01020</t>
  </si>
  <si>
    <t>Industrial Manufacturing</t>
  </si>
  <si>
    <t>DIXO02</t>
  </si>
  <si>
    <t>Dixon Technologies (India) Limited</t>
  </si>
  <si>
    <t>INE935N01020</t>
  </si>
  <si>
    <t>ABBP01</t>
  </si>
  <si>
    <t>Hitachi Energy India Limited</t>
  </si>
  <si>
    <t>INE07Y701011</t>
  </si>
  <si>
    <t>Electrical Equipment</t>
  </si>
  <si>
    <t>ONCO02</t>
  </si>
  <si>
    <t>One 97 Communications Limited</t>
  </si>
  <si>
    <t>INE982J01020</t>
  </si>
  <si>
    <t>Financial Technology (Fintech)</t>
  </si>
  <si>
    <t>AEGI03</t>
  </si>
  <si>
    <t>Aegis Logistics Limited</t>
  </si>
  <si>
    <t>INE208C01025</t>
  </si>
  <si>
    <t>Gas</t>
  </si>
  <si>
    <t>ICON01</t>
  </si>
  <si>
    <t>Firstsource Solutions Limited</t>
  </si>
  <si>
    <t>INE684F01012</t>
  </si>
  <si>
    <t>Commercial Services &amp; Supplies</t>
  </si>
  <si>
    <t>MUFL01</t>
  </si>
  <si>
    <t>Muthoot Finance Limited</t>
  </si>
  <si>
    <t>INE414G01012</t>
  </si>
  <si>
    <t>Finance</t>
  </si>
  <si>
    <t>AMBE01</t>
  </si>
  <si>
    <t>Amber Enterprises India Limited</t>
  </si>
  <si>
    <t>INE371P01015</t>
  </si>
  <si>
    <t>DIVI02</t>
  </si>
  <si>
    <t>Divi's Laboratories Limited</t>
  </si>
  <si>
    <t>INE361B01024</t>
  </si>
  <si>
    <t>Pharmaceuticals &amp; Biotechnology</t>
  </si>
  <si>
    <t>FRHL01</t>
  </si>
  <si>
    <t>Fortis Healthcare Limited</t>
  </si>
  <si>
    <t>INE061F01013</t>
  </si>
  <si>
    <t>Healthcare Services</t>
  </si>
  <si>
    <t>MOFS03</t>
  </si>
  <si>
    <t>Motilal Oswal Financial Services Limited</t>
  </si>
  <si>
    <t>INE338I01027</t>
  </si>
  <si>
    <t>SESA02</t>
  </si>
  <si>
    <t>Vedanta Limited</t>
  </si>
  <si>
    <t>INE205A01025</t>
  </si>
  <si>
    <t>Diversified Metals</t>
  </si>
  <si>
    <t>BLUS03</t>
  </si>
  <si>
    <t>Blue Star Limited</t>
  </si>
  <si>
    <t>INE472A01039</t>
  </si>
  <si>
    <t>COCH02</t>
  </si>
  <si>
    <t>Cochin Shipyard Limited</t>
  </si>
  <si>
    <t>INE704P01025</t>
  </si>
  <si>
    <t>RLPL01</t>
  </si>
  <si>
    <t>Reliance Power Limited</t>
  </si>
  <si>
    <t>INE614G01033</t>
  </si>
  <si>
    <t>Power</t>
  </si>
  <si>
    <t>ALLI02</t>
  </si>
  <si>
    <t>GE Vernova T&amp;D India Limited</t>
  </si>
  <si>
    <t>INE200A01026</t>
  </si>
  <si>
    <t>INAV01</t>
  </si>
  <si>
    <t>InterGlobe Aviation Limited</t>
  </si>
  <si>
    <t>INE646L01027</t>
  </si>
  <si>
    <t>Transport Services</t>
  </si>
  <si>
    <t>KAYN01</t>
  </si>
  <si>
    <t>Kaynes Technology India Limited</t>
  </si>
  <si>
    <t>INE918Z01012</t>
  </si>
  <si>
    <t>PPHA01</t>
  </si>
  <si>
    <t>Piramal Pharma Limited</t>
  </si>
  <si>
    <t>INE0DK501011</t>
  </si>
  <si>
    <t>GLPH03</t>
  </si>
  <si>
    <t>Glenmark Pharmaceuticals Limited</t>
  </si>
  <si>
    <t>INE935A01035</t>
  </si>
  <si>
    <t>BTVL02</t>
  </si>
  <si>
    <t>Bharti Airtel Limited</t>
  </si>
  <si>
    <t>INE397D01024</t>
  </si>
  <si>
    <t>Telecom - Services</t>
  </si>
  <si>
    <t>RVNL01</t>
  </si>
  <si>
    <t>Rail Vikas Nigam Limited</t>
  </si>
  <si>
    <t>INE415G01027</t>
  </si>
  <si>
    <t>Construction</t>
  </si>
  <si>
    <t>MCEX01</t>
  </si>
  <si>
    <t>Multi Commodity Exchange of India Limited</t>
  </si>
  <si>
    <t>INE745G01035</t>
  </si>
  <si>
    <t>MAHI02</t>
  </si>
  <si>
    <t>Mahindra &amp; Mahindra Limited</t>
  </si>
  <si>
    <t>INE101A01026</t>
  </si>
  <si>
    <t>Automobiles</t>
  </si>
  <si>
    <t>IEIN01</t>
  </si>
  <si>
    <t>Info Edge (India) Limited</t>
  </si>
  <si>
    <t>INE663F01024</t>
  </si>
  <si>
    <t>Retailing</t>
  </si>
  <si>
    <t>SECH03</t>
  </si>
  <si>
    <t>UPL Limited</t>
  </si>
  <si>
    <t>INE628A01036</t>
  </si>
  <si>
    <t>Fertilizers &amp; Agrochemicals</t>
  </si>
  <si>
    <t>JUFL02</t>
  </si>
  <si>
    <t>Jubilant Foodworks Limited</t>
  </si>
  <si>
    <t>INE797F01020</t>
  </si>
  <si>
    <t>Leisure Services</t>
  </si>
  <si>
    <t>ZMPL01</t>
  </si>
  <si>
    <t>Zomato Limited</t>
  </si>
  <si>
    <t>INE758T01015</t>
  </si>
  <si>
    <t>BAFL02</t>
  </si>
  <si>
    <t>Bajaj Finance Limited</t>
  </si>
  <si>
    <t>INE296A01024</t>
  </si>
  <si>
    <t>BINL01</t>
  </si>
  <si>
    <t>Indus Towers Limited</t>
  </si>
  <si>
    <t>INE121J01017</t>
  </si>
  <si>
    <t>KFIN01</t>
  </si>
  <si>
    <t>KFin Technologies Limited</t>
  </si>
  <si>
    <t>INE138Y01010</t>
  </si>
  <si>
    <t>LAKM02</t>
  </si>
  <si>
    <t>Trent Limited</t>
  </si>
  <si>
    <t>INE849A01020</t>
  </si>
  <si>
    <t>BHEL02</t>
  </si>
  <si>
    <t>Bharat Electronics Limited</t>
  </si>
  <si>
    <t>INE263A01024</t>
  </si>
  <si>
    <t>Aerospace &amp; Defense</t>
  </si>
  <si>
    <t>ESMC02</t>
  </si>
  <si>
    <t>PB Fintech Limited</t>
  </si>
  <si>
    <t>INE417T01026</t>
  </si>
  <si>
    <t>VOLT02</t>
  </si>
  <si>
    <t>Voltas Limited</t>
  </si>
  <si>
    <t>INE226A01021</t>
  </si>
  <si>
    <t>NACL03</t>
  </si>
  <si>
    <t>National Aluminium Company Limited</t>
  </si>
  <si>
    <t>INE139A01034</t>
  </si>
  <si>
    <t>Non - Ferrous Metals</t>
  </si>
  <si>
    <t>TOPL01</t>
  </si>
  <si>
    <t>Torrent Power Limited</t>
  </si>
  <si>
    <t>INE813H01021</t>
  </si>
  <si>
    <t>CDSL01</t>
  </si>
  <si>
    <t>Central Depository Services (India) Limited</t>
  </si>
  <si>
    <t>INE736A01011</t>
  </si>
  <si>
    <t>KALJ01</t>
  </si>
  <si>
    <t>Kalyan Jewellers India Limited</t>
  </si>
  <si>
    <t>INE303R01014</t>
  </si>
  <si>
    <t>LUPL02</t>
  </si>
  <si>
    <t>Lupin Limited</t>
  </si>
  <si>
    <t>INE326A01037</t>
  </si>
  <si>
    <t>PHMI02</t>
  </si>
  <si>
    <t>The Phoenix Mills Limited</t>
  </si>
  <si>
    <t>INE211B01039</t>
  </si>
  <si>
    <t>Realty</t>
  </si>
  <si>
    <t>HIMC02</t>
  </si>
  <si>
    <t>Himadri Speciality Chemical Limited</t>
  </si>
  <si>
    <t>INE019C01026</t>
  </si>
  <si>
    <t>Chemicals &amp; Petrochemicals</t>
  </si>
  <si>
    <t>SUZE02</t>
  </si>
  <si>
    <t>Suzlon Energy Limited</t>
  </si>
  <si>
    <t>INE040H01021</t>
  </si>
  <si>
    <t>BHDY02</t>
  </si>
  <si>
    <t>Bharat Dynamics Limited</t>
  </si>
  <si>
    <t>INE171Z01026</t>
  </si>
  <si>
    <t>IREA01</t>
  </si>
  <si>
    <t>Indian Renewable Energy Development Agency Limited</t>
  </si>
  <si>
    <t>INE202E01016</t>
  </si>
  <si>
    <t>HALT02</t>
  </si>
  <si>
    <t>Hindustan Aeronautics Limited</t>
  </si>
  <si>
    <t>INE066F01020</t>
  </si>
  <si>
    <t>INOW01</t>
  </si>
  <si>
    <t>Inox Wind Limited</t>
  </si>
  <si>
    <t>INE066P01011</t>
  </si>
  <si>
    <t>IFEL01</t>
  </si>
  <si>
    <t>Oracle Financial Services Software Limited</t>
  </si>
  <si>
    <t>INE881D01027</t>
  </si>
  <si>
    <t>IT - Software</t>
  </si>
  <si>
    <t>Subtotal</t>
  </si>
  <si>
    <t>(b) UNLISTED</t>
  </si>
  <si>
    <t>NIL</t>
  </si>
  <si>
    <t>Total</t>
  </si>
  <si>
    <t>Money Market Instruments</t>
  </si>
  <si>
    <t>TREPS / Reverse Repo Instrument</t>
  </si>
  <si>
    <t>TRP_020425</t>
  </si>
  <si>
    <t>Triparty Repo TRP_020425</t>
  </si>
  <si>
    <t>OTHERS</t>
  </si>
  <si>
    <t>Cash Margin - CCIL</t>
  </si>
  <si>
    <t>$</t>
  </si>
  <si>
    <t>Net Current Assets</t>
  </si>
  <si>
    <t>GRAND TOTAL</t>
  </si>
  <si>
    <t>$  Less Than 0.01% of NAV</t>
  </si>
  <si>
    <t>Name and exposure to top 7 issuers and stocks</t>
  </si>
  <si>
    <t>Name of the Issuer / Stock</t>
  </si>
  <si>
    <t>Name and exposure to top 7 groups</t>
  </si>
  <si>
    <t>Name of the Group</t>
  </si>
  <si>
    <t>PG Electroplast Group</t>
  </si>
  <si>
    <t>BSE Group</t>
  </si>
  <si>
    <t>Mazagon Dock Shipbuilders Group</t>
  </si>
  <si>
    <t>Dixon Technologies Group</t>
  </si>
  <si>
    <t>Hitachi Energy India Group</t>
  </si>
  <si>
    <t>Bharti Group</t>
  </si>
  <si>
    <t>PayTm</t>
  </si>
  <si>
    <t>Name and exposure to top 4 Sectors</t>
  </si>
  <si>
    <t>Name of the Sector</t>
  </si>
  <si>
    <t>Financial Services</t>
  </si>
  <si>
    <t>Capital Goods</t>
  </si>
  <si>
    <t>Healthcare</t>
  </si>
  <si>
    <t>Notes:</t>
  </si>
  <si>
    <t>(1) The provision made for below investment grade or default securities as of March 31, 2025 is Rs. Nil and its percentage to Net Asset Value is Nil.</t>
  </si>
  <si>
    <t>(2)  Aggregate value of illiquid equity shares of the fund amounts to Rs.Nil and their percentage to Net Asset value is Nil.</t>
  </si>
  <si>
    <t>(3) Plan/Option wise per unit Net Asset Values (NAV) are as follows:</t>
  </si>
  <si>
    <t>Plan / Option</t>
  </si>
  <si>
    <t>NAV per unit (Rs.)</t>
  </si>
  <si>
    <t>Regular Plan</t>
  </si>
  <si>
    <t>IDF295-AG</t>
  </si>
  <si>
    <t>Growth</t>
  </si>
  <si>
    <t>IDF295-AD</t>
  </si>
  <si>
    <t>IDCW #</t>
  </si>
  <si>
    <t>Direct Plan</t>
  </si>
  <si>
    <t>IDF295-ZG</t>
  </si>
  <si>
    <t>IDF295-ZD</t>
  </si>
  <si>
    <t># Income Distribution cum capital withdrawal option</t>
  </si>
  <si>
    <t>(4) No Dividend declared during the period ended March 31, 2025.</t>
  </si>
  <si>
    <t>(5) Total outstanding exposure in derivative instruments as on March 31, 2025 is Rs. Nil.</t>
  </si>
  <si>
    <t>(6) Total Market value of investments in foreign securities/ADRs/GDRs as at March 31, 2025 is Rs. Nil.</t>
  </si>
  <si>
    <t>(7) During the period, the portfolio turnover ratio - For Equity Securities is 1.06 times and aggregate for all asset category is 1.06 times.</t>
  </si>
  <si>
    <t>(8) Bonus declared during the half-year ended March 31, 2025 : Nil</t>
  </si>
  <si>
    <t>(9) The details of repo transactions of the schemes in corporate debt securities including details of counterparties, amount involved and percentage of NAV :  Nil</t>
  </si>
  <si>
    <t>BENCHMARK NAME - NIFTY ALPHA 50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</si>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</sst>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0;\(#,##0.00\)"/>
    <numFmt numFmtId="165" formatCode="#,##0.00%"/>
    <numFmt numFmtId="166" formatCode="_ * #,##0.00_ ;_ * \-#,##0.00_ ;_ * &quot;-&quot;??_ ;_ @_ "/>
    <numFmt numFmtId="167" formatCode="_(* #,##0_);_(* \(#,##0\);_(* &quot;-&quot;??_);_(@_)"/>
    <numFmt numFmtId="168" formatCode="0.0000"/>
    <numFmt numFmtId="169" formatCode="_-* #,##0.0000_-;\-* #,##0.0000_-;_-* &quot;-&quot;??_-;_-@_-"/>
    <numFmt numFmtId="170" formatCode="_-* #,##0_-;\-* #,##0_-;_-* &quot;-&quot;??_-;_-@_-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rial"/>
      <family val="2"/>
    </font>
    <font>
      <sz val="11"/>
      <color theme="1"/>
      <name val="Arial"/>
      <family val="2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Arial"/>
      <family val="2"/>
    </font>
    <font>
      <b/>
      <sz val="11"/>
      <color theme="1"/>
      <name val="Arial"/>
      <family val="2"/>
    </font>
    <font>
      <b/>
      <sz val="9"/>
      <color indexed="72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  <font>
      <sz val="9"/>
      <color indexed="72"/>
      <name val="Arial"/>
      <family val="2"/>
    </font>
    <font>
      <b/>
      <sz val="9"/>
      <name val="Arial"/>
      <family val="2"/>
    </font>
    <font>
      <b/>
      <sz val="9"/>
      <color indexed="9"/>
      <name val="Arial"/>
      <family val="2"/>
    </font>
    <font>
      <sz val="9"/>
      <color theme="1"/>
      <name val="Arial"/>
      <family val="2"/>
    </font>
    <font>
      <sz val="9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</cellStyleXfs>
  <cellXfs count="9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center" vertical="top" wrapText="1"/>
    </xf>
    <xf numFmtId="0" fontId="3" fillId="0" borderId="0" xfId="0" applyFont="1" applyAlignment="1" applyProtection="1">
      <alignment wrapText="1"/>
      <protection locked="0"/>
    </xf>
    <xf numFmtId="0" fontId="6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left" vertical="top" wrapText="1"/>
    </xf>
    <xf numFmtId="0" fontId="6" fillId="0" borderId="8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3" fontId="6" fillId="0" borderId="7" xfId="0" applyNumberFormat="1" applyFont="1" applyBorder="1" applyAlignment="1">
      <alignment horizontal="right" vertical="top" wrapText="1"/>
    </xf>
    <xf numFmtId="164" fontId="6" fillId="0" borderId="7" xfId="0" applyNumberFormat="1" applyFont="1" applyBorder="1" applyAlignment="1">
      <alignment horizontal="right" vertical="top" wrapText="1"/>
    </xf>
    <xf numFmtId="165" fontId="6" fillId="0" borderId="7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4" fontId="5" fillId="0" borderId="9" xfId="0" applyNumberFormat="1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5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left" vertical="top" wrapText="1"/>
    </xf>
    <xf numFmtId="164" fontId="5" fillId="0" borderId="12" xfId="0" applyNumberFormat="1" applyFont="1" applyBorder="1" applyAlignment="1">
      <alignment horizontal="right" vertical="top" wrapText="1"/>
    </xf>
    <xf numFmtId="165" fontId="8" fillId="0" borderId="12" xfId="0" applyNumberFormat="1" applyFont="1" applyBorder="1" applyAlignment="1">
      <alignment horizontal="right" vertical="top" wrapText="1"/>
    </xf>
    <xf numFmtId="0" fontId="8" fillId="0" borderId="13" xfId="0" applyFont="1" applyBorder="1" applyAlignment="1">
      <alignment horizontal="right" vertical="top" wrapText="1"/>
    </xf>
    <xf numFmtId="0" fontId="8" fillId="0" borderId="9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right" vertical="top" wrapText="1"/>
    </xf>
    <xf numFmtId="0" fontId="9" fillId="0" borderId="10" xfId="0" applyFont="1" applyBorder="1" applyAlignment="1">
      <alignment horizontal="left" vertical="top" wrapText="1"/>
    </xf>
    <xf numFmtId="0" fontId="9" fillId="0" borderId="9" xfId="0" applyFont="1" applyBorder="1" applyAlignment="1">
      <alignment horizontal="left" vertical="top" wrapText="1"/>
    </xf>
    <xf numFmtId="0" fontId="9" fillId="0" borderId="11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right" vertical="top" wrapText="1"/>
    </xf>
    <xf numFmtId="165" fontId="6" fillId="0" borderId="9" xfId="0" applyNumberFormat="1" applyFont="1" applyBorder="1" applyAlignment="1">
      <alignment horizontal="right" vertical="top" wrapText="1"/>
    </xf>
    <xf numFmtId="0" fontId="5" fillId="0" borderId="14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6" fillId="0" borderId="16" xfId="0" applyFont="1" applyBorder="1" applyAlignment="1">
      <alignment horizontal="left" vertical="top" wrapText="1"/>
    </xf>
    <xf numFmtId="164" fontId="5" fillId="0" borderId="17" xfId="0" applyNumberFormat="1" applyFont="1" applyBorder="1" applyAlignment="1">
      <alignment horizontal="right" vertical="top" wrapText="1"/>
    </xf>
    <xf numFmtId="165" fontId="5" fillId="0" borderId="18" xfId="0" applyNumberFormat="1" applyFont="1" applyBorder="1" applyAlignment="1">
      <alignment horizontal="right" vertical="top" wrapText="1"/>
    </xf>
    <xf numFmtId="0" fontId="9" fillId="0" borderId="19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11" fillId="0" borderId="20" xfId="0" applyFont="1" applyBorder="1"/>
    <xf numFmtId="0" fontId="3" fillId="0" borderId="20" xfId="0" applyFont="1" applyBorder="1"/>
    <xf numFmtId="165" fontId="3" fillId="0" borderId="20" xfId="0" applyNumberFormat="1" applyFont="1" applyBorder="1"/>
    <xf numFmtId="0" fontId="12" fillId="0" borderId="21" xfId="1" applyFont="1" applyBorder="1"/>
    <xf numFmtId="0" fontId="13" fillId="0" borderId="22" xfId="1" applyFont="1" applyBorder="1"/>
    <xf numFmtId="166" fontId="14" fillId="0" borderId="22" xfId="1" applyNumberFormat="1" applyFont="1" applyBorder="1"/>
    <xf numFmtId="166" fontId="14" fillId="0" borderId="23" xfId="1" applyNumberFormat="1" applyFont="1" applyBorder="1"/>
    <xf numFmtId="0" fontId="15" fillId="0" borderId="24" xfId="1" applyFont="1" applyBorder="1"/>
    <xf numFmtId="0" fontId="13" fillId="0" borderId="0" xfId="1" applyFont="1"/>
    <xf numFmtId="166" fontId="13" fillId="0" borderId="25" xfId="1" applyNumberFormat="1" applyFont="1" applyBorder="1"/>
    <xf numFmtId="15" fontId="13" fillId="0" borderId="24" xfId="1" applyNumberFormat="1" applyFont="1" applyBorder="1"/>
    <xf numFmtId="166" fontId="14" fillId="0" borderId="0" xfId="1" applyNumberFormat="1" applyFont="1"/>
    <xf numFmtId="0" fontId="13" fillId="0" borderId="26" xfId="1" applyFont="1" applyBorder="1"/>
    <xf numFmtId="0" fontId="13" fillId="0" borderId="27" xfId="1" applyFont="1" applyBorder="1"/>
    <xf numFmtId="166" fontId="13" fillId="0" borderId="28" xfId="1" applyNumberFormat="1" applyFont="1" applyBorder="1"/>
    <xf numFmtId="0" fontId="16" fillId="0" borderId="21" xfId="1" applyFont="1" applyBorder="1"/>
    <xf numFmtId="0" fontId="16" fillId="0" borderId="22" xfId="1" applyFont="1" applyBorder="1"/>
    <xf numFmtId="167" fontId="17" fillId="0" borderId="22" xfId="1" applyNumberFormat="1" applyFont="1" applyBorder="1"/>
    <xf numFmtId="10" fontId="17" fillId="0" borderId="23" xfId="1" applyNumberFormat="1" applyFont="1" applyBorder="1"/>
    <xf numFmtId="0" fontId="16" fillId="0" borderId="26" xfId="1" applyFont="1" applyBorder="1"/>
    <xf numFmtId="15" fontId="16" fillId="0" borderId="27" xfId="1" applyNumberFormat="1" applyFont="1" applyBorder="1"/>
    <xf numFmtId="167" fontId="13" fillId="0" borderId="28" xfId="1" applyNumberFormat="1" applyFont="1" applyBorder="1"/>
    <xf numFmtId="168" fontId="13" fillId="0" borderId="22" xfId="1" applyNumberFormat="1" applyFont="1" applyBorder="1"/>
    <xf numFmtId="0" fontId="3" fillId="0" borderId="22" xfId="1" applyFont="1" applyBorder="1"/>
    <xf numFmtId="0" fontId="13" fillId="0" borderId="24" xfId="1" applyFont="1" applyBorder="1"/>
    <xf numFmtId="168" fontId="13" fillId="0" borderId="0" xfId="2" applyNumberFormat="1" applyFont="1"/>
    <xf numFmtId="0" fontId="3" fillId="0" borderId="0" xfId="1" applyFont="1"/>
    <xf numFmtId="166" fontId="14" fillId="0" borderId="25" xfId="1" applyNumberFormat="1" applyFont="1" applyBorder="1"/>
    <xf numFmtId="168" fontId="13" fillId="0" borderId="0" xfId="3" applyNumberFormat="1" applyFont="1"/>
    <xf numFmtId="0" fontId="16" fillId="0" borderId="24" xfId="1" applyFont="1" applyBorder="1"/>
    <xf numFmtId="168" fontId="13" fillId="0" borderId="0" xfId="1" applyNumberFormat="1" applyFont="1" applyAlignment="1">
      <alignment horizontal="right"/>
    </xf>
    <xf numFmtId="168" fontId="13" fillId="0" borderId="27" xfId="1" applyNumberFormat="1" applyFont="1" applyBorder="1"/>
    <xf numFmtId="169" fontId="14" fillId="0" borderId="27" xfId="1" applyNumberFormat="1" applyFont="1" applyBorder="1"/>
    <xf numFmtId="166" fontId="14" fillId="0" borderId="28" xfId="1" applyNumberFormat="1" applyFont="1" applyBorder="1"/>
    <xf numFmtId="168" fontId="13" fillId="0" borderId="0" xfId="4" applyNumberFormat="1" applyFont="1" applyFill="1" applyBorder="1" applyAlignment="1"/>
    <xf numFmtId="168" fontId="13" fillId="0" borderId="0" xfId="1" applyNumberFormat="1" applyFont="1"/>
    <xf numFmtId="167" fontId="13" fillId="0" borderId="0" xfId="4" applyNumberFormat="1" applyFont="1" applyFill="1" applyBorder="1" applyAlignment="1"/>
    <xf numFmtId="0" fontId="13" fillId="0" borderId="25" xfId="1" applyFont="1" applyBorder="1"/>
    <xf numFmtId="170" fontId="18" fillId="0" borderId="0" xfId="1" applyNumberFormat="1" applyFont="1"/>
    <xf numFmtId="0" fontId="13" fillId="0" borderId="24" xfId="2" applyFont="1" applyBorder="1"/>
    <xf numFmtId="0" fontId="19" fillId="0" borderId="0" xfId="1" applyFont="1"/>
    <xf numFmtId="168" fontId="19" fillId="0" borderId="0" xfId="1" applyNumberFormat="1" applyFont="1"/>
    <xf numFmtId="0" fontId="18" fillId="0" borderId="25" xfId="1" applyFont="1" applyBorder="1"/>
    <xf numFmtId="166" fontId="13" fillId="0" borderId="0" xfId="1" applyNumberFormat="1" applyFont="1"/>
    <xf numFmtId="0" fontId="11" fillId="0" borderId="0" xfId="0" applyFont="1"/>
  </cellXfs>
  <cellStyles count="5">
    <cellStyle name="Comma 5" xfId="4" xr:uid="{EC7DE703-4FB6-4D47-BF06-EA5DEB9988BA}"/>
    <cellStyle name="Normal" xfId="0" builtinId="0"/>
    <cellStyle name="Normal 3 2 2" xfId="2" xr:uid="{5D0D4C41-042E-4555-B4FF-7217AC8DC813}"/>
    <cellStyle name="Normal 3 2 3" xfId="3" xr:uid="{B7D86AE9-C847-4A6E-AEA9-CB59996C135E}"/>
    <cellStyle name="Normal 7" xfId="1" xr:uid="{63DE8703-8842-4A40-83DF-F8F00A75CE9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127</xdr:row>
      <xdr:rowOff>0</xdr:rowOff>
    </xdr:from>
    <xdr:to>
      <xdr:col>1</xdr:col>
      <xdr:colOff>2857500</xdr:colOff>
      <xdr:row>137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AE18C3F-F671-4520-9EC9-B03C182FEB2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140458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127</xdr:row>
      <xdr:rowOff>0</xdr:rowOff>
    </xdr:from>
    <xdr:to>
      <xdr:col>7</xdr:col>
      <xdr:colOff>571500</xdr:colOff>
      <xdr:row>137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105FAB8-1B50-4B7E-B631-E0F135D1EB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3920" y="21404580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14EB5-566E-483E-84C6-6035713DC098}">
  <sheetPr codeName="Sheet55">
    <outlinePr summaryBelow="0"/>
  </sheetPr>
  <dimension ref="A1:H126"/>
  <sheetViews>
    <sheetView tabSelected="1" topLeftCell="A96" workbookViewId="0">
      <selection activeCell="A124" sqref="A124:XFD124"/>
    </sheetView>
  </sheetViews>
  <sheetFormatPr defaultRowHeight="13.8" x14ac:dyDescent="0.25"/>
  <cols>
    <col min="1" max="1" width="3.33203125" style="2" customWidth="1"/>
    <col min="2" max="2" width="58.88671875" style="2" customWidth="1"/>
    <col min="3" max="3" width="16.6640625" style="2" customWidth="1"/>
    <col min="4" max="4" width="28.44140625" style="2" customWidth="1"/>
    <col min="5" max="8" width="16.6640625" style="2" customWidth="1"/>
    <col min="9" max="16384" width="8.88671875" style="2"/>
  </cols>
  <sheetData>
    <row r="1" spans="1:8" x14ac:dyDescent="0.25">
      <c r="A1" s="1" t="s">
        <v>0</v>
      </c>
    </row>
    <row r="2" spans="1:8" ht="15.9" customHeight="1" x14ac:dyDescent="0.25">
      <c r="A2" s="3" t="s">
        <v>1</v>
      </c>
      <c r="B2" s="4" t="s">
        <v>2</v>
      </c>
      <c r="C2" s="4"/>
      <c r="D2" s="4"/>
      <c r="E2" s="4"/>
      <c r="F2" s="4"/>
      <c r="G2" s="4"/>
      <c r="H2" s="5"/>
    </row>
    <row r="3" spans="1:8" ht="12.9" customHeight="1" x14ac:dyDescent="0.25">
      <c r="A3" s="5"/>
      <c r="B3" s="4" t="s">
        <v>3</v>
      </c>
      <c r="C3" s="4"/>
      <c r="D3" s="4"/>
      <c r="E3" s="4"/>
      <c r="F3" s="4"/>
      <c r="G3" s="4"/>
      <c r="H3" s="5"/>
    </row>
    <row r="4" spans="1:8" ht="12.9" customHeight="1" thickBot="1" x14ac:dyDescent="0.3">
      <c r="A4" s="6"/>
      <c r="B4" s="5"/>
      <c r="C4" s="5"/>
      <c r="D4" s="5"/>
      <c r="E4" s="5"/>
      <c r="F4" s="5"/>
      <c r="G4" s="5"/>
      <c r="H4" s="5"/>
    </row>
    <row r="5" spans="1:8" ht="27.9" customHeight="1" x14ac:dyDescent="0.25">
      <c r="A5" s="5"/>
      <c r="B5" s="7" t="s">
        <v>4</v>
      </c>
      <c r="C5" s="8" t="s">
        <v>5</v>
      </c>
      <c r="D5" s="9" t="s">
        <v>6</v>
      </c>
      <c r="E5" s="10" t="s">
        <v>7</v>
      </c>
      <c r="F5" s="10" t="s">
        <v>8</v>
      </c>
      <c r="G5" s="10" t="s">
        <v>9</v>
      </c>
      <c r="H5" s="11" t="s">
        <v>10</v>
      </c>
    </row>
    <row r="6" spans="1:8" ht="12.9" customHeight="1" x14ac:dyDescent="0.25">
      <c r="A6" s="5"/>
      <c r="B6" s="12" t="s">
        <v>11</v>
      </c>
      <c r="C6" s="13"/>
      <c r="D6" s="14"/>
      <c r="E6" s="14"/>
      <c r="F6" s="14"/>
      <c r="G6" s="14"/>
      <c r="H6" s="15"/>
    </row>
    <row r="7" spans="1:8" ht="12.9" customHeight="1" x14ac:dyDescent="0.25">
      <c r="A7" s="5"/>
      <c r="B7" s="12" t="s">
        <v>12</v>
      </c>
      <c r="C7" s="13"/>
      <c r="D7" s="14"/>
      <c r="E7" s="14"/>
      <c r="F7" s="14"/>
      <c r="G7" s="14"/>
      <c r="H7" s="15"/>
    </row>
    <row r="8" spans="1:8" ht="12.9" customHeight="1" x14ac:dyDescent="0.25">
      <c r="A8" s="16" t="s">
        <v>13</v>
      </c>
      <c r="B8" s="17" t="s">
        <v>14</v>
      </c>
      <c r="C8" s="13" t="s">
        <v>15</v>
      </c>
      <c r="D8" s="14" t="s">
        <v>16</v>
      </c>
      <c r="E8" s="18">
        <v>366810</v>
      </c>
      <c r="F8" s="19">
        <v>3362.18</v>
      </c>
      <c r="G8" s="20">
        <v>9.2799999999999994E-2</v>
      </c>
      <c r="H8" s="21"/>
    </row>
    <row r="9" spans="1:8" ht="12.9" customHeight="1" x14ac:dyDescent="0.25">
      <c r="A9" s="16" t="s">
        <v>17</v>
      </c>
      <c r="B9" s="17" t="s">
        <v>18</v>
      </c>
      <c r="C9" s="13" t="s">
        <v>19</v>
      </c>
      <c r="D9" s="14" t="s">
        <v>20</v>
      </c>
      <c r="E9" s="18">
        <v>31428</v>
      </c>
      <c r="F9" s="19">
        <v>1722.19</v>
      </c>
      <c r="G9" s="20">
        <v>4.7500000000000001E-2</v>
      </c>
      <c r="H9" s="21"/>
    </row>
    <row r="10" spans="1:8" ht="12.9" customHeight="1" x14ac:dyDescent="0.25">
      <c r="A10" s="16" t="s">
        <v>21</v>
      </c>
      <c r="B10" s="17" t="s">
        <v>22</v>
      </c>
      <c r="C10" s="13" t="s">
        <v>23</v>
      </c>
      <c r="D10" s="14" t="s">
        <v>24</v>
      </c>
      <c r="E10" s="18">
        <v>61626</v>
      </c>
      <c r="F10" s="19">
        <v>1629.27</v>
      </c>
      <c r="G10" s="20">
        <v>4.4999999999999998E-2</v>
      </c>
      <c r="H10" s="21"/>
    </row>
    <row r="11" spans="1:8" ht="12.9" customHeight="1" x14ac:dyDescent="0.25">
      <c r="A11" s="16" t="s">
        <v>25</v>
      </c>
      <c r="B11" s="17" t="s">
        <v>26</v>
      </c>
      <c r="C11" s="13" t="s">
        <v>27</v>
      </c>
      <c r="D11" s="14" t="s">
        <v>16</v>
      </c>
      <c r="E11" s="18">
        <v>11979</v>
      </c>
      <c r="F11" s="19">
        <v>1578.77</v>
      </c>
      <c r="G11" s="20">
        <v>4.36E-2</v>
      </c>
      <c r="H11" s="21"/>
    </row>
    <row r="12" spans="1:8" ht="12.9" customHeight="1" x14ac:dyDescent="0.25">
      <c r="A12" s="16" t="s">
        <v>28</v>
      </c>
      <c r="B12" s="17" t="s">
        <v>29</v>
      </c>
      <c r="C12" s="13" t="s">
        <v>30</v>
      </c>
      <c r="D12" s="14" t="s">
        <v>31</v>
      </c>
      <c r="E12" s="18">
        <v>11427</v>
      </c>
      <c r="F12" s="19">
        <v>1445.93</v>
      </c>
      <c r="G12" s="20">
        <v>3.9899999999999998E-2</v>
      </c>
      <c r="H12" s="21"/>
    </row>
    <row r="13" spans="1:8" ht="12.9" customHeight="1" x14ac:dyDescent="0.25">
      <c r="A13" s="16" t="s">
        <v>32</v>
      </c>
      <c r="B13" s="17" t="s">
        <v>33</v>
      </c>
      <c r="C13" s="13" t="s">
        <v>34</v>
      </c>
      <c r="D13" s="14" t="s">
        <v>35</v>
      </c>
      <c r="E13" s="18">
        <v>157979</v>
      </c>
      <c r="F13" s="19">
        <v>1237.69</v>
      </c>
      <c r="G13" s="20">
        <v>3.4200000000000001E-2</v>
      </c>
      <c r="H13" s="21"/>
    </row>
    <row r="14" spans="1:8" ht="12.9" customHeight="1" x14ac:dyDescent="0.25">
      <c r="A14" s="16" t="s">
        <v>36</v>
      </c>
      <c r="B14" s="17" t="s">
        <v>37</v>
      </c>
      <c r="C14" s="13" t="s">
        <v>38</v>
      </c>
      <c r="D14" s="14" t="s">
        <v>39</v>
      </c>
      <c r="E14" s="18">
        <v>145711</v>
      </c>
      <c r="F14" s="19">
        <v>1173.6300000000001</v>
      </c>
      <c r="G14" s="20">
        <v>3.2399999999999998E-2</v>
      </c>
      <c r="H14" s="21"/>
    </row>
    <row r="15" spans="1:8" ht="12.9" customHeight="1" x14ac:dyDescent="0.25">
      <c r="A15" s="16" t="s">
        <v>40</v>
      </c>
      <c r="B15" s="17" t="s">
        <v>41</v>
      </c>
      <c r="C15" s="13" t="s">
        <v>42</v>
      </c>
      <c r="D15" s="14" t="s">
        <v>43</v>
      </c>
      <c r="E15" s="18">
        <v>342432</v>
      </c>
      <c r="F15" s="19">
        <v>1165.1199999999999</v>
      </c>
      <c r="G15" s="20">
        <v>3.2199999999999999E-2</v>
      </c>
      <c r="H15" s="21"/>
    </row>
    <row r="16" spans="1:8" ht="12.9" customHeight="1" x14ac:dyDescent="0.25">
      <c r="A16" s="16" t="s">
        <v>44</v>
      </c>
      <c r="B16" s="17" t="s">
        <v>45</v>
      </c>
      <c r="C16" s="13" t="s">
        <v>46</v>
      </c>
      <c r="D16" s="14" t="s">
        <v>47</v>
      </c>
      <c r="E16" s="18">
        <v>44422</v>
      </c>
      <c r="F16" s="19">
        <v>1058.53</v>
      </c>
      <c r="G16" s="20">
        <v>2.92E-2</v>
      </c>
      <c r="H16" s="21"/>
    </row>
    <row r="17" spans="1:8" ht="12.9" customHeight="1" x14ac:dyDescent="0.25">
      <c r="A17" s="16" t="s">
        <v>48</v>
      </c>
      <c r="B17" s="17" t="s">
        <v>49</v>
      </c>
      <c r="C17" s="13" t="s">
        <v>50</v>
      </c>
      <c r="D17" s="14" t="s">
        <v>16</v>
      </c>
      <c r="E17" s="18">
        <v>13048</v>
      </c>
      <c r="F17" s="19">
        <v>940.87</v>
      </c>
      <c r="G17" s="20">
        <v>2.5999999999999999E-2</v>
      </c>
      <c r="H17" s="21"/>
    </row>
    <row r="18" spans="1:8" ht="12.9" customHeight="1" x14ac:dyDescent="0.25">
      <c r="A18" s="16" t="s">
        <v>51</v>
      </c>
      <c r="B18" s="17" t="s">
        <v>52</v>
      </c>
      <c r="C18" s="13" t="s">
        <v>53</v>
      </c>
      <c r="D18" s="14" t="s">
        <v>54</v>
      </c>
      <c r="E18" s="18">
        <v>15808</v>
      </c>
      <c r="F18" s="19">
        <v>912.98</v>
      </c>
      <c r="G18" s="20">
        <v>2.52E-2</v>
      </c>
      <c r="H18" s="21"/>
    </row>
    <row r="19" spans="1:8" ht="12.9" customHeight="1" x14ac:dyDescent="0.25">
      <c r="A19" s="16" t="s">
        <v>55</v>
      </c>
      <c r="B19" s="17" t="s">
        <v>56</v>
      </c>
      <c r="C19" s="13" t="s">
        <v>57</v>
      </c>
      <c r="D19" s="14" t="s">
        <v>58</v>
      </c>
      <c r="E19" s="18">
        <v>127973</v>
      </c>
      <c r="F19" s="19">
        <v>893.7</v>
      </c>
      <c r="G19" s="20">
        <v>2.47E-2</v>
      </c>
      <c r="H19" s="21"/>
    </row>
    <row r="20" spans="1:8" ht="12.9" customHeight="1" x14ac:dyDescent="0.25">
      <c r="A20" s="16" t="s">
        <v>59</v>
      </c>
      <c r="B20" s="17" t="s">
        <v>60</v>
      </c>
      <c r="C20" s="13" t="s">
        <v>61</v>
      </c>
      <c r="D20" s="14" t="s">
        <v>20</v>
      </c>
      <c r="E20" s="18">
        <v>141397</v>
      </c>
      <c r="F20" s="19">
        <v>870.09</v>
      </c>
      <c r="G20" s="20">
        <v>2.4E-2</v>
      </c>
      <c r="H20" s="21"/>
    </row>
    <row r="21" spans="1:8" ht="12.9" customHeight="1" x14ac:dyDescent="0.25">
      <c r="A21" s="16" t="s">
        <v>62</v>
      </c>
      <c r="B21" s="17" t="s">
        <v>63</v>
      </c>
      <c r="C21" s="13" t="s">
        <v>64</v>
      </c>
      <c r="D21" s="14" t="s">
        <v>65</v>
      </c>
      <c r="E21" s="18">
        <v>186206</v>
      </c>
      <c r="F21" s="19">
        <v>862.88</v>
      </c>
      <c r="G21" s="20">
        <v>2.3800000000000002E-2</v>
      </c>
      <c r="H21" s="21"/>
    </row>
    <row r="22" spans="1:8" ht="12.9" customHeight="1" x14ac:dyDescent="0.25">
      <c r="A22" s="16" t="s">
        <v>66</v>
      </c>
      <c r="B22" s="17" t="s">
        <v>67</v>
      </c>
      <c r="C22" s="13" t="s">
        <v>68</v>
      </c>
      <c r="D22" s="14" t="s">
        <v>16</v>
      </c>
      <c r="E22" s="18">
        <v>39135</v>
      </c>
      <c r="F22" s="19">
        <v>836.08</v>
      </c>
      <c r="G22" s="20">
        <v>2.3099999999999999E-2</v>
      </c>
      <c r="H22" s="21"/>
    </row>
    <row r="23" spans="1:8" ht="12.9" customHeight="1" x14ac:dyDescent="0.25">
      <c r="A23" s="16" t="s">
        <v>69</v>
      </c>
      <c r="B23" s="17" t="s">
        <v>70</v>
      </c>
      <c r="C23" s="13" t="s">
        <v>71</v>
      </c>
      <c r="D23" s="14" t="s">
        <v>24</v>
      </c>
      <c r="E23" s="18">
        <v>57549</v>
      </c>
      <c r="F23" s="19">
        <v>810.23</v>
      </c>
      <c r="G23" s="20">
        <v>2.24E-2</v>
      </c>
      <c r="H23" s="21"/>
    </row>
    <row r="24" spans="1:8" ht="12.9" customHeight="1" x14ac:dyDescent="0.25">
      <c r="A24" s="16" t="s">
        <v>72</v>
      </c>
      <c r="B24" s="17" t="s">
        <v>73</v>
      </c>
      <c r="C24" s="13" t="s">
        <v>74</v>
      </c>
      <c r="D24" s="14" t="s">
        <v>75</v>
      </c>
      <c r="E24" s="18">
        <v>1829869</v>
      </c>
      <c r="F24" s="19">
        <v>786.48</v>
      </c>
      <c r="G24" s="20">
        <v>2.1700000000000001E-2</v>
      </c>
      <c r="H24" s="21"/>
    </row>
    <row r="25" spans="1:8" ht="12.9" customHeight="1" x14ac:dyDescent="0.25">
      <c r="A25" s="16" t="s">
        <v>76</v>
      </c>
      <c r="B25" s="17" t="s">
        <v>77</v>
      </c>
      <c r="C25" s="13" t="s">
        <v>78</v>
      </c>
      <c r="D25" s="14" t="s">
        <v>31</v>
      </c>
      <c r="E25" s="18">
        <v>49914</v>
      </c>
      <c r="F25" s="19">
        <v>778.03</v>
      </c>
      <c r="G25" s="20">
        <v>2.1499999999999998E-2</v>
      </c>
      <c r="H25" s="21"/>
    </row>
    <row r="26" spans="1:8" ht="12.9" customHeight="1" x14ac:dyDescent="0.25">
      <c r="A26" s="16" t="s">
        <v>79</v>
      </c>
      <c r="B26" s="17" t="s">
        <v>80</v>
      </c>
      <c r="C26" s="13" t="s">
        <v>81</v>
      </c>
      <c r="D26" s="14" t="s">
        <v>82</v>
      </c>
      <c r="E26" s="18">
        <v>14686</v>
      </c>
      <c r="F26" s="19">
        <v>751.24</v>
      </c>
      <c r="G26" s="20">
        <v>2.07E-2</v>
      </c>
      <c r="H26" s="21"/>
    </row>
    <row r="27" spans="1:8" ht="12.9" customHeight="1" x14ac:dyDescent="0.25">
      <c r="A27" s="16" t="s">
        <v>83</v>
      </c>
      <c r="B27" s="17" t="s">
        <v>84</v>
      </c>
      <c r="C27" s="13" t="s">
        <v>85</v>
      </c>
      <c r="D27" s="14" t="s">
        <v>24</v>
      </c>
      <c r="E27" s="18">
        <v>15818</v>
      </c>
      <c r="F27" s="19">
        <v>750.94</v>
      </c>
      <c r="G27" s="20">
        <v>2.07E-2</v>
      </c>
      <c r="H27" s="21"/>
    </row>
    <row r="28" spans="1:8" ht="12.9" customHeight="1" x14ac:dyDescent="0.25">
      <c r="A28" s="16" t="s">
        <v>86</v>
      </c>
      <c r="B28" s="17" t="s">
        <v>87</v>
      </c>
      <c r="C28" s="13" t="s">
        <v>88</v>
      </c>
      <c r="D28" s="14" t="s">
        <v>54</v>
      </c>
      <c r="E28" s="18">
        <v>334061</v>
      </c>
      <c r="F28" s="19">
        <v>750.8</v>
      </c>
      <c r="G28" s="20">
        <v>2.07E-2</v>
      </c>
      <c r="H28" s="21"/>
    </row>
    <row r="29" spans="1:8" ht="12.9" customHeight="1" x14ac:dyDescent="0.25">
      <c r="A29" s="16" t="s">
        <v>89</v>
      </c>
      <c r="B29" s="17" t="s">
        <v>90</v>
      </c>
      <c r="C29" s="13" t="s">
        <v>91</v>
      </c>
      <c r="D29" s="14" t="s">
        <v>54</v>
      </c>
      <c r="E29" s="18">
        <v>46220</v>
      </c>
      <c r="F29" s="19">
        <v>712.27</v>
      </c>
      <c r="G29" s="20">
        <v>1.9699999999999999E-2</v>
      </c>
      <c r="H29" s="21"/>
    </row>
    <row r="30" spans="1:8" ht="12.9" customHeight="1" x14ac:dyDescent="0.25">
      <c r="A30" s="16" t="s">
        <v>92</v>
      </c>
      <c r="B30" s="17" t="s">
        <v>93</v>
      </c>
      <c r="C30" s="13" t="s">
        <v>94</v>
      </c>
      <c r="D30" s="14" t="s">
        <v>95</v>
      </c>
      <c r="E30" s="18">
        <v>40746</v>
      </c>
      <c r="F30" s="19">
        <v>706.29</v>
      </c>
      <c r="G30" s="20">
        <v>1.95E-2</v>
      </c>
      <c r="H30" s="21"/>
    </row>
    <row r="31" spans="1:8" ht="12.9" customHeight="1" x14ac:dyDescent="0.25">
      <c r="A31" s="16" t="s">
        <v>96</v>
      </c>
      <c r="B31" s="17" t="s">
        <v>97</v>
      </c>
      <c r="C31" s="13" t="s">
        <v>98</v>
      </c>
      <c r="D31" s="14" t="s">
        <v>99</v>
      </c>
      <c r="E31" s="18">
        <v>191946</v>
      </c>
      <c r="F31" s="19">
        <v>675.36</v>
      </c>
      <c r="G31" s="20">
        <v>1.8599999999999998E-2</v>
      </c>
      <c r="H31" s="21"/>
    </row>
    <row r="32" spans="1:8" ht="12.9" customHeight="1" x14ac:dyDescent="0.25">
      <c r="A32" s="16" t="s">
        <v>100</v>
      </c>
      <c r="B32" s="17" t="s">
        <v>101</v>
      </c>
      <c r="C32" s="13" t="s">
        <v>102</v>
      </c>
      <c r="D32" s="14" t="s">
        <v>20</v>
      </c>
      <c r="E32" s="18">
        <v>12699</v>
      </c>
      <c r="F32" s="19">
        <v>674.54</v>
      </c>
      <c r="G32" s="20">
        <v>1.8599999999999998E-2</v>
      </c>
      <c r="H32" s="21"/>
    </row>
    <row r="33" spans="1:8" ht="12.9" customHeight="1" x14ac:dyDescent="0.25">
      <c r="A33" s="16" t="s">
        <v>103</v>
      </c>
      <c r="B33" s="17" t="s">
        <v>104</v>
      </c>
      <c r="C33" s="13" t="s">
        <v>105</v>
      </c>
      <c r="D33" s="14" t="s">
        <v>106</v>
      </c>
      <c r="E33" s="18">
        <v>23614</v>
      </c>
      <c r="F33" s="19">
        <v>629.5</v>
      </c>
      <c r="G33" s="20">
        <v>1.7399999999999999E-2</v>
      </c>
      <c r="H33" s="21"/>
    </row>
    <row r="34" spans="1:8" ht="12.9" customHeight="1" x14ac:dyDescent="0.25">
      <c r="A34" s="16" t="s">
        <v>107</v>
      </c>
      <c r="B34" s="17" t="s">
        <v>108</v>
      </c>
      <c r="C34" s="13" t="s">
        <v>109</v>
      </c>
      <c r="D34" s="14" t="s">
        <v>110</v>
      </c>
      <c r="E34" s="18">
        <v>8654</v>
      </c>
      <c r="F34" s="19">
        <v>621.48</v>
      </c>
      <c r="G34" s="20">
        <v>1.72E-2</v>
      </c>
      <c r="H34" s="21"/>
    </row>
    <row r="35" spans="1:8" ht="12.9" customHeight="1" x14ac:dyDescent="0.25">
      <c r="A35" s="16" t="s">
        <v>111</v>
      </c>
      <c r="B35" s="17" t="s">
        <v>112</v>
      </c>
      <c r="C35" s="13" t="s">
        <v>113</v>
      </c>
      <c r="D35" s="14" t="s">
        <v>114</v>
      </c>
      <c r="E35" s="18">
        <v>97600</v>
      </c>
      <c r="F35" s="19">
        <v>620.98</v>
      </c>
      <c r="G35" s="20">
        <v>1.7100000000000001E-2</v>
      </c>
      <c r="H35" s="21"/>
    </row>
    <row r="36" spans="1:8" ht="12.9" customHeight="1" x14ac:dyDescent="0.25">
      <c r="A36" s="16" t="s">
        <v>115</v>
      </c>
      <c r="B36" s="17" t="s">
        <v>116</v>
      </c>
      <c r="C36" s="13" t="s">
        <v>117</v>
      </c>
      <c r="D36" s="14" t="s">
        <v>118</v>
      </c>
      <c r="E36" s="18">
        <v>90431</v>
      </c>
      <c r="F36" s="19">
        <v>600.78</v>
      </c>
      <c r="G36" s="20">
        <v>1.66E-2</v>
      </c>
      <c r="H36" s="21"/>
    </row>
    <row r="37" spans="1:8" ht="12.9" customHeight="1" x14ac:dyDescent="0.25">
      <c r="A37" s="16" t="s">
        <v>119</v>
      </c>
      <c r="B37" s="17" t="s">
        <v>120</v>
      </c>
      <c r="C37" s="13" t="s">
        <v>121</v>
      </c>
      <c r="D37" s="14" t="s">
        <v>110</v>
      </c>
      <c r="E37" s="18">
        <v>294272</v>
      </c>
      <c r="F37" s="19">
        <v>593.54999999999995</v>
      </c>
      <c r="G37" s="20">
        <v>1.6400000000000001E-2</v>
      </c>
      <c r="H37" s="21"/>
    </row>
    <row r="38" spans="1:8" ht="12.9" customHeight="1" x14ac:dyDescent="0.25">
      <c r="A38" s="16" t="s">
        <v>122</v>
      </c>
      <c r="B38" s="17" t="s">
        <v>123</v>
      </c>
      <c r="C38" s="13" t="s">
        <v>124</v>
      </c>
      <c r="D38" s="14" t="s">
        <v>47</v>
      </c>
      <c r="E38" s="18">
        <v>6474</v>
      </c>
      <c r="F38" s="19">
        <v>579.14</v>
      </c>
      <c r="G38" s="20">
        <v>1.6E-2</v>
      </c>
      <c r="H38" s="21"/>
    </row>
    <row r="39" spans="1:8" ht="12.9" customHeight="1" x14ac:dyDescent="0.25">
      <c r="A39" s="16" t="s">
        <v>125</v>
      </c>
      <c r="B39" s="17" t="s">
        <v>126</v>
      </c>
      <c r="C39" s="13" t="s">
        <v>127</v>
      </c>
      <c r="D39" s="14" t="s">
        <v>95</v>
      </c>
      <c r="E39" s="18">
        <v>170848</v>
      </c>
      <c r="F39" s="19">
        <v>571.14</v>
      </c>
      <c r="G39" s="20">
        <v>1.5800000000000002E-2</v>
      </c>
      <c r="H39" s="21"/>
    </row>
    <row r="40" spans="1:8" ht="12.9" customHeight="1" x14ac:dyDescent="0.25">
      <c r="A40" s="16" t="s">
        <v>128</v>
      </c>
      <c r="B40" s="17" t="s">
        <v>129</v>
      </c>
      <c r="C40" s="13" t="s">
        <v>130</v>
      </c>
      <c r="D40" s="14" t="s">
        <v>20</v>
      </c>
      <c r="E40" s="18">
        <v>48253</v>
      </c>
      <c r="F40" s="19">
        <v>496.81</v>
      </c>
      <c r="G40" s="20">
        <v>1.37E-2</v>
      </c>
      <c r="H40" s="21"/>
    </row>
    <row r="41" spans="1:8" ht="12.9" customHeight="1" x14ac:dyDescent="0.25">
      <c r="A41" s="16" t="s">
        <v>131</v>
      </c>
      <c r="B41" s="17" t="s">
        <v>132</v>
      </c>
      <c r="C41" s="13" t="s">
        <v>133</v>
      </c>
      <c r="D41" s="14" t="s">
        <v>110</v>
      </c>
      <c r="E41" s="18">
        <v>9218</v>
      </c>
      <c r="F41" s="19">
        <v>490.87</v>
      </c>
      <c r="G41" s="20">
        <v>1.3599999999999999E-2</v>
      </c>
      <c r="H41" s="21"/>
    </row>
    <row r="42" spans="1:8" ht="12.9" customHeight="1" x14ac:dyDescent="0.25">
      <c r="A42" s="16" t="s">
        <v>134</v>
      </c>
      <c r="B42" s="17" t="s">
        <v>135</v>
      </c>
      <c r="C42" s="13" t="s">
        <v>136</v>
      </c>
      <c r="D42" s="14" t="s">
        <v>137</v>
      </c>
      <c r="E42" s="18">
        <v>157628</v>
      </c>
      <c r="F42" s="19">
        <v>474.96</v>
      </c>
      <c r="G42" s="20">
        <v>1.3100000000000001E-2</v>
      </c>
      <c r="H42" s="21"/>
    </row>
    <row r="43" spans="1:8" ht="12.9" customHeight="1" x14ac:dyDescent="0.25">
      <c r="A43" s="16" t="s">
        <v>138</v>
      </c>
      <c r="B43" s="17" t="s">
        <v>139</v>
      </c>
      <c r="C43" s="13" t="s">
        <v>140</v>
      </c>
      <c r="D43" s="14" t="s">
        <v>35</v>
      </c>
      <c r="E43" s="18">
        <v>29415</v>
      </c>
      <c r="F43" s="19">
        <v>467.62</v>
      </c>
      <c r="G43" s="20">
        <v>1.29E-2</v>
      </c>
      <c r="H43" s="21"/>
    </row>
    <row r="44" spans="1:8" ht="12.9" customHeight="1" x14ac:dyDescent="0.25">
      <c r="A44" s="16" t="s">
        <v>141</v>
      </c>
      <c r="B44" s="17" t="s">
        <v>142</v>
      </c>
      <c r="C44" s="13" t="s">
        <v>143</v>
      </c>
      <c r="D44" s="14" t="s">
        <v>16</v>
      </c>
      <c r="E44" s="18">
        <v>24585</v>
      </c>
      <c r="F44" s="19">
        <v>358.62</v>
      </c>
      <c r="G44" s="20">
        <v>9.9000000000000008E-3</v>
      </c>
      <c r="H44" s="21"/>
    </row>
    <row r="45" spans="1:8" ht="12.9" customHeight="1" x14ac:dyDescent="0.25">
      <c r="A45" s="16" t="s">
        <v>144</v>
      </c>
      <c r="B45" s="17" t="s">
        <v>145</v>
      </c>
      <c r="C45" s="13" t="s">
        <v>146</v>
      </c>
      <c r="D45" s="14" t="s">
        <v>147</v>
      </c>
      <c r="E45" s="18">
        <v>198434</v>
      </c>
      <c r="F45" s="19">
        <v>348.31</v>
      </c>
      <c r="G45" s="20">
        <v>9.5999999999999992E-3</v>
      </c>
      <c r="H45" s="21"/>
    </row>
    <row r="46" spans="1:8" ht="12.9" customHeight="1" x14ac:dyDescent="0.25">
      <c r="A46" s="16" t="s">
        <v>148</v>
      </c>
      <c r="B46" s="17" t="s">
        <v>149</v>
      </c>
      <c r="C46" s="13" t="s">
        <v>150</v>
      </c>
      <c r="D46" s="14" t="s">
        <v>75</v>
      </c>
      <c r="E46" s="18">
        <v>22741</v>
      </c>
      <c r="F46" s="19">
        <v>338.12</v>
      </c>
      <c r="G46" s="20">
        <v>9.2999999999999992E-3</v>
      </c>
      <c r="H46" s="21"/>
    </row>
    <row r="47" spans="1:8" ht="12.9" customHeight="1" x14ac:dyDescent="0.25">
      <c r="A47" s="16" t="s">
        <v>151</v>
      </c>
      <c r="B47" s="17" t="s">
        <v>152</v>
      </c>
      <c r="C47" s="13" t="s">
        <v>153</v>
      </c>
      <c r="D47" s="14" t="s">
        <v>20</v>
      </c>
      <c r="E47" s="18">
        <v>27222</v>
      </c>
      <c r="F47" s="19">
        <v>332.12</v>
      </c>
      <c r="G47" s="20">
        <v>9.1999999999999998E-3</v>
      </c>
      <c r="H47" s="21"/>
    </row>
    <row r="48" spans="1:8" ht="12.9" customHeight="1" x14ac:dyDescent="0.25">
      <c r="A48" s="16" t="s">
        <v>154</v>
      </c>
      <c r="B48" s="17" t="s">
        <v>155</v>
      </c>
      <c r="C48" s="13" t="s">
        <v>156</v>
      </c>
      <c r="D48" s="14" t="s">
        <v>16</v>
      </c>
      <c r="E48" s="18">
        <v>69996</v>
      </c>
      <c r="F48" s="19">
        <v>327.06</v>
      </c>
      <c r="G48" s="20">
        <v>8.9999999999999993E-3</v>
      </c>
      <c r="H48" s="21"/>
    </row>
    <row r="49" spans="1:8" ht="12.9" customHeight="1" x14ac:dyDescent="0.25">
      <c r="A49" s="16" t="s">
        <v>157</v>
      </c>
      <c r="B49" s="17" t="s">
        <v>158</v>
      </c>
      <c r="C49" s="13" t="s">
        <v>159</v>
      </c>
      <c r="D49" s="14" t="s">
        <v>54</v>
      </c>
      <c r="E49" s="18">
        <v>14169</v>
      </c>
      <c r="F49" s="19">
        <v>287.33999999999997</v>
      </c>
      <c r="G49" s="20">
        <v>7.9000000000000008E-3</v>
      </c>
      <c r="H49" s="21"/>
    </row>
    <row r="50" spans="1:8" ht="12.9" customHeight="1" x14ac:dyDescent="0.25">
      <c r="A50" s="16" t="s">
        <v>160</v>
      </c>
      <c r="B50" s="17" t="s">
        <v>161</v>
      </c>
      <c r="C50" s="13" t="s">
        <v>162</v>
      </c>
      <c r="D50" s="14" t="s">
        <v>163</v>
      </c>
      <c r="E50" s="18">
        <v>14021</v>
      </c>
      <c r="F50" s="19">
        <v>230.41</v>
      </c>
      <c r="G50" s="20">
        <v>6.4000000000000003E-3</v>
      </c>
      <c r="H50" s="21"/>
    </row>
    <row r="51" spans="1:8" ht="12.9" customHeight="1" x14ac:dyDescent="0.25">
      <c r="A51" s="16" t="s">
        <v>164</v>
      </c>
      <c r="B51" s="17" t="s">
        <v>165</v>
      </c>
      <c r="C51" s="13" t="s">
        <v>166</v>
      </c>
      <c r="D51" s="14" t="s">
        <v>167</v>
      </c>
      <c r="E51" s="18">
        <v>49955</v>
      </c>
      <c r="F51" s="19">
        <v>211.98</v>
      </c>
      <c r="G51" s="20">
        <v>5.8999999999999999E-3</v>
      </c>
      <c r="H51" s="21"/>
    </row>
    <row r="52" spans="1:8" ht="12.9" customHeight="1" x14ac:dyDescent="0.25">
      <c r="A52" s="16" t="s">
        <v>168</v>
      </c>
      <c r="B52" s="17" t="s">
        <v>169</v>
      </c>
      <c r="C52" s="13" t="s">
        <v>170</v>
      </c>
      <c r="D52" s="14" t="s">
        <v>31</v>
      </c>
      <c r="E52" s="18">
        <v>362433</v>
      </c>
      <c r="F52" s="19">
        <v>205.35</v>
      </c>
      <c r="G52" s="20">
        <v>5.7000000000000002E-3</v>
      </c>
      <c r="H52" s="21"/>
    </row>
    <row r="53" spans="1:8" ht="12.9" customHeight="1" x14ac:dyDescent="0.25">
      <c r="A53" s="16" t="s">
        <v>171</v>
      </c>
      <c r="B53" s="17" t="s">
        <v>172</v>
      </c>
      <c r="C53" s="13" t="s">
        <v>173</v>
      </c>
      <c r="D53" s="14" t="s">
        <v>137</v>
      </c>
      <c r="E53" s="18">
        <v>13301</v>
      </c>
      <c r="F53" s="19">
        <v>170.44</v>
      </c>
      <c r="G53" s="20">
        <v>4.7000000000000002E-3</v>
      </c>
      <c r="H53" s="21"/>
    </row>
    <row r="54" spans="1:8" ht="12.9" customHeight="1" x14ac:dyDescent="0.25">
      <c r="A54" s="16" t="s">
        <v>174</v>
      </c>
      <c r="B54" s="17" t="s">
        <v>175</v>
      </c>
      <c r="C54" s="13" t="s">
        <v>176</v>
      </c>
      <c r="D54" s="14" t="s">
        <v>47</v>
      </c>
      <c r="E54" s="18">
        <v>70540</v>
      </c>
      <c r="F54" s="19">
        <v>113.28</v>
      </c>
      <c r="G54" s="20">
        <v>3.0999999999999999E-3</v>
      </c>
      <c r="H54" s="21"/>
    </row>
    <row r="55" spans="1:8" ht="12.9" customHeight="1" x14ac:dyDescent="0.25">
      <c r="A55" s="16" t="s">
        <v>177</v>
      </c>
      <c r="B55" s="17" t="s">
        <v>178</v>
      </c>
      <c r="C55" s="13" t="s">
        <v>179</v>
      </c>
      <c r="D55" s="14" t="s">
        <v>137</v>
      </c>
      <c r="E55" s="18">
        <v>1837</v>
      </c>
      <c r="F55" s="19">
        <v>76.739999999999995</v>
      </c>
      <c r="G55" s="20">
        <v>2.0999999999999999E-3</v>
      </c>
      <c r="H55" s="21"/>
    </row>
    <row r="56" spans="1:8" ht="12.9" customHeight="1" x14ac:dyDescent="0.25">
      <c r="A56" s="16" t="s">
        <v>180</v>
      </c>
      <c r="B56" s="17" t="s">
        <v>181</v>
      </c>
      <c r="C56" s="13" t="s">
        <v>182</v>
      </c>
      <c r="D56" s="14" t="s">
        <v>31</v>
      </c>
      <c r="E56" s="18">
        <v>17281</v>
      </c>
      <c r="F56" s="19">
        <v>28.17</v>
      </c>
      <c r="G56" s="20">
        <v>8.0000000000000004E-4</v>
      </c>
      <c r="H56" s="21"/>
    </row>
    <row r="57" spans="1:8" ht="12.9" customHeight="1" x14ac:dyDescent="0.25">
      <c r="A57" s="16" t="s">
        <v>183</v>
      </c>
      <c r="B57" s="17" t="s">
        <v>184</v>
      </c>
      <c r="C57" s="13" t="s">
        <v>185</v>
      </c>
      <c r="D57" s="14" t="s">
        <v>186</v>
      </c>
      <c r="E57" s="18">
        <v>335</v>
      </c>
      <c r="F57" s="19">
        <v>26.3</v>
      </c>
      <c r="G57" s="20">
        <v>6.9999999999999999E-4</v>
      </c>
      <c r="H57" s="21"/>
    </row>
    <row r="58" spans="1:8" ht="12.9" customHeight="1" x14ac:dyDescent="0.25">
      <c r="A58" s="5"/>
      <c r="B58" s="22" t="s">
        <v>187</v>
      </c>
      <c r="C58" s="23"/>
      <c r="D58" s="22"/>
      <c r="E58" s="22"/>
      <c r="F58" s="24">
        <v>36287.160000000003</v>
      </c>
      <c r="G58" s="25">
        <v>1.0018</v>
      </c>
      <c r="H58" s="26"/>
    </row>
    <row r="59" spans="1:8" ht="12.9" customHeight="1" x14ac:dyDescent="0.25">
      <c r="A59" s="5"/>
      <c r="B59" s="12" t="s">
        <v>188</v>
      </c>
      <c r="C59" s="27"/>
      <c r="D59" s="28"/>
      <c r="E59" s="28"/>
      <c r="F59" s="29" t="s">
        <v>189</v>
      </c>
      <c r="G59" s="29" t="s">
        <v>189</v>
      </c>
      <c r="H59" s="26" t="s">
        <v>189</v>
      </c>
    </row>
    <row r="60" spans="1:8" ht="12.9" customHeight="1" x14ac:dyDescent="0.25">
      <c r="A60" s="5"/>
      <c r="B60" s="22" t="s">
        <v>187</v>
      </c>
      <c r="C60" s="27"/>
      <c r="D60" s="28"/>
      <c r="E60" s="28"/>
      <c r="F60" s="29" t="s">
        <v>189</v>
      </c>
      <c r="G60" s="29" t="s">
        <v>189</v>
      </c>
      <c r="H60" s="26" t="s">
        <v>189</v>
      </c>
    </row>
    <row r="61" spans="1:8" ht="12.9" customHeight="1" x14ac:dyDescent="0.25">
      <c r="A61" s="5"/>
      <c r="B61" s="22" t="s">
        <v>190</v>
      </c>
      <c r="C61" s="27"/>
      <c r="D61" s="28"/>
      <c r="E61" s="30"/>
      <c r="F61" s="31">
        <v>36287.160000000003</v>
      </c>
      <c r="G61" s="32">
        <v>1.0018</v>
      </c>
      <c r="H61" s="33"/>
    </row>
    <row r="62" spans="1:8" ht="12.9" customHeight="1" x14ac:dyDescent="0.25">
      <c r="A62" s="5"/>
      <c r="B62" s="12" t="s">
        <v>191</v>
      </c>
      <c r="C62" s="13"/>
      <c r="D62" s="14"/>
      <c r="E62" s="14"/>
      <c r="F62" s="14"/>
      <c r="G62" s="14"/>
      <c r="H62" s="15"/>
    </row>
    <row r="63" spans="1:8" ht="12.9" customHeight="1" x14ac:dyDescent="0.25">
      <c r="A63" s="5"/>
      <c r="B63" s="34" t="s">
        <v>192</v>
      </c>
      <c r="C63" s="13"/>
      <c r="D63" s="14"/>
      <c r="E63" s="14"/>
      <c r="F63" s="14"/>
      <c r="G63" s="14"/>
      <c r="H63" s="15"/>
    </row>
    <row r="64" spans="1:8" ht="12.9" customHeight="1" x14ac:dyDescent="0.25">
      <c r="A64" s="16" t="s">
        <v>193</v>
      </c>
      <c r="B64" s="17" t="s">
        <v>194</v>
      </c>
      <c r="C64" s="13"/>
      <c r="D64" s="14"/>
      <c r="E64" s="35"/>
      <c r="F64" s="19">
        <v>290.45</v>
      </c>
      <c r="G64" s="20">
        <v>8.0000000000000002E-3</v>
      </c>
      <c r="H64" s="21">
        <v>6.6806964459265011E-2</v>
      </c>
    </row>
    <row r="65" spans="1:8" ht="12.9" customHeight="1" x14ac:dyDescent="0.25">
      <c r="A65" s="5"/>
      <c r="B65" s="22" t="s">
        <v>190</v>
      </c>
      <c r="C65" s="27"/>
      <c r="D65" s="28"/>
      <c r="E65" s="30"/>
      <c r="F65" s="31">
        <v>290.45</v>
      </c>
      <c r="G65" s="32">
        <v>8.0000000000000002E-3</v>
      </c>
      <c r="H65" s="33"/>
    </row>
    <row r="66" spans="1:8" ht="12.9" customHeight="1" x14ac:dyDescent="0.25">
      <c r="A66" s="5"/>
      <c r="B66" s="34" t="s">
        <v>195</v>
      </c>
      <c r="C66" s="36"/>
      <c r="D66" s="37"/>
      <c r="E66" s="37"/>
      <c r="F66" s="37"/>
      <c r="G66" s="37"/>
      <c r="H66" s="38"/>
    </row>
    <row r="67" spans="1:8" ht="12.9" customHeight="1" x14ac:dyDescent="0.25">
      <c r="A67" s="5"/>
      <c r="B67" s="28" t="s">
        <v>196</v>
      </c>
      <c r="C67" s="27"/>
      <c r="D67" s="28"/>
      <c r="E67" s="28"/>
      <c r="F67" s="24">
        <v>1.67</v>
      </c>
      <c r="G67" s="39" t="s">
        <v>197</v>
      </c>
      <c r="H67" s="38"/>
    </row>
    <row r="68" spans="1:8" ht="12.9" customHeight="1" x14ac:dyDescent="0.25">
      <c r="A68" s="5"/>
      <c r="B68" s="22" t="s">
        <v>187</v>
      </c>
      <c r="C68" s="23"/>
      <c r="D68" s="22"/>
      <c r="E68" s="22"/>
      <c r="F68" s="24">
        <v>1.67</v>
      </c>
      <c r="G68" s="39" t="s">
        <v>197</v>
      </c>
      <c r="H68" s="38"/>
    </row>
    <row r="69" spans="1:8" ht="12.9" customHeight="1" x14ac:dyDescent="0.25">
      <c r="A69" s="5"/>
      <c r="B69" s="22" t="s">
        <v>198</v>
      </c>
      <c r="C69" s="27"/>
      <c r="D69" s="28"/>
      <c r="E69" s="28"/>
      <c r="F69" s="24">
        <v>-357.2</v>
      </c>
      <c r="G69" s="40">
        <v>-9.7999999999999997E-3</v>
      </c>
      <c r="H69" s="38"/>
    </row>
    <row r="70" spans="1:8" ht="12.9" customHeight="1" thickBot="1" x14ac:dyDescent="0.3">
      <c r="A70" s="5"/>
      <c r="B70" s="41" t="s">
        <v>199</v>
      </c>
      <c r="C70" s="42"/>
      <c r="D70" s="43"/>
      <c r="E70" s="43"/>
      <c r="F70" s="44">
        <v>36222.079358242278</v>
      </c>
      <c r="G70" s="45">
        <v>1</v>
      </c>
      <c r="H70" s="46"/>
    </row>
    <row r="71" spans="1:8" ht="12.9" customHeight="1" x14ac:dyDescent="0.25">
      <c r="A71" s="5"/>
      <c r="B71" s="47"/>
      <c r="C71" s="5"/>
      <c r="D71" s="5"/>
      <c r="E71" s="5"/>
      <c r="F71" s="5"/>
      <c r="G71" s="5"/>
      <c r="H71" s="5"/>
    </row>
    <row r="72" spans="1:8" ht="12.9" customHeight="1" x14ac:dyDescent="0.25">
      <c r="A72" s="5"/>
      <c r="B72" s="47" t="s">
        <v>200</v>
      </c>
      <c r="C72" s="5"/>
      <c r="D72" s="5"/>
      <c r="E72" s="5"/>
      <c r="F72" s="5"/>
      <c r="G72" s="5"/>
      <c r="H72" s="5"/>
    </row>
    <row r="73" spans="1:8" ht="12.9" customHeight="1" x14ac:dyDescent="0.25">
      <c r="A73" s="5"/>
      <c r="B73" s="47"/>
      <c r="C73" s="5"/>
      <c r="D73" s="5"/>
      <c r="E73" s="5"/>
      <c r="F73" s="5"/>
      <c r="G73" s="5"/>
      <c r="H73" s="5"/>
    </row>
    <row r="74" spans="1:8" x14ac:dyDescent="0.25">
      <c r="B74" s="48" t="s">
        <v>201</v>
      </c>
      <c r="C74" s="5"/>
    </row>
    <row r="75" spans="1:8" x14ac:dyDescent="0.25">
      <c r="B75" s="49" t="s">
        <v>202</v>
      </c>
      <c r="C75" s="49" t="s">
        <v>9</v>
      </c>
    </row>
    <row r="76" spans="1:8" x14ac:dyDescent="0.25">
      <c r="B76" s="50" t="str">
        <f>+B8</f>
        <v>PG Electroplast Limited</v>
      </c>
      <c r="C76" s="51">
        <f>+G8</f>
        <v>9.2799999999999994E-2</v>
      </c>
    </row>
    <row r="77" spans="1:8" x14ac:dyDescent="0.25">
      <c r="B77" s="50" t="str">
        <f t="shared" ref="B77:B82" si="0">+B9</f>
        <v>BSE Limited</v>
      </c>
      <c r="C77" s="51">
        <f t="shared" ref="C77:C82" si="1">+G9</f>
        <v>4.7500000000000001E-2</v>
      </c>
    </row>
    <row r="78" spans="1:8" x14ac:dyDescent="0.25">
      <c r="B78" s="50" t="str">
        <f t="shared" si="0"/>
        <v>Mazagon Dock Shipbuilders Limited</v>
      </c>
      <c r="C78" s="51">
        <f t="shared" si="1"/>
        <v>4.4999999999999998E-2</v>
      </c>
    </row>
    <row r="79" spans="1:8" x14ac:dyDescent="0.25">
      <c r="B79" s="50" t="str">
        <f t="shared" si="0"/>
        <v>Dixon Technologies (India) Limited</v>
      </c>
      <c r="C79" s="51">
        <f t="shared" si="1"/>
        <v>4.36E-2</v>
      </c>
    </row>
    <row r="80" spans="1:8" x14ac:dyDescent="0.25">
      <c r="B80" s="50" t="str">
        <f t="shared" si="0"/>
        <v>Hitachi Energy India Limited</v>
      </c>
      <c r="C80" s="51">
        <f t="shared" si="1"/>
        <v>3.9899999999999998E-2</v>
      </c>
    </row>
    <row r="81" spans="2:3" x14ac:dyDescent="0.25">
      <c r="B81" s="50" t="str">
        <f t="shared" si="0"/>
        <v>One 97 Communications Limited</v>
      </c>
      <c r="C81" s="51">
        <f t="shared" si="1"/>
        <v>3.4200000000000001E-2</v>
      </c>
    </row>
    <row r="82" spans="2:3" x14ac:dyDescent="0.25">
      <c r="B82" s="50" t="str">
        <f t="shared" si="0"/>
        <v>Aegis Logistics Limited</v>
      </c>
      <c r="C82" s="51">
        <f t="shared" si="1"/>
        <v>3.2399999999999998E-2</v>
      </c>
    </row>
    <row r="84" spans="2:3" x14ac:dyDescent="0.25">
      <c r="B84" s="48" t="s">
        <v>203</v>
      </c>
    </row>
    <row r="85" spans="2:3" x14ac:dyDescent="0.25">
      <c r="B85" s="49" t="s">
        <v>204</v>
      </c>
      <c r="C85" s="49" t="s">
        <v>9</v>
      </c>
    </row>
    <row r="86" spans="2:3" x14ac:dyDescent="0.25">
      <c r="B86" s="50" t="s">
        <v>205</v>
      </c>
      <c r="C86" s="51">
        <v>9.2799999999999994E-2</v>
      </c>
    </row>
    <row r="87" spans="2:3" x14ac:dyDescent="0.25">
      <c r="B87" s="50" t="s">
        <v>206</v>
      </c>
      <c r="C87" s="51">
        <v>4.7500000000000001E-2</v>
      </c>
    </row>
    <row r="88" spans="2:3" x14ac:dyDescent="0.25">
      <c r="B88" s="50" t="s">
        <v>207</v>
      </c>
      <c r="C88" s="51">
        <v>4.4999999999999998E-2</v>
      </c>
    </row>
    <row r="89" spans="2:3" x14ac:dyDescent="0.25">
      <c r="B89" s="50" t="s">
        <v>208</v>
      </c>
      <c r="C89" s="51">
        <v>4.36E-2</v>
      </c>
    </row>
    <row r="90" spans="2:3" x14ac:dyDescent="0.25">
      <c r="B90" s="50" t="s">
        <v>209</v>
      </c>
      <c r="C90" s="51">
        <v>3.9899999999999998E-2</v>
      </c>
    </row>
    <row r="91" spans="2:3" x14ac:dyDescent="0.25">
      <c r="B91" s="50" t="s">
        <v>210</v>
      </c>
      <c r="C91" s="51">
        <v>3.5299999999999998E-2</v>
      </c>
    </row>
    <row r="92" spans="2:3" x14ac:dyDescent="0.25">
      <c r="B92" s="50" t="s">
        <v>211</v>
      </c>
      <c r="C92" s="51">
        <v>3.4200000000000001E-2</v>
      </c>
    </row>
    <row r="94" spans="2:3" x14ac:dyDescent="0.25">
      <c r="B94" s="48" t="s">
        <v>212</v>
      </c>
    </row>
    <row r="95" spans="2:3" x14ac:dyDescent="0.25">
      <c r="B95" s="49" t="s">
        <v>213</v>
      </c>
      <c r="C95" s="49" t="s">
        <v>9</v>
      </c>
    </row>
    <row r="96" spans="2:3" x14ac:dyDescent="0.25">
      <c r="B96" s="50" t="s">
        <v>214</v>
      </c>
      <c r="C96" s="51">
        <v>0.20840000000000003</v>
      </c>
    </row>
    <row r="97" spans="1:8" x14ac:dyDescent="0.25">
      <c r="B97" s="50" t="s">
        <v>16</v>
      </c>
      <c r="C97" s="51">
        <v>0.2044</v>
      </c>
    </row>
    <row r="98" spans="1:8" x14ac:dyDescent="0.25">
      <c r="B98" s="50" t="s">
        <v>215</v>
      </c>
      <c r="C98" s="51">
        <v>0.17589999999999997</v>
      </c>
    </row>
    <row r="99" spans="1:8" x14ac:dyDescent="0.25">
      <c r="B99" s="50" t="s">
        <v>216</v>
      </c>
      <c r="C99" s="51">
        <v>9.8199999999999996E-2</v>
      </c>
    </row>
    <row r="101" spans="1:8" ht="12.9" customHeight="1" thickBot="1" x14ac:dyDescent="0.3">
      <c r="A101" s="5"/>
      <c r="B101" s="47"/>
      <c r="C101" s="5"/>
      <c r="D101" s="5"/>
      <c r="E101" s="5"/>
      <c r="F101" s="5"/>
      <c r="G101" s="5"/>
      <c r="H101" s="5"/>
    </row>
    <row r="102" spans="1:8" x14ac:dyDescent="0.25">
      <c r="A102" s="1"/>
      <c r="B102" s="52" t="s">
        <v>217</v>
      </c>
      <c r="C102" s="53"/>
      <c r="D102" s="53"/>
      <c r="E102" s="54"/>
      <c r="F102" s="55"/>
    </row>
    <row r="103" spans="1:8" x14ac:dyDescent="0.25">
      <c r="A103" s="1"/>
      <c r="B103" s="56" t="s">
        <v>218</v>
      </c>
      <c r="C103" s="57"/>
      <c r="D103" s="57"/>
      <c r="E103" s="57"/>
      <c r="F103" s="58"/>
    </row>
    <row r="104" spans="1:8" x14ac:dyDescent="0.25">
      <c r="A104" s="1"/>
      <c r="B104" s="59" t="s">
        <v>219</v>
      </c>
      <c r="C104" s="57"/>
      <c r="D104" s="57"/>
      <c r="E104" s="60"/>
      <c r="F104" s="58"/>
    </row>
    <row r="105" spans="1:8" ht="14.4" thickBot="1" x14ac:dyDescent="0.3">
      <c r="A105" s="1"/>
      <c r="B105" s="61" t="s">
        <v>220</v>
      </c>
      <c r="C105" s="62"/>
      <c r="D105" s="62"/>
      <c r="E105" s="62"/>
      <c r="F105" s="63"/>
    </row>
    <row r="106" spans="1:8" x14ac:dyDescent="0.25">
      <c r="A106" s="1"/>
      <c r="B106" s="64" t="s">
        <v>221</v>
      </c>
      <c r="C106" s="65" t="s">
        <v>222</v>
      </c>
      <c r="D106" s="65"/>
      <c r="E106" s="66"/>
      <c r="F106" s="67"/>
    </row>
    <row r="107" spans="1:8" ht="14.4" thickBot="1" x14ac:dyDescent="0.3">
      <c r="A107" s="1"/>
      <c r="B107" s="68"/>
      <c r="C107" s="69">
        <v>45747</v>
      </c>
      <c r="D107" s="69">
        <v>45565</v>
      </c>
      <c r="E107" s="69"/>
      <c r="F107" s="70"/>
    </row>
    <row r="108" spans="1:8" x14ac:dyDescent="0.25">
      <c r="A108" s="1"/>
      <c r="B108" s="64" t="s">
        <v>223</v>
      </c>
      <c r="C108" s="71"/>
      <c r="D108" s="71"/>
      <c r="E108" s="72"/>
      <c r="F108" s="55"/>
    </row>
    <row r="109" spans="1:8" x14ac:dyDescent="0.25">
      <c r="A109" s="1" t="s">
        <v>224</v>
      </c>
      <c r="B109" s="73" t="s">
        <v>225</v>
      </c>
      <c r="C109" s="74">
        <v>12.047800000000001</v>
      </c>
      <c r="D109" s="74">
        <v>15.926299999999999</v>
      </c>
      <c r="E109" s="75"/>
      <c r="F109" s="76"/>
    </row>
    <row r="110" spans="1:8" x14ac:dyDescent="0.25">
      <c r="A110" s="1" t="s">
        <v>226</v>
      </c>
      <c r="B110" s="73" t="s">
        <v>227</v>
      </c>
      <c r="C110" s="74">
        <v>12.047599999999999</v>
      </c>
      <c r="D110" s="74">
        <v>15.9262</v>
      </c>
      <c r="E110" s="75"/>
      <c r="F110" s="76"/>
    </row>
    <row r="111" spans="1:8" x14ac:dyDescent="0.25">
      <c r="A111" s="1"/>
      <c r="B111" s="73"/>
      <c r="C111" s="77"/>
      <c r="D111" s="77"/>
      <c r="E111" s="75"/>
      <c r="F111" s="76"/>
    </row>
    <row r="112" spans="1:8" x14ac:dyDescent="0.25">
      <c r="A112" s="1"/>
      <c r="B112" s="78" t="s">
        <v>228</v>
      </c>
      <c r="C112" s="77"/>
      <c r="D112" s="77"/>
      <c r="E112" s="75"/>
      <c r="F112" s="76"/>
    </row>
    <row r="113" spans="1:6" x14ac:dyDescent="0.25">
      <c r="A113" s="1" t="s">
        <v>229</v>
      </c>
      <c r="B113" s="73" t="s">
        <v>225</v>
      </c>
      <c r="C113" s="74">
        <v>12.1616</v>
      </c>
      <c r="D113" s="74">
        <v>16.0228</v>
      </c>
      <c r="E113" s="75"/>
      <c r="F113" s="76"/>
    </row>
    <row r="114" spans="1:6" x14ac:dyDescent="0.25">
      <c r="A114" s="1" t="s">
        <v>230</v>
      </c>
      <c r="B114" s="73" t="s">
        <v>227</v>
      </c>
      <c r="C114" s="74">
        <v>12.157500000000001</v>
      </c>
      <c r="D114" s="74">
        <v>16.019200000000001</v>
      </c>
      <c r="E114" s="75"/>
      <c r="F114" s="76"/>
    </row>
    <row r="115" spans="1:6" x14ac:dyDescent="0.25">
      <c r="A115" s="1"/>
      <c r="B115" s="73" t="s">
        <v>231</v>
      </c>
      <c r="C115" s="74"/>
      <c r="D115" s="79"/>
      <c r="E115" s="75"/>
      <c r="F115" s="76"/>
    </row>
    <row r="116" spans="1:6" ht="14.4" thickBot="1" x14ac:dyDescent="0.3">
      <c r="A116" s="1"/>
      <c r="B116" s="61"/>
      <c r="C116" s="80"/>
      <c r="D116" s="80"/>
      <c r="E116" s="81"/>
      <c r="F116" s="82"/>
    </row>
    <row r="117" spans="1:6" x14ac:dyDescent="0.25">
      <c r="A117" s="1"/>
      <c r="B117" s="73" t="s">
        <v>232</v>
      </c>
      <c r="C117" s="83"/>
      <c r="D117" s="84"/>
      <c r="E117" s="85"/>
      <c r="F117" s="86"/>
    </row>
    <row r="118" spans="1:6" x14ac:dyDescent="0.25">
      <c r="A118" s="1"/>
      <c r="B118" s="73" t="s">
        <v>233</v>
      </c>
      <c r="C118" s="57"/>
      <c r="D118" s="84"/>
      <c r="E118" s="60"/>
      <c r="F118" s="76"/>
    </row>
    <row r="119" spans="1:6" x14ac:dyDescent="0.25">
      <c r="A119" s="1"/>
      <c r="B119" s="73" t="s">
        <v>234</v>
      </c>
      <c r="C119" s="57"/>
      <c r="D119" s="87"/>
      <c r="E119" s="60"/>
      <c r="F119" s="76"/>
    </row>
    <row r="120" spans="1:6" x14ac:dyDescent="0.25">
      <c r="A120" s="1"/>
      <c r="B120" s="88" t="s">
        <v>235</v>
      </c>
      <c r="C120" s="89"/>
      <c r="D120" s="90"/>
      <c r="E120" s="89"/>
      <c r="F120" s="91"/>
    </row>
    <row r="121" spans="1:6" x14ac:dyDescent="0.25">
      <c r="A121" s="1"/>
      <c r="B121" s="73" t="s">
        <v>236</v>
      </c>
      <c r="C121" s="57"/>
      <c r="D121" s="57"/>
      <c r="E121" s="57"/>
      <c r="F121" s="58"/>
    </row>
    <row r="122" spans="1:6" x14ac:dyDescent="0.25">
      <c r="A122" s="1"/>
      <c r="B122" s="73" t="s">
        <v>237</v>
      </c>
      <c r="C122" s="57"/>
      <c r="D122" s="57"/>
      <c r="E122" s="57"/>
      <c r="F122" s="58"/>
    </row>
    <row r="123" spans="1:6" ht="14.4" thickBot="1" x14ac:dyDescent="0.3">
      <c r="A123" s="1"/>
      <c r="B123" s="61"/>
      <c r="C123" s="62"/>
      <c r="D123" s="62"/>
      <c r="E123" s="62"/>
      <c r="F123" s="63"/>
    </row>
    <row r="124" spans="1:6" x14ac:dyDescent="0.25">
      <c r="A124" s="1"/>
      <c r="B124" s="57"/>
      <c r="C124" s="57"/>
      <c r="D124" s="57"/>
      <c r="E124" s="57"/>
      <c r="F124" s="92"/>
    </row>
    <row r="125" spans="1:6" x14ac:dyDescent="0.25">
      <c r="F125" s="93" t="s">
        <v>238</v>
      </c>
    </row>
    <row r="126" spans="1:6" x14ac:dyDescent="0.25">
      <c r="B126" s="93" t="s">
        <v>239</v>
      </c>
      <c r="F126" s="93" t="s">
        <v>240</v>
      </c>
    </row>
  </sheetData>
  <mergeCells count="2">
    <mergeCell ref="B2:G2"/>
    <mergeCell ref="B3:G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IDF295</vt:lpstr>
      <vt:lpstr>JR_PAGE_ANCHOR_0_56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2025-04-07T18:45:33Z</dcterms:created>
  <dcterms:modified xsi:type="dcterms:W3CDTF">2025-04-07T18:45:33Z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2025-04-07T18:45:33Z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73157b33-95a4-4b07-9c1e-e2fb840423e6</vt:lpwstr>
  </property>
  <property fmtid="{D5CDD505-2E9C-101B-9397-08002B2CF9AE}" pid="8" name="MSIP_Label_af1741f6-9e47-426e-a683-937c37d4ebc5_ContentBits">
    <vt:lpwstr>3</vt:lpwstr>
  </property>
</Properties>
</file>