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AA802553-7C3E-4F71-8F51-23AF8D37FB4B}" xr6:coauthVersionLast="47" xr6:coauthVersionMax="47" xr10:uidLastSave="{00000000-0000-0000-0000-000000000000}"/>
  <bookViews>
    <workbookView xWindow="-108" yWindow="-108" windowWidth="41496" windowHeight="16896" xr2:uid="{77F598DE-08DD-40FF-9438-93B7B8132948}"/>
  </bookViews>
  <sheets>
    <sheet name="IDF229" sheetId="1" r:id="rId1"/>
  </sheets>
  <definedNames>
    <definedName name="JR_PAGE_ANCHOR_0_41">'IDF229'!$A$2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</calcChain>
</file>

<file path=xl/sharedStrings.xml><?xml version="1.0" encoding="utf-8"?>
<sst xmlns="http://schemas.openxmlformats.org/spreadsheetml/2006/main" count="172" uniqueCount="149">
  <si>
    <t>IDF229</t>
  </si>
  <si>
    <t>INDEX</t>
  </si>
  <si>
    <t>Portfolio Statement as on January 31,2025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</si>
  <si>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</si>
  <si>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</si>
  <si>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</si>
  <si>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</si>
  <si>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</si>
  <si>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</si>
  <si>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</si>
  <si>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</si>
  <si>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</si>
  <si>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</si>
  <si>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</si>
  <si>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</si>
  <si>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</si>
  <si>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</si>
  <si>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</si>
  <si>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</si>
  <si>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</si>
  <si>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</si>
  <si>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</si>
  <si>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</si>
  <si>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</si>
  <si>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</si>
  <si>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</si>
  <si>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</si>
  <si>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</si>
  <si>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</si>
  <si>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</si>
  <si>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</si>
  <si>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</si>
  <si>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</si>
  <si>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</si>
  <si>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</si>
  <si>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</si>
  <si>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</si>
  <si>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</si>
  <si>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</si>
  <si>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</si>
  <si>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</si>
  <si>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</si>
  <si>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</si>
  <si>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</si>
  <si>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</si>
  <si>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</si>
  <si>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</si>
  <si>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</si>
  <si>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</si>
  <si>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</si>
  <si>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</si>
  <si>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</si>
  <si>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</si>
  <si>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</si>
  <si>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</si>
  <si>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</si>
  <si>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</si>
  <si>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</si>
  <si>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</si>
  <si>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</si>
  <si>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</si>
  <si>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</si>
  <si>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</si>
  <si>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</si>
  <si>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</si>
  <si>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</si>
  <si>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</si>
  <si>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</si>
  <si>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</si>
  <si>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</si>
  <si>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</si>
  <si>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</si>
  <si>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</si>
  <si>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</si>
  <si>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</si>
  <si>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</si>
  <si>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</si>
  <si>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ZMPL01</t>
  </si>
  <si>
    <t>Zomato Limited</t>
  </si>
  <si>
    <t>INE758T01015</t>
  </si>
  <si>
    <t>Retailing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</si>
  <si>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</si>
  <si>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</si>
  <si>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</si>
  <si>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</si>
  <si>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</si>
  <si>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</si>
  <si>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</si>
  <si>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</si>
  <si>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</si>
  <si>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</si>
  <si>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</si>
  <si>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</si>
  <si>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</si>
  <si>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</si>
  <si>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</si>
  <si>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</si>
  <si>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</si>
  <si>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</si>
  <si>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</si>
  <si>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</si>
  <si>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</si>
  <si>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ASPA02</t>
  </si>
  <si>
    <t>Asian Paints Limited</t>
  </si>
  <si>
    <t>INE021A01026</t>
  </si>
  <si>
    <t>BFSL02</t>
  </si>
  <si>
    <t>Bajaj Finserv Limited</t>
  </si>
  <si>
    <t>INE918I01026</t>
  </si>
  <si>
    <t>NEST02</t>
  </si>
  <si>
    <t>Nestle India Limited</t>
  </si>
  <si>
    <t>INE239A01024</t>
  </si>
  <si>
    <t>Food Products</t>
  </si>
  <si>
    <t>MUND02</t>
  </si>
  <si>
    <t>Adani Ports and Special Economic Zone Limited</t>
  </si>
  <si>
    <t>INE742F01042</t>
  </si>
  <si>
    <t>Transport Infrastructure</t>
  </si>
  <si>
    <t>IIBL01</t>
  </si>
  <si>
    <t>IndusInd Bank Limited</t>
  </si>
  <si>
    <t>INE095A01012</t>
  </si>
  <si>
    <t>ITHO02</t>
  </si>
  <si>
    <t>ITC Hotels Limited</t>
  </si>
  <si>
    <t>INE379A01028</t>
  </si>
  <si>
    <t>Leisure Services</t>
  </si>
  <si>
    <t>Subtotal</t>
  </si>
  <si>
    <t>(b) UNLISTED</t>
  </si>
  <si>
    <t>NIL</t>
  </si>
  <si>
    <t>Total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</si>
  <si>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</si>
  <si>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</si>
  <si>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</si>
  <si>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</si>
  <si>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</si>
  <si>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</si>
  <si>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</si>
  <si>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</si>
  <si>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</si>
  <si>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</si>
  <si>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Infosys Group</t>
  </si>
  <si>
    <t>Bharti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</si>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</sst>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8" fillId="0" borderId="1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182879</xdr:rowOff>
    </xdr:from>
    <xdr:to>
      <xdr:col>2</xdr:col>
      <xdr:colOff>53340</xdr:colOff>
      <xdr:row>88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E31A64-7E3F-43CC-B2B7-9851D0F3C9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34645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182879</xdr:rowOff>
    </xdr:from>
    <xdr:to>
      <xdr:col>7</xdr:col>
      <xdr:colOff>53340</xdr:colOff>
      <xdr:row>88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2CFC9-CAC6-4BFA-AEB2-A8CEADA021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5080" y="134645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D821-1B6B-4548-BF97-E217A21E32AE}">
  <sheetPr codeName="Sheet41">
    <outlinePr summaryBelow="0"/>
  </sheetPr>
  <dimension ref="A1:H77"/>
  <sheetViews>
    <sheetView tabSelected="1" topLeftCell="A53" workbookViewId="0"/>
  </sheetViews>
  <sheetFormatPr defaultRowHeight="14.4"/>
  <cols>
    <col min="1" max="1" width="7.21875" bestFit="1" customWidth="1"/>
    <col min="2" max="2" width="40.88671875" bestFit="1" customWidth="1"/>
    <col min="3" max="3" width="11.6640625" bestFit="1" customWidth="1"/>
    <col min="4" max="4" width="25.5546875" bestFit="1" customWidth="1"/>
    <col min="5" max="5" width="7.33203125" bestFit="1" customWidth="1"/>
    <col min="6" max="6" width="33" bestFit="1" customWidth="1"/>
    <col min="7" max="7" width="7.88671875" bestFit="1" customWidth="1"/>
    <col min="8" max="8" width="4.44140625" bestFit="1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980</v>
      </c>
      <c r="F8" s="18">
        <v>16.649999999999999</v>
      </c>
      <c r="G8" s="19">
        <v>0.14219999999999999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914</v>
      </c>
      <c r="F9" s="18">
        <v>11.45</v>
      </c>
      <c r="G9" s="19">
        <v>9.7699999999999995E-2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877</v>
      </c>
      <c r="F10" s="18">
        <v>11.09</v>
      </c>
      <c r="G10" s="19">
        <v>9.4700000000000006E-2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468</v>
      </c>
      <c r="F11" s="18">
        <v>8.8000000000000007</v>
      </c>
      <c r="G11" s="19">
        <v>7.51E-2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347</v>
      </c>
      <c r="F12" s="18">
        <v>5.64</v>
      </c>
      <c r="G12" s="19">
        <v>4.82E-2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151</v>
      </c>
      <c r="F13" s="18">
        <v>5.39</v>
      </c>
      <c r="G13" s="19">
        <v>4.5999999999999999E-2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27</v>
      </c>
      <c r="E14" s="17">
        <v>131</v>
      </c>
      <c r="F14" s="18">
        <v>5.38</v>
      </c>
      <c r="G14" s="19">
        <v>4.5999999999999999E-2</v>
      </c>
      <c r="H14" s="20"/>
    </row>
    <row r="15" spans="1:8" ht="12.9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1199</v>
      </c>
      <c r="F15" s="18">
        <v>5.37</v>
      </c>
      <c r="G15" s="19">
        <v>4.58E-2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497</v>
      </c>
      <c r="F16" s="18">
        <v>3.84</v>
      </c>
      <c r="G16" s="19">
        <v>3.2800000000000003E-2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369</v>
      </c>
      <c r="F17" s="18">
        <v>3.64</v>
      </c>
      <c r="G17" s="19">
        <v>3.1099999999999999E-2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191</v>
      </c>
      <c r="F18" s="18">
        <v>3.63</v>
      </c>
      <c r="G18" s="19">
        <v>3.1E-2</v>
      </c>
      <c r="H18" s="20"/>
    </row>
    <row r="19" spans="1:8" ht="12.9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114</v>
      </c>
      <c r="F19" s="18">
        <v>3.41</v>
      </c>
      <c r="G19" s="19">
        <v>2.9100000000000001E-2</v>
      </c>
      <c r="H19" s="20"/>
    </row>
    <row r="20" spans="1:8" ht="12.9" customHeight="1">
      <c r="A20" s="15" t="s">
        <v>56</v>
      </c>
      <c r="B20" s="16" t="s">
        <v>57</v>
      </c>
      <c r="C20" s="12" t="s">
        <v>58</v>
      </c>
      <c r="D20" s="13" t="s">
        <v>42</v>
      </c>
      <c r="E20" s="17">
        <v>116</v>
      </c>
      <c r="F20" s="18">
        <v>2.87</v>
      </c>
      <c r="G20" s="19">
        <v>2.4500000000000001E-2</v>
      </c>
      <c r="H20" s="20"/>
    </row>
    <row r="21" spans="1:8" ht="12.9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36</v>
      </c>
      <c r="F21" s="18">
        <v>2.84</v>
      </c>
      <c r="G21" s="19">
        <v>2.4199999999999999E-2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140</v>
      </c>
      <c r="F22" s="18">
        <v>2.44</v>
      </c>
      <c r="G22" s="19">
        <v>2.0799999999999999E-2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27</v>
      </c>
      <c r="E23" s="17">
        <v>137</v>
      </c>
      <c r="F23" s="18">
        <v>2.36</v>
      </c>
      <c r="G23" s="19">
        <v>2.0199999999999999E-2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55</v>
      </c>
      <c r="E24" s="17">
        <v>17</v>
      </c>
      <c r="F24" s="18">
        <v>2.09</v>
      </c>
      <c r="G24" s="19">
        <v>1.7899999999999999E-2</v>
      </c>
      <c r="H24" s="20"/>
    </row>
    <row r="25" spans="1:8" ht="12.9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616</v>
      </c>
      <c r="F25" s="18">
        <v>2</v>
      </c>
      <c r="G25" s="19">
        <v>1.7100000000000001E-2</v>
      </c>
      <c r="H25" s="20"/>
    </row>
    <row r="26" spans="1:8" ht="12.9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886</v>
      </c>
      <c r="F26" s="18">
        <v>1.95</v>
      </c>
      <c r="G26" s="19">
        <v>1.67E-2</v>
      </c>
      <c r="H26" s="20"/>
    </row>
    <row r="27" spans="1:8" ht="12.9" customHeight="1">
      <c r="A27" s="15" t="s">
        <v>81</v>
      </c>
      <c r="B27" s="16" t="s">
        <v>82</v>
      </c>
      <c r="C27" s="12" t="s">
        <v>83</v>
      </c>
      <c r="D27" s="13" t="s">
        <v>55</v>
      </c>
      <c r="E27" s="17">
        <v>272</v>
      </c>
      <c r="F27" s="18">
        <v>1.95</v>
      </c>
      <c r="G27" s="19">
        <v>1.66E-2</v>
      </c>
      <c r="H27" s="20"/>
    </row>
    <row r="28" spans="1:8" ht="12.9" customHeight="1">
      <c r="A28" s="15" t="s">
        <v>84</v>
      </c>
      <c r="B28" s="16" t="s">
        <v>85</v>
      </c>
      <c r="C28" s="12" t="s">
        <v>86</v>
      </c>
      <c r="D28" s="13" t="s">
        <v>87</v>
      </c>
      <c r="E28" s="17">
        <v>54</v>
      </c>
      <c r="F28" s="18">
        <v>1.88</v>
      </c>
      <c r="G28" s="19">
        <v>1.61E-2</v>
      </c>
      <c r="H28" s="20"/>
    </row>
    <row r="29" spans="1:8" ht="12.9" customHeight="1">
      <c r="A29" s="15" t="s">
        <v>88</v>
      </c>
      <c r="B29" s="16" t="s">
        <v>89</v>
      </c>
      <c r="C29" s="12" t="s">
        <v>90</v>
      </c>
      <c r="D29" s="13" t="s">
        <v>76</v>
      </c>
      <c r="E29" s="17">
        <v>590</v>
      </c>
      <c r="F29" s="18">
        <v>1.78</v>
      </c>
      <c r="G29" s="19">
        <v>1.52E-2</v>
      </c>
      <c r="H29" s="20"/>
    </row>
    <row r="30" spans="1:8" ht="12.9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15</v>
      </c>
      <c r="F30" s="18">
        <v>1.73</v>
      </c>
      <c r="G30" s="19">
        <v>1.47E-2</v>
      </c>
      <c r="H30" s="20"/>
    </row>
    <row r="31" spans="1:8" ht="12.9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1068</v>
      </c>
      <c r="F31" s="18">
        <v>1.44</v>
      </c>
      <c r="G31" s="19">
        <v>1.23E-2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27</v>
      </c>
      <c r="E32" s="17">
        <v>82</v>
      </c>
      <c r="F32" s="18">
        <v>1.37</v>
      </c>
      <c r="G32" s="19">
        <v>1.17E-2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87</v>
      </c>
      <c r="E33" s="17">
        <v>58</v>
      </c>
      <c r="F33" s="18">
        <v>1.33</v>
      </c>
      <c r="G33" s="19">
        <v>1.14E-2</v>
      </c>
      <c r="H33" s="20"/>
    </row>
    <row r="34" spans="1:8" ht="12.9" customHeight="1">
      <c r="A34" s="15" t="s">
        <v>105</v>
      </c>
      <c r="B34" s="16" t="s">
        <v>106</v>
      </c>
      <c r="C34" s="12" t="s">
        <v>107</v>
      </c>
      <c r="D34" s="13" t="s">
        <v>62</v>
      </c>
      <c r="E34" s="17">
        <v>70</v>
      </c>
      <c r="F34" s="18">
        <v>1.22</v>
      </c>
      <c r="G34" s="19">
        <v>1.04E-2</v>
      </c>
      <c r="H34" s="20"/>
    </row>
    <row r="35" spans="1:8" ht="12.9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46</v>
      </c>
      <c r="F35" s="18">
        <v>1.06</v>
      </c>
      <c r="G35" s="19">
        <v>9.1000000000000004E-3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95</v>
      </c>
      <c r="F36" s="18">
        <v>1.04</v>
      </c>
      <c r="G36" s="19">
        <v>8.8999999999999999E-3</v>
      </c>
      <c r="H36" s="20"/>
    </row>
    <row r="37" spans="1:8" ht="12.9" customHeight="1">
      <c r="A37" s="15" t="s">
        <v>116</v>
      </c>
      <c r="B37" s="16" t="s">
        <v>117</v>
      </c>
      <c r="C37" s="12" t="s">
        <v>118</v>
      </c>
      <c r="D37" s="13" t="s">
        <v>16</v>
      </c>
      <c r="E37" s="17">
        <v>86</v>
      </c>
      <c r="F37" s="18">
        <v>0.85</v>
      </c>
      <c r="G37" s="19">
        <v>7.3000000000000001E-3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119</v>
      </c>
      <c r="F38" s="18">
        <v>0.2</v>
      </c>
      <c r="G38" s="19">
        <v>1.6999999999999999E-3</v>
      </c>
      <c r="H38" s="20"/>
    </row>
    <row r="39" spans="1:8" ht="12.9" customHeight="1">
      <c r="A39" s="4"/>
      <c r="B39" s="21" t="s">
        <v>123</v>
      </c>
      <c r="C39" s="22"/>
      <c r="D39" s="21"/>
      <c r="E39" s="21"/>
      <c r="F39" s="23">
        <v>116.69</v>
      </c>
      <c r="G39" s="24">
        <v>0.99650000000000005</v>
      </c>
      <c r="H39" s="25"/>
    </row>
    <row r="40" spans="1:8" ht="12.9" customHeight="1">
      <c r="A40" s="4"/>
      <c r="B40" s="11" t="s">
        <v>124</v>
      </c>
      <c r="C40" s="26"/>
      <c r="D40" s="27"/>
      <c r="E40" s="27"/>
      <c r="F40" s="28" t="s">
        <v>125</v>
      </c>
      <c r="G40" s="28" t="s">
        <v>125</v>
      </c>
      <c r="H40" s="25" t="s">
        <v>125</v>
      </c>
    </row>
    <row r="41" spans="1:8" ht="12.9" customHeight="1">
      <c r="A41" s="4"/>
      <c r="B41" s="21" t="s">
        <v>123</v>
      </c>
      <c r="C41" s="26"/>
      <c r="D41" s="27"/>
      <c r="E41" s="27"/>
      <c r="F41" s="28" t="s">
        <v>125</v>
      </c>
      <c r="G41" s="28" t="s">
        <v>125</v>
      </c>
      <c r="H41" s="25" t="s">
        <v>125</v>
      </c>
    </row>
    <row r="42" spans="1:8" ht="12.9" customHeight="1">
      <c r="A42" s="4"/>
      <c r="B42" s="21" t="s">
        <v>126</v>
      </c>
      <c r="C42" s="26"/>
      <c r="D42" s="27"/>
      <c r="E42" s="29"/>
      <c r="F42" s="30">
        <v>116.69</v>
      </c>
      <c r="G42" s="31">
        <v>0.99650000000000005</v>
      </c>
      <c r="H42" s="32"/>
    </row>
    <row r="43" spans="1:8" ht="12.9" customHeight="1">
      <c r="A43" s="4"/>
      <c r="B43" s="21" t="s">
        <v>127</v>
      </c>
      <c r="C43" s="26"/>
      <c r="D43" s="27"/>
      <c r="E43" s="27"/>
      <c r="F43" s="23">
        <v>0.44</v>
      </c>
      <c r="G43" s="33">
        <v>3.5000000000000001E-3</v>
      </c>
      <c r="H43" s="34"/>
    </row>
    <row r="44" spans="1:8" ht="12.9" customHeight="1" thickBot="1">
      <c r="A44" s="4"/>
      <c r="B44" s="35" t="s">
        <v>128</v>
      </c>
      <c r="C44" s="36"/>
      <c r="D44" s="37"/>
      <c r="E44" s="37"/>
      <c r="F44" s="38">
        <v>117.12608603330011</v>
      </c>
      <c r="G44" s="39">
        <v>1</v>
      </c>
      <c r="H44" s="40"/>
    </row>
    <row r="45" spans="1:8" ht="12.9" customHeight="1">
      <c r="A45" s="4"/>
      <c r="B45" s="41"/>
      <c r="C45" s="4"/>
      <c r="D45" s="4"/>
      <c r="E45" s="4"/>
      <c r="F45" s="4"/>
      <c r="G45" s="4"/>
      <c r="H45" s="4"/>
    </row>
    <row r="46" spans="1:8" ht="12.9" customHeight="1">
      <c r="A46" s="4"/>
      <c r="B46" s="41"/>
      <c r="C46" s="4"/>
      <c r="D46" s="4"/>
      <c r="E46" s="4"/>
      <c r="F46" s="4"/>
      <c r="G46" s="4"/>
      <c r="H46" s="4"/>
    </row>
    <row r="50" spans="2:3">
      <c r="B50" s="42" t="s">
        <v>129</v>
      </c>
      <c r="C50" s="4"/>
    </row>
    <row r="51" spans="2:3">
      <c r="B51" s="43" t="s">
        <v>130</v>
      </c>
      <c r="C51" s="43" t="s">
        <v>9</v>
      </c>
    </row>
    <row r="52" spans="2:3">
      <c r="B52" s="44" t="str">
        <f>+B8</f>
        <v>HDFC Bank Limited</v>
      </c>
      <c r="C52" s="45">
        <f>+G8</f>
        <v>0.14219999999999999</v>
      </c>
    </row>
    <row r="53" spans="2:3">
      <c r="B53" s="44" t="str">
        <f t="shared" ref="B53:B58" si="0">+B9</f>
        <v>ICICI Bank Limited</v>
      </c>
      <c r="C53" s="45">
        <f t="shared" ref="C53:C58" si="1">+G9</f>
        <v>9.7699999999999995E-2</v>
      </c>
    </row>
    <row r="54" spans="2:3">
      <c r="B54" s="44" t="str">
        <f t="shared" si="0"/>
        <v>Reliance Industries Limited</v>
      </c>
      <c r="C54" s="45">
        <f t="shared" si="1"/>
        <v>9.4700000000000006E-2</v>
      </c>
    </row>
    <row r="55" spans="2:3">
      <c r="B55" s="44" t="str">
        <f t="shared" si="0"/>
        <v>Infosys Limited</v>
      </c>
      <c r="C55" s="45">
        <f t="shared" si="1"/>
        <v>7.51E-2</v>
      </c>
    </row>
    <row r="56" spans="2:3">
      <c r="B56" s="44" t="str">
        <f t="shared" si="0"/>
        <v>Bharti Airtel Limited</v>
      </c>
      <c r="C56" s="45">
        <f t="shared" si="1"/>
        <v>4.82E-2</v>
      </c>
    </row>
    <row r="57" spans="2:3">
      <c r="B57" s="44" t="str">
        <f t="shared" si="0"/>
        <v>Larsen &amp; Toubro Limited</v>
      </c>
      <c r="C57" s="45">
        <f t="shared" si="1"/>
        <v>4.5999999999999999E-2</v>
      </c>
    </row>
    <row r="58" spans="2:3">
      <c r="B58" s="44" t="str">
        <f t="shared" si="0"/>
        <v>Tata Consultancy Services Limited</v>
      </c>
      <c r="C58" s="45">
        <f t="shared" si="1"/>
        <v>4.5999999999999999E-2</v>
      </c>
    </row>
    <row r="60" spans="2:3">
      <c r="B60" s="42" t="s">
        <v>131</v>
      </c>
    </row>
    <row r="61" spans="2:3">
      <c r="B61" s="43" t="s">
        <v>132</v>
      </c>
      <c r="C61" s="43" t="s">
        <v>9</v>
      </c>
    </row>
    <row r="62" spans="2:3">
      <c r="B62" s="44" t="s">
        <v>133</v>
      </c>
      <c r="C62" s="45">
        <v>0.14219999999999999</v>
      </c>
    </row>
    <row r="63" spans="2:3">
      <c r="B63" s="44" t="s">
        <v>134</v>
      </c>
      <c r="C63" s="45">
        <v>9.7699999999999995E-2</v>
      </c>
    </row>
    <row r="64" spans="2:3">
      <c r="B64" s="44" t="s">
        <v>135</v>
      </c>
      <c r="C64" s="45">
        <v>9.4700000000000006E-2</v>
      </c>
    </row>
    <row r="65" spans="2:6">
      <c r="B65" s="44" t="s">
        <v>136</v>
      </c>
      <c r="C65" s="45">
        <v>9.0999999999999998E-2</v>
      </c>
    </row>
    <row r="66" spans="2:6">
      <c r="B66" s="44" t="s">
        <v>137</v>
      </c>
      <c r="C66" s="45">
        <v>7.51E-2</v>
      </c>
    </row>
    <row r="67" spans="2:6">
      <c r="B67" s="44" t="s">
        <v>138</v>
      </c>
      <c r="C67" s="45">
        <v>4.82E-2</v>
      </c>
    </row>
    <row r="68" spans="2:6">
      <c r="B68" s="44" t="s">
        <v>139</v>
      </c>
      <c r="C68" s="45">
        <v>4.7500000000000001E-2</v>
      </c>
    </row>
    <row r="70" spans="2:6">
      <c r="B70" s="42" t="s">
        <v>140</v>
      </c>
    </row>
    <row r="71" spans="2:6">
      <c r="B71" s="43" t="s">
        <v>141</v>
      </c>
      <c r="C71" s="43" t="s">
        <v>9</v>
      </c>
    </row>
    <row r="72" spans="2:6">
      <c r="B72" s="44" t="s">
        <v>142</v>
      </c>
      <c r="C72" s="45">
        <v>0.37669999999999998</v>
      </c>
    </row>
    <row r="73" spans="2:6">
      <c r="B73" s="44" t="s">
        <v>143</v>
      </c>
      <c r="C73" s="45">
        <v>0.153</v>
      </c>
    </row>
    <row r="74" spans="2:6">
      <c r="B74" s="44" t="s">
        <v>144</v>
      </c>
      <c r="C74" s="45">
        <v>9.4700000000000006E-2</v>
      </c>
    </row>
    <row r="75" spans="2:6">
      <c r="B75" s="44" t="s">
        <v>145</v>
      </c>
      <c r="C75" s="45">
        <v>7.9399999999999998E-2</v>
      </c>
    </row>
    <row r="76" spans="2:6">
      <c r="F76" s="46" t="s">
        <v>146</v>
      </c>
    </row>
    <row r="77" spans="2:6">
      <c r="B77" s="46" t="s">
        <v>147</v>
      </c>
      <c r="F77" s="46" t="s">
        <v>148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2025-02-07T10:20:38Z</dcterms:created>
  <dcterms:modified xsi:type="dcterms:W3CDTF">2025-02-07T10:20:38Z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e72861a2-21ca-4336-a0ec-610076329f8f</vt:lpwstr>
  </property>
  <property fmtid="{D5CDD505-2E9C-101B-9397-08002B2CF9AE}" pid="8" name="MSIP_Label_af1741f6-9e47-426e-a683-937c37d4ebc5_ContentBits">
    <vt:lpwstr>3</vt:lpwstr>
  </property>
</Properties>
</file>