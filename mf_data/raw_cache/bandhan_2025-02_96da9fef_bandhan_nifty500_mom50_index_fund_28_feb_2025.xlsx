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361FB73F-F504-4EB8-89DB-348F73A5F59C}" xr6:coauthVersionLast="47" xr6:coauthVersionMax="47" xr10:uidLastSave="{00000000-0000-0000-0000-000000000000}"/>
  <bookViews>
    <workbookView xWindow="-108" yWindow="-108" windowWidth="41496" windowHeight="16896" xr2:uid="{41A0AFAC-B16E-4107-AE21-80B73E2AA5F9}"/>
  </bookViews>
  <sheets>
    <sheet name="IDF307" sheetId="1" r:id="rId1"/>
  </sheets>
  <definedNames>
    <definedName name="JR_PAGE_ANCHOR_0_66">'IDF307'!$A$2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<sst xmlns="http://schemas.openxmlformats.org/spreadsheetml/2006/main" count="256" uniqueCount="220">
  <si>
    <t>IDF307</t>
  </si>
  <si>
    <t>INDEX</t>
  </si>
  <si>
    <t>Portfolio Statement as on February 28,2025</t>
  </si>
  <si>
    <t>Bandhan Nifty 500 Momentum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</si>
  <si>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</si>
  <si>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</si>
  <si>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</si>
  <si>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</si>
  <si>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</si>
  <si>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</si>
  <si>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</si>
  <si>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</si>
  <si>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</si>
  <si>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</si>
  <si>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</si>
  <si>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</si>
  <si>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</si>
  <si>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TEMA02</t>
  </si>
  <si>
    <t>Tech Mahindra Limited</t>
  </si>
  <si>
    <t>INE669C01036</t>
  </si>
  <si>
    <t>IT - Software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</si>
  <si>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</si>
  <si>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</si>
  <si>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</si>
  <si>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</si>
  <si>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</si>
  <si>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</si>
  <si>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</si>
  <si>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ZMPL01</t>
  </si>
  <si>
    <t>Zomato Limited</t>
  </si>
  <si>
    <t>INE758T01015</t>
  </si>
  <si>
    <t>Retailing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</si>
  <si>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</si>
  <si>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</si>
  <si>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</si>
  <si>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</si>
  <si>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</si>
  <si>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</si>
  <si>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</si>
  <si>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</si>
  <si>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</si>
  <si>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</si>
  <si>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</si>
  <si>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IEIN01</t>
  </si>
  <si>
    <t>Info Edge (India) Limited</t>
  </si>
  <si>
    <t>INE663F01024</t>
  </si>
  <si>
    <t>NITL01</t>
  </si>
  <si>
    <t>Coforge Limited</t>
  </si>
  <si>
    <t>INE591G01017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</si>
  <si>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</si>
  <si>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</si>
  <si>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</si>
  <si>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</si>
  <si>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</si>
  <si>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</si>
  <si>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</si>
  <si>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</si>
  <si>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LUPL02</t>
  </si>
  <si>
    <t>Lupin Limited</t>
  </si>
  <si>
    <t>INE326A01037</t>
  </si>
  <si>
    <t>MCSP02</t>
  </si>
  <si>
    <t>United Spirits Limited</t>
  </si>
  <si>
    <t>INE854D01024</t>
  </si>
  <si>
    <t>Beverages</t>
  </si>
  <si>
    <t>SIEM02</t>
  </si>
  <si>
    <t>Siemens Limited</t>
  </si>
  <si>
    <t>INE003A01024</t>
  </si>
  <si>
    <t>Electrical Equipment</t>
  </si>
  <si>
    <t>FRHL01</t>
  </si>
  <si>
    <t>Fortis Healthcare Limited</t>
  </si>
  <si>
    <t>INE061F01013</t>
  </si>
  <si>
    <t>Healthcare Services</t>
  </si>
  <si>
    <t>VOLT02</t>
  </si>
  <si>
    <t>Voltas Limited</t>
  </si>
  <si>
    <t>INE226A01021</t>
  </si>
  <si>
    <t>MCEX01</t>
  </si>
  <si>
    <t>Multi Commodity Exchange of India Limited</t>
  </si>
  <si>
    <t>INE745G01035</t>
  </si>
  <si>
    <t>KALJ01</t>
  </si>
  <si>
    <t>Kalyan Jewellers India Limited</t>
  </si>
  <si>
    <t>INE303R01014</t>
  </si>
  <si>
    <t>SUVP01</t>
  </si>
  <si>
    <t>Suven Pharmaceuticals Limited</t>
  </si>
  <si>
    <t>INE03QK01018</t>
  </si>
  <si>
    <t>IFEL01</t>
  </si>
  <si>
    <t>Oracle Financial Services Software Limited</t>
  </si>
  <si>
    <t>INE881D01027</t>
  </si>
  <si>
    <t>GLPH03</t>
  </si>
  <si>
    <t>Glenmark Pharmaceuticals Limited</t>
  </si>
  <si>
    <t>INE935A01035</t>
  </si>
  <si>
    <t>IIFM02</t>
  </si>
  <si>
    <t>360 One WAM Limited</t>
  </si>
  <si>
    <t>INE466L01038</t>
  </si>
  <si>
    <t>COFE03</t>
  </si>
  <si>
    <t>Coromandel International Limited</t>
  </si>
  <si>
    <t>INE169A01031</t>
  </si>
  <si>
    <t>Fertilizers &amp; Agrochemicals</t>
  </si>
  <si>
    <t>RAKH02</t>
  </si>
  <si>
    <t>Radico Khaitan Limited</t>
  </si>
  <si>
    <t>INE944F01028</t>
  </si>
  <si>
    <t>TINV04</t>
  </si>
  <si>
    <t>Cholamandalam Financial Holdings Limited</t>
  </si>
  <si>
    <t>INE149A01033</t>
  </si>
  <si>
    <t>Finance</t>
  </si>
  <si>
    <t>OIIL01</t>
  </si>
  <si>
    <t>Oil India Limited</t>
  </si>
  <si>
    <t>INE274J01014</t>
  </si>
  <si>
    <t>Oil</t>
  </si>
  <si>
    <t>PPHA01</t>
  </si>
  <si>
    <t>Piramal Pharma Limited</t>
  </si>
  <si>
    <t>INE0DK501011</t>
  </si>
  <si>
    <t>NACL03</t>
  </si>
  <si>
    <t>National Aluminium Company Limited</t>
  </si>
  <si>
    <t>INE139A01034</t>
  </si>
  <si>
    <t>Non - Ferrous Metals</t>
  </si>
  <si>
    <t>ICON01</t>
  </si>
  <si>
    <t>Firstsource Solutions Limited</t>
  </si>
  <si>
    <t>INE684F01012</t>
  </si>
  <si>
    <t>Commercial Services &amp; Supplies</t>
  </si>
  <si>
    <t>LMEL03</t>
  </si>
  <si>
    <t>Lloyds Metals And Energy Limited</t>
  </si>
  <si>
    <t>INE281B01032</t>
  </si>
  <si>
    <t>Ferrous Metals</t>
  </si>
  <si>
    <t>KAYN01</t>
  </si>
  <si>
    <t>Kaynes Technology India Limited</t>
  </si>
  <si>
    <t>INE918Z01012</t>
  </si>
  <si>
    <t>Industrial Manufacturing</t>
  </si>
  <si>
    <t>MOFS03</t>
  </si>
  <si>
    <t>Motilal Oswal Financial Services Limited</t>
  </si>
  <si>
    <t>INE338I01027</t>
  </si>
  <si>
    <t>VORC03</t>
  </si>
  <si>
    <t>Jubilant Pharmova Limited</t>
  </si>
  <si>
    <t>INE700A01033</t>
  </si>
  <si>
    <t>AMBE01</t>
  </si>
  <si>
    <t>Amber Enterprises India Limited</t>
  </si>
  <si>
    <t>INE371P01015</t>
  </si>
  <si>
    <t>KFIN01</t>
  </si>
  <si>
    <t>KFin Technologies Limited</t>
  </si>
  <si>
    <t>INE138Y01010</t>
  </si>
  <si>
    <t>MAZG02</t>
  </si>
  <si>
    <t>Mazagon Dock Shipbuilders Limited</t>
  </si>
  <si>
    <t>INE249Z01020</t>
  </si>
  <si>
    <t>DEFE01</t>
  </si>
  <si>
    <t>Deepak Fertilizers and Petrochemicals Corporation Limited</t>
  </si>
  <si>
    <t>INE501A01019</t>
  </si>
  <si>
    <t>Chemicals &amp; Petrochemicals</t>
  </si>
  <si>
    <t>ABBP01</t>
  </si>
  <si>
    <t>Hitachi Energy India Limited</t>
  </si>
  <si>
    <t>INE07Y701011</t>
  </si>
  <si>
    <t>HIMC02</t>
  </si>
  <si>
    <t>Himadri Speciality Chemical Limited</t>
  </si>
  <si>
    <t>INE019C01026</t>
  </si>
  <si>
    <t>KEIN02</t>
  </si>
  <si>
    <t>KEC International Limited</t>
  </si>
  <si>
    <t>INE389H01022</t>
  </si>
  <si>
    <t>Construction</t>
  </si>
  <si>
    <t>ANRA02</t>
  </si>
  <si>
    <t>Anant Raj Limited</t>
  </si>
  <si>
    <t>INE242C01024</t>
  </si>
  <si>
    <t>Realty</t>
  </si>
  <si>
    <t>POME02</t>
  </si>
  <si>
    <t>Poly Medicure Limited</t>
  </si>
  <si>
    <t>INE205C01021</t>
  </si>
  <si>
    <t>Healthcare Equipment &amp; Supplies</t>
  </si>
  <si>
    <t>GODF02</t>
  </si>
  <si>
    <t>Godfrey Phillips India Limited</t>
  </si>
  <si>
    <t>INE260B01028</t>
  </si>
  <si>
    <t>Cigarettes &amp; Tobacco Products</t>
  </si>
  <si>
    <t>NAPH02</t>
  </si>
  <si>
    <t>Natco Pharma Limited</t>
  </si>
  <si>
    <t>INE987B01026</t>
  </si>
  <si>
    <t>PCBL03</t>
  </si>
  <si>
    <t>PCBL Chemical Limited</t>
  </si>
  <si>
    <t>INE602A01031</t>
  </si>
  <si>
    <t>BSLM02</t>
  </si>
  <si>
    <t>Aditya Birla Sun Life AMC Limited</t>
  </si>
  <si>
    <t>INE404A01024</t>
  </si>
  <si>
    <t>CAPP02</t>
  </si>
  <si>
    <t>Caplin Point Laboratories Limited</t>
  </si>
  <si>
    <t>INE475E01026</t>
  </si>
  <si>
    <t>ICEM01</t>
  </si>
  <si>
    <t>The India Cements Limited</t>
  </si>
  <si>
    <t>INE383A01012</t>
  </si>
  <si>
    <t>Cement &amp; Cement Products</t>
  </si>
  <si>
    <t>NETW01</t>
  </si>
  <si>
    <t>Netweb Technologies India Limited</t>
  </si>
  <si>
    <t>INE0NT901020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</si>
  <si>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</si>
  <si>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</si>
  <si>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</si>
  <si>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</si>
  <si>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</si>
  <si>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</si>
  <si>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</si>
  <si>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</si>
  <si>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</si>
  <si>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</si>
  <si>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</si>
  <si>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</si>
  <si>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</si>
  <si>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</si>
  <si>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</si>
  <si>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</si>
  <si>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</si>
  <si>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Mahindra Group</t>
  </si>
  <si>
    <t>Infoedge Group</t>
  </si>
  <si>
    <t>Tata Group</t>
  </si>
  <si>
    <t>Divi's</t>
  </si>
  <si>
    <t>Persistent Group</t>
  </si>
  <si>
    <t>Dixon Technologies Group</t>
  </si>
  <si>
    <t>Coforge Group</t>
  </si>
  <si>
    <t>Name and exposure to top 4 Sectors</t>
  </si>
  <si>
    <t>Name of the Sector</t>
  </si>
  <si>
    <t>Consumer Services</t>
  </si>
  <si>
    <t>Healthcare</t>
  </si>
  <si>
    <t>Information Technology</t>
  </si>
  <si>
    <t>Financial Services</t>
  </si>
  <si>
    <t>BENCHMARK NAME - NIFTY500 MOMENTUM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</si>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</sst>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182879</xdr:rowOff>
    </xdr:from>
    <xdr:to>
      <xdr:col>1</xdr:col>
      <xdr:colOff>2857500</xdr:colOff>
      <xdr:row>112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062A9-4AB8-429B-AA56-992707D683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221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182879</xdr:rowOff>
    </xdr:from>
    <xdr:to>
      <xdr:col>7</xdr:col>
      <xdr:colOff>571500</xdr:colOff>
      <xdr:row>112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1CB88D-4CEF-4166-948B-071E80414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71221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BF27-B3D9-4E2B-8370-624F2BA51F47}">
  <sheetPr codeName="Sheet66">
    <outlinePr summaryBelow="0"/>
  </sheetPr>
  <dimension ref="A1:H101"/>
  <sheetViews>
    <sheetView tabSelected="1" topLeftCell="A70" workbookViewId="0">
      <selection activeCell="A114" sqref="A114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1817</v>
      </c>
      <c r="F8" s="18">
        <v>99.58</v>
      </c>
      <c r="G8" s="19">
        <v>5.8599999999999999E-2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6298</v>
      </c>
      <c r="F9" s="18">
        <v>93.7</v>
      </c>
      <c r="G9" s="19">
        <v>5.5100000000000003E-2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3595</v>
      </c>
      <c r="F10" s="18">
        <v>92.93</v>
      </c>
      <c r="G10" s="19">
        <v>5.4699999999999999E-2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20</v>
      </c>
      <c r="E11" s="17">
        <v>1672</v>
      </c>
      <c r="F11" s="18">
        <v>88.68</v>
      </c>
      <c r="G11" s="19">
        <v>5.2200000000000003E-2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39153</v>
      </c>
      <c r="F12" s="18">
        <v>86.96</v>
      </c>
      <c r="G12" s="19">
        <v>5.1200000000000002E-2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11889</v>
      </c>
      <c r="F13" s="18">
        <v>85.14</v>
      </c>
      <c r="G13" s="19">
        <v>5.0099999999999999E-2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593</v>
      </c>
      <c r="F14" s="18">
        <v>82.64</v>
      </c>
      <c r="G14" s="19">
        <v>4.8599999999999997E-2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31</v>
      </c>
      <c r="E15" s="17">
        <v>1514</v>
      </c>
      <c r="F15" s="18">
        <v>73.45</v>
      </c>
      <c r="G15" s="19">
        <v>4.3200000000000002E-2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31</v>
      </c>
      <c r="E16" s="17">
        <v>1048</v>
      </c>
      <c r="F16" s="18">
        <v>73.28</v>
      </c>
      <c r="G16" s="19">
        <v>4.3099999999999999E-2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20</v>
      </c>
      <c r="E17" s="17">
        <v>934</v>
      </c>
      <c r="F17" s="18">
        <v>68.760000000000005</v>
      </c>
      <c r="G17" s="19">
        <v>4.0500000000000001E-2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1445</v>
      </c>
      <c r="F18" s="18">
        <v>66.959999999999994</v>
      </c>
      <c r="G18" s="19">
        <v>3.9399999999999998E-2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4336</v>
      </c>
      <c r="F19" s="18">
        <v>63.46</v>
      </c>
      <c r="G19" s="19">
        <v>3.73E-2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16</v>
      </c>
      <c r="E20" s="17">
        <v>2760</v>
      </c>
      <c r="F20" s="18">
        <v>52.57</v>
      </c>
      <c r="G20" s="19">
        <v>3.09E-2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3372</v>
      </c>
      <c r="F21" s="18">
        <v>43.31</v>
      </c>
      <c r="G21" s="19">
        <v>2.5499999999999998E-2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919</v>
      </c>
      <c r="F22" s="18">
        <v>42.49</v>
      </c>
      <c r="G22" s="19">
        <v>2.5000000000000001E-2</v>
      </c>
      <c r="H22" s="20"/>
    </row>
    <row r="23" spans="1:8" ht="12.9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6441</v>
      </c>
      <c r="F23" s="18">
        <v>39.46</v>
      </c>
      <c r="G23" s="19">
        <v>2.3199999999999998E-2</v>
      </c>
      <c r="H23" s="20"/>
    </row>
    <row r="24" spans="1:8" ht="12.9" customHeight="1">
      <c r="A24" s="15" t="s">
        <v>72</v>
      </c>
      <c r="B24" s="16" t="s">
        <v>73</v>
      </c>
      <c r="C24" s="12" t="s">
        <v>74</v>
      </c>
      <c r="D24" s="13" t="s">
        <v>39</v>
      </c>
      <c r="E24" s="17">
        <v>2716</v>
      </c>
      <c r="F24" s="18">
        <v>35.85</v>
      </c>
      <c r="G24" s="19">
        <v>2.1100000000000001E-2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52</v>
      </c>
      <c r="E25" s="17">
        <v>704</v>
      </c>
      <c r="F25" s="18">
        <v>35.14</v>
      </c>
      <c r="G25" s="19">
        <v>2.07E-2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39</v>
      </c>
      <c r="E26" s="17">
        <v>6980</v>
      </c>
      <c r="F26" s="18">
        <v>32.270000000000003</v>
      </c>
      <c r="G26" s="19">
        <v>1.9E-2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16</v>
      </c>
      <c r="E27" s="17">
        <v>2539</v>
      </c>
      <c r="F27" s="18">
        <v>30.84</v>
      </c>
      <c r="G27" s="19">
        <v>1.8100000000000002E-2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20</v>
      </c>
      <c r="E28" s="17">
        <v>393</v>
      </c>
      <c r="F28" s="18">
        <v>30.51</v>
      </c>
      <c r="G28" s="19">
        <v>1.7899999999999999E-2</v>
      </c>
      <c r="H28" s="20"/>
    </row>
    <row r="29" spans="1:8" ht="12.9" customHeight="1">
      <c r="A29" s="15" t="s">
        <v>87</v>
      </c>
      <c r="B29" s="16" t="s">
        <v>88</v>
      </c>
      <c r="C29" s="12" t="s">
        <v>89</v>
      </c>
      <c r="D29" s="13" t="s">
        <v>16</v>
      </c>
      <c r="E29" s="17">
        <v>2003</v>
      </c>
      <c r="F29" s="18">
        <v>25.62</v>
      </c>
      <c r="G29" s="19">
        <v>1.5100000000000001E-2</v>
      </c>
      <c r="H29" s="20"/>
    </row>
    <row r="30" spans="1:8" ht="12.9" customHeight="1">
      <c r="A30" s="15" t="s">
        <v>90</v>
      </c>
      <c r="B30" s="16" t="s">
        <v>91</v>
      </c>
      <c r="C30" s="12" t="s">
        <v>92</v>
      </c>
      <c r="D30" s="13" t="s">
        <v>52</v>
      </c>
      <c r="E30" s="17">
        <v>2280</v>
      </c>
      <c r="F30" s="18">
        <v>22.76</v>
      </c>
      <c r="G30" s="19">
        <v>1.34E-2</v>
      </c>
      <c r="H30" s="20"/>
    </row>
    <row r="31" spans="1:8" ht="12.9" customHeight="1">
      <c r="A31" s="15" t="s">
        <v>93</v>
      </c>
      <c r="B31" s="16" t="s">
        <v>94</v>
      </c>
      <c r="C31" s="12" t="s">
        <v>95</v>
      </c>
      <c r="D31" s="13" t="s">
        <v>96</v>
      </c>
      <c r="E31" s="17">
        <v>1326</v>
      </c>
      <c r="F31" s="18">
        <v>22.1</v>
      </c>
      <c r="G31" s="19">
        <v>1.2999999999999999E-2</v>
      </c>
      <c r="H31" s="20"/>
    </row>
    <row r="32" spans="1:8" ht="12.9" customHeight="1">
      <c r="A32" s="15" t="s">
        <v>97</v>
      </c>
      <c r="B32" s="16" t="s">
        <v>98</v>
      </c>
      <c r="C32" s="12" t="s">
        <v>99</v>
      </c>
      <c r="D32" s="13" t="s">
        <v>63</v>
      </c>
      <c r="E32" s="17">
        <v>1005</v>
      </c>
      <c r="F32" s="18">
        <v>20.83</v>
      </c>
      <c r="G32" s="19">
        <v>1.23E-2</v>
      </c>
      <c r="H32" s="20"/>
    </row>
    <row r="33" spans="1:8" ht="12.9" customHeight="1">
      <c r="A33" s="15" t="s">
        <v>100</v>
      </c>
      <c r="B33" s="16" t="s">
        <v>101</v>
      </c>
      <c r="C33" s="12" t="s">
        <v>102</v>
      </c>
      <c r="D33" s="13" t="s">
        <v>103</v>
      </c>
      <c r="E33" s="17">
        <v>1141</v>
      </c>
      <c r="F33" s="18">
        <v>18.73</v>
      </c>
      <c r="G33" s="19">
        <v>1.0999999999999999E-2</v>
      </c>
      <c r="H33" s="20"/>
    </row>
    <row r="34" spans="1:8" ht="12.9" customHeight="1">
      <c r="A34" s="15" t="s">
        <v>104</v>
      </c>
      <c r="B34" s="16" t="s">
        <v>105</v>
      </c>
      <c r="C34" s="12" t="s">
        <v>106</v>
      </c>
      <c r="D34" s="13" t="s">
        <v>107</v>
      </c>
      <c r="E34" s="17">
        <v>5421</v>
      </c>
      <c r="F34" s="18">
        <v>18.579999999999998</v>
      </c>
      <c r="G34" s="19">
        <v>1.09E-2</v>
      </c>
      <c r="H34" s="20"/>
    </row>
    <row r="35" spans="1:8" ht="12.9" customHeight="1">
      <c r="A35" s="15" t="s">
        <v>108</v>
      </c>
      <c r="B35" s="16" t="s">
        <v>109</v>
      </c>
      <c r="C35" s="12" t="s">
        <v>110</v>
      </c>
      <c r="D35" s="13" t="s">
        <v>16</v>
      </c>
      <c r="E35" s="17">
        <v>9645</v>
      </c>
      <c r="F35" s="18">
        <v>18.309999999999999</v>
      </c>
      <c r="G35" s="19">
        <v>1.0800000000000001E-2</v>
      </c>
      <c r="H35" s="20"/>
    </row>
    <row r="36" spans="1:8" ht="12.9" customHeight="1">
      <c r="A36" s="15" t="s">
        <v>111</v>
      </c>
      <c r="B36" s="16" t="s">
        <v>112</v>
      </c>
      <c r="C36" s="12" t="s">
        <v>113</v>
      </c>
      <c r="D36" s="13" t="s">
        <v>114</v>
      </c>
      <c r="E36" s="17">
        <v>10252</v>
      </c>
      <c r="F36" s="18">
        <v>18.21</v>
      </c>
      <c r="G36" s="19">
        <v>1.0699999999999999E-2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4999</v>
      </c>
      <c r="F37" s="18">
        <v>17.3</v>
      </c>
      <c r="G37" s="19">
        <v>1.0200000000000001E-2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1583</v>
      </c>
      <c r="F38" s="18">
        <v>16.16</v>
      </c>
      <c r="G38" s="19">
        <v>9.4999999999999998E-3</v>
      </c>
      <c r="H38" s="20"/>
    </row>
    <row r="39" spans="1:8" ht="12.9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387</v>
      </c>
      <c r="F39" s="18">
        <v>16.04</v>
      </c>
      <c r="G39" s="19">
        <v>9.4000000000000004E-3</v>
      </c>
      <c r="H39" s="20"/>
    </row>
    <row r="40" spans="1:8" ht="12.9" customHeight="1">
      <c r="A40" s="15" t="s">
        <v>127</v>
      </c>
      <c r="B40" s="16" t="s">
        <v>128</v>
      </c>
      <c r="C40" s="12" t="s">
        <v>129</v>
      </c>
      <c r="D40" s="13" t="s">
        <v>52</v>
      </c>
      <c r="E40" s="17">
        <v>2319</v>
      </c>
      <c r="F40" s="18">
        <v>13.65</v>
      </c>
      <c r="G40" s="19">
        <v>8.0000000000000002E-3</v>
      </c>
      <c r="H40" s="20"/>
    </row>
    <row r="41" spans="1:8" ht="12.9" customHeight="1">
      <c r="A41" s="15" t="s">
        <v>130</v>
      </c>
      <c r="B41" s="16" t="s">
        <v>131</v>
      </c>
      <c r="C41" s="12" t="s">
        <v>132</v>
      </c>
      <c r="D41" s="13" t="s">
        <v>16</v>
      </c>
      <c r="E41" s="17">
        <v>1448</v>
      </c>
      <c r="F41" s="18">
        <v>13.07</v>
      </c>
      <c r="G41" s="19">
        <v>7.7000000000000002E-3</v>
      </c>
      <c r="H41" s="20"/>
    </row>
    <row r="42" spans="1:8" ht="12.9" customHeight="1">
      <c r="A42" s="15" t="s">
        <v>133</v>
      </c>
      <c r="B42" s="16" t="s">
        <v>134</v>
      </c>
      <c r="C42" s="12" t="s">
        <v>135</v>
      </c>
      <c r="D42" s="13" t="s">
        <v>39</v>
      </c>
      <c r="E42" s="17">
        <v>230</v>
      </c>
      <c r="F42" s="18">
        <v>12.95</v>
      </c>
      <c r="G42" s="19">
        <v>7.6E-3</v>
      </c>
      <c r="H42" s="20"/>
    </row>
    <row r="43" spans="1:8" ht="12.9" customHeight="1">
      <c r="A43" s="15" t="s">
        <v>136</v>
      </c>
      <c r="B43" s="16" t="s">
        <v>137</v>
      </c>
      <c r="C43" s="12" t="s">
        <v>138</v>
      </c>
      <c r="D43" s="13" t="s">
        <v>52</v>
      </c>
      <c r="E43" s="17">
        <v>1474</v>
      </c>
      <c r="F43" s="18">
        <v>12.83</v>
      </c>
      <c r="G43" s="19">
        <v>7.4999999999999997E-3</v>
      </c>
      <c r="H43" s="20"/>
    </row>
    <row r="44" spans="1:8" ht="12.9" customHeight="1">
      <c r="A44" s="15" t="s">
        <v>139</v>
      </c>
      <c r="B44" s="16" t="s">
        <v>140</v>
      </c>
      <c r="C44" s="12" t="s">
        <v>141</v>
      </c>
      <c r="D44" s="13" t="s">
        <v>126</v>
      </c>
      <c r="E44" s="17">
        <v>584</v>
      </c>
      <c r="F44" s="18">
        <v>12.45</v>
      </c>
      <c r="G44" s="19">
        <v>7.3000000000000001E-3</v>
      </c>
      <c r="H44" s="20"/>
    </row>
    <row r="45" spans="1:8" ht="12.9" customHeight="1">
      <c r="A45" s="15" t="s">
        <v>142</v>
      </c>
      <c r="B45" s="16" t="s">
        <v>143</v>
      </c>
      <c r="C45" s="12" t="s">
        <v>144</v>
      </c>
      <c r="D45" s="13" t="s">
        <v>145</v>
      </c>
      <c r="E45" s="17">
        <v>1288</v>
      </c>
      <c r="F45" s="18">
        <v>12.28</v>
      </c>
      <c r="G45" s="19">
        <v>7.1999999999999998E-3</v>
      </c>
      <c r="H45" s="20"/>
    </row>
    <row r="46" spans="1:8" ht="12.9" customHeight="1">
      <c r="A46" s="15" t="s">
        <v>146</v>
      </c>
      <c r="B46" s="16" t="s">
        <v>147</v>
      </c>
      <c r="C46" s="12" t="s">
        <v>148</v>
      </c>
      <c r="D46" s="13" t="s">
        <v>67</v>
      </c>
      <c r="E46" s="17">
        <v>105</v>
      </c>
      <c r="F46" s="18">
        <v>11.85</v>
      </c>
      <c r="G46" s="19">
        <v>7.0000000000000001E-3</v>
      </c>
      <c r="H46" s="20"/>
    </row>
    <row r="47" spans="1:8" ht="12.9" customHeight="1">
      <c r="A47" s="15" t="s">
        <v>149</v>
      </c>
      <c r="B47" s="16" t="s">
        <v>150</v>
      </c>
      <c r="C47" s="12" t="s">
        <v>151</v>
      </c>
      <c r="D47" s="13" t="s">
        <v>145</v>
      </c>
      <c r="E47" s="17">
        <v>2895</v>
      </c>
      <c r="F47" s="18">
        <v>11.82</v>
      </c>
      <c r="G47" s="19">
        <v>7.0000000000000001E-3</v>
      </c>
      <c r="H47" s="20"/>
    </row>
    <row r="48" spans="1:8" ht="12.9" customHeight="1">
      <c r="A48" s="15" t="s">
        <v>152</v>
      </c>
      <c r="B48" s="16" t="s">
        <v>153</v>
      </c>
      <c r="C48" s="12" t="s">
        <v>154</v>
      </c>
      <c r="D48" s="13" t="s">
        <v>155</v>
      </c>
      <c r="E48" s="17">
        <v>1463</v>
      </c>
      <c r="F48" s="18">
        <v>10.039999999999999</v>
      </c>
      <c r="G48" s="19">
        <v>5.8999999999999999E-3</v>
      </c>
      <c r="H48" s="20"/>
    </row>
    <row r="49" spans="1:8" ht="12.9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2146</v>
      </c>
      <c r="F49" s="18">
        <v>9.94</v>
      </c>
      <c r="G49" s="19">
        <v>5.7999999999999996E-3</v>
      </c>
      <c r="H49" s="20"/>
    </row>
    <row r="50" spans="1:8" ht="12.9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450</v>
      </c>
      <c r="F50" s="18">
        <v>9.16</v>
      </c>
      <c r="G50" s="19">
        <v>5.4000000000000003E-3</v>
      </c>
      <c r="H50" s="20"/>
    </row>
    <row r="51" spans="1:8" ht="12.9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168</v>
      </c>
      <c r="F51" s="18">
        <v>8.7200000000000006</v>
      </c>
      <c r="G51" s="19">
        <v>5.1000000000000004E-3</v>
      </c>
      <c r="H51" s="20"/>
    </row>
    <row r="52" spans="1:8" ht="12.9" customHeight="1">
      <c r="A52" s="15" t="s">
        <v>168</v>
      </c>
      <c r="B52" s="16" t="s">
        <v>169</v>
      </c>
      <c r="C52" s="12" t="s">
        <v>170</v>
      </c>
      <c r="D52" s="13" t="s">
        <v>16</v>
      </c>
      <c r="E52" s="17">
        <v>1046</v>
      </c>
      <c r="F52" s="18">
        <v>8.06</v>
      </c>
      <c r="G52" s="19">
        <v>4.7000000000000002E-3</v>
      </c>
      <c r="H52" s="20"/>
    </row>
    <row r="53" spans="1:8" ht="12.9" customHeight="1">
      <c r="A53" s="15" t="s">
        <v>171</v>
      </c>
      <c r="B53" s="16" t="s">
        <v>172</v>
      </c>
      <c r="C53" s="12" t="s">
        <v>173</v>
      </c>
      <c r="D53" s="13" t="s">
        <v>145</v>
      </c>
      <c r="E53" s="17">
        <v>2002</v>
      </c>
      <c r="F53" s="18">
        <v>7.17</v>
      </c>
      <c r="G53" s="19">
        <v>4.1999999999999997E-3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52</v>
      </c>
      <c r="E54" s="17">
        <v>1076</v>
      </c>
      <c r="F54" s="18">
        <v>6.62</v>
      </c>
      <c r="G54" s="19">
        <v>3.8999999999999998E-3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16</v>
      </c>
      <c r="E55" s="17">
        <v>251</v>
      </c>
      <c r="F55" s="18">
        <v>4.57</v>
      </c>
      <c r="G55" s="19">
        <v>2.7000000000000001E-3</v>
      </c>
      <c r="H55" s="20"/>
    </row>
    <row r="56" spans="1:8" ht="12.9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1474</v>
      </c>
      <c r="F56" s="18">
        <v>3.74</v>
      </c>
      <c r="G56" s="19">
        <v>2.2000000000000001E-3</v>
      </c>
      <c r="H56" s="20"/>
    </row>
    <row r="57" spans="1:8" ht="12.9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222</v>
      </c>
      <c r="F57" s="18">
        <v>3.23</v>
      </c>
      <c r="G57" s="19">
        <v>1.9E-3</v>
      </c>
      <c r="H57" s="20"/>
    </row>
    <row r="58" spans="1:8" ht="12.9" customHeight="1">
      <c r="A58" s="4"/>
      <c r="B58" s="21" t="s">
        <v>188</v>
      </c>
      <c r="C58" s="22"/>
      <c r="D58" s="21"/>
      <c r="E58" s="21"/>
      <c r="F58" s="23">
        <v>1704.77</v>
      </c>
      <c r="G58" s="24">
        <v>1.0027999999999999</v>
      </c>
      <c r="H58" s="25"/>
    </row>
    <row r="59" spans="1:8" ht="12.9" customHeight="1">
      <c r="A59" s="4"/>
      <c r="B59" s="11" t="s">
        <v>189</v>
      </c>
      <c r="C59" s="26"/>
      <c r="D59" s="27"/>
      <c r="E59" s="27"/>
      <c r="F59" s="28" t="s">
        <v>190</v>
      </c>
      <c r="G59" s="28" t="s">
        <v>190</v>
      </c>
      <c r="H59" s="25" t="s">
        <v>190</v>
      </c>
    </row>
    <row r="60" spans="1:8" ht="12.9" customHeight="1">
      <c r="A60" s="4"/>
      <c r="B60" s="21" t="s">
        <v>188</v>
      </c>
      <c r="C60" s="26"/>
      <c r="D60" s="27"/>
      <c r="E60" s="27"/>
      <c r="F60" s="28" t="s">
        <v>190</v>
      </c>
      <c r="G60" s="28" t="s">
        <v>190</v>
      </c>
      <c r="H60" s="25" t="s">
        <v>190</v>
      </c>
    </row>
    <row r="61" spans="1:8" ht="12.9" customHeight="1">
      <c r="A61" s="4"/>
      <c r="B61" s="21" t="s">
        <v>191</v>
      </c>
      <c r="C61" s="26"/>
      <c r="D61" s="27"/>
      <c r="E61" s="29"/>
      <c r="F61" s="30">
        <v>1704.77</v>
      </c>
      <c r="G61" s="31">
        <v>1.0027999999999999</v>
      </c>
      <c r="H61" s="32"/>
    </row>
    <row r="62" spans="1:8" ht="12.9" customHeight="1">
      <c r="A62" s="4"/>
      <c r="B62" s="11" t="s">
        <v>192</v>
      </c>
      <c r="C62" s="12"/>
      <c r="D62" s="13"/>
      <c r="E62" s="13"/>
      <c r="F62" s="13"/>
      <c r="G62" s="13"/>
      <c r="H62" s="14"/>
    </row>
    <row r="63" spans="1:8" ht="12.9" customHeight="1">
      <c r="A63" s="4"/>
      <c r="B63" s="33" t="s">
        <v>193</v>
      </c>
      <c r="C63" s="12"/>
      <c r="D63" s="13"/>
      <c r="E63" s="13"/>
      <c r="F63" s="13"/>
      <c r="G63" s="13"/>
      <c r="H63" s="14"/>
    </row>
    <row r="64" spans="1:8" ht="12.9" customHeight="1">
      <c r="A64" s="15" t="s">
        <v>194</v>
      </c>
      <c r="B64" s="16" t="s">
        <v>195</v>
      </c>
      <c r="C64" s="12"/>
      <c r="D64" s="13"/>
      <c r="E64" s="34"/>
      <c r="F64" s="18">
        <v>10.9</v>
      </c>
      <c r="G64" s="19">
        <v>6.4000000000000003E-3</v>
      </c>
      <c r="H64" s="20">
        <v>6.2618999999999994E-2</v>
      </c>
    </row>
    <row r="65" spans="1:8" ht="12.9" customHeight="1">
      <c r="A65" s="4"/>
      <c r="B65" s="21" t="s">
        <v>191</v>
      </c>
      <c r="C65" s="26"/>
      <c r="D65" s="27"/>
      <c r="E65" s="29"/>
      <c r="F65" s="30">
        <v>10.9</v>
      </c>
      <c r="G65" s="31">
        <v>6.4000000000000003E-3</v>
      </c>
      <c r="H65" s="32"/>
    </row>
    <row r="66" spans="1:8" ht="12.9" customHeight="1">
      <c r="A66" s="4"/>
      <c r="B66" s="33" t="s">
        <v>196</v>
      </c>
      <c r="C66" s="35"/>
      <c r="D66" s="36"/>
      <c r="E66" s="36"/>
      <c r="F66" s="36"/>
      <c r="G66" s="36"/>
      <c r="H66" s="37"/>
    </row>
    <row r="67" spans="1:8" ht="12.9" customHeight="1">
      <c r="A67" s="4"/>
      <c r="B67" s="27" t="s">
        <v>197</v>
      </c>
      <c r="C67" s="26"/>
      <c r="D67" s="27"/>
      <c r="E67" s="27"/>
      <c r="F67" s="23">
        <v>0.1</v>
      </c>
      <c r="G67" s="24">
        <v>1E-4</v>
      </c>
      <c r="H67" s="37"/>
    </row>
    <row r="68" spans="1:8" ht="12.9" customHeight="1">
      <c r="A68" s="4"/>
      <c r="B68" s="21" t="s">
        <v>188</v>
      </c>
      <c r="C68" s="22"/>
      <c r="D68" s="21"/>
      <c r="E68" s="21"/>
      <c r="F68" s="23">
        <v>0.1</v>
      </c>
      <c r="G68" s="24">
        <v>1E-4</v>
      </c>
      <c r="H68" s="37"/>
    </row>
    <row r="69" spans="1:8" ht="12.9" customHeight="1">
      <c r="A69" s="4"/>
      <c r="B69" s="21" t="s">
        <v>198</v>
      </c>
      <c r="C69" s="26"/>
      <c r="D69" s="27"/>
      <c r="E69" s="27"/>
      <c r="F69" s="23">
        <v>-15.89</v>
      </c>
      <c r="G69" s="38">
        <v>-9.2999999999999992E-3</v>
      </c>
      <c r="H69" s="37"/>
    </row>
    <row r="70" spans="1:8" ht="12.9" customHeight="1" thickBot="1">
      <c r="A70" s="4"/>
      <c r="B70" s="39" t="s">
        <v>199</v>
      </c>
      <c r="C70" s="40"/>
      <c r="D70" s="41"/>
      <c r="E70" s="41"/>
      <c r="F70" s="42">
        <v>1699.8768863071998</v>
      </c>
      <c r="G70" s="43">
        <v>1</v>
      </c>
      <c r="H70" s="44"/>
    </row>
    <row r="71" spans="1:8" ht="12.9" customHeight="1">
      <c r="A71" s="4"/>
      <c r="B71" s="45"/>
      <c r="C71" s="4"/>
      <c r="D71" s="4"/>
      <c r="E71" s="4"/>
      <c r="F71" s="4"/>
      <c r="G71" s="4"/>
      <c r="H71" s="4"/>
    </row>
    <row r="72" spans="1:8" ht="12.9" customHeight="1">
      <c r="A72" s="4"/>
      <c r="B72" s="45"/>
      <c r="C72" s="4"/>
      <c r="D72" s="4"/>
      <c r="E72" s="4"/>
      <c r="F72" s="4"/>
      <c r="G72" s="4"/>
      <c r="H72" s="4"/>
    </row>
    <row r="73" spans="1:8" ht="12.9" customHeight="1">
      <c r="A73" s="4"/>
      <c r="B73" s="45"/>
      <c r="C73" s="4"/>
      <c r="D73" s="4"/>
      <c r="E73" s="4"/>
      <c r="F73" s="4"/>
      <c r="G73" s="4"/>
      <c r="H73" s="4"/>
    </row>
    <row r="74" spans="1:8">
      <c r="A74" s="4"/>
      <c r="B74" s="46" t="s">
        <v>200</v>
      </c>
      <c r="C74" s="4"/>
      <c r="D74" s="4"/>
      <c r="E74" s="4"/>
      <c r="F74" s="4"/>
      <c r="G74" s="4"/>
      <c r="H74" s="4"/>
    </row>
    <row r="75" spans="1:8" ht="12.9" customHeight="1">
      <c r="A75" s="4"/>
      <c r="B75" s="47" t="s">
        <v>201</v>
      </c>
      <c r="C75" s="47" t="s">
        <v>9</v>
      </c>
      <c r="D75" s="4"/>
      <c r="E75" s="4"/>
      <c r="F75" s="4"/>
      <c r="G75" s="4"/>
      <c r="H75" s="4"/>
    </row>
    <row r="76" spans="1:8" ht="12.9" customHeight="1">
      <c r="A76" s="4"/>
      <c r="B76" s="48" t="str">
        <f>+B8</f>
        <v>Divi's Laboratories Limited</v>
      </c>
      <c r="C76" s="49">
        <f>+G8</f>
        <v>5.8599999999999999E-2</v>
      </c>
      <c r="D76" s="4"/>
      <c r="E76" s="4"/>
      <c r="F76" s="4"/>
      <c r="G76" s="4"/>
      <c r="H76" s="4"/>
    </row>
    <row r="77" spans="1:8" ht="12.9" customHeight="1">
      <c r="A77" s="4"/>
      <c r="B77" s="48" t="str">
        <f t="shared" ref="B77:B82" si="0">+B9</f>
        <v>Tech Mahindra Limited</v>
      </c>
      <c r="C77" s="49">
        <f t="shared" ref="C77:C82" si="1">+G9</f>
        <v>5.5100000000000003E-2</v>
      </c>
      <c r="D77" s="4"/>
      <c r="E77" s="4"/>
      <c r="F77" s="4"/>
      <c r="G77" s="4"/>
      <c r="H77" s="4"/>
    </row>
    <row r="78" spans="1:8" ht="12.9" customHeight="1">
      <c r="A78" s="4"/>
      <c r="B78" s="48" t="str">
        <f t="shared" si="0"/>
        <v>Mahindra &amp; Mahindra Limited</v>
      </c>
      <c r="C78" s="49">
        <f t="shared" si="1"/>
        <v>5.4699999999999999E-2</v>
      </c>
      <c r="D78" s="4"/>
      <c r="E78" s="4"/>
      <c r="F78" s="4"/>
      <c r="G78" s="4"/>
      <c r="H78" s="4"/>
    </row>
    <row r="79" spans="1:8" ht="12.9" customHeight="1">
      <c r="A79" s="4"/>
      <c r="B79" s="48" t="str">
        <f t="shared" si="0"/>
        <v>Persistent Systems Limited</v>
      </c>
      <c r="C79" s="49">
        <f t="shared" si="1"/>
        <v>5.2200000000000003E-2</v>
      </c>
      <c r="D79" s="4"/>
      <c r="E79" s="4"/>
      <c r="F79" s="4"/>
      <c r="G79" s="4"/>
      <c r="H79" s="4"/>
    </row>
    <row r="80" spans="1:8">
      <c r="B80" s="48" t="str">
        <f t="shared" si="0"/>
        <v>Zomato Limited</v>
      </c>
      <c r="C80" s="49">
        <f t="shared" si="1"/>
        <v>5.1200000000000002E-2</v>
      </c>
    </row>
    <row r="81" spans="2:3">
      <c r="B81" s="48" t="str">
        <f t="shared" si="0"/>
        <v>The Indian Hotels Company Limited</v>
      </c>
      <c r="C81" s="49">
        <f t="shared" si="1"/>
        <v>5.0099999999999999E-2</v>
      </c>
    </row>
    <row r="82" spans="2:3">
      <c r="B82" s="48" t="str">
        <f t="shared" si="0"/>
        <v>Dixon Technologies (India) Limited</v>
      </c>
      <c r="C82" s="49">
        <f t="shared" si="1"/>
        <v>4.8599999999999997E-2</v>
      </c>
    </row>
    <row r="84" spans="2:3">
      <c r="B84" s="46" t="s">
        <v>202</v>
      </c>
    </row>
    <row r="85" spans="2:3">
      <c r="B85" s="47" t="s">
        <v>203</v>
      </c>
      <c r="C85" s="47" t="s">
        <v>9</v>
      </c>
    </row>
    <row r="86" spans="2:3">
      <c r="B86" s="48" t="s">
        <v>204</v>
      </c>
      <c r="C86" s="49">
        <v>0.10980000000000001</v>
      </c>
    </row>
    <row r="87" spans="2:3">
      <c r="B87" s="48" t="s">
        <v>205</v>
      </c>
      <c r="C87" s="49">
        <v>9.4299999999999995E-2</v>
      </c>
    </row>
    <row r="88" spans="2:3">
      <c r="B88" s="48" t="s">
        <v>206</v>
      </c>
      <c r="C88" s="49">
        <v>9.3299999999999994E-2</v>
      </c>
    </row>
    <row r="89" spans="2:3">
      <c r="B89" s="48" t="s">
        <v>207</v>
      </c>
      <c r="C89" s="49">
        <v>5.8599999999999999E-2</v>
      </c>
    </row>
    <row r="90" spans="2:3">
      <c r="B90" s="48" t="s">
        <v>208</v>
      </c>
      <c r="C90" s="49">
        <v>5.2200000000000003E-2</v>
      </c>
    </row>
    <row r="91" spans="2:3">
      <c r="B91" s="48" t="s">
        <v>209</v>
      </c>
      <c r="C91" s="49">
        <v>4.8599999999999997E-2</v>
      </c>
    </row>
    <row r="92" spans="2:3">
      <c r="B92" s="48" t="s">
        <v>210</v>
      </c>
      <c r="C92" s="49">
        <v>4.0500000000000001E-2</v>
      </c>
    </row>
    <row r="94" spans="2:3">
      <c r="B94" s="46" t="s">
        <v>211</v>
      </c>
    </row>
    <row r="95" spans="2:3">
      <c r="B95" s="47" t="s">
        <v>212</v>
      </c>
      <c r="C95" s="47" t="s">
        <v>9</v>
      </c>
    </row>
    <row r="96" spans="2:3">
      <c r="B96" s="48" t="s">
        <v>213</v>
      </c>
      <c r="C96" s="49">
        <v>0.18760000000000002</v>
      </c>
    </row>
    <row r="97" spans="2:6">
      <c r="B97" s="48" t="s">
        <v>214</v>
      </c>
      <c r="C97" s="49">
        <v>0.17720000000000002</v>
      </c>
    </row>
    <row r="98" spans="2:6">
      <c r="B98" s="48" t="s">
        <v>215</v>
      </c>
      <c r="C98" s="49">
        <v>0.16760000000000003</v>
      </c>
    </row>
    <row r="99" spans="2:6">
      <c r="B99" s="48" t="s">
        <v>216</v>
      </c>
      <c r="C99" s="49">
        <v>0.14119999999999999</v>
      </c>
    </row>
    <row r="100" spans="2:6">
      <c r="F100" s="50" t="s">
        <v>217</v>
      </c>
    </row>
    <row r="101" spans="2:6">
      <c r="B101" s="50" t="s">
        <v>218</v>
      </c>
      <c r="F101" s="50" t="s">
        <v>219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IDF307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2025-03-06T13:13:52Z</dcterms:created>
  <dcterms:modified xsi:type="dcterms:W3CDTF">2025-03-06T13:13:53Z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dfb5ada2-7095-4a53-b0fe-2785144ba4a3</vt:lpwstr>
  </property>
  <property fmtid="{D5CDD505-2E9C-101B-9397-08002B2CF9AE}" pid="8" name="MSIP_Label_af1741f6-9e47-426e-a683-937c37d4ebc5_ContentBits">
    <vt:lpwstr>3</vt:lpwstr>
  </property>
</Properties>
</file>