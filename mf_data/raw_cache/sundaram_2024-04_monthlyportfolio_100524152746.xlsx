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47B21DF6-88C7-4E88-BDFE-07E0866F80DC}" xr6:coauthVersionLast="47" xr6:coauthVersionMax="47" xr10:uidLastSave="{00000000-0000-0000-0000-000000000000}"/>
  <bookViews>
    <workbookView xWindow="-120" yWindow="-120" windowWidth="29040" windowHeight="15840" tabRatio="836" xr2:uid="{00000000-000D-0000-FFFF-FFFF00000000}"/>
  </bookViews>
  <sheets>
    <sheet name="Index" sheetId="40" r:id="rId1"/>
    <sheet name="CAPEXG" sheetId="1" r:id="rId2"/>
    <sheet name="GLOB" sheetId="2" r:id="rId3"/>
    <sheet name="MIDCAP" sheetId="3" r:id="rId4"/>
    <sheet name="MULTIP" sheetId="4" r:id="rId5"/>
    <sheet name="SLTADV3" sheetId="8" r:id="rId6"/>
    <sheet name="SLTADV4" sheetId="9" r:id="rId7"/>
    <sheet name="SLTAX1" sheetId="10" r:id="rId8"/>
    <sheet name="SLTAX2" sheetId="11" r:id="rId9"/>
    <sheet name="SLTAX3" sheetId="12" r:id="rId10"/>
    <sheet name="SLTAX4" sheetId="13" r:id="rId11"/>
    <sheet name="SLTAX5" sheetId="14" r:id="rId12"/>
    <sheet name="SLTAX6" sheetId="15" r:id="rId13"/>
    <sheet name="SMILE" sheetId="16" r:id="rId14"/>
    <sheet name="SPAHF" sheetId="18" r:id="rId15"/>
    <sheet name="SPARF" sheetId="19" r:id="rId16"/>
    <sheet name="SPBAF" sheetId="20" r:id="rId17"/>
    <sheet name="SPDYF" sheetId="21" r:id="rId18"/>
    <sheet name="SPESF" sheetId="22" r:id="rId19"/>
    <sheet name="SPFOCUS" sheetId="23" r:id="rId20"/>
    <sheet name="SPMUCF" sheetId="26" r:id="rId21"/>
    <sheet name="SPSN100" sheetId="29" r:id="rId22"/>
    <sheet name="SPTAX" sheetId="30" r:id="rId23"/>
    <sheet name="SRURAL" sheetId="32" r:id="rId24"/>
    <sheet name="SSFUND" sheetId="33" r:id="rId25"/>
    <sheet name="STAX" sheetId="34" r:id="rId26"/>
    <sheet name="SUNBCF" sheetId="35" r:id="rId27"/>
    <sheet name="SUNFCF" sheetId="37" r:id="rId28"/>
    <sheet name="SUNFOP" sheetId="38" r:id="rId29"/>
    <sheet name="SUNMAF" sheetId="39" r:id="rId30"/>
    <sheet name="Annexure-A" sheetId="41" r:id="rId31"/>
  </sheets>
  <definedNames>
    <definedName name="_xlnm._FilterDatabase" localSheetId="30" hidden="1">'Annexure-A'!$A$8:$L$87</definedName>
    <definedName name="_xlnm._FilterDatabase" localSheetId="0" hidden="1">Index!$A$1:$C$28</definedName>
    <definedName name="_xlnm._FilterDatabase" localSheetId="16" hidden="1">SPBAF!$A$4:$H$4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7" i="41" l="1"/>
  <c r="G140" i="41"/>
  <c r="G139" i="41"/>
  <c r="I138" i="41"/>
  <c r="G138" i="41"/>
  <c r="G137" i="41"/>
  <c r="G136" i="41"/>
  <c r="I135" i="41"/>
  <c r="G135" i="41"/>
  <c r="I134" i="41"/>
  <c r="G134" i="41"/>
  <c r="I133" i="41"/>
  <c r="G133" i="41"/>
  <c r="I132" i="41"/>
  <c r="G132" i="41"/>
  <c r="G107" i="41"/>
  <c r="G106" i="41"/>
  <c r="G105" i="41"/>
  <c r="G104" i="41"/>
  <c r="G103" i="41"/>
  <c r="G102" i="41"/>
  <c r="G101" i="41"/>
  <c r="G100" i="41"/>
</calcChain>
</file>

<file path=xl/sharedStrings.xml><?xml version="1.0" encoding="utf-8"?>
<sst xmlns="http://schemas.openxmlformats.org/spreadsheetml/2006/main" count="9144" uniqueCount="1215">
  <si>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</si>
  <si>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</si>
  <si>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</si>
  <si>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</si>
  <si>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</si>
  <si>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</si>
  <si>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</si>
  <si>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</si>
  <si>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</si>
  <si>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</si>
  <si>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</si>
  <si>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</si>
  <si>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</si>
  <si>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</si>
  <si>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INE002A01018</t>
  </si>
  <si>
    <t>Reliance Industries Ltd</t>
  </si>
  <si>
    <t>Petroleum Products</t>
  </si>
  <si>
    <t>INE397D01024</t>
  </si>
  <si>
    <t>Bharti Airtel Ltd</t>
  </si>
  <si>
    <t>Telecom - Services</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</si>
  <si>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</si>
  <si>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</si>
  <si>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</si>
  <si>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</si>
  <si>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</si>
  <si>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</si>
  <si>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</si>
  <si>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</si>
  <si>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</si>
  <si>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</si>
  <si>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</si>
  <si>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INE117A01022</t>
  </si>
  <si>
    <t>ABB India Ltd</t>
  </si>
  <si>
    <t>Electrical Equipment</t>
  </si>
  <si>
    <t>INE999A01015</t>
  </si>
  <si>
    <t>KSB LTD</t>
  </si>
  <si>
    <t>Industrial Products</t>
  </si>
  <si>
    <t>INE090A01021</t>
  </si>
  <si>
    <t>ICICI Bank Ltd</t>
  </si>
  <si>
    <t>Banks</t>
  </si>
  <si>
    <t>INE284A01012</t>
  </si>
  <si>
    <t>ESAB India Ltd</t>
  </si>
  <si>
    <t>INE066F01020</t>
  </si>
  <si>
    <t>Hindustan Aeronautics Ltd</t>
  </si>
  <si>
    <t>INE213A01029</t>
  </si>
  <si>
    <t>Oil &amp; Natural Gas Corporation Ltd</t>
  </si>
  <si>
    <t>Oil</t>
  </si>
  <si>
    <t>INE245A01021</t>
  </si>
  <si>
    <t>TATA Power Company Ltd</t>
  </si>
  <si>
    <t>INE195J01029</t>
  </si>
  <si>
    <t>PNC Infratech Ltd</t>
  </si>
  <si>
    <t>INE020B01018</t>
  </si>
  <si>
    <t>REC Ltd</t>
  </si>
  <si>
    <t>Finance</t>
  </si>
  <si>
    <t>INE062A01020</t>
  </si>
  <si>
    <t>State Bank of India</t>
  </si>
  <si>
    <t>INE003A01024</t>
  </si>
  <si>
    <t>Siemens Ltd</t>
  </si>
  <si>
    <t>INE343G01021</t>
  </si>
  <si>
    <t>Bharti Hexacom Ltd</t>
  </si>
  <si>
    <t>INE111A01025</t>
  </si>
  <si>
    <t>Container Corporation of India Ltd</t>
  </si>
  <si>
    <t>Transport Services</t>
  </si>
  <si>
    <t>INE129A01019</t>
  </si>
  <si>
    <t>GAIL (India) Ltd</t>
  </si>
  <si>
    <t>Gas</t>
  </si>
  <si>
    <t>INE868B01028</t>
  </si>
  <si>
    <t>NCC Ltd</t>
  </si>
  <si>
    <t>INE671A01010</t>
  </si>
  <si>
    <t>Honeywell Automation India Ltd</t>
  </si>
  <si>
    <t>Industrial Manufacturing</t>
  </si>
  <si>
    <t>INE536A01023</t>
  </si>
  <si>
    <t>Grindwell Norton Ltd</t>
  </si>
  <si>
    <t>INE935N01020</t>
  </si>
  <si>
    <t>Dixon Technologies (India) Ltd</t>
  </si>
  <si>
    <t>Consumer Durables</t>
  </si>
  <si>
    <t>INE07Y701011</t>
  </si>
  <si>
    <t>Hitachi Energy India Ltd</t>
  </si>
  <si>
    <t>INE791I01019</t>
  </si>
  <si>
    <t>Brigade Enterprises Ltd</t>
  </si>
  <si>
    <t>Realty</t>
  </si>
  <si>
    <t>INE298A01020</t>
  </si>
  <si>
    <t>Cummins India Ltd</t>
  </si>
  <si>
    <t>INE146L01010</t>
  </si>
  <si>
    <t>Kirloskar Oil Engines Ltd</t>
  </si>
  <si>
    <t>INE419M01027</t>
  </si>
  <si>
    <t>TD Power Systems Ltd</t>
  </si>
  <si>
    <t>INE00M201021</t>
  </si>
  <si>
    <t>Sterling and Wilson Renewable Energy Ltd</t>
  </si>
  <si>
    <t>INE646L01027</t>
  </si>
  <si>
    <t>Interglobe Aviation Ltd</t>
  </si>
  <si>
    <t>INE372A01015</t>
  </si>
  <si>
    <t>Apar Industries Ltd</t>
  </si>
  <si>
    <t>INE878B01027</t>
  </si>
  <si>
    <t>KEI Industries Ltd</t>
  </si>
  <si>
    <t>INE152M01016</t>
  </si>
  <si>
    <t>Triveni Turbine Ltd</t>
  </si>
  <si>
    <t>INE742F01042</t>
  </si>
  <si>
    <t>Adani Ports and Special Economic Zone Ltd</t>
  </si>
  <si>
    <t>Transport Infrastructure</t>
  </si>
  <si>
    <t>INE702C01027</t>
  </si>
  <si>
    <t>APL Apollo Tubes Ltd</t>
  </si>
  <si>
    <t>INE513A01022</t>
  </si>
  <si>
    <t>Schaeffler India Ltd</t>
  </si>
  <si>
    <t>Auto Components</t>
  </si>
  <si>
    <t>INE522F01014</t>
  </si>
  <si>
    <t>Coal India Ltd</t>
  </si>
  <si>
    <t>Consumable Fuels</t>
  </si>
  <si>
    <t>INE148O01028</t>
  </si>
  <si>
    <t>Delhivery Ltd</t>
  </si>
  <si>
    <t>INE121J01017</t>
  </si>
  <si>
    <t>Indus Towers Ltd (Prev Bharti Infratel Ltd)</t>
  </si>
  <si>
    <t>INE749A01030</t>
  </si>
  <si>
    <t>Jindal Steel &amp; Power Ltd</t>
  </si>
  <si>
    <t>Ferrous Metals</t>
  </si>
  <si>
    <t>INE257A01026</t>
  </si>
  <si>
    <t>Bharat Heavy Electricals Ltd</t>
  </si>
  <si>
    <t>INE152A01029</t>
  </si>
  <si>
    <t>Thermax Ltd</t>
  </si>
  <si>
    <t>INE079A01024</t>
  </si>
  <si>
    <t>Ambuja Cements Ltd</t>
  </si>
  <si>
    <t>INE242A01010</t>
  </si>
  <si>
    <t>Indian Oil Corporation Ltd</t>
  </si>
  <si>
    <t>INE823G01014</t>
  </si>
  <si>
    <t>JK Cement Ltd</t>
  </si>
  <si>
    <t>INE134E01011</t>
  </si>
  <si>
    <t>Power Finance Corporation Ltd</t>
  </si>
  <si>
    <t>INE029A01011</t>
  </si>
  <si>
    <t>Bharat Petroleum Corporation Ltd</t>
  </si>
  <si>
    <t>INE093I01010</t>
  </si>
  <si>
    <t>Oberoi Realty Ltd</t>
  </si>
  <si>
    <t>INE616N01034</t>
  </si>
  <si>
    <t>INOX India Ltd</t>
  </si>
  <si>
    <t>INE087A01019</t>
  </si>
  <si>
    <t>Kesoram Industries Ltd</t>
  </si>
  <si>
    <t>INE340A01012</t>
  </si>
  <si>
    <t>Birla Corporation Ltd</t>
  </si>
  <si>
    <t>INE284S01014</t>
  </si>
  <si>
    <t>S.J.S. Enterprises Ltd</t>
  </si>
  <si>
    <t>INE743M01012</t>
  </si>
  <si>
    <t>RHI Magnesita India Ltd</t>
  </si>
  <si>
    <t>INE00R701025</t>
  </si>
  <si>
    <t>Dalmia Cement (Bharat) Ltd.</t>
  </si>
  <si>
    <t>INE073K01018</t>
  </si>
  <si>
    <t>Sona BLW Precision Forgings Ltd</t>
  </si>
  <si>
    <t>INE880J01026</t>
  </si>
  <si>
    <t>JSW Infrastructure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</si>
  <si>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</si>
  <si>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</si>
  <si>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</si>
  <si>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</si>
  <si>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</si>
  <si>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</si>
  <si>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</si>
  <si>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</si>
  <si>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</si>
  <si>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</si>
  <si>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</si>
  <si>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</si>
  <si>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</si>
  <si>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</si>
  <si>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</si>
  <si>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</si>
  <si>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</si>
  <si>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</si>
  <si>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</si>
  <si>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</si>
  <si>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</si>
  <si>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</si>
  <si>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</si>
  <si>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</si>
  <si>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</si>
  <si>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</si>
  <si>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</si>
  <si>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</si>
  <si>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</si>
  <si>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</si>
  <si>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</si>
  <si>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</si>
  <si>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</si>
  <si>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</si>
  <si>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</si>
  <si>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</si>
  <si>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</si>
  <si>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</si>
  <si>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</si>
  <si>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</si>
  <si>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</si>
  <si>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</si>
  <si>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</si>
  <si>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31/03/2024</t>
  </si>
  <si>
    <t>30/04/2024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</si>
  <si>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</si>
  <si>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</si>
  <si>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</si>
  <si>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</si>
  <si>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</si>
  <si>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</si>
  <si>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Global Brand Fund</t>
  </si>
  <si>
    <t>SG9999013908</t>
  </si>
  <si>
    <t>Sundaram Global Brand Fund - Master Class</t>
  </si>
  <si>
    <t>Sundaram Mid Cap Fund</t>
  </si>
  <si>
    <t>INE171A01029</t>
  </si>
  <si>
    <t>The Federal Bank Ltd</t>
  </si>
  <si>
    <t>INE303R01014</t>
  </si>
  <si>
    <t>Kalyan Jewellers India Ltd</t>
  </si>
  <si>
    <t>INE974X01010</t>
  </si>
  <si>
    <t>Tube Investments of India Ltd</t>
  </si>
  <si>
    <t>INE849A01020</t>
  </si>
  <si>
    <t>Trent Ltd</t>
  </si>
  <si>
    <t>Retailing</t>
  </si>
  <si>
    <t>INE061F01013</t>
  </si>
  <si>
    <t>Fortis Health Care Ltd</t>
  </si>
  <si>
    <t>Healthcare Services</t>
  </si>
  <si>
    <t>INE010B01027</t>
  </si>
  <si>
    <t>Zydus Lifesciences Ltd</t>
  </si>
  <si>
    <t>Pharmaceuticals &amp; Biotechnology</t>
  </si>
  <si>
    <t>INE562A01011</t>
  </si>
  <si>
    <t>Indian Bank</t>
  </si>
  <si>
    <t>INE169A01031</t>
  </si>
  <si>
    <t>Coromandel International Ltd</t>
  </si>
  <si>
    <t>Fertilizers &amp; Agrochemicals</t>
  </si>
  <si>
    <t>INE226A01021</t>
  </si>
  <si>
    <t>Voltas Ltd</t>
  </si>
  <si>
    <t>INE326A01037</t>
  </si>
  <si>
    <t>Lupin Ltd</t>
  </si>
  <si>
    <t>INE721A01013</t>
  </si>
  <si>
    <t>Shriram Finance Ltd</t>
  </si>
  <si>
    <t>INE813H01021</t>
  </si>
  <si>
    <t>Torrent Power Ltd</t>
  </si>
  <si>
    <t>INE262H01021</t>
  </si>
  <si>
    <t>Persistent Systems Ltd</t>
  </si>
  <si>
    <t>It - Software</t>
  </si>
  <si>
    <t>INE180A01020</t>
  </si>
  <si>
    <t>Max Financial Services Ltd</t>
  </si>
  <si>
    <t>Insurance</t>
  </si>
  <si>
    <t>INE455K01017</t>
  </si>
  <si>
    <t>Polycab India Ltd</t>
  </si>
  <si>
    <t>INE105A01035</t>
  </si>
  <si>
    <t>TVS Holdings Ltd</t>
  </si>
  <si>
    <t>INE427F01016</t>
  </si>
  <si>
    <t>Chalet Hotels Ltd</t>
  </si>
  <si>
    <t>Leisure Services</t>
  </si>
  <si>
    <t>INE417T01026</t>
  </si>
  <si>
    <t>PB Fintech Ltd</t>
  </si>
  <si>
    <t>Financial Technology (Fintech)</t>
  </si>
  <si>
    <t>INE540L01014</t>
  </si>
  <si>
    <t>Alkem Laboratories Ltd</t>
  </si>
  <si>
    <t>INE949L01017</t>
  </si>
  <si>
    <t>AU Small Finance Bank Ltd</t>
  </si>
  <si>
    <t>INE094A01015</t>
  </si>
  <si>
    <t>Hindustan Petroleum Corporation Ltd</t>
  </si>
  <si>
    <t>INE027H01010</t>
  </si>
  <si>
    <t>Max Healthcare Institute Ltd</t>
  </si>
  <si>
    <t>INE797F01020</t>
  </si>
  <si>
    <t>Jubilant Foodworks Ltd</t>
  </si>
  <si>
    <t>INE246F01010</t>
  </si>
  <si>
    <t>Gujarat State Petronet Ltd</t>
  </si>
  <si>
    <t>INE692A01016</t>
  </si>
  <si>
    <t>Union Bank of India</t>
  </si>
  <si>
    <t>INE596I01012</t>
  </si>
  <si>
    <t>Computer Age Management Services Ltd</t>
  </si>
  <si>
    <t>Capital Markets</t>
  </si>
  <si>
    <t>INE663F01024</t>
  </si>
  <si>
    <t>Info Edge (India) Ltd</t>
  </si>
  <si>
    <t>INE342J01019</t>
  </si>
  <si>
    <t>ZF Commercial Vehicle Control Systems I Ltd</t>
  </si>
  <si>
    <t>INE356A01018</t>
  </si>
  <si>
    <t>MphasiS Ltd</t>
  </si>
  <si>
    <t>INE591G01017</t>
  </si>
  <si>
    <t>Coforge Ltd</t>
  </si>
  <si>
    <t>INE686F01025</t>
  </si>
  <si>
    <t>United Breweries Ltd</t>
  </si>
  <si>
    <t>Beverages</t>
  </si>
  <si>
    <t>INE473B01035</t>
  </si>
  <si>
    <t>Hatsun Agro Product Ltd</t>
  </si>
  <si>
    <t>Food Products</t>
  </si>
  <si>
    <t>INE006I01046</t>
  </si>
  <si>
    <t>Astral Ltd</t>
  </si>
  <si>
    <t>INE121A01024</t>
  </si>
  <si>
    <t>Cholamandalam Investment and Finance Company Ltd</t>
  </si>
  <si>
    <t>INE216P01012</t>
  </si>
  <si>
    <t>Aavas Financiers Ltd</t>
  </si>
  <si>
    <t>INE494B01023</t>
  </si>
  <si>
    <t>TVS Motor Company Ltd</t>
  </si>
  <si>
    <t>Automobiles</t>
  </si>
  <si>
    <t>INE947Q01028</t>
  </si>
  <si>
    <t>Laurus Labs Ltd</t>
  </si>
  <si>
    <t>INE774D01024</t>
  </si>
  <si>
    <t>Mahindra &amp; Mahindra Financial Services Ltd</t>
  </si>
  <si>
    <t>INE195A01028</t>
  </si>
  <si>
    <t>Supreme Industries Ltd</t>
  </si>
  <si>
    <t>INE067A01029</t>
  </si>
  <si>
    <t>CG Power and Industrial Solutions Ltd</t>
  </si>
  <si>
    <t>INE149A01033</t>
  </si>
  <si>
    <t>Cholamandalam Financial Holdings Ltd</t>
  </si>
  <si>
    <t>INE872J01023</t>
  </si>
  <si>
    <t>Devyani international limited</t>
  </si>
  <si>
    <t>INE405E01023</t>
  </si>
  <si>
    <t>UNO Minda Ltd</t>
  </si>
  <si>
    <t>INE376G01013</t>
  </si>
  <si>
    <t>Biocon Ltd</t>
  </si>
  <si>
    <t>INE603J01030</t>
  </si>
  <si>
    <t>PI Industries Ltd</t>
  </si>
  <si>
    <t>INE335Y01020</t>
  </si>
  <si>
    <t>Indian Railway Catering &amp; Tourism Corporation Ltd</t>
  </si>
  <si>
    <t>INE217B01036</t>
  </si>
  <si>
    <t>Kajaria Ceramics Ltd</t>
  </si>
  <si>
    <t>INE438A01022</t>
  </si>
  <si>
    <t>Apollo Tyres Ltd</t>
  </si>
  <si>
    <t>INE531A01024</t>
  </si>
  <si>
    <t>Kansai Nerolac Paints Ltd</t>
  </si>
  <si>
    <t>INE575P01011</t>
  </si>
  <si>
    <t>Star Health and Allied Insurance Company Ltd</t>
  </si>
  <si>
    <t>INE048G01026</t>
  </si>
  <si>
    <t>Navin Fluorine International Ltd</t>
  </si>
  <si>
    <t>Chemicals &amp; Petrochemicals</t>
  </si>
  <si>
    <t>INE058A01010</t>
  </si>
  <si>
    <t>Sanofi India Ltd</t>
  </si>
  <si>
    <t>INE670A01012</t>
  </si>
  <si>
    <t>Tata Elxsi Ltd</t>
  </si>
  <si>
    <t>INE787D01026</t>
  </si>
  <si>
    <t>Balkrishna Industries Ltd</t>
  </si>
  <si>
    <t>INE317I01021</t>
  </si>
  <si>
    <t>Metro Brands Ltd</t>
  </si>
  <si>
    <t>INE811K01011</t>
  </si>
  <si>
    <t>Prestige Estates Projects Ltd</t>
  </si>
  <si>
    <t>INE288B01029</t>
  </si>
  <si>
    <t>Deepak Nitrite Ltd</t>
  </si>
  <si>
    <t>INE0Q3R04012</t>
  </si>
  <si>
    <t>Sundaram Large and Mid Cap Fund</t>
  </si>
  <si>
    <t>INE040A01034</t>
  </si>
  <si>
    <t>HDFC Bank Ltd</t>
  </si>
  <si>
    <t>INE758T01015</t>
  </si>
  <si>
    <t>Zomato Ltd</t>
  </si>
  <si>
    <t>INE238A01034</t>
  </si>
  <si>
    <t>Axis Bank Ltd</t>
  </si>
  <si>
    <t>INE009A01021</t>
  </si>
  <si>
    <t>Infosys Ltd</t>
  </si>
  <si>
    <t>INE467B01029</t>
  </si>
  <si>
    <t>Tata Consultancy Services Ltd</t>
  </si>
  <si>
    <t>INE200M01021</t>
  </si>
  <si>
    <t>Varun Beverages Ltd</t>
  </si>
  <si>
    <t>INE038A01020</t>
  </si>
  <si>
    <t>Hindalco Industries Ltd</t>
  </si>
  <si>
    <t>Non - Ferrous Metals</t>
  </si>
  <si>
    <t>INE044A01036</t>
  </si>
  <si>
    <t>Sun Pharmaceutical Industries Ltd</t>
  </si>
  <si>
    <t>INE155A01022</t>
  </si>
  <si>
    <t>Tata Motors Ltd</t>
  </si>
  <si>
    <t>INE745G01035</t>
  </si>
  <si>
    <t>Multi Commodity Exchange of India Ltd</t>
  </si>
  <si>
    <t>INE476A01014</t>
  </si>
  <si>
    <t>Canara Bank</t>
  </si>
  <si>
    <t>INE089A01023</t>
  </si>
  <si>
    <t>Dr. Reddys Laboratories Ltd</t>
  </si>
  <si>
    <t>INE406A01037</t>
  </si>
  <si>
    <t>Aurobindo Pharma Ltd</t>
  </si>
  <si>
    <t>INE053A01029</t>
  </si>
  <si>
    <t>The Indian Hotels Company Ltd</t>
  </si>
  <si>
    <t>INE095A01012</t>
  </si>
  <si>
    <t>IndusInd Bank Ltd</t>
  </si>
  <si>
    <t>INE154A01025</t>
  </si>
  <si>
    <t>ITC Ltd</t>
  </si>
  <si>
    <t>Diversified Fmcg</t>
  </si>
  <si>
    <t>INE081A01020</t>
  </si>
  <si>
    <t>Tata Steel Ltd</t>
  </si>
  <si>
    <t>INE893J01029</t>
  </si>
  <si>
    <t>Mold-Tek Packaging Ltd</t>
  </si>
  <si>
    <t>INE158A01026</t>
  </si>
  <si>
    <t>Hero MotoCorp Ltd</t>
  </si>
  <si>
    <t>INE321T01012</t>
  </si>
  <si>
    <t>DOMS Industries Ltd</t>
  </si>
  <si>
    <t>Household Products</t>
  </si>
  <si>
    <t>INE192R01011</t>
  </si>
  <si>
    <t>Avenue Supermarts Ltd</t>
  </si>
  <si>
    <t>INE030A01027</t>
  </si>
  <si>
    <t>Hindustan UniLever Ltd</t>
  </si>
  <si>
    <t>INE084A01016</t>
  </si>
  <si>
    <t>Bank of India</t>
  </si>
  <si>
    <t>INE361B01024</t>
  </si>
  <si>
    <t>Divis Laboratories Ltd</t>
  </si>
  <si>
    <t>INE280A01028</t>
  </si>
  <si>
    <t>Titan Company Ltd</t>
  </si>
  <si>
    <t>INE465A01025</t>
  </si>
  <si>
    <t>Bharat Forge Ltd</t>
  </si>
  <si>
    <t>INE208A01029</t>
  </si>
  <si>
    <t>Ashok Leyland Ltd</t>
  </si>
  <si>
    <t>Agricultural, Commercial &amp; Construction Vehicles</t>
  </si>
  <si>
    <t>INE296A01024</t>
  </si>
  <si>
    <t>Bajaj Finance Ltd</t>
  </si>
  <si>
    <t>INE761H01022</t>
  </si>
  <si>
    <t>Page Industries Ltd</t>
  </si>
  <si>
    <t>Textiles &amp; Apparels</t>
  </si>
  <si>
    <t>INE387A01021</t>
  </si>
  <si>
    <t>Sundram Fasteners Ltd</t>
  </si>
  <si>
    <t>INE918I01026</t>
  </si>
  <si>
    <t>Bajaj Finserv Ltd</t>
  </si>
  <si>
    <t>INE586V01016</t>
  </si>
  <si>
    <t>TCI Express Ltd</t>
  </si>
  <si>
    <t>INE131B01039</t>
  </si>
  <si>
    <t>Relaxo Footwears Ltd</t>
  </si>
  <si>
    <t>INE634S01028</t>
  </si>
  <si>
    <t>Mankind Pharma Ltd</t>
  </si>
  <si>
    <t>INE179A01014</t>
  </si>
  <si>
    <t>Procter &amp; Gamble Hygiene and Health Care Ltd</t>
  </si>
  <si>
    <t>Personal Products</t>
  </si>
  <si>
    <t>Diversified</t>
  </si>
  <si>
    <t>INE647A01010</t>
  </si>
  <si>
    <t>SRF Ltd</t>
  </si>
  <si>
    <t>INE944F01028</t>
  </si>
  <si>
    <t>Radico Khaitan Ltd</t>
  </si>
  <si>
    <t>INE758E01017</t>
  </si>
  <si>
    <t>Jio Financial Services Ltd</t>
  </si>
  <si>
    <t>Agricultural Food &amp; Other Products</t>
  </si>
  <si>
    <t>INE047A01021</t>
  </si>
  <si>
    <t>Grasim Industries Ltd</t>
  </si>
  <si>
    <t>Entertainment</t>
  </si>
  <si>
    <t>INE147E01013</t>
  </si>
  <si>
    <t>Paper, Forest &amp; Jute Products</t>
  </si>
  <si>
    <t>INE674K01013</t>
  </si>
  <si>
    <t>Aditya Birla Capital Ltd</t>
  </si>
  <si>
    <t>IPCA Laboratories Ltd</t>
  </si>
  <si>
    <t>CRISIL AAA</t>
  </si>
  <si>
    <t>INE556F08KH1</t>
  </si>
  <si>
    <t>Small Industries Development Bank of India - 7.43% - 31/08/2026</t>
  </si>
  <si>
    <t>INE557F08FS6</t>
  </si>
  <si>
    <t>National Housing Bank  - 7.4% - 16/07/2026**</t>
  </si>
  <si>
    <t>INE020B08EL2</t>
  </si>
  <si>
    <t>REC LTD - 7.44% - 30/04/2026**</t>
  </si>
  <si>
    <t>INE261F08EA6</t>
  </si>
  <si>
    <t>National Bank for Agriculture &amp; Rural Development - 7.5% - 31/08/2026**</t>
  </si>
  <si>
    <t>ICRA AAA</t>
  </si>
  <si>
    <t>INE040A08666</t>
  </si>
  <si>
    <t>HDFC Bank Ltd (Prev HDFC Ltd) - 7.8% - 03/05/2033</t>
  </si>
  <si>
    <t>INE261F08DX0</t>
  </si>
  <si>
    <t>National Bank for Agriculture &amp; Rural Development - 7.58% - 31/07/2026</t>
  </si>
  <si>
    <t>INE041007100</t>
  </si>
  <si>
    <t>Embassy Office Parks REIT - 7.77% - 05/06/2025**</t>
  </si>
  <si>
    <t>IN0020230085</t>
  </si>
  <si>
    <t>7.18%  Government Securities - 14/08/2033</t>
  </si>
  <si>
    <t>Sovereign</t>
  </si>
  <si>
    <t>IN0020230135</t>
  </si>
  <si>
    <t>Individual &amp; HUF</t>
  </si>
  <si>
    <t>Others</t>
  </si>
  <si>
    <t>-</t>
  </si>
  <si>
    <t>INE040A08922</t>
  </si>
  <si>
    <t>HDFC Bank Ltd (Prev HDFC Ltd) - 7.8% - 02/06/2025**</t>
  </si>
  <si>
    <t>INE752E08734</t>
  </si>
  <si>
    <t>Power Grid Corporation of India Ltd - 7.35% - 12/03/2034**</t>
  </si>
  <si>
    <t>INE053F08338</t>
  </si>
  <si>
    <t>Indian Railway Finance Corporation Ltd - 7.68% - 24/11/2026**</t>
  </si>
  <si>
    <t>INE556F08KE8</t>
  </si>
  <si>
    <t>Small Industries Development Bank of India - 7.47% - 25/11/2025**</t>
  </si>
  <si>
    <t>INE134E08KT5</t>
  </si>
  <si>
    <t>Power Finance Corporation Ltd - 7.17% - 22/05/2025**</t>
  </si>
  <si>
    <t>IN0020230101</t>
  </si>
  <si>
    <t>7.37% Government Securities-23/10/2028</t>
  </si>
  <si>
    <t>CRISIL A1+</t>
  </si>
  <si>
    <t>Sundaram Long Term Tax Advantage Fund Series III</t>
  </si>
  <si>
    <t>INE429E01023</t>
  </si>
  <si>
    <t>Safari Industries (India) Ltd</t>
  </si>
  <si>
    <t>INE063P01018</t>
  </si>
  <si>
    <t>Equitas Small Finance Bank Limited</t>
  </si>
  <si>
    <t>INE442H01029</t>
  </si>
  <si>
    <t>Ashoka Buildcon Ltd</t>
  </si>
  <si>
    <t>INE045A01017</t>
  </si>
  <si>
    <t>Ador Welding Ltd</t>
  </si>
  <si>
    <t>INE334L01012</t>
  </si>
  <si>
    <t>Ujjivan Financial Services Ltd</t>
  </si>
  <si>
    <t>INE732I01013</t>
  </si>
  <si>
    <t>Angel One Ltd</t>
  </si>
  <si>
    <t>INE572A01036</t>
  </si>
  <si>
    <t>JB Chemicals &amp; Pharmaceuticals Ltd</t>
  </si>
  <si>
    <t>INE978A01027</t>
  </si>
  <si>
    <t>Heritage Foods Ltd</t>
  </si>
  <si>
    <t>INE075I01017</t>
  </si>
  <si>
    <t>Healthcare Global Enterprises Ltd</t>
  </si>
  <si>
    <t>INE477A01020</t>
  </si>
  <si>
    <t>Can Fin Homes Ltd</t>
  </si>
  <si>
    <t>INE191H01014</t>
  </si>
  <si>
    <t>PVR INOX Ltd</t>
  </si>
  <si>
    <t>INE806T01012</t>
  </si>
  <si>
    <t>Sapphire Foods India Ltd</t>
  </si>
  <si>
    <t>INE043D01016</t>
  </si>
  <si>
    <t>IDFC Ltd</t>
  </si>
  <si>
    <t>INE741K01010</t>
  </si>
  <si>
    <t>Creditaccess Grameen Ltd</t>
  </si>
  <si>
    <t>INE274F01020</t>
  </si>
  <si>
    <t>Westlife Foodworld Ltd</t>
  </si>
  <si>
    <t>INE211B01039</t>
  </si>
  <si>
    <t>The Phoenix Mills Ltd</t>
  </si>
  <si>
    <t>INE717A01029</t>
  </si>
  <si>
    <t>Kennametal India Ltd</t>
  </si>
  <si>
    <t>INE00WC01027</t>
  </si>
  <si>
    <t>Affle (India) Ltd</t>
  </si>
  <si>
    <t>It - Services</t>
  </si>
  <si>
    <t>INE348B01021</t>
  </si>
  <si>
    <t>Century Plyboards (India) Ltd</t>
  </si>
  <si>
    <t>INE295F01017</t>
  </si>
  <si>
    <t>Butterfly Gandhimathi Appliances Ltd</t>
  </si>
  <si>
    <t>INE126A01031</t>
  </si>
  <si>
    <t>EID Parry India Ltd</t>
  </si>
  <si>
    <t>INE120A01034</t>
  </si>
  <si>
    <t>Carborundum Universal Ltd</t>
  </si>
  <si>
    <t>INE481N01025</t>
  </si>
  <si>
    <t>Home First Finance Company Ltd</t>
  </si>
  <si>
    <t>INE688A01022</t>
  </si>
  <si>
    <t>Transport Corporation of India Ltd</t>
  </si>
  <si>
    <t>INE00IN01015</t>
  </si>
  <si>
    <t>Stove Kraft Ltd</t>
  </si>
  <si>
    <t>INE199A01012</t>
  </si>
  <si>
    <t>Procter &amp; Gamble Health Ltd</t>
  </si>
  <si>
    <t>INE296E01026</t>
  </si>
  <si>
    <t>Rajapalayam Mills Ltd</t>
  </si>
  <si>
    <t>INE227C01017</t>
  </si>
  <si>
    <t>MM Forgings Ltd</t>
  </si>
  <si>
    <t>INE0Q3R01026</t>
  </si>
  <si>
    <t>Sundaram Clayton Ltd</t>
  </si>
  <si>
    <t>INE586B01026</t>
  </si>
  <si>
    <t>Taj GVK Hotels &amp; Resorts Ltd</t>
  </si>
  <si>
    <t>INE299U01018</t>
  </si>
  <si>
    <t>Crompton Greaves Consumer Electricals Ltd</t>
  </si>
  <si>
    <t>INE873D01024</t>
  </si>
  <si>
    <t>Indoco Remedies Ltd</t>
  </si>
  <si>
    <t>INE060A01024</t>
  </si>
  <si>
    <t>Navneet Education Ltd</t>
  </si>
  <si>
    <t>Printing &amp; Publication</t>
  </si>
  <si>
    <t>INE679A01013</t>
  </si>
  <si>
    <t>CSB Bank Ltd</t>
  </si>
  <si>
    <t>Sundaram Long Term Tax Advantage Fund Series IV</t>
  </si>
  <si>
    <t>Sundaram Long Term Tax Advantage Fund Series-I</t>
  </si>
  <si>
    <t>IN9155A01020</t>
  </si>
  <si>
    <t>INE028A01039</t>
  </si>
  <si>
    <t>Bank of Baroda</t>
  </si>
  <si>
    <t>INE123W01016</t>
  </si>
  <si>
    <t>SBI Life Insurance Company Ltd</t>
  </si>
  <si>
    <t>INE860A01027</t>
  </si>
  <si>
    <t>HCL Technologies Ltd</t>
  </si>
  <si>
    <t>INE059A01026</t>
  </si>
  <si>
    <t>Cipla Ltd</t>
  </si>
  <si>
    <t>INE192A01025</t>
  </si>
  <si>
    <t>TATA Consumer Products Ltd</t>
  </si>
  <si>
    <t>IN9397D01014</t>
  </si>
  <si>
    <t>Sundaram Long Term Tax Advantage Fund Series-II</t>
  </si>
  <si>
    <t>INE237A01028</t>
  </si>
  <si>
    <t>Kotak Mahindra Bank Ltd</t>
  </si>
  <si>
    <t>INE075A01022</t>
  </si>
  <si>
    <t>Wipro Ltd</t>
  </si>
  <si>
    <t>Sundaram Long Term Micro Cap Tax Advantage Fund Series III</t>
  </si>
  <si>
    <t>INE220B01022</t>
  </si>
  <si>
    <t>Kalpataru Projects International Ltd</t>
  </si>
  <si>
    <t>INE421D01022</t>
  </si>
  <si>
    <t>CCL Products (India) Ltd</t>
  </si>
  <si>
    <t>INE285J01028</t>
  </si>
  <si>
    <t>SIS Ltd</t>
  </si>
  <si>
    <t>Commercial Services &amp; Supplies</t>
  </si>
  <si>
    <t>INE782A01015</t>
  </si>
  <si>
    <t>Johnson Controls-Hitachi AirConditioning India Ltd</t>
  </si>
  <si>
    <t>INE386C01029</t>
  </si>
  <si>
    <t>Astra Microwave Products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</si>
  <si>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</si>
  <si>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</si>
  <si>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</si>
  <si>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</si>
  <si>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</si>
  <si>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</si>
  <si>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INE671H01015</t>
  </si>
  <si>
    <t>Sobha Developers Ltd</t>
  </si>
  <si>
    <t>INE0CLI01024</t>
  </si>
  <si>
    <t>Rate Gain Travel Technologies Ltd</t>
  </si>
  <si>
    <t>INE136B01020</t>
  </si>
  <si>
    <t>Cyient Ltd</t>
  </si>
  <si>
    <t>INE725G01011</t>
  </si>
  <si>
    <t>ICRA Ltd</t>
  </si>
  <si>
    <t>INE684F01012</t>
  </si>
  <si>
    <t>Firstsource Solutions Ltd</t>
  </si>
  <si>
    <t>INE136S01016</t>
  </si>
  <si>
    <t>Neogen Chemicals Ltd</t>
  </si>
  <si>
    <t>INE930H01031</t>
  </si>
  <si>
    <t>K.P.R. Mill Ltd</t>
  </si>
  <si>
    <t>INE177F01017</t>
  </si>
  <si>
    <t>Kovai Medical Center &amp; Hospital Ltd</t>
  </si>
  <si>
    <t>INE736A01011</t>
  </si>
  <si>
    <t>Central Depository Services (India) Ltd</t>
  </si>
  <si>
    <t>INE098F01031</t>
  </si>
  <si>
    <t>Amrutanjan Health Care Ltd</t>
  </si>
  <si>
    <t>INE836A01035</t>
  </si>
  <si>
    <t>Birlasoft Ltd</t>
  </si>
  <si>
    <t>INE548C01032</t>
  </si>
  <si>
    <t>Emami Ltd</t>
  </si>
  <si>
    <t>INE914M01019</t>
  </si>
  <si>
    <t>Aster DM Healthcare Ltd</t>
  </si>
  <si>
    <t>INE119A01028</t>
  </si>
  <si>
    <t>Balrampur Chini Mills Ltd</t>
  </si>
  <si>
    <t>INE322A01010</t>
  </si>
  <si>
    <t>Gillette India Ltd</t>
  </si>
  <si>
    <t>INE342G01023</t>
  </si>
  <si>
    <t>NIIT Learning Systems Ltd</t>
  </si>
  <si>
    <t>Other Consumer Services</t>
  </si>
  <si>
    <t>INE094J01016</t>
  </si>
  <si>
    <t>UTI Asset Management Co Ltd</t>
  </si>
  <si>
    <t>INE142Z01019</t>
  </si>
  <si>
    <t>Orient Electric Ltd</t>
  </si>
  <si>
    <t>INE00F201020</t>
  </si>
  <si>
    <t>Prudent Corporate Advisory Services Ltd</t>
  </si>
  <si>
    <t>INE109C01017</t>
  </si>
  <si>
    <t>Arman Financial Services Ltd</t>
  </si>
  <si>
    <t>INE04I401011</t>
  </si>
  <si>
    <t>KPIT Technologies Ltd</t>
  </si>
  <si>
    <t>INE456Z01021</t>
  </si>
  <si>
    <t>Medi Assist Healthcare Services Ltd</t>
  </si>
  <si>
    <t>INE739E01017</t>
  </si>
  <si>
    <t>Cera Sanitaryware Ltd</t>
  </si>
  <si>
    <t>INE115A14EX5</t>
  </si>
  <si>
    <t>LIC Housing Finance Ltd - 21/03/2025**</t>
  </si>
  <si>
    <t>Sundaram Aggressive Hybrid Fund</t>
  </si>
  <si>
    <t>INE854D01024</t>
  </si>
  <si>
    <t>United Spirits Ltd</t>
  </si>
  <si>
    <t>INE917I01010</t>
  </si>
  <si>
    <t>Bajaj Auto Ltd</t>
  </si>
  <si>
    <t>INE585B01010</t>
  </si>
  <si>
    <t>Maruti Suzuki India Ltd</t>
  </si>
  <si>
    <t>INE101A01026</t>
  </si>
  <si>
    <t>Mahindra &amp; Mahindra Ltd</t>
  </si>
  <si>
    <t>INE482A01020</t>
  </si>
  <si>
    <t>Ceat Ltd</t>
  </si>
  <si>
    <t>INE726G01019</t>
  </si>
  <si>
    <t>ICICI Prudential Life Insurance Company Ltd</t>
  </si>
  <si>
    <t>INE183A01024</t>
  </si>
  <si>
    <t>Finolex Industries Ltd</t>
  </si>
  <si>
    <t>INE395N01027</t>
  </si>
  <si>
    <t>TVS Supply Chain Solutions Ltd</t>
  </si>
  <si>
    <t>INE669C01036</t>
  </si>
  <si>
    <t>Tech Mahindra Ltd</t>
  </si>
  <si>
    <t>INE852S01026</t>
  </si>
  <si>
    <t>Stock Future</t>
  </si>
  <si>
    <t>INE134E08MB9</t>
  </si>
  <si>
    <t>Power Finance Corporation Ltd - 7.82% - 06/03/2038**</t>
  </si>
  <si>
    <t>INE115A07QH6</t>
  </si>
  <si>
    <t>LIC Housing Finance Ltd - 8.025% - 23/03/2033**</t>
  </si>
  <si>
    <t>INE0KUG08027</t>
  </si>
  <si>
    <t>National Bank for Financing Infrastructure and Development - 7.65% - 22/12/2038</t>
  </si>
  <si>
    <t>INE556F08KM1</t>
  </si>
  <si>
    <t>Small Industries Development Bank of India - 7.79% - 14/05/2027</t>
  </si>
  <si>
    <t>INE261F08EF5</t>
  </si>
  <si>
    <t>National Bank for Agriculture &amp; Rural Development - 7.8% - 15/03/2027</t>
  </si>
  <si>
    <t>INE134E08MX3</t>
  </si>
  <si>
    <t>Power Finance Corporation Ltd - 7.6% - 13/04/2029</t>
  </si>
  <si>
    <t>INE261F08DV4</t>
  </si>
  <si>
    <t>National Bank for Agriculture &amp; Rural Development - 7.62% - 31/01/2028**</t>
  </si>
  <si>
    <t>INE020B08906</t>
  </si>
  <si>
    <t>REC LTD - 8.27% - 06/02/2025**</t>
  </si>
  <si>
    <t>INE053F08296</t>
  </si>
  <si>
    <t>Indian Railway Finance Corporation Ltd - 7.74% - 15/04/2038**</t>
  </si>
  <si>
    <t>INE020B08EG2</t>
  </si>
  <si>
    <t>REC LTD - 7.69% - 31/03/2033**</t>
  </si>
  <si>
    <t>INE134E08MJ2</t>
  </si>
  <si>
    <t>Power Finance Corporation Ltd - 7.77% - 15/04/2028**</t>
  </si>
  <si>
    <t>INE134E08MC7</t>
  </si>
  <si>
    <t>Power Finance Corporation Ltd - 7.77% - 15/07/2026**</t>
  </si>
  <si>
    <t>INE071G07587</t>
  </si>
  <si>
    <t>ICICI Home Finance Company Ltd - 8% - 28/06/2024**</t>
  </si>
  <si>
    <t>INE115A07QD5</t>
  </si>
  <si>
    <t>LIC Housing Finance Ltd - 7.82% - 28/11/2025**</t>
  </si>
  <si>
    <t>INE040A08989</t>
  </si>
  <si>
    <t>HDFC Bank Ltd (Prev HDFC Ltd) - 7.35% - 10/02/2025</t>
  </si>
  <si>
    <t>INE261F08DP6</t>
  </si>
  <si>
    <t>National Bank for Agriculture &amp; Rural Development - 7.35% - 08/07/2025**</t>
  </si>
  <si>
    <t>INE134E08LO4</t>
  </si>
  <si>
    <t>Power Finance Corporation Ltd - 7.13% - 08/08/2025**</t>
  </si>
  <si>
    <t>INE115A07PU1</t>
  </si>
  <si>
    <t>LIC Housing Finance Ltd - 6.25% - 20/06/2025**</t>
  </si>
  <si>
    <t>INE062A08256</t>
  </si>
  <si>
    <t>INE115A07PI6</t>
  </si>
  <si>
    <t>LIC Housing Finance Ltd - 6.17% - 03/09/2026**</t>
  </si>
  <si>
    <t>INE018A08BA7</t>
  </si>
  <si>
    <t>Larsen &amp; Toubro Ltd - 7.7% - 28/04/2025**</t>
  </si>
  <si>
    <t>INE020B08EI8</t>
  </si>
  <si>
    <t>REC LTD - 7.51% - 31/07/2026**</t>
  </si>
  <si>
    <t>INE261F08DF7</t>
  </si>
  <si>
    <t>National Bank for Agriculture &amp; Rural Development - 5.27% - 23/07/2024</t>
  </si>
  <si>
    <t>IN0020220102</t>
  </si>
  <si>
    <t>7.41% Central Government Securities 19/12/2036</t>
  </si>
  <si>
    <t>IN0020220037</t>
  </si>
  <si>
    <t>7.38% Central Government Securities 20/06/2027</t>
  </si>
  <si>
    <t>IN0020220151</t>
  </si>
  <si>
    <t>7.26% Central Government Securities 06/02/2033</t>
  </si>
  <si>
    <t>IN0020230077</t>
  </si>
  <si>
    <t>7.18%  Government Securities - 24/07/2037</t>
  </si>
  <si>
    <t>IN0020220011</t>
  </si>
  <si>
    <t>IN0020210160</t>
  </si>
  <si>
    <t>IN3120230484</t>
  </si>
  <si>
    <t>7.44% Tamil Nadu State Government Securities -20/03/2034</t>
  </si>
  <si>
    <t>IN0020230051</t>
  </si>
  <si>
    <t>7.30% Government Securities - 19/06/2053</t>
  </si>
  <si>
    <t>IN2220150030</t>
  </si>
  <si>
    <t>8.25% Maharashtra State Development Loan 10/06/2025</t>
  </si>
  <si>
    <t>Margin Money For Derivatives</t>
  </si>
  <si>
    <t>Sundaram Arbitrage Fund</t>
  </si>
  <si>
    <t>INE271C01023</t>
  </si>
  <si>
    <t>DLF Ltd</t>
  </si>
  <si>
    <t>INE522D01027</t>
  </si>
  <si>
    <t>Manappuram Finance Ltd</t>
  </si>
  <si>
    <t>INE012A01025</t>
  </si>
  <si>
    <t>ACC Ltd</t>
  </si>
  <si>
    <t>INE669E01016</t>
  </si>
  <si>
    <t>Vodafone Idea Ltd</t>
  </si>
  <si>
    <t>INE016A01026</t>
  </si>
  <si>
    <t>Dabur India Ltd</t>
  </si>
  <si>
    <t>IN0020230119</t>
  </si>
  <si>
    <t>IN002023Z273</t>
  </si>
  <si>
    <t>IN002023Z307</t>
  </si>
  <si>
    <t>IN002023Z315</t>
  </si>
  <si>
    <t>Sundaram Balanced Advantage Fund</t>
  </si>
  <si>
    <t>INE256A01028</t>
  </si>
  <si>
    <t>Zee Entertainment Enterprises Ltd</t>
  </si>
  <si>
    <t>INE628A01036</t>
  </si>
  <si>
    <t>UPL Ltd</t>
  </si>
  <si>
    <t>INE040A08AH8</t>
  </si>
  <si>
    <t>HDFC Bank Ltd (Prev HDFC Ltd) - 7.4% - 02/06/2025**</t>
  </si>
  <si>
    <t>IN0020230036</t>
  </si>
  <si>
    <t>7.17% Government Securities - 17/04/20230</t>
  </si>
  <si>
    <t>Sundaram Dividend Yield Fund</t>
  </si>
  <si>
    <t>INE848E01016</t>
  </si>
  <si>
    <t>NHPC Ltd</t>
  </si>
  <si>
    <t>INE472A01039</t>
  </si>
  <si>
    <t>Blue Star Ltd</t>
  </si>
  <si>
    <t>INE486A01021</t>
  </si>
  <si>
    <t>CESC Ltd</t>
  </si>
  <si>
    <t>INE0J1Y01017</t>
  </si>
  <si>
    <t>LIC of India Ltd</t>
  </si>
  <si>
    <t>INE212H01026</t>
  </si>
  <si>
    <t>AIA Engineering Ltd</t>
  </si>
  <si>
    <t>INE216A01030</t>
  </si>
  <si>
    <t>Britannia Industries Ltd</t>
  </si>
  <si>
    <t>INE710A01016</t>
  </si>
  <si>
    <t>VST Industries Ltd</t>
  </si>
  <si>
    <t>Cigarettes &amp; Tobacco Products</t>
  </si>
  <si>
    <t>IDIA00069477</t>
  </si>
  <si>
    <t>INE759J01022</t>
  </si>
  <si>
    <t>INE02CF01010</t>
  </si>
  <si>
    <t>IDIA00069480</t>
  </si>
  <si>
    <t>INE216A08027</t>
  </si>
  <si>
    <t>Britannia Industries Ltd - 5.5% - 03/06/2024**</t>
  </si>
  <si>
    <t>Sundaram Equity Savings Fund</t>
  </si>
  <si>
    <t>INE451A01017</t>
  </si>
  <si>
    <t>Force Motors Ltd</t>
  </si>
  <si>
    <t>INE142M01025</t>
  </si>
  <si>
    <t>Tata Technologies Ltd</t>
  </si>
  <si>
    <t>INE0BV301023</t>
  </si>
  <si>
    <t>CE Info Systems Private Limited</t>
  </si>
  <si>
    <t>INE227W01023</t>
  </si>
  <si>
    <t>Clean Science &amp; Technology Ltd</t>
  </si>
  <si>
    <t>INE019A01038</t>
  </si>
  <si>
    <t>JSW Steel Ltd</t>
  </si>
  <si>
    <t>INE021A01026</t>
  </si>
  <si>
    <t>Asian Paints Ltd</t>
  </si>
  <si>
    <t>INE0N7W01012</t>
  </si>
  <si>
    <t>BEML Land and Assets Ltd</t>
  </si>
  <si>
    <t>IN0020200112</t>
  </si>
  <si>
    <t>IN0020200278</t>
  </si>
  <si>
    <t>IN2220150022</t>
  </si>
  <si>
    <t>8.14% Maharashtra State Development Loan 27/05/2025</t>
  </si>
  <si>
    <t>IN002023Z422</t>
  </si>
  <si>
    <t>Sundaram Focused  Fund</t>
  </si>
  <si>
    <t>INE239A01024</t>
  </si>
  <si>
    <t>Nestle India Ltd</t>
  </si>
  <si>
    <t>Sundaram Multi Cap Fund</t>
  </si>
  <si>
    <t>INE371P01015</t>
  </si>
  <si>
    <t>Amber Enterprises India Ltd</t>
  </si>
  <si>
    <t>INE470A01017</t>
  </si>
  <si>
    <t>3M India Ltd</t>
  </si>
  <si>
    <t>INE112L01020</t>
  </si>
  <si>
    <t>Metropolis Healthcare Ltd</t>
  </si>
  <si>
    <t>IDIA00069359</t>
  </si>
  <si>
    <t>IDIA00069356</t>
  </si>
  <si>
    <t>INE348C01011</t>
  </si>
  <si>
    <t>INE604A01011</t>
  </si>
  <si>
    <t>INE431E01011</t>
  </si>
  <si>
    <t>Healthcare Equipment &amp; Supplies</t>
  </si>
  <si>
    <t>INE406B01019</t>
  </si>
  <si>
    <t>Sundaram Nifty 100 Equal Weight Fund</t>
  </si>
  <si>
    <t>INE205A01025</t>
  </si>
  <si>
    <t>Vedanta Ltd</t>
  </si>
  <si>
    <t>Diversified Metals</t>
  </si>
  <si>
    <t>INE814H01011</t>
  </si>
  <si>
    <t>Adani Power Ltd</t>
  </si>
  <si>
    <t>INE160A01022</t>
  </si>
  <si>
    <t>Punjab National Bank</t>
  </si>
  <si>
    <t>INE066A01021</t>
  </si>
  <si>
    <t>Eicher Motors Ltd</t>
  </si>
  <si>
    <t>INE775A01035</t>
  </si>
  <si>
    <t>Samvardhana Motherson International Ltd</t>
  </si>
  <si>
    <t>INE176B01034</t>
  </si>
  <si>
    <t>Havells India Ltd</t>
  </si>
  <si>
    <t>INE053F01010</t>
  </si>
  <si>
    <t>Indian Railway Finance Corporation Ltd</t>
  </si>
  <si>
    <t>INE931S01010</t>
  </si>
  <si>
    <t>Adani Energy Solutions Ltd</t>
  </si>
  <si>
    <t>INE196A01026</t>
  </si>
  <si>
    <t>Marico Ltd</t>
  </si>
  <si>
    <t>INE018E01016</t>
  </si>
  <si>
    <t>SBI Cards and Payment Services Ltd</t>
  </si>
  <si>
    <t>INE318A01026</t>
  </si>
  <si>
    <t>Pidilite Industries Ltd</t>
  </si>
  <si>
    <t>INE259A01022</t>
  </si>
  <si>
    <t>Colgate Palmolive (India) Ltd</t>
  </si>
  <si>
    <t>INE765G01017</t>
  </si>
  <si>
    <t>ICICI Lombard General Insurance Company Ltd</t>
  </si>
  <si>
    <t>INE685A01028</t>
  </si>
  <si>
    <t>Torrent Pharmaceuticals Ltd</t>
  </si>
  <si>
    <t>INE102D01028</t>
  </si>
  <si>
    <t>Godrej Consumer Products Ltd</t>
  </si>
  <si>
    <t>INE399L01023</t>
  </si>
  <si>
    <t>Adani Total Gas Ltd</t>
  </si>
  <si>
    <t>INE423A01024</t>
  </si>
  <si>
    <t>Adani Enterprises</t>
  </si>
  <si>
    <t>Metals &amp; Minerals Trading</t>
  </si>
  <si>
    <t>INE323A01026</t>
  </si>
  <si>
    <t>Bosch Ltd</t>
  </si>
  <si>
    <t>INE364U01010</t>
  </si>
  <si>
    <t>Adani Green Energy Ltd</t>
  </si>
  <si>
    <t>INE070A01015</t>
  </si>
  <si>
    <t>Shree Cement Ltd</t>
  </si>
  <si>
    <t>INE118A01012</t>
  </si>
  <si>
    <t>Bajaj Holdings &amp; Investment Ltd</t>
  </si>
  <si>
    <t>INE214T01019</t>
  </si>
  <si>
    <t>LTIMindtree Ltd</t>
  </si>
  <si>
    <t>INE795G01014</t>
  </si>
  <si>
    <t>HDFC Life Insurance Company Ltd</t>
  </si>
  <si>
    <t>INE437A01024</t>
  </si>
  <si>
    <t>Apollo Hospitals Enterprise Ltd</t>
  </si>
  <si>
    <t>INE463A01038</t>
  </si>
  <si>
    <t>Berger Paints (I) Ltd</t>
  </si>
  <si>
    <t>Sundaram ELSS Tax Saver Fund</t>
  </si>
  <si>
    <t>INE258A01016</t>
  </si>
  <si>
    <t>BEML Ltd</t>
  </si>
  <si>
    <t>INE571A01038</t>
  </si>
  <si>
    <t>INE176A01028</t>
  </si>
  <si>
    <t>Bata India Ltd</t>
  </si>
  <si>
    <t>INE768C01010</t>
  </si>
  <si>
    <t>Zydus Wellness Ltd</t>
  </si>
  <si>
    <t>Sundaram Consumption Fund</t>
  </si>
  <si>
    <t>INE02YR01019</t>
  </si>
  <si>
    <t>Electronics Mart India Ltd</t>
  </si>
  <si>
    <t>INE0KCE01017</t>
  </si>
  <si>
    <t>Eureka Forbes Ltd</t>
  </si>
  <si>
    <t>Sundaram Services Fund</t>
  </si>
  <si>
    <t>INE763G01038</t>
  </si>
  <si>
    <t>ICICI Securities Ltd</t>
  </si>
  <si>
    <t>INE602W01019</t>
  </si>
  <si>
    <t>Senco Gold Ltd</t>
  </si>
  <si>
    <t>INE203G01027</t>
  </si>
  <si>
    <t>Indraprastha Gas Ltd</t>
  </si>
  <si>
    <t>MU0295S00016</t>
  </si>
  <si>
    <t>Sundaram Diversified Equity</t>
  </si>
  <si>
    <t>Sundaram Large Cap Fund</t>
  </si>
  <si>
    <t>Institutional Plan - Growth</t>
  </si>
  <si>
    <t>Sundaram Flexi Cap Fund</t>
  </si>
  <si>
    <t>Sundaram Financial Services Opportunities Fund</t>
  </si>
  <si>
    <t>Sundaram Multi Asset Allocation Fund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</si>
  <si>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</si>
  <si>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</si>
  <si>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</si>
  <si>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</si>
  <si>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</si>
  <si>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</si>
  <si>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</si>
  <si>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</si>
  <si>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</si>
  <si>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</si>
  <si>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YTM (%)</t>
  </si>
  <si>
    <t>Monthly Portfolio Statement for the month ended 30 April 2024</t>
  </si>
  <si>
    <t>INE0GGX23010</t>
  </si>
  <si>
    <t>Power Grid Infrastructure Investment Trust (InvIT)</t>
  </si>
  <si>
    <t>(f) Convertible Debenture</t>
  </si>
  <si>
    <t>INE121A08PJ0</t>
  </si>
  <si>
    <t>7.5% Cholamandalam Investment and Company Ltd - 30/09/2026</t>
  </si>
  <si>
    <t>Unrated</t>
  </si>
  <si>
    <t>INE041025011</t>
  </si>
  <si>
    <t>Embassy Office Parks (REIT)</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</si>
  <si>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</si>
  <si>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</si>
  <si>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</si>
  <si>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</si>
  <si>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</si>
  <si>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0.00 / #</t>
  </si>
  <si>
    <t>Index</t>
  </si>
  <si>
    <t>Scheme Riskometer</t>
  </si>
  <si>
    <t>Benchmark Riskometer - NIFTY Infrastructure TRI</t>
  </si>
  <si>
    <t>Tier I Benchmark Riskometer - Nifty Mid Cap 150 TRI</t>
  </si>
  <si>
    <t>Tier II Benchmark Riskometer - Nifty Mid Cap 100 TRI</t>
  </si>
  <si>
    <t>Rs.2.54 lacs/ #</t>
  </si>
  <si>
    <t>Tier I Benchmark Riskometer - Nifty Large Mid Cap 250 INDEX</t>
  </si>
  <si>
    <t>Tier II Benchmark Riskometer - Nifty Large Mid Cap 250 INDEX</t>
  </si>
  <si>
    <t>Rs.0.01 lacs/ #</t>
  </si>
  <si>
    <t xml:space="preserve"> Benchmark Riskometer - S&amp;P BSE 500 INDEX</t>
  </si>
  <si>
    <t>b) Total value and percentage of illiquid equity / Preference shares @</t>
  </si>
  <si>
    <t>b) Total value and percentage of illiquid equity shares @</t>
  </si>
  <si>
    <t>Rs.0.02 lacs/ #</t>
  </si>
  <si>
    <t>Benchmark Riskometer - Nifty Small Cap 100</t>
  </si>
  <si>
    <t>Tier I Benchmark Riskometer - Nifty Small Cap 250 TRI</t>
  </si>
  <si>
    <t>Tier II Benchmark Riskometer - Nifty Small Cap 100 TRI</t>
  </si>
  <si>
    <t>Refer below point i)</t>
  </si>
  <si>
    <t>Rs.1.33 lacs/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</si>
  <si>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</si>
  <si>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</si>
  <si>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</si>
  <si>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</si>
  <si>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</si>
  <si>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</si>
  <si>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</si>
  <si>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</si>
  <si>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</si>
  <si>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</si>
  <si>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</si>
  <si>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</si>
  <si>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</si>
  <si>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</si>
  <si>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</si>
  <si>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</si>
  <si>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</si>
  <si>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</si>
  <si>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</si>
  <si>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</si>
  <si>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</si>
  <si>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</si>
  <si>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</si>
  <si>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</si>
  <si>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</si>
  <si>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</si>
  <si>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</si>
  <si>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Benchmark Riskometer - NIFTY 50 Arbitrage INDEX</t>
  </si>
  <si>
    <t>Annexure-A</t>
  </si>
  <si>
    <t>Benchmark Riskometer - NIFTY 50 Hybrid Composite Debt 50 : 50 INDEX</t>
  </si>
  <si>
    <t>Rs.0.07 lacs/ #</t>
  </si>
  <si>
    <t>21.50% Dewan Rubber Ltd</t>
  </si>
  <si>
    <t>Not Available</t>
  </si>
  <si>
    <t>Chemox Chemicals Industries</t>
  </si>
  <si>
    <t>Benchmark Riskometer - Nifty Equity Savings INDEX</t>
  </si>
  <si>
    <t xml:space="preserve"> Tier II Benchmark Riskometer - Nifty Large MID CAP 250 TRI</t>
  </si>
  <si>
    <t>Tier I Benchmark Riskometer - Nifty 500 MultiCap 50:25:25</t>
  </si>
  <si>
    <t>Tier II Benchmark Riskometer - Nifty 500 MultiCap 50:25:25</t>
  </si>
  <si>
    <t>Rs.39.24 lacs/ 0.02%</t>
  </si>
  <si>
    <t>15% Premier Vinyl Ltd</t>
  </si>
  <si>
    <t>Benchmark Riskometer - Nifty 100 Equal Weight TRI</t>
  </si>
  <si>
    <t>Tier I Benchmark Riskometer - NIFTY 500</t>
  </si>
  <si>
    <t>Tier II Benchmark Riskometer - NIFTY 500</t>
  </si>
  <si>
    <t>Rs. 16.19 lacs /  0.01%</t>
  </si>
  <si>
    <t>18% Jord Engineering Ltd</t>
  </si>
  <si>
    <t>Benchmark Riskometer - Nifty India Consumption TRI</t>
  </si>
  <si>
    <t>Tier I Benchmark Riskometer - NIFTY Services Sector Index</t>
  </si>
  <si>
    <t>Tier II Benchmark Riskometer - NIFTY 500 MULTICAP 50:25:25</t>
  </si>
  <si>
    <t>Rs. 2091.86 Lacs</t>
  </si>
  <si>
    <t>Tier I Benchmark Riskometer - Nifty 100 TRI INDEX</t>
  </si>
  <si>
    <t>Tier II Benchmark Riskometer - Nifty 100 TRI INDEX</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</si>
  <si>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</si>
  <si>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</si>
  <si>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</si>
  <si>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</si>
  <si>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</si>
  <si>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</si>
  <si>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</si>
  <si>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</si>
  <si>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</si>
  <si>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</si>
  <si>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</si>
  <si>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</si>
  <si>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</si>
  <si>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</si>
  <si>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</si>
  <si>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</si>
  <si>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</si>
  <si>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</si>
  <si>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</si>
  <si>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</si>
  <si>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</si>
  <si>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</si>
  <si>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</si>
  <si>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</si>
  <si>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</si>
  <si>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</si>
  <si>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</si>
  <si>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</si>
  <si>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</si>
  <si>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</si>
  <si>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</si>
  <si>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</si>
  <si>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</si>
  <si>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</si>
  <si>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</si>
  <si>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</si>
  <si>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</si>
  <si>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</si>
  <si>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</si>
  <si>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</si>
  <si>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</si>
  <si>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</si>
  <si>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Rs. 11,113.42 Lacs</t>
  </si>
  <si>
    <t>% to AUM as on 30-Apr-2024</t>
  </si>
  <si>
    <t>30-Apr-2024</t>
  </si>
  <si>
    <t>i) Exposure to securities classified as below investment grade or default as on 30-Apr-2024</t>
  </si>
  <si>
    <t>ICICI Prudential Life Insurance Company Limited May 2024</t>
  </si>
  <si>
    <t xml:space="preserve">	Hindustan Unilever Limited May 2024</t>
  </si>
  <si>
    <t>TATA Consultancy Services Limited May 2024</t>
  </si>
  <si>
    <t>Aditya Birla Capital Limited May 2024</t>
  </si>
  <si>
    <t>ITC Limited May 2024</t>
  </si>
  <si>
    <t>Ashok Leyland Limited May 2024</t>
  </si>
  <si>
    <t xml:space="preserve">	State Bank Of India Limited May 2024</t>
  </si>
  <si>
    <t>Kotak Mahindra Bank Limited May 2024</t>
  </si>
  <si>
    <t>Aurobindo Pharma Limited May 2024</t>
  </si>
  <si>
    <t>Larsen &amp; Toubro Limited May 2024</t>
  </si>
  <si>
    <t>HCL Technologies Limited May 2024</t>
  </si>
  <si>
    <t>Dabur India Limited May 2024</t>
  </si>
  <si>
    <t>Vodafone Idea Limited May 2024</t>
  </si>
  <si>
    <t>Sun Pharmaceutical Industries Limited May 2024</t>
  </si>
  <si>
    <t>ACC Limited May 2024</t>
  </si>
  <si>
    <t>Manappuram Finance Limited May 2024</t>
  </si>
  <si>
    <t>DLF Limited May 2024</t>
  </si>
  <si>
    <t>Bharti Airtel Limited May 2024</t>
  </si>
  <si>
    <t>Reliance Industries Limited May 2024</t>
  </si>
  <si>
    <t>HDFC Bank Limited May 2024</t>
  </si>
  <si>
    <t>Ambuja Cements Limited May 2024</t>
  </si>
  <si>
    <t>Indus Towers Limited May 2024</t>
  </si>
  <si>
    <t>UPL Limited May 2024</t>
  </si>
  <si>
    <t>Maruti Suzuki India Limited May 2024</t>
  </si>
  <si>
    <t>NTPC Limited May 2024</t>
  </si>
  <si>
    <t>Bajaj Finserv Limited May 2024</t>
  </si>
  <si>
    <t>Dalmia Bharat Ltd May 2024</t>
  </si>
  <si>
    <t>IndusInd Bank Limited May 2024</t>
  </si>
  <si>
    <t>Bajaj Finance Limited May 2024</t>
  </si>
  <si>
    <t>Cipla Limited May 2024</t>
  </si>
  <si>
    <t>Infosys Limited May 2024</t>
  </si>
  <si>
    <t>Tata Motors Limited May 2024</t>
  </si>
  <si>
    <t>Canara Bank May 2024</t>
  </si>
  <si>
    <t>Bank of Baroda May 2024</t>
  </si>
  <si>
    <t>Zee Entertainment Enterprises Limited May 2024</t>
  </si>
  <si>
    <t>JSW Steel Limited May 2024</t>
  </si>
  <si>
    <t xml:space="preserve">	United Spirits Limited May 2024</t>
  </si>
  <si>
    <t>Hindustan Petroleum Corpn Limited May 2024</t>
  </si>
  <si>
    <t xml:space="preserve">	Tata Steel Limited May 2024</t>
  </si>
  <si>
    <t>ICICI Bank Limited May 2024</t>
  </si>
  <si>
    <t>Axis Bank Limited May 2024</t>
  </si>
  <si>
    <t>Metropolis Healthcare Limited May 2024</t>
  </si>
  <si>
    <t>Indraprastha Gas Ltd May 2024</t>
  </si>
  <si>
    <t>Page Industries Limited May 2024</t>
  </si>
  <si>
    <t>Interglobe Aviation Ltd May 2024</t>
  </si>
  <si>
    <t>Hindustan Aeronautics Limited May 2024</t>
  </si>
  <si>
    <t>Info Edge (India) Limited May 2024</t>
  </si>
  <si>
    <t>TVS Motor Company Limited May 2024</t>
  </si>
  <si>
    <t>Shriram Finance Limited May 2024</t>
  </si>
  <si>
    <t xml:space="preserve">	Mahindra &amp; Mahindra Limited May 2024</t>
  </si>
  <si>
    <t>Tata Motors Ltd - DVR</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</si>
  <si>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</si>
  <si>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</si>
  <si>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</si>
  <si>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</si>
  <si>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</si>
  <si>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</si>
  <si>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</si>
  <si>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</si>
  <si>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</si>
  <si>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</si>
  <si>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(a) Investments in Foreign Securities - Units of Mutual Funds</t>
  </si>
  <si>
    <t>Direct Plan - Half Yearly IDCW</t>
  </si>
  <si>
    <t>Regular Plan - Half Yearly IDCW</t>
  </si>
  <si>
    <t>Make My Trip Ltd (USD)</t>
  </si>
  <si>
    <t>Yield to call date %</t>
  </si>
  <si>
    <t>Benchmark Riskometer - MSCI ACWI TRI</t>
  </si>
  <si>
    <t>Tier I Benchmark Riskometer - Nifty 500 TRI</t>
  </si>
  <si>
    <t>Benchmark Riskometer - S&amp;P BSE 500 INDEX</t>
  </si>
  <si>
    <t>Tier II Benchmark Riskometer - Nifty 500 TRI</t>
  </si>
  <si>
    <t>7.10% Central Government Securities 18/04/2029 *</t>
  </si>
  <si>
    <t>7.38% Central Government Securities 20/06/2027 *</t>
  </si>
  <si>
    <t>7.33% Government Securities-30/10/2026 *</t>
  </si>
  <si>
    <t>364 Days-T Bill - 19/09/2024 *</t>
  </si>
  <si>
    <t>364 Days-T Bill - 10/10/2024 *</t>
  </si>
  <si>
    <t>364 Days-T Bill - 17/10/2024 *</t>
  </si>
  <si>
    <t>7.32% Government Securities-13/11/2030 *</t>
  </si>
  <si>
    <t>5.22% Central Government Securities 15/06/2025 *</t>
  </si>
  <si>
    <t>5.15% Central Government Securities 09/11/2025 *</t>
  </si>
  <si>
    <t>7.37% Government Securities-23/10/2028 *</t>
  </si>
  <si>
    <t>364 Days -T Bill- 02/01/2025 *</t>
  </si>
  <si>
    <t>7.18%  Government Securities - 14/08/2033 *</t>
  </si>
  <si>
    <t>Bharti Airtel Ltd - Partly Paid Right Shares</t>
  </si>
  <si>
    <t>Benchmark Riskometer - CRISIL Hybrid 35 Plus 65 - Aggressive Index</t>
  </si>
  <si>
    <t>Tier II Benchmark Riskometer - NIFTY Dividend Opportunities 50 TRI</t>
  </si>
  <si>
    <t>At the beginning</t>
  </si>
  <si>
    <t>State Bank of India - 6.24% - Call Dt 20/09/2030  (Tier II Bond under Basel III)</t>
  </si>
  <si>
    <t>7.72% Central Government Securities_Floating Rate Bond 04/10/2028 (Previous 7.69)  ~</t>
  </si>
  <si>
    <t>7.72% Central Government Securities_Floating Rate Bond 04/10/2028 (Previous 7.69) ~</t>
  </si>
  <si>
    <t>Cash and Other Net Current Assets^</t>
  </si>
  <si>
    <t>DERIVATIVES DISCLOSURE</t>
  </si>
  <si>
    <t>Disclosure regarding Derivative positions pursuant to SEBI Circular no CIR/IMD/DF/11/2010 dated August18,2010</t>
  </si>
  <si>
    <t>DETAILS OF INVESTMENTS IN DERIVATIVE INSTRUMENTS</t>
  </si>
  <si>
    <t>A. Hedging Positions through Futures as on April 30,2024 :</t>
  </si>
  <si>
    <t>Scheme Name</t>
  </si>
  <si>
    <t>Underlying</t>
  </si>
  <si>
    <t>Long/Short</t>
  </si>
  <si>
    <t>Futures Price When Purchased</t>
  </si>
  <si>
    <t>Current Price of the contract</t>
  </si>
  <si>
    <t>Margin maintained in       (Rs in Lakhs)*</t>
  </si>
  <si>
    <t>Aditya Birla Capital Ltd MAY-2024</t>
  </si>
  <si>
    <t>Short</t>
  </si>
  <si>
    <t>Ashok Leyland Ltd MAY-2024</t>
  </si>
  <si>
    <t>Associated Cement Co. Ltd MAY-2024</t>
  </si>
  <si>
    <t>Aurobindo Pharma Ltd-Equ MAY-2024</t>
  </si>
  <si>
    <t>Bharti Airtel Ltd MAY-2024</t>
  </si>
  <si>
    <t>Dabur India Ltd - Equity MAY-2024</t>
  </si>
  <si>
    <t>DLF Ltd MAY-2024</t>
  </si>
  <si>
    <t>Gujarat Ambuja Cement Co.Ltd MAY-2024</t>
  </si>
  <si>
    <t>HCL Technologies Ltd MAY-2024</t>
  </si>
  <si>
    <t>HDFC Bank Ltd MAY-2024</t>
  </si>
  <si>
    <t>Hindustan Unilever Ltd MAY-2024</t>
  </si>
  <si>
    <t>Indus Towers Ltd (Prev name Bharti Infratel Ltd) MAY-2024</t>
  </si>
  <si>
    <t>ITC Ltd MAY-2024</t>
  </si>
  <si>
    <t>Kotak Mahindra Bank Ltd MAY-2024</t>
  </si>
  <si>
    <t>Larsen &amp; Toubro Ltd - Equity MAY-2024</t>
  </si>
  <si>
    <t>Manappuram Finance Limited MAY-2024</t>
  </si>
  <si>
    <t>Reliance Industries Ltd MAY-2024</t>
  </si>
  <si>
    <t>State Bank Of India Ltd MAY-2024</t>
  </si>
  <si>
    <t>Sun Pharmaceuticals Ltd MAY-2024</t>
  </si>
  <si>
    <t>TATA Consultancy Services Ltd MAY-2024</t>
  </si>
  <si>
    <t>Vodafone Idea Ltd (Prev:Idea Cellular Ltd) MAY-2024</t>
  </si>
  <si>
    <t>Bajaj Finance Ltd MAY-2024</t>
  </si>
  <si>
    <t>Bajaj Finserv Ltd MAY-2024</t>
  </si>
  <si>
    <t>Bank of Baroda MAY-2024</t>
  </si>
  <si>
    <t>Canara Bank MAY-2024</t>
  </si>
  <si>
    <t>Cipla Ltd MAY-2024</t>
  </si>
  <si>
    <t>Dalmia Bharat Ltd MAY-2024</t>
  </si>
  <si>
    <t>IndusInd Bank Ltd MAY-2024</t>
  </si>
  <si>
    <t>Infosys Ltd MAY-2024</t>
  </si>
  <si>
    <t>Maruti Suzuki India Ltd MAY-2024</t>
  </si>
  <si>
    <t>NTPC Ltd MAY-2024</t>
  </si>
  <si>
    <t>Tata Motors Ltd MAY-2024</t>
  </si>
  <si>
    <t>UPL Lmited (Previously )United Phosphorous Ltd MAY-2024</t>
  </si>
  <si>
    <t>Zee Entertainment Enterprises Ltd MAY-2024</t>
  </si>
  <si>
    <t>Axis Bank Ltd  MAY-2024</t>
  </si>
  <si>
    <t>Hindustan Petroleum Corpn Ltd MAY-2024</t>
  </si>
  <si>
    <t>ICICI Bank Ltd MAY-2024</t>
  </si>
  <si>
    <t>JSW Steel Ltd MAY-2024</t>
  </si>
  <si>
    <t>Tata Steel Ltd MAY-2024</t>
  </si>
  <si>
    <t>United Spirits Ltd MAY-2024</t>
  </si>
  <si>
    <t>Hindustan Aeronautics Ltd MAY-2024</t>
  </si>
  <si>
    <t>Info Edge (India) Ltd MAY-2024</t>
  </si>
  <si>
    <t>Interglobe Aviation Ltd MAY-2024</t>
  </si>
  <si>
    <t>Mahindra &amp; Mahindra Ltd MAY-2024</t>
  </si>
  <si>
    <t>Shriram Finance Ltd ( Prv Shriram Tpt Finance Co Ltd) MAY-2024</t>
  </si>
  <si>
    <t>TVS Motor Company Ltd   MAY-2024</t>
  </si>
  <si>
    <t xml:space="preserve">Total percentage of existing assets hedged through futures as a percentage of net assets </t>
  </si>
  <si>
    <t>%</t>
  </si>
  <si>
    <t>For the period ended April 30,2024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</si>
  <si>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</si>
  <si>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</si>
  <si>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</si>
  <si>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</si>
  <si>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</si>
  <si>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April 30,2024 :</t>
  </si>
  <si>
    <t>Margin maintained in       (Rs. in Lakhs) *</t>
  </si>
  <si>
    <t>ICICI Prudential Life Insurance Company Ltd MAY-2024</t>
  </si>
  <si>
    <t>Long</t>
  </si>
  <si>
    <t>Metropolis Healthcare Ltd  MAY-2024</t>
  </si>
  <si>
    <t>Indraprastha Gas Ltd MAY-2024</t>
  </si>
  <si>
    <t>Page Industries Ltd MAY-2024</t>
  </si>
  <si>
    <t>Total percentage of existing assets due to non-hedging positions as a percentage of net assets</t>
  </si>
  <si>
    <t>For the period ended April 30,2024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</si>
  <si>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</si>
  <si>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</si>
  <si>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</si>
  <si>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</si>
  <si>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Sundaram Small cap Fund</t>
  </si>
  <si>
    <t>C. Hedging Positions through Put Options as on April 30,2024 :</t>
  </si>
  <si>
    <t>Call/Put</t>
  </si>
  <si>
    <t>Number of Contracts</t>
  </si>
  <si>
    <t>Option Price when purchased</t>
  </si>
  <si>
    <t>Current Option Price</t>
  </si>
  <si>
    <t>Total % of existing assets hedged through Put Options</t>
  </si>
  <si>
    <t xml:space="preserve"> </t>
  </si>
  <si>
    <t>For the period ended  April 30,2024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</si>
  <si>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</si>
  <si>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</si>
  <si>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</si>
  <si>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</si>
  <si>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April 30,2024 :</t>
  </si>
  <si>
    <t xml:space="preserve">Total Exposure through Options other than hedging as a percentage of net assets </t>
  </si>
  <si>
    <t>For the period ended April 30,2024 , the following non hedging transactions through options which have been already exercised/expired</t>
  </si>
  <si>
    <t>Gross Notional value of contracts  bought(Rs. in Lakhs)</t>
  </si>
  <si>
    <t>Gross Notional value of contracts  sold (Rs. in Lakhs)</t>
  </si>
  <si>
    <t>E. Hedging Positions through Swaps as on April 30,2024 - Nil</t>
  </si>
  <si>
    <t>F. Hedging Positions through Interest Rate Futures as on April 30,2024 :</t>
  </si>
  <si>
    <t xml:space="preserve">Futures Price
When Purchased </t>
  </si>
  <si>
    <t>Current Price of
the contract</t>
  </si>
  <si>
    <t>Margin maintained
in (Rs. in Lakhs)</t>
  </si>
  <si>
    <t>Total percentage of existing assets hedged through Interest Rate Futures a Percentage of net assets</t>
  </si>
  <si>
    <t>For the period ended April 30,2024 following were the hedging transactions through Interest Rate Futures which have been squared off/ expired</t>
  </si>
  <si>
    <t>For the period ended April 30,2024 following were the Non Hedging transactions through Interest Rate Futures which have been squared off/ expired</t>
  </si>
  <si>
    <t>* Note: Margin maintained denotes security specific margin.</t>
  </si>
  <si>
    <t>G) Derivative</t>
  </si>
  <si>
    <t>Chennai Super Kings Ltd @</t>
  </si>
  <si>
    <t>Hindustan Dorr Oliver Ltd @</t>
  </si>
  <si>
    <t>Sundaram Clayton Ltd 0.1% (Preference Share) 31-Aug-2024 ** @</t>
  </si>
  <si>
    <t>Sundaram Clayton Ltd 0.1% (Preference Share) 31-Aug-2024** @</t>
  </si>
  <si>
    <t>Minerava Holdings Ltd @</t>
  </si>
  <si>
    <t>Crystal Cable Industries Ltd @</t>
  </si>
  <si>
    <t>Sandur Laminates Ltd @</t>
  </si>
  <si>
    <t>Tirrihannah Company Ltd @</t>
  </si>
  <si>
    <t>Crescent Finstock Ltd @</t>
  </si>
  <si>
    <t>Noble Brothers Impex Ltd @</t>
  </si>
  <si>
    <t>Balmer Lawrie Freight Containers Ltd @</t>
  </si>
  <si>
    <t>Mukerian Papers Ltd @</t>
  </si>
  <si>
    <t>Precision Fasteners Ltd @</t>
  </si>
  <si>
    <t>Sangam Health Care Products Ltd @</t>
  </si>
  <si>
    <t>Virtual Dynamics Software Ltd @</t>
  </si>
  <si>
    <t>g) Derivative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</si>
</sst>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0000\)"/>
    <numFmt numFmtId="170" formatCode="[$-1014009]#,##0.00\ %;\(#,##0.00\)"/>
    <numFmt numFmtId="171" formatCode="[$-1014009]#.0000"/>
    <numFmt numFmtId="172" formatCode="[$-1014009]#,##0.00%"/>
    <numFmt numFmtId="173" formatCode="[$-1014009]#,##0.000000;\-#,##0.000000"/>
    <numFmt numFmtId="174" formatCode="[$-1014009]#,##0.00;\(#,##0.00\)"/>
    <numFmt numFmtId="175" formatCode="_(* #,##0_);_(* \(#,##0\);_(* &quot;-&quot;??_);_(@_)"/>
    <numFmt numFmtId="176" formatCode="[$-1014009]#,##0.0000;\(#,##0.0000\)"/>
    <numFmt numFmtId="177" formatCode="0.000"/>
    <numFmt numFmtId="178" formatCode="#,##0.000"/>
    <numFmt numFmtId="179" formatCode="0.000000000"/>
    <numFmt numFmtId="180" formatCode="#,##0.0000;\(#,##0.0000\)"/>
    <numFmt numFmtId="181" formatCode="_(* #,##0.000_);_(* \(#,##0.000\);_(* &quot;-&quot;??_);_(@_)"/>
  </numFmts>
  <fonts count="34"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color indexed="8"/>
      <name val="Calibri"/>
      <family val="2"/>
    </font>
    <font>
      <sz val="10"/>
      <name val="Arial"/>
      <family val="2"/>
    </font>
    <font>
      <b/>
      <sz val="10"/>
      <color indexed="8"/>
      <name val="Calibri"/>
      <family val="2"/>
    </font>
    <font>
      <b/>
      <i/>
      <sz val="10"/>
      <color indexed="8"/>
      <name val="Calibri"/>
      <family val="2"/>
    </font>
    <font>
      <sz val="10"/>
      <name val="Arial"/>
      <family val="2"/>
    </font>
    <font>
      <sz val="10"/>
      <color rgb="FFFF0000"/>
      <name val="Calibri"/>
      <family val="2"/>
    </font>
    <font>
      <b/>
      <sz val="11"/>
      <color theme="1"/>
      <name val="Aptos Narrow"/>
      <family val="2"/>
      <scheme val="minor"/>
    </font>
    <font>
      <u/>
      <sz val="10"/>
      <color theme="10"/>
      <name val="Arial"/>
      <family val="2"/>
    </font>
    <font>
      <u/>
      <sz val="11"/>
      <color rgb="FF002060"/>
      <name val="Aptos Narrow"/>
      <family val="2"/>
      <scheme val="minor"/>
    </font>
    <font>
      <b/>
      <sz val="11"/>
      <name val="Aptos Narrow"/>
      <family val="2"/>
      <scheme val="minor"/>
    </font>
    <font>
      <sz val="10"/>
      <name val="Calibri"/>
      <family val="2"/>
    </font>
    <font>
      <sz val="10"/>
      <color theme="1"/>
      <name val="Calibri"/>
      <family val="2"/>
    </font>
    <font>
      <b/>
      <sz val="10"/>
      <color theme="1"/>
      <name val="Calibri"/>
      <family val="2"/>
    </font>
    <font>
      <sz val="11"/>
      <name val="Aptos Narrow"/>
      <family val="2"/>
      <scheme val="minor"/>
    </font>
    <font>
      <b/>
      <sz val="10"/>
      <name val="Calibri"/>
      <family val="2"/>
    </font>
    <font>
      <sz val="11"/>
      <name val="Calibri"/>
      <family val="2"/>
    </font>
    <font>
      <b/>
      <sz val="10"/>
      <name val="Arial"/>
      <family val="2"/>
    </font>
    <font>
      <b/>
      <sz val="10"/>
      <color theme="1"/>
      <name val="Aptos Narrow"/>
      <family val="2"/>
      <scheme val="minor"/>
    </font>
    <font>
      <sz val="10"/>
      <name val="Aptos Narrow"/>
      <family val="2"/>
      <scheme val="minor"/>
    </font>
    <font>
      <sz val="10"/>
      <color theme="1"/>
      <name val="Aptos Narrow"/>
      <family val="2"/>
      <scheme val="minor"/>
    </font>
    <font>
      <u/>
      <sz val="11"/>
      <color theme="10"/>
      <name val="Aptos Narrow"/>
      <family val="2"/>
      <scheme val="minor"/>
    </font>
    <font>
      <b/>
      <sz val="11"/>
      <color indexed="8"/>
      <name val="Calibri"/>
      <family val="2"/>
    </font>
    <font>
      <b/>
      <sz val="10"/>
      <name val="Aptos Narrow"/>
      <family val="2"/>
      <scheme val="minor"/>
    </font>
    <font>
      <sz val="11"/>
      <color indexed="8"/>
      <name val="Calibri"/>
      <family val="2"/>
    </font>
  </fonts>
  <fills count="5">
    <fill>
      <patternFill patternType="none"/>
    </fill>
    <fill>
      <patternFill patternType="gray125"/>
    </fill>
    <fill>
      <patternFill patternType="solid">
        <fgColor indexed="9"/>
      </patternFill>
    </fill>
    <fill>
      <patternFill patternType="solid">
        <fgColor theme="8" tint="0.79998168889431442"/>
        <bgColor indexed="64"/>
      </patternFill>
    </fill>
    <fill>
      <patternFill patternType="solid">
        <fgColor theme="2"/>
        <bgColor indexed="64"/>
      </patternFill>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8"/>
      </bottom>
      <diagonal/>
    </border>
  </borders>
  <cellStyleXfs count="14">
    <xf numFmtId="0" fontId="0" fillId="0" borderId="0">
      <alignment wrapText="1"/>
    </xf>
    <xf numFmtId="9" fontId="11" fillId="0" borderId="0" applyFont="0" applyFill="0" applyBorder="0" applyAlignment="0" applyProtection="0"/>
    <xf numFmtId="0" fontId="14" fillId="0" borderId="0">
      <alignment wrapText="1"/>
    </xf>
    <xf numFmtId="164" fontId="11" fillId="0" borderId="0" applyFont="0" applyFill="0" applyBorder="0" applyAlignment="0" applyProtection="0"/>
    <xf numFmtId="0" fontId="4" fillId="0" borderId="0"/>
    <xf numFmtId="0" fontId="17" fillId="0" borderId="0" applyNumberFormat="0" applyFill="0" applyBorder="0" applyAlignment="0" applyProtection="0">
      <alignment wrapText="1"/>
    </xf>
    <xf numFmtId="0" fontId="14" fillId="0" borderId="0">
      <alignment wrapText="1"/>
    </xf>
    <xf numFmtId="0" fontId="14" fillId="0" borderId="0">
      <alignment wrapText="1"/>
    </xf>
    <xf numFmtId="164" fontId="4" fillId="0" borderId="0" applyFont="0" applyFill="0" applyBorder="0" applyAlignment="0" applyProtection="0"/>
    <xf numFmtId="0" fontId="4" fillId="0" borderId="0"/>
    <xf numFmtId="0" fontId="3" fillId="0" borderId="0"/>
    <xf numFmtId="0" fontId="2" fillId="0" borderId="0"/>
    <xf numFmtId="0" fontId="11" fillId="0" borderId="0"/>
    <xf numFmtId="43" fontId="33" fillId="0" borderId="0" applyFont="0" applyFill="0" applyBorder="0" applyAlignment="0" applyProtection="0"/>
  </cellStyleXfs>
  <cellXfs count="288">
    <xf numFmtId="0" fontId="0" fillId="0" borderId="0" xfId="0">
      <alignment wrapText="1"/>
    </xf>
    <xf numFmtId="0" fontId="6" fillId="2" borderId="4"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165"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168"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170" fontId="7" fillId="2" borderId="4" xfId="0" applyNumberFormat="1" applyFont="1" applyFill="1" applyBorder="1" applyAlignment="1">
      <alignment horizontal="right" vertical="center" wrapText="1" readingOrder="1"/>
    </xf>
    <xf numFmtId="0" fontId="8" fillId="2" borderId="5" xfId="0" applyFont="1" applyFill="1" applyBorder="1" applyAlignment="1">
      <alignment horizontal="left" vertical="center" wrapText="1" readingOrder="1"/>
    </xf>
    <xf numFmtId="0" fontId="8" fillId="2" borderId="5" xfId="0" applyFont="1" applyFill="1" applyBorder="1" applyAlignment="1">
      <alignment horizontal="right" vertical="center" wrapText="1" readingOrder="1"/>
    </xf>
    <xf numFmtId="0" fontId="8" fillId="2" borderId="0" xfId="0" applyFont="1" applyFill="1" applyAlignment="1">
      <alignment horizontal="left" vertical="center" wrapText="1" readingOrder="1"/>
    </xf>
    <xf numFmtId="0" fontId="6" fillId="2" borderId="0" xfId="0" applyFont="1" applyFill="1" applyAlignment="1">
      <alignment horizontal="left" vertical="center" wrapText="1" readingOrder="1"/>
    </xf>
    <xf numFmtId="0" fontId="8" fillId="2" borderId="0" xfId="0" applyFont="1" applyFill="1" applyAlignment="1">
      <alignment horizontal="right" vertical="center" wrapText="1" readingOrder="1"/>
    </xf>
    <xf numFmtId="0" fontId="8" fillId="2" borderId="6" xfId="0" applyFont="1" applyFill="1" applyBorder="1" applyAlignment="1">
      <alignment horizontal="right" vertical="center" wrapText="1" readingOrder="1"/>
    </xf>
    <xf numFmtId="0" fontId="6" fillId="2" borderId="0" xfId="0" applyFont="1" applyFill="1" applyAlignment="1">
      <alignment horizontal="right" vertical="top" wrapText="1" readingOrder="1"/>
    </xf>
    <xf numFmtId="0" fontId="7" fillId="2" borderId="4" xfId="0" applyFont="1" applyFill="1" applyBorder="1" applyAlignment="1">
      <alignment horizontal="right" vertical="top" wrapText="1" readingOrder="1"/>
    </xf>
    <xf numFmtId="171" fontId="6" fillId="2" borderId="4" xfId="0" applyNumberFormat="1" applyFont="1" applyFill="1" applyBorder="1" applyAlignment="1">
      <alignment horizontal="righ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top" wrapText="1" readingOrder="1"/>
    </xf>
    <xf numFmtId="172" fontId="7" fillId="2" borderId="4" xfId="0" applyNumberFormat="1" applyFont="1" applyFill="1" applyBorder="1" applyAlignment="1">
      <alignment horizontal="left" vertical="center" wrapText="1" readingOrder="1"/>
    </xf>
    <xf numFmtId="0" fontId="5" fillId="2" borderId="7" xfId="0" applyFont="1" applyFill="1" applyBorder="1" applyAlignment="1">
      <alignment horizontal="center" vertical="center" wrapText="1" readingOrder="1"/>
    </xf>
    <xf numFmtId="0" fontId="0" fillId="0" borderId="0" xfId="0" applyAlignment="1">
      <alignment horizontal="center" vertical="center" wrapText="1"/>
    </xf>
    <xf numFmtId="167" fontId="10" fillId="2" borderId="4" xfId="0" applyNumberFormat="1" applyFont="1" applyFill="1" applyBorder="1" applyAlignment="1">
      <alignment horizontal="right" vertical="center" wrapText="1" readingOrder="1"/>
    </xf>
    <xf numFmtId="0" fontId="14" fillId="0" borderId="0" xfId="2">
      <alignment wrapText="1"/>
    </xf>
    <xf numFmtId="0" fontId="13" fillId="2" borderId="0" xfId="0" applyFont="1" applyFill="1" applyAlignment="1">
      <alignment horizontal="left" vertical="center" wrapText="1" readingOrder="1"/>
    </xf>
    <xf numFmtId="0" fontId="10" fillId="2" borderId="0" xfId="0" applyFont="1" applyFill="1" applyAlignment="1">
      <alignment horizontal="left" vertical="center" wrapText="1" readingOrder="1"/>
    </xf>
    <xf numFmtId="0" fontId="13" fillId="0" borderId="0" xfId="4" applyFont="1" applyAlignment="1">
      <alignment horizontal="left" vertical="center" wrapText="1" readingOrder="1"/>
    </xf>
    <xf numFmtId="0" fontId="4" fillId="0" borderId="0" xfId="4" applyAlignment="1">
      <alignment wrapText="1"/>
    </xf>
    <xf numFmtId="0" fontId="18" fillId="3" borderId="0" xfId="5" applyFont="1" applyFill="1" applyBorder="1" applyAlignment="1">
      <alignment horizontal="center" vertical="center" wrapText="1"/>
    </xf>
    <xf numFmtId="0" fontId="0" fillId="0" borderId="0" xfId="0" applyAlignment="1">
      <alignment horizontal="center" wrapText="1"/>
    </xf>
    <xf numFmtId="0" fontId="14" fillId="0" borderId="0" xfId="2" applyAlignment="1">
      <alignment horizontal="center" vertical="center" wrapText="1"/>
    </xf>
    <xf numFmtId="0" fontId="17" fillId="3" borderId="0" xfId="5" applyFill="1" applyBorder="1" applyAlignment="1">
      <alignment horizontal="center" vertical="center" wrapText="1"/>
    </xf>
    <xf numFmtId="0" fontId="0" fillId="0" borderId="0" xfId="0" applyAlignment="1"/>
    <xf numFmtId="0" fontId="20" fillId="0" borderId="0" xfId="0" applyFont="1">
      <alignment wrapText="1"/>
    </xf>
    <xf numFmtId="0" fontId="20" fillId="0" borderId="0" xfId="0" applyFont="1" applyAlignment="1">
      <alignment vertical="center" wrapText="1"/>
    </xf>
    <xf numFmtId="10" fontId="21" fillId="0" borderId="8" xfId="1" applyNumberFormat="1" applyFont="1" applyFill="1" applyBorder="1" applyAlignment="1">
      <alignment vertical="center"/>
    </xf>
    <xf numFmtId="0" fontId="19" fillId="0" borderId="0" xfId="2" applyFont="1" applyAlignment="1">
      <alignment horizontal="center" vertical="center"/>
    </xf>
    <xf numFmtId="10" fontId="21" fillId="0" borderId="8" xfId="1" applyNumberFormat="1" applyFont="1" applyFill="1" applyBorder="1" applyAlignment="1">
      <alignment vertical="center" wrapText="1"/>
    </xf>
    <xf numFmtId="4" fontId="23" fillId="0" borderId="0" xfId="4" applyNumberFormat="1" applyFont="1" applyAlignment="1">
      <alignment vertical="center"/>
    </xf>
    <xf numFmtId="0" fontId="25" fillId="0" borderId="0" xfId="0" applyFont="1" applyAlignment="1">
      <alignment vertical="center" wrapText="1"/>
    </xf>
    <xf numFmtId="0" fontId="0" fillId="0" borderId="0" xfId="0" applyAlignment="1">
      <alignment vertical="center" wrapText="1"/>
    </xf>
    <xf numFmtId="175" fontId="21" fillId="0" borderId="0" xfId="3" applyNumberFormat="1" applyFont="1" applyFill="1"/>
    <xf numFmtId="164" fontId="21" fillId="0" borderId="0" xfId="3" applyFont="1" applyFill="1"/>
    <xf numFmtId="0" fontId="18" fillId="0" borderId="0" xfId="5" applyFont="1" applyFill="1" applyBorder="1" applyAlignment="1">
      <alignment horizontal="center" vertical="center" wrapText="1"/>
    </xf>
    <xf numFmtId="0" fontId="14" fillId="0" borderId="0" xfId="0" applyFont="1">
      <alignment wrapText="1"/>
    </xf>
    <xf numFmtId="4" fontId="20" fillId="0" borderId="8" xfId="8" applyNumberFormat="1" applyFont="1" applyFill="1" applyBorder="1" applyAlignment="1">
      <alignment horizontal="center" vertical="center"/>
    </xf>
    <xf numFmtId="10" fontId="20" fillId="0" borderId="8" xfId="8" applyNumberFormat="1" applyFont="1" applyFill="1" applyBorder="1" applyAlignment="1">
      <alignment horizontal="center" vertical="center"/>
    </xf>
    <xf numFmtId="0" fontId="26" fillId="0" borderId="0" xfId="0" applyFont="1">
      <alignment wrapText="1"/>
    </xf>
    <xf numFmtId="4" fontId="28" fillId="0" borderId="8" xfId="8" applyNumberFormat="1" applyFont="1" applyFill="1" applyBorder="1" applyAlignment="1">
      <alignment horizontal="center" vertical="center"/>
    </xf>
    <xf numFmtId="10" fontId="28" fillId="0" borderId="8" xfId="8" applyNumberFormat="1" applyFont="1" applyFill="1" applyBorder="1" applyAlignment="1">
      <alignment horizontal="center" vertical="center"/>
    </xf>
    <xf numFmtId="175" fontId="29" fillId="0" borderId="0" xfId="3" applyNumberFormat="1" applyFont="1" applyFill="1"/>
    <xf numFmtId="164" fontId="29" fillId="0" borderId="0" xfId="3" applyFont="1" applyFill="1"/>
    <xf numFmtId="164" fontId="28" fillId="0" borderId="12" xfId="8" applyFont="1" applyFill="1" applyBorder="1" applyAlignment="1">
      <alignment horizontal="right" vertical="center"/>
    </xf>
    <xf numFmtId="164" fontId="28" fillId="0" borderId="12" xfId="8" applyFont="1" applyFill="1" applyBorder="1" applyAlignment="1">
      <alignment horizontal="center" vertical="center"/>
    </xf>
    <xf numFmtId="0" fontId="19" fillId="0" borderId="12" xfId="9" applyFont="1" applyBorder="1" applyAlignment="1">
      <alignment horizontal="center" vertical="center"/>
    </xf>
    <xf numFmtId="0" fontId="23" fillId="0" borderId="0" xfId="2" applyFont="1">
      <alignment wrapText="1"/>
    </xf>
    <xf numFmtId="0" fontId="23" fillId="0" borderId="12" xfId="2" applyFont="1" applyBorder="1" applyAlignment="1">
      <alignment horizontal="center" wrapText="1"/>
    </xf>
    <xf numFmtId="0" fontId="30" fillId="0" borderId="12" xfId="5" applyFont="1" applyBorder="1" applyAlignment="1"/>
    <xf numFmtId="0" fontId="23" fillId="0" borderId="12" xfId="2" applyFont="1" applyBorder="1" applyAlignment="1"/>
    <xf numFmtId="0" fontId="19" fillId="0" borderId="0" xfId="6" applyFont="1" applyAlignment="1">
      <alignment horizontal="center" vertical="center" wrapText="1"/>
    </xf>
    <xf numFmtId="0" fontId="19" fillId="0" borderId="0" xfId="6" applyFont="1" applyAlignment="1">
      <alignment vertical="center" wrapText="1"/>
    </xf>
    <xf numFmtId="0" fontId="16" fillId="0" borderId="0" xfId="0" applyFont="1" applyAlignment="1">
      <alignment vertical="center" wrapText="1"/>
    </xf>
    <xf numFmtId="0" fontId="0" fillId="4" borderId="0" xfId="0" applyFill="1">
      <alignment wrapText="1"/>
    </xf>
    <xf numFmtId="0" fontId="19" fillId="4" borderId="0" xfId="6" applyFont="1" applyFill="1" applyAlignment="1">
      <alignment horizontal="center" vertical="center" wrapText="1"/>
    </xf>
    <xf numFmtId="0" fontId="16" fillId="4" borderId="0" xfId="0" applyFont="1" applyFill="1" applyAlignment="1">
      <alignment horizontal="center" vertical="center"/>
    </xf>
    <xf numFmtId="0" fontId="0" fillId="4" borderId="0" xfId="0" applyFill="1" applyAlignment="1">
      <alignment horizontal="center" vertical="center" wrapText="1"/>
    </xf>
    <xf numFmtId="0" fontId="19" fillId="0" borderId="14" xfId="6" applyFont="1" applyBorder="1" applyAlignment="1">
      <alignment vertical="center" wrapText="1"/>
    </xf>
    <xf numFmtId="0" fontId="26" fillId="4" borderId="0" xfId="0" applyFont="1" applyFill="1" applyAlignment="1">
      <alignment horizontal="center" wrapText="1"/>
    </xf>
    <xf numFmtId="0" fontId="26" fillId="4" borderId="0" xfId="0" applyFont="1" applyFill="1" applyAlignment="1">
      <alignment horizontal="center" vertical="center" wrapText="1"/>
    </xf>
    <xf numFmtId="0" fontId="26" fillId="0" borderId="0" xfId="0" applyFont="1" applyAlignment="1">
      <alignment horizontal="center" vertical="center" wrapText="1"/>
    </xf>
    <xf numFmtId="0" fontId="7" fillId="2" borderId="4" xfId="0" applyFont="1" applyFill="1" applyBorder="1" applyAlignment="1">
      <alignment horizontal="center" vertical="top" wrapText="1" readingOrder="1"/>
    </xf>
    <xf numFmtId="0" fontId="6" fillId="2" borderId="16" xfId="0" applyFont="1" applyFill="1" applyBorder="1" applyAlignment="1">
      <alignment horizontal="left" vertical="center" wrapText="1" readingOrder="1"/>
    </xf>
    <xf numFmtId="0" fontId="28" fillId="0" borderId="0" xfId="11" applyFont="1"/>
    <xf numFmtId="0" fontId="32" fillId="0" borderId="0" xfId="11" applyFont="1"/>
    <xf numFmtId="0" fontId="32" fillId="0" borderId="13" xfId="11" applyFont="1" applyBorder="1" applyAlignment="1">
      <alignment horizontal="center" vertical="top"/>
    </xf>
    <xf numFmtId="0" fontId="32" fillId="0" borderId="13" xfId="11" applyFont="1" applyBorder="1" applyAlignment="1">
      <alignment horizontal="center" vertical="top" wrapText="1"/>
    </xf>
    <xf numFmtId="0" fontId="28" fillId="0" borderId="13" xfId="11" applyFont="1" applyBorder="1" applyAlignment="1">
      <alignment horizontal="left" vertical="top"/>
    </xf>
    <xf numFmtId="0" fontId="28" fillId="0" borderId="13" xfId="11" applyFont="1" applyBorder="1" applyAlignment="1">
      <alignment horizontal="center" vertical="top"/>
    </xf>
    <xf numFmtId="174" fontId="6" fillId="2" borderId="16" xfId="11" applyNumberFormat="1" applyFont="1" applyFill="1" applyBorder="1" applyAlignment="1">
      <alignment horizontal="right" vertical="center" wrapText="1" readingOrder="1"/>
    </xf>
    <xf numFmtId="4" fontId="6" fillId="2" borderId="16" xfId="11" applyNumberFormat="1" applyFont="1" applyFill="1" applyBorder="1" applyAlignment="1">
      <alignment horizontal="right" vertical="center" wrapText="1" readingOrder="1"/>
    </xf>
    <xf numFmtId="2" fontId="28" fillId="0" borderId="17" xfId="11" applyNumberFormat="1" applyFont="1" applyBorder="1" applyAlignment="1">
      <alignment horizontal="right" vertical="top" wrapText="1"/>
    </xf>
    <xf numFmtId="0" fontId="28" fillId="0" borderId="17" xfId="11" applyFont="1" applyBorder="1" applyAlignment="1">
      <alignment horizontal="left" vertical="top"/>
    </xf>
    <xf numFmtId="0" fontId="28" fillId="0" borderId="17" xfId="11" applyFont="1" applyBorder="1" applyAlignment="1">
      <alignment horizontal="center" vertical="top"/>
    </xf>
    <xf numFmtId="0" fontId="6" fillId="2" borderId="17" xfId="11" applyFont="1" applyFill="1" applyBorder="1" applyAlignment="1">
      <alignment horizontal="left" vertical="center" readingOrder="1"/>
    </xf>
    <xf numFmtId="0" fontId="6" fillId="2" borderId="7" xfId="11" applyFont="1" applyFill="1" applyBorder="1" applyAlignment="1">
      <alignment horizontal="left" vertical="center" readingOrder="1"/>
    </xf>
    <xf numFmtId="174" fontId="6" fillId="2" borderId="16" xfId="12" applyNumberFormat="1" applyFont="1" applyFill="1" applyBorder="1" applyAlignment="1">
      <alignment horizontal="right" vertical="center" wrapText="1" readingOrder="1"/>
    </xf>
    <xf numFmtId="176" fontId="6" fillId="2" borderId="16" xfId="12" applyNumberFormat="1" applyFont="1" applyFill="1" applyBorder="1" applyAlignment="1">
      <alignment horizontal="right" vertical="center" wrapText="1" readingOrder="1"/>
    </xf>
    <xf numFmtId="177" fontId="28" fillId="0" borderId="17" xfId="11" applyNumberFormat="1" applyFont="1" applyBorder="1" applyAlignment="1">
      <alignment horizontal="right" vertical="top" wrapText="1"/>
    </xf>
    <xf numFmtId="0" fontId="6" fillId="2" borderId="16" xfId="11" applyFont="1" applyFill="1" applyBorder="1" applyAlignment="1">
      <alignment horizontal="left" vertical="center" readingOrder="1"/>
    </xf>
    <xf numFmtId="174" fontId="6" fillId="2" borderId="16" xfId="12" applyNumberFormat="1" applyFont="1" applyFill="1" applyBorder="1" applyAlignment="1">
      <alignment horizontal="right" vertical="center" readingOrder="1"/>
    </xf>
    <xf numFmtId="174" fontId="6" fillId="2" borderId="16" xfId="11" applyNumberFormat="1" applyFont="1" applyFill="1" applyBorder="1" applyAlignment="1">
      <alignment horizontal="right" vertical="center" readingOrder="1"/>
    </xf>
    <xf numFmtId="4" fontId="6" fillId="2" borderId="16" xfId="11" applyNumberFormat="1" applyFont="1" applyFill="1" applyBorder="1" applyAlignment="1">
      <alignment horizontal="right" vertical="center" readingOrder="1"/>
    </xf>
    <xf numFmtId="0" fontId="6" fillId="2" borderId="16" xfId="11" applyFont="1" applyFill="1" applyBorder="1" applyAlignment="1">
      <alignment horizontal="left" vertical="center" wrapText="1" readingOrder="1"/>
    </xf>
    <xf numFmtId="2" fontId="6" fillId="2" borderId="16" xfId="11" applyNumberFormat="1" applyFont="1" applyFill="1" applyBorder="1" applyAlignment="1">
      <alignment horizontal="right" vertical="center" wrapText="1" readingOrder="1"/>
    </xf>
    <xf numFmtId="174" fontId="6" fillId="0" borderId="16" xfId="11" applyNumberFormat="1" applyFont="1" applyBorder="1" applyAlignment="1">
      <alignment horizontal="right" vertical="center" wrapText="1" readingOrder="1"/>
    </xf>
    <xf numFmtId="2" fontId="28" fillId="0" borderId="0" xfId="11" applyNumberFormat="1" applyFont="1" applyAlignment="1">
      <alignment horizontal="left" vertical="top"/>
    </xf>
    <xf numFmtId="174" fontId="28" fillId="0" borderId="0" xfId="11" applyNumberFormat="1" applyFont="1"/>
    <xf numFmtId="0" fontId="32" fillId="0" borderId="17" xfId="11" applyFont="1" applyBorder="1" applyAlignment="1">
      <alignment horizontal="center"/>
    </xf>
    <xf numFmtId="2" fontId="28" fillId="0" borderId="17" xfId="11" applyNumberFormat="1" applyFont="1" applyBorder="1" applyAlignment="1">
      <alignment horizontal="center"/>
    </xf>
    <xf numFmtId="0" fontId="28" fillId="0" borderId="17" xfId="11" applyFont="1" applyBorder="1"/>
    <xf numFmtId="0" fontId="32" fillId="0" borderId="17" xfId="11" applyFont="1" applyBorder="1" applyAlignment="1">
      <alignment horizontal="center" vertical="top"/>
    </xf>
    <xf numFmtId="0" fontId="32" fillId="0" borderId="17" xfId="11" applyFont="1" applyBorder="1" applyAlignment="1">
      <alignment horizontal="center" vertical="top" wrapText="1"/>
    </xf>
    <xf numFmtId="37" fontId="28" fillId="0" borderId="17" xfId="13" applyNumberFormat="1" applyFont="1" applyFill="1" applyBorder="1" applyAlignment="1">
      <alignment horizontal="center"/>
    </xf>
    <xf numFmtId="4" fontId="28" fillId="0" borderId="17" xfId="11" applyNumberFormat="1" applyFont="1" applyBorder="1"/>
    <xf numFmtId="43" fontId="28" fillId="0" borderId="17" xfId="13" applyFont="1" applyFill="1" applyBorder="1"/>
    <xf numFmtId="43" fontId="28" fillId="0" borderId="0" xfId="13" applyFont="1" applyFill="1" applyBorder="1"/>
    <xf numFmtId="43" fontId="28" fillId="0" borderId="0" xfId="11" applyNumberFormat="1" applyFont="1"/>
    <xf numFmtId="4" fontId="28" fillId="0" borderId="0" xfId="11" applyNumberFormat="1" applyFont="1"/>
    <xf numFmtId="0" fontId="28" fillId="0" borderId="17" xfId="13" applyNumberFormat="1" applyFont="1" applyFill="1" applyBorder="1" applyAlignment="1">
      <alignment horizontal="center"/>
    </xf>
    <xf numFmtId="4" fontId="28" fillId="0" borderId="17" xfId="13" applyNumberFormat="1" applyFont="1" applyFill="1" applyBorder="1"/>
    <xf numFmtId="178" fontId="28" fillId="0" borderId="17" xfId="13" applyNumberFormat="1" applyFont="1" applyFill="1" applyBorder="1"/>
    <xf numFmtId="43" fontId="32" fillId="0" borderId="17" xfId="13" applyFont="1" applyFill="1" applyBorder="1"/>
    <xf numFmtId="1" fontId="28" fillId="0" borderId="17" xfId="11" applyNumberFormat="1" applyFont="1" applyBorder="1" applyAlignment="1">
      <alignment horizontal="center"/>
    </xf>
    <xf numFmtId="2" fontId="28" fillId="0" borderId="17" xfId="11" applyNumberFormat="1" applyFont="1" applyBorder="1" applyAlignment="1">
      <alignment horizontal="right"/>
    </xf>
    <xf numFmtId="179" fontId="28" fillId="0" borderId="0" xfId="11" applyNumberFormat="1" applyFont="1"/>
    <xf numFmtId="0" fontId="28" fillId="0" borderId="0" xfId="11" applyFont="1" applyAlignment="1" applyProtection="1">
      <alignment horizontal="left"/>
      <protection locked="0"/>
    </xf>
    <xf numFmtId="0" fontId="28" fillId="0" borderId="0" xfId="11" applyFont="1" applyAlignment="1">
      <alignment horizontal="center" vertical="top"/>
    </xf>
    <xf numFmtId="43" fontId="28" fillId="0" borderId="0" xfId="13" applyFont="1" applyFill="1" applyBorder="1" applyAlignment="1" applyProtection="1">
      <alignment horizontal="left"/>
      <protection locked="0"/>
    </xf>
    <xf numFmtId="4" fontId="28" fillId="0" borderId="0" xfId="11" applyNumberFormat="1" applyFont="1" applyAlignment="1">
      <alignment horizontal="right" vertical="center"/>
    </xf>
    <xf numFmtId="0" fontId="28" fillId="0" borderId="18" xfId="11" applyFont="1" applyBorder="1" applyAlignment="1">
      <alignment horizontal="center"/>
    </xf>
    <xf numFmtId="0" fontId="28" fillId="0" borderId="19" xfId="11" applyFont="1" applyBorder="1" applyAlignment="1">
      <alignment horizontal="center"/>
    </xf>
    <xf numFmtId="174" fontId="6" fillId="2" borderId="16" xfId="11" applyNumberFormat="1" applyFont="1" applyFill="1" applyBorder="1" applyAlignment="1">
      <alignment horizontal="center" vertical="center" wrapText="1" readingOrder="1"/>
    </xf>
    <xf numFmtId="0" fontId="28" fillId="0" borderId="0" xfId="11" applyFont="1" applyAlignment="1">
      <alignment horizontal="left" vertical="top"/>
    </xf>
    <xf numFmtId="10" fontId="28" fillId="0" borderId="0" xfId="11" applyNumberFormat="1" applyFont="1" applyAlignment="1">
      <alignment horizontal="center"/>
    </xf>
    <xf numFmtId="43" fontId="28" fillId="0" borderId="17" xfId="13" applyFont="1" applyFill="1" applyBorder="1" applyAlignment="1">
      <alignment horizontal="center" vertical="top" wrapText="1"/>
    </xf>
    <xf numFmtId="0" fontId="28" fillId="0" borderId="17" xfId="11" applyFont="1" applyBorder="1" applyAlignment="1">
      <alignment horizontal="center"/>
    </xf>
    <xf numFmtId="164" fontId="28" fillId="0" borderId="0" xfId="11" applyNumberFormat="1" applyFont="1"/>
    <xf numFmtId="43" fontId="32" fillId="0" borderId="0" xfId="13" applyFont="1" applyFill="1" applyBorder="1"/>
    <xf numFmtId="0" fontId="28" fillId="0" borderId="17" xfId="11" applyFont="1" applyBorder="1" applyAlignment="1">
      <alignment horizontal="left" vertical="top" wrapText="1"/>
    </xf>
    <xf numFmtId="0" fontId="32" fillId="0" borderId="0" xfId="11" applyFont="1" applyAlignment="1">
      <alignment vertical="top" wrapText="1"/>
    </xf>
    <xf numFmtId="0" fontId="28" fillId="0" borderId="0" xfId="11" applyFont="1" applyAlignment="1">
      <alignment horizontal="center"/>
    </xf>
    <xf numFmtId="2" fontId="28" fillId="0" borderId="0" xfId="11" applyNumberFormat="1" applyFont="1" applyAlignment="1">
      <alignment horizontal="right"/>
    </xf>
    <xf numFmtId="0" fontId="28" fillId="0" borderId="0" xfId="11" applyFont="1" applyAlignment="1">
      <alignment horizontal="right" vertical="top" wrapText="1"/>
    </xf>
    <xf numFmtId="0" fontId="28" fillId="0" borderId="17" xfId="11" applyFont="1" applyBorder="1" applyAlignment="1">
      <alignment horizontal="center" vertical="top" wrapText="1"/>
    </xf>
    <xf numFmtId="180" fontId="28" fillId="0" borderId="0" xfId="11" applyNumberFormat="1" applyFont="1" applyAlignment="1">
      <alignment horizontal="right" vertical="top" wrapText="1"/>
    </xf>
    <xf numFmtId="2" fontId="28" fillId="0" borderId="0" xfId="11" applyNumberFormat="1" applyFont="1" applyAlignment="1">
      <alignment horizontal="center"/>
    </xf>
    <xf numFmtId="0" fontId="28" fillId="0" borderId="17" xfId="11" applyFont="1" applyBorder="1" applyAlignment="1">
      <alignment horizontal="left"/>
    </xf>
    <xf numFmtId="2" fontId="28" fillId="0" borderId="17" xfId="11" applyNumberFormat="1" applyFont="1" applyBorder="1" applyAlignment="1">
      <alignment horizontal="center" vertical="top" wrapText="1"/>
    </xf>
    <xf numFmtId="0" fontId="28" fillId="0" borderId="0" xfId="11" applyFont="1" applyAlignment="1">
      <alignment horizontal="left"/>
    </xf>
    <xf numFmtId="0" fontId="28" fillId="0" borderId="0" xfId="11" applyFont="1" applyAlignment="1">
      <alignment horizontal="right" vertical="top"/>
    </xf>
    <xf numFmtId="2" fontId="28" fillId="0" borderId="0" xfId="11" applyNumberFormat="1" applyFont="1" applyAlignment="1">
      <alignment horizontal="right" vertical="top"/>
    </xf>
    <xf numFmtId="181" fontId="28" fillId="0" borderId="0" xfId="13" applyNumberFormat="1" applyFont="1" applyFill="1" applyBorder="1" applyAlignment="1">
      <alignment horizontal="center" vertical="top" wrapText="1"/>
    </xf>
    <xf numFmtId="0" fontId="28" fillId="0" borderId="0" xfId="11" applyFont="1" applyAlignment="1">
      <alignment horizontal="left" vertical="top" wrapText="1"/>
    </xf>
    <xf numFmtId="175" fontId="28" fillId="0" borderId="0" xfId="13" applyNumberFormat="1" applyFont="1" applyFill="1" applyBorder="1" applyAlignment="1">
      <alignment horizontal="right" vertical="top" wrapText="1"/>
    </xf>
    <xf numFmtId="2" fontId="28" fillId="0" borderId="0" xfId="11" applyNumberFormat="1" applyFont="1"/>
    <xf numFmtId="4" fontId="28" fillId="0" borderId="0" xfId="13" applyNumberFormat="1" applyFont="1" applyFill="1" applyBorder="1"/>
    <xf numFmtId="0" fontId="28" fillId="0" borderId="17" xfId="11" applyFont="1" applyBorder="1" applyAlignment="1">
      <alignment vertical="top" wrapText="1"/>
    </xf>
    <xf numFmtId="2" fontId="28" fillId="0" borderId="17" xfId="11" applyNumberFormat="1" applyFont="1" applyBorder="1" applyAlignment="1">
      <alignment vertical="top" wrapText="1"/>
    </xf>
    <xf numFmtId="43" fontId="28" fillId="0" borderId="17" xfId="13" applyFont="1" applyFill="1" applyBorder="1" applyAlignment="1"/>
    <xf numFmtId="4" fontId="28" fillId="0" borderId="17" xfId="11" applyNumberFormat="1" applyFont="1" applyBorder="1" applyAlignment="1">
      <alignment horizontal="center"/>
    </xf>
    <xf numFmtId="4" fontId="28" fillId="0" borderId="17" xfId="13" applyNumberFormat="1" applyFont="1" applyFill="1" applyBorder="1" applyAlignment="1">
      <alignment horizontal="center"/>
    </xf>
    <xf numFmtId="4" fontId="32" fillId="0" borderId="17" xfId="11" applyNumberFormat="1" applyFont="1" applyBorder="1" applyAlignment="1">
      <alignment horizontal="center" vertical="top" wrapText="1"/>
    </xf>
    <xf numFmtId="4" fontId="28" fillId="0" borderId="17" xfId="11" applyNumberFormat="1" applyFont="1" applyBorder="1" applyAlignment="1">
      <alignment horizontal="center" vertical="top" wrapText="1"/>
    </xf>
    <xf numFmtId="10" fontId="0" fillId="0" borderId="0" xfId="1" applyNumberFormat="1" applyFont="1" applyAlignment="1">
      <alignment wrapText="1"/>
    </xf>
    <xf numFmtId="0" fontId="5" fillId="0" borderId="7" xfId="0" applyFont="1" applyBorder="1" applyAlignment="1">
      <alignment horizontal="center" vertical="center" wrapText="1" readingOrder="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5"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167" fontId="10"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170"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2" fillId="0" borderId="4" xfId="0" applyFont="1" applyBorder="1" applyAlignment="1">
      <alignment horizontal="left" vertical="center" wrapText="1" readingOrder="1"/>
    </xf>
    <xf numFmtId="0" fontId="6" fillId="0" borderId="0" xfId="0" applyFont="1" applyAlignment="1">
      <alignment horizontal="right" vertical="top" wrapText="1" readingOrder="1"/>
    </xf>
    <xf numFmtId="0" fontId="7" fillId="0" borderId="4" xfId="0" applyFont="1" applyBorder="1" applyAlignment="1">
      <alignment horizontal="right" vertical="top" wrapText="1" readingOrder="1"/>
    </xf>
    <xf numFmtId="0" fontId="7" fillId="0" borderId="4" xfId="0" applyFont="1" applyBorder="1" applyAlignment="1">
      <alignment horizontal="center" vertical="top" wrapText="1" readingOrder="1"/>
    </xf>
    <xf numFmtId="171"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top" wrapText="1" readingOrder="1"/>
    </xf>
    <xf numFmtId="172" fontId="7" fillId="0" borderId="4" xfId="0" applyNumberFormat="1" applyFont="1" applyBorder="1" applyAlignment="1">
      <alignment horizontal="left" vertical="center" wrapText="1" readingOrder="1"/>
    </xf>
    <xf numFmtId="0" fontId="20" fillId="0" borderId="0" xfId="0" applyFont="1" applyAlignment="1"/>
    <xf numFmtId="0" fontId="27" fillId="0" borderId="8" xfId="0" applyFont="1" applyBorder="1" applyAlignment="1">
      <alignment horizontal="center" vertical="center" wrapText="1"/>
    </xf>
    <xf numFmtId="0" fontId="28" fillId="0" borderId="8" xfId="0" applyFont="1" applyBorder="1" applyAlignment="1">
      <alignment horizontal="left" vertical="center"/>
    </xf>
    <xf numFmtId="0" fontId="28" fillId="0" borderId="8" xfId="0" applyFont="1" applyBorder="1" applyAlignment="1">
      <alignment horizontal="center" vertical="center"/>
    </xf>
    <xf numFmtId="4" fontId="28" fillId="0" borderId="8" xfId="0" applyNumberFormat="1" applyFont="1" applyBorder="1" applyAlignment="1">
      <alignment horizontal="center" vertical="center"/>
    </xf>
    <xf numFmtId="164" fontId="6" fillId="0" borderId="4" xfId="3" applyFont="1" applyFill="1" applyBorder="1" applyAlignment="1">
      <alignment horizontal="right" vertical="top" wrapText="1" readingOrder="1"/>
    </xf>
    <xf numFmtId="0" fontId="7" fillId="0" borderId="4" xfId="0" applyFont="1" applyBorder="1" applyAlignment="1">
      <alignment horizontal="center" vertical="center" wrapText="1" readingOrder="1"/>
    </xf>
    <xf numFmtId="0" fontId="10" fillId="0" borderId="4" xfId="0" applyFont="1" applyBorder="1" applyAlignment="1">
      <alignment horizontal="left" vertical="center" wrapText="1" readingOrder="1"/>
    </xf>
    <xf numFmtId="0" fontId="10" fillId="0" borderId="4" xfId="0" applyFont="1" applyBorder="1" applyAlignment="1">
      <alignment horizontal="right" vertical="top" wrapText="1" readingOrder="1"/>
    </xf>
    <xf numFmtId="0" fontId="13" fillId="0" borderId="4" xfId="0"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8" fontId="10"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68" fontId="12"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3" fontId="6"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21" fillId="0" borderId="0" xfId="0" applyFont="1" applyAlignment="1">
      <alignment vertical="center"/>
    </xf>
    <xf numFmtId="0" fontId="22" fillId="0" borderId="8" xfId="0" applyFont="1" applyBorder="1" applyAlignment="1">
      <alignment horizontal="center" vertical="center" wrapText="1"/>
    </xf>
    <xf numFmtId="0" fontId="20" fillId="0" borderId="8" xfId="0" applyFont="1" applyBorder="1" applyAlignment="1">
      <alignment vertical="center" wrapText="1"/>
    </xf>
    <xf numFmtId="0" fontId="20" fillId="0" borderId="8" xfId="0" applyFont="1" applyBorder="1" applyAlignment="1">
      <alignment vertical="center"/>
    </xf>
    <xf numFmtId="2" fontId="20" fillId="0" borderId="8" xfId="0" applyNumberFormat="1" applyFont="1" applyBorder="1" applyAlignment="1">
      <alignment vertical="center"/>
    </xf>
    <xf numFmtId="4" fontId="20" fillId="0" borderId="8" xfId="0" applyNumberFormat="1" applyFont="1" applyBorder="1" applyAlignment="1">
      <alignment vertical="center"/>
    </xf>
    <xf numFmtId="0" fontId="22" fillId="0" borderId="8" xfId="4" applyFont="1" applyBorder="1" applyAlignment="1">
      <alignment horizontal="center" vertical="center"/>
    </xf>
    <xf numFmtId="0" fontId="21" fillId="0" borderId="8" xfId="4" applyFont="1" applyBorder="1" applyAlignment="1">
      <alignment vertical="center"/>
    </xf>
    <xf numFmtId="0" fontId="21" fillId="0" borderId="8" xfId="4" applyFont="1" applyBorder="1" applyAlignment="1">
      <alignment vertical="center" wrapText="1"/>
    </xf>
    <xf numFmtId="0" fontId="22" fillId="0" borderId="8" xfId="4" applyFont="1" applyBorder="1" applyAlignment="1">
      <alignment horizontal="center" vertical="center" wrapText="1"/>
    </xf>
    <xf numFmtId="0" fontId="21" fillId="0" borderId="8" xfId="4" applyFont="1" applyBorder="1" applyAlignment="1">
      <alignment horizontal="left" vertical="center"/>
    </xf>
    <xf numFmtId="2" fontId="21" fillId="0" borderId="8" xfId="4" applyNumberFormat="1" applyFont="1" applyBorder="1" applyAlignment="1">
      <alignment horizontal="right" vertical="center" wrapText="1"/>
    </xf>
    <xf numFmtId="4" fontId="21" fillId="0" borderId="8" xfId="4" applyNumberFormat="1" applyFont="1" applyBorder="1" applyAlignment="1">
      <alignment horizontal="right" vertical="center"/>
    </xf>
    <xf numFmtId="0" fontId="20" fillId="0" borderId="8" xfId="0" applyFont="1" applyBorder="1" applyAlignment="1">
      <alignment horizontal="justify" vertical="center"/>
    </xf>
    <xf numFmtId="0" fontId="20" fillId="0" borderId="8" xfId="0" applyFont="1" applyBorder="1" applyAlignment="1">
      <alignment horizontal="justify" vertical="center" wrapText="1"/>
    </xf>
    <xf numFmtId="174" fontId="12" fillId="0" borderId="4" xfId="0" applyNumberFormat="1" applyFont="1" applyBorder="1" applyAlignment="1">
      <alignment horizontal="left" vertical="center" wrapText="1" readingOrder="1"/>
    </xf>
    <xf numFmtId="0" fontId="24" fillId="0" borderId="8" xfId="0" applyFont="1" applyBorder="1" applyAlignment="1">
      <alignment horizontal="justify" vertical="center" wrapText="1"/>
    </xf>
    <xf numFmtId="14" fontId="20" fillId="0" borderId="8" xfId="0" quotePrefix="1" applyNumberFormat="1" applyFont="1" applyBorder="1" applyAlignment="1">
      <alignment horizontal="justify" vertical="center" wrapText="1"/>
    </xf>
    <xf numFmtId="10" fontId="6" fillId="0" borderId="4" xfId="1" applyNumberFormat="1" applyFont="1" applyFill="1" applyBorder="1" applyAlignment="1">
      <alignment horizontal="right" vertical="center" wrapText="1" readingOrder="1"/>
    </xf>
    <xf numFmtId="0" fontId="6" fillId="0" borderId="16" xfId="0" applyFont="1" applyBorder="1" applyAlignment="1">
      <alignment horizontal="left" vertical="center" wrapText="1" readingOrder="1"/>
    </xf>
    <xf numFmtId="0" fontId="12" fillId="0" borderId="4" xfId="7" applyFont="1" applyBorder="1" applyAlignment="1">
      <alignment horizontal="left" vertical="center" wrapText="1" readingOrder="1"/>
    </xf>
    <xf numFmtId="0" fontId="21" fillId="0" borderId="0" xfId="0" applyFont="1" applyAlignment="1"/>
    <xf numFmtId="0" fontId="20" fillId="0" borderId="8" xfId="0" applyFont="1" applyBorder="1">
      <alignment wrapText="1"/>
    </xf>
    <xf numFmtId="167" fontId="15" fillId="0" borderId="4" xfId="0" applyNumberFormat="1" applyFont="1" applyBorder="1" applyAlignment="1">
      <alignment horizontal="right" vertical="center" wrapText="1" readingOrder="1"/>
    </xf>
    <xf numFmtId="0" fontId="22" fillId="0" borderId="8" xfId="0" applyFont="1" applyBorder="1" applyAlignment="1">
      <alignment horizontal="left" wrapText="1"/>
    </xf>
    <xf numFmtId="0" fontId="22" fillId="0" borderId="8" xfId="0" applyFont="1" applyBorder="1" applyAlignment="1">
      <alignment horizontal="center" wrapText="1"/>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4" fontId="20" fillId="0" borderId="8" xfId="0" applyNumberFormat="1" applyFont="1" applyBorder="1" applyAlignment="1">
      <alignment horizontal="center" vertical="center"/>
    </xf>
    <xf numFmtId="0" fontId="6" fillId="0" borderId="15" xfId="0" applyFont="1" applyBorder="1" applyAlignment="1">
      <alignment horizontal="left" vertical="center" wrapText="1" readingOrder="1"/>
    </xf>
    <xf numFmtId="0" fontId="12" fillId="0" borderId="4" xfId="0" applyFont="1" applyBorder="1" applyAlignment="1">
      <alignment horizontal="left" vertical="center" readingOrder="1"/>
    </xf>
    <xf numFmtId="0" fontId="29" fillId="0" borderId="0" xfId="0" applyFont="1" applyAlignment="1"/>
    <xf numFmtId="0" fontId="27" fillId="0" borderId="12" xfId="0" applyFont="1" applyBorder="1" applyAlignment="1">
      <alignment horizontal="center" wrapText="1"/>
    </xf>
    <xf numFmtId="0" fontId="28" fillId="0" borderId="12" xfId="0" applyFont="1" applyBorder="1" applyAlignment="1">
      <alignment horizontal="left" vertical="center"/>
    </xf>
    <xf numFmtId="0" fontId="28" fillId="0" borderId="12" xfId="0" applyFont="1" applyBorder="1" applyAlignment="1">
      <alignment horizontal="center" vertical="center"/>
    </xf>
    <xf numFmtId="4" fontId="28" fillId="0" borderId="12" xfId="0" applyNumberFormat="1" applyFont="1" applyBorder="1" applyAlignment="1">
      <alignment horizontal="right" vertical="center"/>
    </xf>
    <xf numFmtId="167" fontId="12" fillId="0" borderId="4" xfId="0" applyNumberFormat="1" applyFont="1" applyBorder="1" applyAlignment="1">
      <alignment horizontal="left" vertical="center" wrapText="1" readingOrder="1"/>
    </xf>
    <xf numFmtId="0" fontId="5" fillId="0" borderId="8" xfId="0" applyFont="1" applyBorder="1" applyAlignment="1">
      <alignment horizontal="center"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10" fillId="0" borderId="0" xfId="0" applyFont="1" applyAlignment="1">
      <alignment horizontal="left" vertical="center" wrapText="1" readingOrder="1"/>
    </xf>
    <xf numFmtId="0" fontId="10" fillId="0" borderId="0" xfId="0" applyFont="1" applyAlignment="1">
      <alignment horizontal="justify" vertical="top" wrapText="1" readingOrder="1"/>
    </xf>
    <xf numFmtId="0" fontId="5" fillId="0" borderId="13" xfId="0" applyFont="1" applyBorder="1" applyAlignment="1">
      <alignment horizontal="center" vertical="center" wrapText="1" readingOrder="1"/>
    </xf>
    <xf numFmtId="0" fontId="22" fillId="0" borderId="9" xfId="4" applyFont="1" applyBorder="1" applyAlignment="1">
      <alignment horizontal="center" vertical="center" wrapText="1"/>
    </xf>
    <xf numFmtId="0" fontId="22" fillId="0" borderId="10" xfId="4" applyFont="1" applyBorder="1" applyAlignment="1">
      <alignment horizontal="center" vertical="center" wrapText="1"/>
    </xf>
    <xf numFmtId="0" fontId="22" fillId="0" borderId="8" xfId="4" applyFont="1" applyBorder="1" applyAlignment="1">
      <alignment horizontal="center" vertical="center"/>
    </xf>
    <xf numFmtId="0" fontId="21" fillId="0" borderId="9" xfId="3" applyNumberFormat="1" applyFont="1" applyFill="1" applyBorder="1" applyAlignment="1">
      <alignment horizontal="center" vertical="center"/>
    </xf>
    <xf numFmtId="0" fontId="21" fillId="0" borderId="10" xfId="3" applyNumberFormat="1" applyFont="1" applyFill="1" applyBorder="1" applyAlignment="1">
      <alignment horizontal="center" vertical="center"/>
    </xf>
    <xf numFmtId="0" fontId="22" fillId="0" borderId="9" xfId="4" applyFont="1" applyBorder="1" applyAlignment="1">
      <alignment horizontal="center" vertical="center"/>
    </xf>
    <xf numFmtId="0" fontId="22" fillId="0" borderId="11" xfId="4" applyFont="1" applyBorder="1" applyAlignment="1">
      <alignment horizontal="center" vertical="center"/>
    </xf>
    <xf numFmtId="0" fontId="22" fillId="0" borderId="10" xfId="4" applyFont="1" applyBorder="1" applyAlignment="1">
      <alignment horizontal="center" vertical="center"/>
    </xf>
    <xf numFmtId="0" fontId="21" fillId="0" borderId="9" xfId="4" applyFont="1" applyBorder="1" applyAlignment="1">
      <alignment horizontal="left" vertical="center" wrapText="1"/>
    </xf>
    <xf numFmtId="0" fontId="21" fillId="0" borderId="11" xfId="4" applyFont="1" applyBorder="1" applyAlignment="1">
      <alignment horizontal="left" vertical="center" wrapText="1"/>
    </xf>
    <xf numFmtId="0" fontId="21" fillId="0" borderId="10" xfId="4" applyFont="1" applyBorder="1" applyAlignment="1">
      <alignment horizontal="left" vertical="center" wrapText="1"/>
    </xf>
    <xf numFmtId="0" fontId="24" fillId="0" borderId="9" xfId="0" applyFont="1" applyBorder="1" applyAlignment="1">
      <alignment horizontal="center" vertical="center"/>
    </xf>
    <xf numFmtId="0" fontId="24" fillId="0" borderId="11" xfId="0" applyFont="1" applyBorder="1" applyAlignment="1">
      <alignment horizontal="center" vertical="center"/>
    </xf>
    <xf numFmtId="0" fontId="24" fillId="0" borderId="10" xfId="0" applyFont="1" applyBorder="1" applyAlignment="1">
      <alignment horizontal="center" vertical="center"/>
    </xf>
    <xf numFmtId="0" fontId="10" fillId="0" borderId="8" xfId="0" applyFont="1" applyBorder="1" applyAlignment="1">
      <alignment horizontal="left" vertical="center" wrapText="1" readingOrder="1"/>
    </xf>
    <xf numFmtId="0" fontId="10" fillId="0" borderId="9" xfId="0" applyFont="1" applyBorder="1" applyAlignment="1">
      <alignment horizontal="left" vertical="center" wrapText="1" readingOrder="1"/>
    </xf>
    <xf numFmtId="0" fontId="10" fillId="0" borderId="10"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31" fillId="0" borderId="8" xfId="0" applyFont="1" applyBorder="1" applyAlignment="1">
      <alignment horizontal="center" vertical="center" wrapText="1" readingOrder="1"/>
    </xf>
    <xf numFmtId="0" fontId="5" fillId="2" borderId="8" xfId="0" applyFont="1" applyFill="1" applyBorder="1" applyAlignment="1">
      <alignment horizontal="center" vertical="center" wrapText="1" readingOrder="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7" fillId="2" borderId="1" xfId="0" applyFont="1" applyFill="1" applyBorder="1" applyAlignment="1">
      <alignment horizontal="left" vertical="center" wrapText="1" readingOrder="1"/>
    </xf>
    <xf numFmtId="0" fontId="7" fillId="2" borderId="2"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10" fillId="2" borderId="0" xfId="0" applyFont="1" applyFill="1" applyAlignment="1">
      <alignment horizontal="left" vertical="center" wrapText="1" readingOrder="1"/>
    </xf>
    <xf numFmtId="0" fontId="32" fillId="0" borderId="0" xfId="11" applyFont="1" applyAlignment="1">
      <alignment horizontal="center"/>
    </xf>
  </cellXfs>
  <cellStyles count="14">
    <cellStyle name="Comma" xfId="3" builtinId="3"/>
    <cellStyle name="Comma 2" xfId="8" xr:uid="{17B8D782-F014-48DD-8422-B1D8DF4A9A98}"/>
    <cellStyle name="Comma 3" xfId="13" xr:uid="{9F2B0679-8E1E-40E8-8CFE-6F5AC4522C22}"/>
    <cellStyle name="Hyperlink 2" xfId="5" xr:uid="{14D3BC1B-7366-4DF6-BCD1-A7956492344D}"/>
    <cellStyle name="Normal" xfId="0" builtinId="0"/>
    <cellStyle name="Normal 2" xfId="2" xr:uid="{CCD1EBAD-1D5A-47E4-BDB1-21C1FB9AD279}"/>
    <cellStyle name="Normal 2 2" xfId="7" xr:uid="{FE0D6B8B-E938-43AB-8593-6D15750E2635}"/>
    <cellStyle name="Normal 2 2 3 2" xfId="4" xr:uid="{6D6C7B95-FAD3-4F57-8BA0-05CE178FD4BE}"/>
    <cellStyle name="Normal 2 2 3 2 2" xfId="9" xr:uid="{8C3350AA-8650-4BBA-91F8-2F9C28E18D38}"/>
    <cellStyle name="Normal 2 3" xfId="12" xr:uid="{739C7E8C-D403-4060-903D-E3601A7582ED}"/>
    <cellStyle name="Normal 3" xfId="6" xr:uid="{00D29A26-C755-4709-B1BF-0E4599115F36}"/>
    <cellStyle name="Normal 4" xfId="10" xr:uid="{1F6B2B46-A1D2-441F-A86C-7F7804C2FF77}"/>
    <cellStyle name="Normal 5" xfId="11" xr:uid="{3D18F35D-6D9A-487B-9162-3C1F71F4B08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2</xdr:row>
      <xdr:rowOff>123825</xdr:rowOff>
    </xdr:from>
    <xdr:to>
      <xdr:col>9</xdr:col>
      <xdr:colOff>3350617</xdr:colOff>
      <xdr:row>11</xdr:row>
      <xdr:rowOff>149225</xdr:rowOff>
    </xdr:to>
    <xdr:pic>
      <xdr:nvPicPr>
        <xdr:cNvPr id="2" name="Picture 1">
          <a:extLst>
            <a:ext uri="{FF2B5EF4-FFF2-40B4-BE49-F238E27FC236}">
              <a16:creationId xmlns:a16="http://schemas.microsoft.com/office/drawing/2014/main" id="{F97645B3-BCC5-4E74-8EC5-DDDFA31A06CA}"/>
            </a:ext>
          </a:extLst>
        </xdr:cNvPr>
        <xdr:cNvPicPr>
          <a:picLocks noChangeAspect="1"/>
        </xdr:cNvPicPr>
      </xdr:nvPicPr>
      <xdr:blipFill>
        <a:blip xmlns:r="http://schemas.openxmlformats.org/officeDocument/2006/relationships" r:embed="rId1"/>
        <a:stretch>
          <a:fillRect/>
        </a:stretch>
      </xdr:blipFill>
      <xdr:spPr>
        <a:xfrm>
          <a:off x="8401050" y="504825"/>
          <a:ext cx="3283942" cy="2054225"/>
        </a:xfrm>
        <a:prstGeom prst="rect">
          <a:avLst/>
        </a:prstGeom>
      </xdr:spPr>
    </xdr:pic>
    <xdr:clientData/>
  </xdr:twoCellAnchor>
  <xdr:twoCellAnchor editAs="oneCell">
    <xdr:from>
      <xdr:col>9</xdr:col>
      <xdr:colOff>47625</xdr:colOff>
      <xdr:row>15</xdr:row>
      <xdr:rowOff>104775</xdr:rowOff>
    </xdr:from>
    <xdr:to>
      <xdr:col>9</xdr:col>
      <xdr:colOff>3371850</xdr:colOff>
      <xdr:row>26</xdr:row>
      <xdr:rowOff>76200</xdr:rowOff>
    </xdr:to>
    <xdr:pic>
      <xdr:nvPicPr>
        <xdr:cNvPr id="3" name="Picture 2">
          <a:extLst>
            <a:ext uri="{FF2B5EF4-FFF2-40B4-BE49-F238E27FC236}">
              <a16:creationId xmlns:a16="http://schemas.microsoft.com/office/drawing/2014/main" id="{C1ACF617-DAC6-4F92-92AC-038848D1D7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3190875"/>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3346448</xdr:colOff>
      <xdr:row>12</xdr:row>
      <xdr:rowOff>79375</xdr:rowOff>
    </xdr:to>
    <xdr:pic>
      <xdr:nvPicPr>
        <xdr:cNvPr id="2" name="Picture 1">
          <a:extLst>
            <a:ext uri="{FF2B5EF4-FFF2-40B4-BE49-F238E27FC236}">
              <a16:creationId xmlns:a16="http://schemas.microsoft.com/office/drawing/2014/main" id="{36B87C16-05FC-4D78-B44C-0F47781A1EBA}"/>
            </a:ext>
          </a:extLst>
        </xdr:cNvPr>
        <xdr:cNvPicPr>
          <a:picLocks noChangeAspect="1"/>
        </xdr:cNvPicPr>
      </xdr:nvPicPr>
      <xdr:blipFill>
        <a:blip xmlns:r="http://schemas.openxmlformats.org/officeDocument/2006/relationships" r:embed="rId1"/>
        <a:stretch>
          <a:fillRect/>
        </a:stretch>
      </xdr:blipFill>
      <xdr:spPr>
        <a:xfrm>
          <a:off x="8724900" y="485775"/>
          <a:ext cx="3241673" cy="2051050"/>
        </a:xfrm>
        <a:prstGeom prst="rect">
          <a:avLst/>
        </a:prstGeom>
      </xdr:spPr>
    </xdr:pic>
    <xdr:clientData/>
  </xdr:twoCellAnchor>
  <xdr:twoCellAnchor editAs="oneCell">
    <xdr:from>
      <xdr:col>9</xdr:col>
      <xdr:colOff>57150</xdr:colOff>
      <xdr:row>17</xdr:row>
      <xdr:rowOff>9525</xdr:rowOff>
    </xdr:from>
    <xdr:to>
      <xdr:col>9</xdr:col>
      <xdr:colOff>3324225</xdr:colOff>
      <xdr:row>27</xdr:row>
      <xdr:rowOff>9525</xdr:rowOff>
    </xdr:to>
    <xdr:pic>
      <xdr:nvPicPr>
        <xdr:cNvPr id="3" name="Picture 2">
          <a:extLst>
            <a:ext uri="{FF2B5EF4-FFF2-40B4-BE49-F238E27FC236}">
              <a16:creationId xmlns:a16="http://schemas.microsoft.com/office/drawing/2014/main" id="{7B13A1F4-123F-4AAB-A9A0-0F520347FA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77275" y="3324225"/>
          <a:ext cx="32670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28574</xdr:colOff>
      <xdr:row>2</xdr:row>
      <xdr:rowOff>66675</xdr:rowOff>
    </xdr:from>
    <xdr:to>
      <xdr:col>9</xdr:col>
      <xdr:colOff>3333749</xdr:colOff>
      <xdr:row>11</xdr:row>
      <xdr:rowOff>9525</xdr:rowOff>
    </xdr:to>
    <xdr:pic>
      <xdr:nvPicPr>
        <xdr:cNvPr id="2" name="Picture 1">
          <a:extLst>
            <a:ext uri="{FF2B5EF4-FFF2-40B4-BE49-F238E27FC236}">
              <a16:creationId xmlns:a16="http://schemas.microsoft.com/office/drawing/2014/main" id="{E8F078D9-F275-478C-A8F7-A0961EC5851C}"/>
            </a:ext>
          </a:extLst>
        </xdr:cNvPr>
        <xdr:cNvPicPr>
          <a:picLocks noChangeAspect="1"/>
        </xdr:cNvPicPr>
      </xdr:nvPicPr>
      <xdr:blipFill>
        <a:blip xmlns:r="http://schemas.openxmlformats.org/officeDocument/2006/relationships" r:embed="rId1"/>
        <a:stretch>
          <a:fillRect/>
        </a:stretch>
      </xdr:blipFill>
      <xdr:spPr>
        <a:xfrm>
          <a:off x="8753474" y="447675"/>
          <a:ext cx="3305175" cy="2038350"/>
        </a:xfrm>
        <a:prstGeom prst="rect">
          <a:avLst/>
        </a:prstGeom>
      </xdr:spPr>
    </xdr:pic>
    <xdr:clientData/>
  </xdr:twoCellAnchor>
  <xdr:twoCellAnchor editAs="oneCell">
    <xdr:from>
      <xdr:col>9</xdr:col>
      <xdr:colOff>57150</xdr:colOff>
      <xdr:row>13</xdr:row>
      <xdr:rowOff>200025</xdr:rowOff>
    </xdr:from>
    <xdr:to>
      <xdr:col>9</xdr:col>
      <xdr:colOff>3324225</xdr:colOff>
      <xdr:row>19</xdr:row>
      <xdr:rowOff>171450</xdr:rowOff>
    </xdr:to>
    <xdr:pic>
      <xdr:nvPicPr>
        <xdr:cNvPr id="3" name="Picture 2">
          <a:extLst>
            <a:ext uri="{FF2B5EF4-FFF2-40B4-BE49-F238E27FC236}">
              <a16:creationId xmlns:a16="http://schemas.microsoft.com/office/drawing/2014/main" id="{C6AC1B7B-2C41-492D-96AC-BD783CDBDE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82050" y="3095625"/>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23</xdr:row>
      <xdr:rowOff>133351</xdr:rowOff>
    </xdr:from>
    <xdr:to>
      <xdr:col>9</xdr:col>
      <xdr:colOff>3333751</xdr:colOff>
      <xdr:row>31</xdr:row>
      <xdr:rowOff>9525</xdr:rowOff>
    </xdr:to>
    <xdr:pic>
      <xdr:nvPicPr>
        <xdr:cNvPr id="4" name="Picture 3">
          <a:extLst>
            <a:ext uri="{FF2B5EF4-FFF2-40B4-BE49-F238E27FC236}">
              <a16:creationId xmlns:a16="http://schemas.microsoft.com/office/drawing/2014/main" id="{3855B719-5E7C-40B7-8B85-B1C1157235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01101" y="5534026"/>
          <a:ext cx="32575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3293467</xdr:colOff>
      <xdr:row>11</xdr:row>
      <xdr:rowOff>34925</xdr:rowOff>
    </xdr:to>
    <xdr:pic>
      <xdr:nvPicPr>
        <xdr:cNvPr id="2" name="Picture 1">
          <a:extLst>
            <a:ext uri="{FF2B5EF4-FFF2-40B4-BE49-F238E27FC236}">
              <a16:creationId xmlns:a16="http://schemas.microsoft.com/office/drawing/2014/main" id="{59CA3FE4-4AD1-4C9E-8BDF-79CE7DBC6420}"/>
            </a:ext>
          </a:extLst>
        </xdr:cNvPr>
        <xdr:cNvPicPr>
          <a:picLocks noChangeAspect="1"/>
        </xdr:cNvPicPr>
      </xdr:nvPicPr>
      <xdr:blipFill>
        <a:blip xmlns:r="http://schemas.openxmlformats.org/officeDocument/2006/relationships" r:embed="rId1"/>
        <a:stretch>
          <a:fillRect/>
        </a:stretch>
      </xdr:blipFill>
      <xdr:spPr>
        <a:xfrm>
          <a:off x="8648700" y="485775"/>
          <a:ext cx="3188692" cy="2025650"/>
        </a:xfrm>
        <a:prstGeom prst="rect">
          <a:avLst/>
        </a:prstGeom>
      </xdr:spPr>
    </xdr:pic>
    <xdr:clientData/>
  </xdr:twoCellAnchor>
  <xdr:twoCellAnchor editAs="oneCell">
    <xdr:from>
      <xdr:col>9</xdr:col>
      <xdr:colOff>95251</xdr:colOff>
      <xdr:row>13</xdr:row>
      <xdr:rowOff>104775</xdr:rowOff>
    </xdr:from>
    <xdr:to>
      <xdr:col>9</xdr:col>
      <xdr:colOff>3314701</xdr:colOff>
      <xdr:row>21</xdr:row>
      <xdr:rowOff>152400</xdr:rowOff>
    </xdr:to>
    <xdr:pic>
      <xdr:nvPicPr>
        <xdr:cNvPr id="3" name="Picture 2">
          <a:extLst>
            <a:ext uri="{FF2B5EF4-FFF2-40B4-BE49-F238E27FC236}">
              <a16:creationId xmlns:a16="http://schemas.microsoft.com/office/drawing/2014/main" id="{7C3B3CBF-561A-471C-A7FB-BE13EBF19F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39176" y="31432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23</xdr:row>
      <xdr:rowOff>66675</xdr:rowOff>
    </xdr:from>
    <xdr:ext cx="3273721" cy="1809750"/>
    <xdr:pic>
      <xdr:nvPicPr>
        <xdr:cNvPr id="4" name="Picture 3">
          <a:extLst>
            <a:ext uri="{FF2B5EF4-FFF2-40B4-BE49-F238E27FC236}">
              <a16:creationId xmlns:a16="http://schemas.microsoft.com/office/drawing/2014/main" id="{3573D78F-FD77-4101-9293-878072932A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10600" y="535305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47624</xdr:colOff>
      <xdr:row>2</xdr:row>
      <xdr:rowOff>66675</xdr:rowOff>
    </xdr:from>
    <xdr:to>
      <xdr:col>9</xdr:col>
      <xdr:colOff>3352799</xdr:colOff>
      <xdr:row>11</xdr:row>
      <xdr:rowOff>47625</xdr:rowOff>
    </xdr:to>
    <xdr:pic>
      <xdr:nvPicPr>
        <xdr:cNvPr id="2" name="Picture 1">
          <a:extLst>
            <a:ext uri="{FF2B5EF4-FFF2-40B4-BE49-F238E27FC236}">
              <a16:creationId xmlns:a16="http://schemas.microsoft.com/office/drawing/2014/main" id="{81D8E724-8945-4D7E-BAA2-0350A4D8C79D}"/>
            </a:ext>
          </a:extLst>
        </xdr:cNvPr>
        <xdr:cNvPicPr>
          <a:picLocks noChangeAspect="1"/>
        </xdr:cNvPicPr>
      </xdr:nvPicPr>
      <xdr:blipFill>
        <a:blip xmlns:r="http://schemas.openxmlformats.org/officeDocument/2006/relationships" r:embed="rId1"/>
        <a:stretch>
          <a:fillRect/>
        </a:stretch>
      </xdr:blipFill>
      <xdr:spPr>
        <a:xfrm>
          <a:off x="8515349" y="447675"/>
          <a:ext cx="3305175" cy="2076450"/>
        </a:xfrm>
        <a:prstGeom prst="rect">
          <a:avLst/>
        </a:prstGeom>
      </xdr:spPr>
    </xdr:pic>
    <xdr:clientData/>
  </xdr:twoCellAnchor>
  <xdr:twoCellAnchor editAs="oneCell">
    <xdr:from>
      <xdr:col>9</xdr:col>
      <xdr:colOff>47625</xdr:colOff>
      <xdr:row>13</xdr:row>
      <xdr:rowOff>85726</xdr:rowOff>
    </xdr:from>
    <xdr:to>
      <xdr:col>9</xdr:col>
      <xdr:colOff>3286125</xdr:colOff>
      <xdr:row>21</xdr:row>
      <xdr:rowOff>9525</xdr:rowOff>
    </xdr:to>
    <xdr:pic>
      <xdr:nvPicPr>
        <xdr:cNvPr id="3" name="Picture 2">
          <a:extLst>
            <a:ext uri="{FF2B5EF4-FFF2-40B4-BE49-F238E27FC236}">
              <a16:creationId xmlns:a16="http://schemas.microsoft.com/office/drawing/2014/main" id="{1CDC14E1-FB44-4965-BF32-D291551AEF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15350" y="2981326"/>
          <a:ext cx="32385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3331567</xdr:colOff>
      <xdr:row>11</xdr:row>
      <xdr:rowOff>92075</xdr:rowOff>
    </xdr:to>
    <xdr:pic>
      <xdr:nvPicPr>
        <xdr:cNvPr id="2" name="Picture 1">
          <a:extLst>
            <a:ext uri="{FF2B5EF4-FFF2-40B4-BE49-F238E27FC236}">
              <a16:creationId xmlns:a16="http://schemas.microsoft.com/office/drawing/2014/main" id="{3193E976-EAA1-4FC3-98AA-6F9F9517A7AC}"/>
            </a:ext>
          </a:extLst>
        </xdr:cNvPr>
        <xdr:cNvPicPr>
          <a:picLocks noChangeAspect="1"/>
        </xdr:cNvPicPr>
      </xdr:nvPicPr>
      <xdr:blipFill>
        <a:blip xmlns:r="http://schemas.openxmlformats.org/officeDocument/2006/relationships" r:embed="rId1"/>
        <a:stretch>
          <a:fillRect/>
        </a:stretch>
      </xdr:blipFill>
      <xdr:spPr>
        <a:xfrm>
          <a:off x="8515350" y="485775"/>
          <a:ext cx="3283942" cy="2082800"/>
        </a:xfrm>
        <a:prstGeom prst="rect">
          <a:avLst/>
        </a:prstGeom>
      </xdr:spPr>
    </xdr:pic>
    <xdr:clientData/>
  </xdr:twoCellAnchor>
  <xdr:twoCellAnchor editAs="oneCell">
    <xdr:from>
      <xdr:col>9</xdr:col>
      <xdr:colOff>66675</xdr:colOff>
      <xdr:row>14</xdr:row>
      <xdr:rowOff>19048</xdr:rowOff>
    </xdr:from>
    <xdr:to>
      <xdr:col>9</xdr:col>
      <xdr:colOff>3343275</xdr:colOff>
      <xdr:row>22</xdr:row>
      <xdr:rowOff>38099</xdr:rowOff>
    </xdr:to>
    <xdr:pic>
      <xdr:nvPicPr>
        <xdr:cNvPr id="3" name="Picture 2">
          <a:extLst>
            <a:ext uri="{FF2B5EF4-FFF2-40B4-BE49-F238E27FC236}">
              <a16:creationId xmlns:a16="http://schemas.microsoft.com/office/drawing/2014/main" id="{67A35B5A-3402-425C-8D91-603A45E61E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34400" y="3124198"/>
          <a:ext cx="3276600" cy="1847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57150</xdr:colOff>
      <xdr:row>2</xdr:row>
      <xdr:rowOff>161926</xdr:rowOff>
    </xdr:from>
    <xdr:to>
      <xdr:col>9</xdr:col>
      <xdr:colOff>3341092</xdr:colOff>
      <xdr:row>12</xdr:row>
      <xdr:rowOff>44450</xdr:rowOff>
    </xdr:to>
    <xdr:pic>
      <xdr:nvPicPr>
        <xdr:cNvPr id="2" name="Picture 1">
          <a:extLst>
            <a:ext uri="{FF2B5EF4-FFF2-40B4-BE49-F238E27FC236}">
              <a16:creationId xmlns:a16="http://schemas.microsoft.com/office/drawing/2014/main" id="{13BE6318-5AAA-4BC0-B909-CCFF8F9C8A1D}"/>
            </a:ext>
          </a:extLst>
        </xdr:cNvPr>
        <xdr:cNvPicPr>
          <a:picLocks noChangeAspect="1"/>
        </xdr:cNvPicPr>
      </xdr:nvPicPr>
      <xdr:blipFill>
        <a:blip xmlns:r="http://schemas.openxmlformats.org/officeDocument/2006/relationships" r:embed="rId1"/>
        <a:stretch>
          <a:fillRect/>
        </a:stretch>
      </xdr:blipFill>
      <xdr:spPr>
        <a:xfrm>
          <a:off x="8601075" y="542926"/>
          <a:ext cx="3283942" cy="2044699"/>
        </a:xfrm>
        <a:prstGeom prst="rect">
          <a:avLst/>
        </a:prstGeom>
      </xdr:spPr>
    </xdr:pic>
    <xdr:clientData/>
  </xdr:twoCellAnchor>
  <xdr:twoCellAnchor editAs="oneCell">
    <xdr:from>
      <xdr:col>9</xdr:col>
      <xdr:colOff>76200</xdr:colOff>
      <xdr:row>13</xdr:row>
      <xdr:rowOff>142874</xdr:rowOff>
    </xdr:from>
    <xdr:to>
      <xdr:col>9</xdr:col>
      <xdr:colOff>3324225</xdr:colOff>
      <xdr:row>21</xdr:row>
      <xdr:rowOff>19050</xdr:rowOff>
    </xdr:to>
    <xdr:pic>
      <xdr:nvPicPr>
        <xdr:cNvPr id="3" name="Picture 2">
          <a:extLst>
            <a:ext uri="{FF2B5EF4-FFF2-40B4-BE49-F238E27FC236}">
              <a16:creationId xmlns:a16="http://schemas.microsoft.com/office/drawing/2014/main" id="{339502F9-2EEA-4050-98DB-819B666F4D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20125" y="3038474"/>
          <a:ext cx="324802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47625</xdr:colOff>
      <xdr:row>2</xdr:row>
      <xdr:rowOff>76200</xdr:rowOff>
    </xdr:from>
    <xdr:to>
      <xdr:col>9</xdr:col>
      <xdr:colOff>3331567</xdr:colOff>
      <xdr:row>11</xdr:row>
      <xdr:rowOff>25400</xdr:rowOff>
    </xdr:to>
    <xdr:pic>
      <xdr:nvPicPr>
        <xdr:cNvPr id="2" name="Picture 1">
          <a:extLst>
            <a:ext uri="{FF2B5EF4-FFF2-40B4-BE49-F238E27FC236}">
              <a16:creationId xmlns:a16="http://schemas.microsoft.com/office/drawing/2014/main" id="{B26421A8-F7DC-4EDB-B9FB-153814D4F025}"/>
            </a:ext>
          </a:extLst>
        </xdr:cNvPr>
        <xdr:cNvPicPr>
          <a:picLocks noChangeAspect="1"/>
        </xdr:cNvPicPr>
      </xdr:nvPicPr>
      <xdr:blipFill>
        <a:blip xmlns:r="http://schemas.openxmlformats.org/officeDocument/2006/relationships" r:embed="rId1"/>
        <a:stretch>
          <a:fillRect/>
        </a:stretch>
      </xdr:blipFill>
      <xdr:spPr>
        <a:xfrm>
          <a:off x="8591550" y="457200"/>
          <a:ext cx="3283942" cy="2044700"/>
        </a:xfrm>
        <a:prstGeom prst="rect">
          <a:avLst/>
        </a:prstGeom>
      </xdr:spPr>
    </xdr:pic>
    <xdr:clientData/>
  </xdr:twoCellAnchor>
  <xdr:twoCellAnchor editAs="oneCell">
    <xdr:from>
      <xdr:col>9</xdr:col>
      <xdr:colOff>85725</xdr:colOff>
      <xdr:row>13</xdr:row>
      <xdr:rowOff>171449</xdr:rowOff>
    </xdr:from>
    <xdr:to>
      <xdr:col>9</xdr:col>
      <xdr:colOff>3324225</xdr:colOff>
      <xdr:row>21</xdr:row>
      <xdr:rowOff>180974</xdr:rowOff>
    </xdr:to>
    <xdr:pic>
      <xdr:nvPicPr>
        <xdr:cNvPr id="3" name="Picture 2">
          <a:extLst>
            <a:ext uri="{FF2B5EF4-FFF2-40B4-BE49-F238E27FC236}">
              <a16:creationId xmlns:a16="http://schemas.microsoft.com/office/drawing/2014/main" id="{4B5C5868-E7A3-4AC9-A0E9-F706F0371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29650" y="3067049"/>
          <a:ext cx="32385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19050</xdr:colOff>
      <xdr:row>2</xdr:row>
      <xdr:rowOff>38100</xdr:rowOff>
    </xdr:from>
    <xdr:to>
      <xdr:col>9</xdr:col>
      <xdr:colOff>3343275</xdr:colOff>
      <xdr:row>10</xdr:row>
      <xdr:rowOff>177800</xdr:rowOff>
    </xdr:to>
    <xdr:pic>
      <xdr:nvPicPr>
        <xdr:cNvPr id="2" name="Picture 1">
          <a:extLst>
            <a:ext uri="{FF2B5EF4-FFF2-40B4-BE49-F238E27FC236}">
              <a16:creationId xmlns:a16="http://schemas.microsoft.com/office/drawing/2014/main" id="{DD5F5AB8-024B-4037-A29D-9D4324FDAEBD}"/>
            </a:ext>
          </a:extLst>
        </xdr:cNvPr>
        <xdr:cNvPicPr>
          <a:picLocks noChangeAspect="1"/>
        </xdr:cNvPicPr>
      </xdr:nvPicPr>
      <xdr:blipFill>
        <a:blip xmlns:r="http://schemas.openxmlformats.org/officeDocument/2006/relationships" r:embed="rId1"/>
        <a:stretch>
          <a:fillRect/>
        </a:stretch>
      </xdr:blipFill>
      <xdr:spPr>
        <a:xfrm>
          <a:off x="8562975" y="419100"/>
          <a:ext cx="3324225" cy="2025650"/>
        </a:xfrm>
        <a:prstGeom prst="rect">
          <a:avLst/>
        </a:prstGeom>
      </xdr:spPr>
    </xdr:pic>
    <xdr:clientData/>
  </xdr:twoCellAnchor>
  <xdr:twoCellAnchor editAs="oneCell">
    <xdr:from>
      <xdr:col>9</xdr:col>
      <xdr:colOff>38099</xdr:colOff>
      <xdr:row>13</xdr:row>
      <xdr:rowOff>28575</xdr:rowOff>
    </xdr:from>
    <xdr:to>
      <xdr:col>9</xdr:col>
      <xdr:colOff>3343275</xdr:colOff>
      <xdr:row>22</xdr:row>
      <xdr:rowOff>9524</xdr:rowOff>
    </xdr:to>
    <xdr:pic>
      <xdr:nvPicPr>
        <xdr:cNvPr id="3" name="Picture 2">
          <a:extLst>
            <a:ext uri="{FF2B5EF4-FFF2-40B4-BE49-F238E27FC236}">
              <a16:creationId xmlns:a16="http://schemas.microsoft.com/office/drawing/2014/main" id="{184F4E88-D0CD-4DC3-91C7-C1AA7708B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4" y="2924175"/>
          <a:ext cx="33051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57150</xdr:colOff>
      <xdr:row>2</xdr:row>
      <xdr:rowOff>114300</xdr:rowOff>
    </xdr:from>
    <xdr:to>
      <xdr:col>9</xdr:col>
      <xdr:colOff>3352800</xdr:colOff>
      <xdr:row>11</xdr:row>
      <xdr:rowOff>44450</xdr:rowOff>
    </xdr:to>
    <xdr:pic>
      <xdr:nvPicPr>
        <xdr:cNvPr id="2" name="Picture 1">
          <a:extLst>
            <a:ext uri="{FF2B5EF4-FFF2-40B4-BE49-F238E27FC236}">
              <a16:creationId xmlns:a16="http://schemas.microsoft.com/office/drawing/2014/main" id="{08BE5D67-5854-477A-9FE1-031086D57B1B}"/>
            </a:ext>
          </a:extLst>
        </xdr:cNvPr>
        <xdr:cNvPicPr>
          <a:picLocks noChangeAspect="1"/>
        </xdr:cNvPicPr>
      </xdr:nvPicPr>
      <xdr:blipFill>
        <a:blip xmlns:r="http://schemas.openxmlformats.org/officeDocument/2006/relationships" r:embed="rId1"/>
        <a:stretch>
          <a:fillRect/>
        </a:stretch>
      </xdr:blipFill>
      <xdr:spPr>
        <a:xfrm>
          <a:off x="8591550" y="495300"/>
          <a:ext cx="3295650" cy="2025650"/>
        </a:xfrm>
        <a:prstGeom prst="rect">
          <a:avLst/>
        </a:prstGeom>
      </xdr:spPr>
    </xdr:pic>
    <xdr:clientData/>
  </xdr:twoCellAnchor>
  <xdr:twoCellAnchor editAs="oneCell">
    <xdr:from>
      <xdr:col>9</xdr:col>
      <xdr:colOff>28575</xdr:colOff>
      <xdr:row>14</xdr:row>
      <xdr:rowOff>38100</xdr:rowOff>
    </xdr:from>
    <xdr:to>
      <xdr:col>9</xdr:col>
      <xdr:colOff>3352800</xdr:colOff>
      <xdr:row>22</xdr:row>
      <xdr:rowOff>57150</xdr:rowOff>
    </xdr:to>
    <xdr:pic>
      <xdr:nvPicPr>
        <xdr:cNvPr id="3" name="Picture 2">
          <a:extLst>
            <a:ext uri="{FF2B5EF4-FFF2-40B4-BE49-F238E27FC236}">
              <a16:creationId xmlns:a16="http://schemas.microsoft.com/office/drawing/2014/main" id="{E5DACBB6-6D48-462B-B92B-BA603E138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62975" y="3143250"/>
          <a:ext cx="3324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47625</xdr:colOff>
      <xdr:row>2</xdr:row>
      <xdr:rowOff>142875</xdr:rowOff>
    </xdr:from>
    <xdr:to>
      <xdr:col>9</xdr:col>
      <xdr:colOff>3331567</xdr:colOff>
      <xdr:row>11</xdr:row>
      <xdr:rowOff>139700</xdr:rowOff>
    </xdr:to>
    <xdr:pic>
      <xdr:nvPicPr>
        <xdr:cNvPr id="2" name="Picture 1">
          <a:extLst>
            <a:ext uri="{FF2B5EF4-FFF2-40B4-BE49-F238E27FC236}">
              <a16:creationId xmlns:a16="http://schemas.microsoft.com/office/drawing/2014/main" id="{4D09E993-B563-4AED-AE2F-7456882BDED8}"/>
            </a:ext>
          </a:extLst>
        </xdr:cNvPr>
        <xdr:cNvPicPr>
          <a:picLocks noChangeAspect="1"/>
        </xdr:cNvPicPr>
      </xdr:nvPicPr>
      <xdr:blipFill>
        <a:blip xmlns:r="http://schemas.openxmlformats.org/officeDocument/2006/relationships" r:embed="rId1"/>
        <a:stretch>
          <a:fillRect/>
        </a:stretch>
      </xdr:blipFill>
      <xdr:spPr>
        <a:xfrm>
          <a:off x="8582025" y="523875"/>
          <a:ext cx="3283942" cy="2092325"/>
        </a:xfrm>
        <a:prstGeom prst="rect">
          <a:avLst/>
        </a:prstGeom>
      </xdr:spPr>
    </xdr:pic>
    <xdr:clientData/>
  </xdr:twoCellAnchor>
  <xdr:twoCellAnchor editAs="oneCell">
    <xdr:from>
      <xdr:col>9</xdr:col>
      <xdr:colOff>57150</xdr:colOff>
      <xdr:row>14</xdr:row>
      <xdr:rowOff>95249</xdr:rowOff>
    </xdr:from>
    <xdr:to>
      <xdr:col>9</xdr:col>
      <xdr:colOff>3324225</xdr:colOff>
      <xdr:row>23</xdr:row>
      <xdr:rowOff>9524</xdr:rowOff>
    </xdr:to>
    <xdr:pic>
      <xdr:nvPicPr>
        <xdr:cNvPr id="3" name="Picture 2">
          <a:extLst>
            <a:ext uri="{FF2B5EF4-FFF2-40B4-BE49-F238E27FC236}">
              <a16:creationId xmlns:a16="http://schemas.microsoft.com/office/drawing/2014/main" id="{10574AB0-B230-4F48-82FD-D5D2A176B6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91550" y="3200399"/>
          <a:ext cx="32670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57150</xdr:colOff>
      <xdr:row>2</xdr:row>
      <xdr:rowOff>85725</xdr:rowOff>
    </xdr:from>
    <xdr:to>
      <xdr:col>9</xdr:col>
      <xdr:colOff>3324225</xdr:colOff>
      <xdr:row>11</xdr:row>
      <xdr:rowOff>15875</xdr:rowOff>
    </xdr:to>
    <xdr:pic>
      <xdr:nvPicPr>
        <xdr:cNvPr id="4" name="Picture 3">
          <a:extLst>
            <a:ext uri="{FF2B5EF4-FFF2-40B4-BE49-F238E27FC236}">
              <a16:creationId xmlns:a16="http://schemas.microsoft.com/office/drawing/2014/main" id="{6748F4B2-B960-4047-A3BB-EE8F4CD7669C}"/>
            </a:ext>
          </a:extLst>
        </xdr:cNvPr>
        <xdr:cNvPicPr>
          <a:picLocks noChangeAspect="1"/>
        </xdr:cNvPicPr>
      </xdr:nvPicPr>
      <xdr:blipFill>
        <a:blip xmlns:r="http://schemas.openxmlformats.org/officeDocument/2006/relationships" r:embed="rId1"/>
        <a:stretch>
          <a:fillRect/>
        </a:stretch>
      </xdr:blipFill>
      <xdr:spPr>
        <a:xfrm>
          <a:off x="8601075" y="466725"/>
          <a:ext cx="3267075" cy="2025650"/>
        </a:xfrm>
        <a:prstGeom prst="rect">
          <a:avLst/>
        </a:prstGeom>
      </xdr:spPr>
    </xdr:pic>
    <xdr:clientData/>
  </xdr:twoCellAnchor>
  <xdr:twoCellAnchor editAs="oneCell">
    <xdr:from>
      <xdr:col>9</xdr:col>
      <xdr:colOff>28575</xdr:colOff>
      <xdr:row>14</xdr:row>
      <xdr:rowOff>123825</xdr:rowOff>
    </xdr:from>
    <xdr:to>
      <xdr:col>9</xdr:col>
      <xdr:colOff>3352800</xdr:colOff>
      <xdr:row>22</xdr:row>
      <xdr:rowOff>161925</xdr:rowOff>
    </xdr:to>
    <xdr:pic>
      <xdr:nvPicPr>
        <xdr:cNvPr id="5" name="Picture 4">
          <a:extLst>
            <a:ext uri="{FF2B5EF4-FFF2-40B4-BE49-F238E27FC236}">
              <a16:creationId xmlns:a16="http://schemas.microsoft.com/office/drawing/2014/main" id="{E0DEDE3D-9636-4ADD-8178-F0A96F300A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72500" y="3228975"/>
          <a:ext cx="3324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82550</xdr:rowOff>
    </xdr:to>
    <xdr:pic>
      <xdr:nvPicPr>
        <xdr:cNvPr id="2" name="Picture 1">
          <a:extLst>
            <a:ext uri="{FF2B5EF4-FFF2-40B4-BE49-F238E27FC236}">
              <a16:creationId xmlns:a16="http://schemas.microsoft.com/office/drawing/2014/main" id="{E4DB2E5C-0E24-4D44-B0B1-1F861236BAF3}"/>
            </a:ext>
          </a:extLst>
        </xdr:cNvPr>
        <xdr:cNvPicPr>
          <a:picLocks noChangeAspect="1"/>
        </xdr:cNvPicPr>
      </xdr:nvPicPr>
      <xdr:blipFill>
        <a:blip xmlns:r="http://schemas.openxmlformats.org/officeDocument/2006/relationships" r:embed="rId1"/>
        <a:stretch>
          <a:fillRect/>
        </a:stretch>
      </xdr:blipFill>
      <xdr:spPr>
        <a:xfrm>
          <a:off x="87534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4928F4EC-2EA7-4009-90F3-C4D8D555B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91575" y="32766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4D8379D9-E114-4780-8CA2-6901D4C9E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72526" y="57721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xdr:col>
      <xdr:colOff>38100</xdr:colOff>
      <xdr:row>16</xdr:row>
      <xdr:rowOff>123825</xdr:rowOff>
    </xdr:from>
    <xdr:to>
      <xdr:col>10</xdr:col>
      <xdr:colOff>3333751</xdr:colOff>
      <xdr:row>26</xdr:row>
      <xdr:rowOff>133350</xdr:rowOff>
    </xdr:to>
    <xdr:pic>
      <xdr:nvPicPr>
        <xdr:cNvPr id="2" name="Picture 1">
          <a:extLst>
            <a:ext uri="{FF2B5EF4-FFF2-40B4-BE49-F238E27FC236}">
              <a16:creationId xmlns:a16="http://schemas.microsoft.com/office/drawing/2014/main" id="{20168B09-74B9-4710-AAA0-2A63C9662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515725" y="3371850"/>
          <a:ext cx="329565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66676</xdr:colOff>
      <xdr:row>2</xdr:row>
      <xdr:rowOff>95248</xdr:rowOff>
    </xdr:from>
    <xdr:to>
      <xdr:col>10</xdr:col>
      <xdr:colOff>3324226</xdr:colOff>
      <xdr:row>13</xdr:row>
      <xdr:rowOff>171450</xdr:rowOff>
    </xdr:to>
    <xdr:pic>
      <xdr:nvPicPr>
        <xdr:cNvPr id="3" name="Picture 2">
          <a:extLst>
            <a:ext uri="{FF2B5EF4-FFF2-40B4-BE49-F238E27FC236}">
              <a16:creationId xmlns:a16="http://schemas.microsoft.com/office/drawing/2014/main" id="{B4AD5BF4-2396-4732-B82D-5D5E9BC6C4E4}"/>
            </a:ext>
          </a:extLst>
        </xdr:cNvPr>
        <xdr:cNvPicPr>
          <a:picLocks noChangeAspect="1"/>
        </xdr:cNvPicPr>
      </xdr:nvPicPr>
      <xdr:blipFill>
        <a:blip xmlns:r="http://schemas.openxmlformats.org/officeDocument/2006/relationships" r:embed="rId2"/>
        <a:stretch>
          <a:fillRect/>
        </a:stretch>
      </xdr:blipFill>
      <xdr:spPr>
        <a:xfrm>
          <a:off x="10972801" y="476248"/>
          <a:ext cx="3257550"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14</xdr:row>
      <xdr:rowOff>133351</xdr:rowOff>
    </xdr:from>
    <xdr:to>
      <xdr:col>9</xdr:col>
      <xdr:colOff>3333750</xdr:colOff>
      <xdr:row>22</xdr:row>
      <xdr:rowOff>304800</xdr:rowOff>
    </xdr:to>
    <xdr:pic>
      <xdr:nvPicPr>
        <xdr:cNvPr id="4" name="Picture 3">
          <a:extLst>
            <a:ext uri="{FF2B5EF4-FFF2-40B4-BE49-F238E27FC236}">
              <a16:creationId xmlns:a16="http://schemas.microsoft.com/office/drawing/2014/main" id="{69A107D3-941F-4C4C-B4CA-7DA7DE256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7350" y="3057526"/>
          <a:ext cx="3286125" cy="18192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104776</xdr:rowOff>
    </xdr:from>
    <xdr:to>
      <xdr:col>9</xdr:col>
      <xdr:colOff>3352800</xdr:colOff>
      <xdr:row>12</xdr:row>
      <xdr:rowOff>47625</xdr:rowOff>
    </xdr:to>
    <xdr:pic>
      <xdr:nvPicPr>
        <xdr:cNvPr id="5" name="Picture 4">
          <a:extLst>
            <a:ext uri="{FF2B5EF4-FFF2-40B4-BE49-F238E27FC236}">
              <a16:creationId xmlns:a16="http://schemas.microsoft.com/office/drawing/2014/main" id="{44EF7A03-4E08-4310-9792-0E7AE4E25C5C}"/>
            </a:ext>
          </a:extLst>
        </xdr:cNvPr>
        <xdr:cNvPicPr>
          <a:picLocks noChangeAspect="1"/>
        </xdr:cNvPicPr>
      </xdr:nvPicPr>
      <xdr:blipFill>
        <a:blip xmlns:r="http://schemas.openxmlformats.org/officeDocument/2006/relationships" r:embed="rId2"/>
        <a:stretch>
          <a:fillRect/>
        </a:stretch>
      </xdr:blipFill>
      <xdr:spPr>
        <a:xfrm>
          <a:off x="9277350" y="485776"/>
          <a:ext cx="3305175" cy="20002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38099</xdr:colOff>
      <xdr:row>16</xdr:row>
      <xdr:rowOff>76199</xdr:rowOff>
    </xdr:from>
    <xdr:to>
      <xdr:col>9</xdr:col>
      <xdr:colOff>3343275</xdr:colOff>
      <xdr:row>26</xdr:row>
      <xdr:rowOff>85724</xdr:rowOff>
    </xdr:to>
    <xdr:pic>
      <xdr:nvPicPr>
        <xdr:cNvPr id="2" name="Picture 1">
          <a:extLst>
            <a:ext uri="{FF2B5EF4-FFF2-40B4-BE49-F238E27FC236}">
              <a16:creationId xmlns:a16="http://schemas.microsoft.com/office/drawing/2014/main" id="{DE211A90-0AC6-4871-A15C-6831C61CE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4" y="3190874"/>
          <a:ext cx="33051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76200</xdr:rowOff>
    </xdr:from>
    <xdr:to>
      <xdr:col>9</xdr:col>
      <xdr:colOff>3333750</xdr:colOff>
      <xdr:row>13</xdr:row>
      <xdr:rowOff>38100</xdr:rowOff>
    </xdr:to>
    <xdr:pic>
      <xdr:nvPicPr>
        <xdr:cNvPr id="3" name="Picture 2">
          <a:extLst>
            <a:ext uri="{FF2B5EF4-FFF2-40B4-BE49-F238E27FC236}">
              <a16:creationId xmlns:a16="http://schemas.microsoft.com/office/drawing/2014/main" id="{F2225643-279F-446A-A373-613B205CAEB8}"/>
            </a:ext>
          </a:extLst>
        </xdr:cNvPr>
        <xdr:cNvPicPr>
          <a:picLocks noChangeAspect="1"/>
        </xdr:cNvPicPr>
      </xdr:nvPicPr>
      <xdr:blipFill>
        <a:blip xmlns:r="http://schemas.openxmlformats.org/officeDocument/2006/relationships" r:embed="rId2"/>
        <a:stretch>
          <a:fillRect/>
        </a:stretch>
      </xdr:blipFill>
      <xdr:spPr>
        <a:xfrm>
          <a:off x="9258300" y="457200"/>
          <a:ext cx="3276600" cy="2019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47625</xdr:colOff>
      <xdr:row>2</xdr:row>
      <xdr:rowOff>66675</xdr:rowOff>
    </xdr:from>
    <xdr:to>
      <xdr:col>9</xdr:col>
      <xdr:colOff>3343275</xdr:colOff>
      <xdr:row>13</xdr:row>
      <xdr:rowOff>9525</xdr:rowOff>
    </xdr:to>
    <xdr:pic>
      <xdr:nvPicPr>
        <xdr:cNvPr id="2" name="Picture 1">
          <a:extLst>
            <a:ext uri="{FF2B5EF4-FFF2-40B4-BE49-F238E27FC236}">
              <a16:creationId xmlns:a16="http://schemas.microsoft.com/office/drawing/2014/main" id="{301947BD-9965-4487-B7CA-AA6CF24FD3A1}"/>
            </a:ext>
          </a:extLst>
        </xdr:cNvPr>
        <xdr:cNvPicPr>
          <a:picLocks noChangeAspect="1"/>
        </xdr:cNvPicPr>
      </xdr:nvPicPr>
      <xdr:blipFill>
        <a:blip xmlns:r="http://schemas.openxmlformats.org/officeDocument/2006/relationships" r:embed="rId1"/>
        <a:stretch>
          <a:fillRect/>
        </a:stretch>
      </xdr:blipFill>
      <xdr:spPr>
        <a:xfrm>
          <a:off x="9753600" y="447675"/>
          <a:ext cx="3295650" cy="2000250"/>
        </a:xfrm>
        <a:prstGeom prst="rect">
          <a:avLst/>
        </a:prstGeom>
      </xdr:spPr>
    </xdr:pic>
    <xdr:clientData/>
  </xdr:twoCellAnchor>
  <xdr:twoCellAnchor editAs="oneCell">
    <xdr:from>
      <xdr:col>9</xdr:col>
      <xdr:colOff>76200</xdr:colOff>
      <xdr:row>16</xdr:row>
      <xdr:rowOff>76200</xdr:rowOff>
    </xdr:from>
    <xdr:to>
      <xdr:col>9</xdr:col>
      <xdr:colOff>3352800</xdr:colOff>
      <xdr:row>26</xdr:row>
      <xdr:rowOff>0</xdr:rowOff>
    </xdr:to>
    <xdr:pic>
      <xdr:nvPicPr>
        <xdr:cNvPr id="3" name="Picture 2">
          <a:extLst>
            <a:ext uri="{FF2B5EF4-FFF2-40B4-BE49-F238E27FC236}">
              <a16:creationId xmlns:a16="http://schemas.microsoft.com/office/drawing/2014/main" id="{510B2575-953A-43D1-A6E0-32BE1075F3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82175" y="30003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50801</xdr:colOff>
      <xdr:row>29</xdr:row>
      <xdr:rowOff>47626</xdr:rowOff>
    </xdr:from>
    <xdr:ext cx="3273424" cy="1743074"/>
    <xdr:pic>
      <xdr:nvPicPr>
        <xdr:cNvPr id="4" name="Picture 3">
          <a:extLst>
            <a:ext uri="{FF2B5EF4-FFF2-40B4-BE49-F238E27FC236}">
              <a16:creationId xmlns:a16="http://schemas.microsoft.com/office/drawing/2014/main" id="{9E5DDCD7-2107-4D13-9197-1CA151058D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56776" y="5429251"/>
          <a:ext cx="32734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9</xdr:col>
      <xdr:colOff>66674</xdr:colOff>
      <xdr:row>14</xdr:row>
      <xdr:rowOff>66675</xdr:rowOff>
    </xdr:from>
    <xdr:to>
      <xdr:col>9</xdr:col>
      <xdr:colOff>3324226</xdr:colOff>
      <xdr:row>21</xdr:row>
      <xdr:rowOff>352425</xdr:rowOff>
    </xdr:to>
    <xdr:pic>
      <xdr:nvPicPr>
        <xdr:cNvPr id="2" name="Picture 1">
          <a:extLst>
            <a:ext uri="{FF2B5EF4-FFF2-40B4-BE49-F238E27FC236}">
              <a16:creationId xmlns:a16="http://schemas.microsoft.com/office/drawing/2014/main" id="{E51AE10B-3676-4471-903E-40545AFD8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0674" y="3028950"/>
          <a:ext cx="3257552"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123827</xdr:rowOff>
    </xdr:from>
    <xdr:to>
      <xdr:col>9</xdr:col>
      <xdr:colOff>3324225</xdr:colOff>
      <xdr:row>11</xdr:row>
      <xdr:rowOff>142876</xdr:rowOff>
    </xdr:to>
    <xdr:pic>
      <xdr:nvPicPr>
        <xdr:cNvPr id="4" name="Picture 3">
          <a:extLst>
            <a:ext uri="{FF2B5EF4-FFF2-40B4-BE49-F238E27FC236}">
              <a16:creationId xmlns:a16="http://schemas.microsoft.com/office/drawing/2014/main" id="{B6C6806F-C883-49A8-B691-C47F39C913B5}"/>
            </a:ext>
          </a:extLst>
        </xdr:cNvPr>
        <xdr:cNvPicPr>
          <a:picLocks noChangeAspect="1"/>
        </xdr:cNvPicPr>
      </xdr:nvPicPr>
      <xdr:blipFill>
        <a:blip xmlns:r="http://schemas.openxmlformats.org/officeDocument/2006/relationships" r:embed="rId2"/>
        <a:stretch>
          <a:fillRect/>
        </a:stretch>
      </xdr:blipFill>
      <xdr:spPr>
        <a:xfrm>
          <a:off x="9420225" y="504827"/>
          <a:ext cx="3248025" cy="19716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57150</xdr:colOff>
      <xdr:row>2</xdr:row>
      <xdr:rowOff>76201</xdr:rowOff>
    </xdr:from>
    <xdr:to>
      <xdr:col>9</xdr:col>
      <xdr:colOff>3343275</xdr:colOff>
      <xdr:row>11</xdr:row>
      <xdr:rowOff>161925</xdr:rowOff>
    </xdr:to>
    <xdr:pic>
      <xdr:nvPicPr>
        <xdr:cNvPr id="2" name="Picture 1">
          <a:extLst>
            <a:ext uri="{FF2B5EF4-FFF2-40B4-BE49-F238E27FC236}">
              <a16:creationId xmlns:a16="http://schemas.microsoft.com/office/drawing/2014/main" id="{C4599E72-DDFA-4FB2-A95C-303A306161C1}"/>
            </a:ext>
          </a:extLst>
        </xdr:cNvPr>
        <xdr:cNvPicPr>
          <a:picLocks noChangeAspect="1"/>
        </xdr:cNvPicPr>
      </xdr:nvPicPr>
      <xdr:blipFill>
        <a:blip xmlns:r="http://schemas.openxmlformats.org/officeDocument/2006/relationships" r:embed="rId1"/>
        <a:stretch>
          <a:fillRect/>
        </a:stretch>
      </xdr:blipFill>
      <xdr:spPr>
        <a:xfrm>
          <a:off x="9039225" y="457201"/>
          <a:ext cx="3286125" cy="2038349"/>
        </a:xfrm>
        <a:prstGeom prst="rect">
          <a:avLst/>
        </a:prstGeom>
      </xdr:spPr>
    </xdr:pic>
    <xdr:clientData/>
  </xdr:twoCellAnchor>
  <xdr:twoCellAnchor editAs="oneCell">
    <xdr:from>
      <xdr:col>9</xdr:col>
      <xdr:colOff>66675</xdr:colOff>
      <xdr:row>13</xdr:row>
      <xdr:rowOff>76200</xdr:rowOff>
    </xdr:from>
    <xdr:to>
      <xdr:col>9</xdr:col>
      <xdr:colOff>3333749</xdr:colOff>
      <xdr:row>20</xdr:row>
      <xdr:rowOff>57149</xdr:rowOff>
    </xdr:to>
    <xdr:pic>
      <xdr:nvPicPr>
        <xdr:cNvPr id="3" name="Picture 2">
          <a:extLst>
            <a:ext uri="{FF2B5EF4-FFF2-40B4-BE49-F238E27FC236}">
              <a16:creationId xmlns:a16="http://schemas.microsoft.com/office/drawing/2014/main" id="{5E8AD83B-559D-47F6-BFCE-F2BFD5F126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48750" y="2828925"/>
          <a:ext cx="3267074"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76200</xdr:colOff>
      <xdr:row>23</xdr:row>
      <xdr:rowOff>57151</xdr:rowOff>
    </xdr:from>
    <xdr:ext cx="3257550" cy="1724024"/>
    <xdr:pic>
      <xdr:nvPicPr>
        <xdr:cNvPr id="4" name="Picture 3">
          <a:extLst>
            <a:ext uri="{FF2B5EF4-FFF2-40B4-BE49-F238E27FC236}">
              <a16:creationId xmlns:a16="http://schemas.microsoft.com/office/drawing/2014/main" id="{C2A0EEC0-EE3B-424C-BC18-0C5F85712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58275" y="5362576"/>
          <a:ext cx="3257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57151</xdr:colOff>
      <xdr:row>2</xdr:row>
      <xdr:rowOff>161925</xdr:rowOff>
    </xdr:from>
    <xdr:to>
      <xdr:col>9</xdr:col>
      <xdr:colOff>3343275</xdr:colOff>
      <xdr:row>12</xdr:row>
      <xdr:rowOff>25400</xdr:rowOff>
    </xdr:to>
    <xdr:pic>
      <xdr:nvPicPr>
        <xdr:cNvPr id="2" name="Picture 1">
          <a:extLst>
            <a:ext uri="{FF2B5EF4-FFF2-40B4-BE49-F238E27FC236}">
              <a16:creationId xmlns:a16="http://schemas.microsoft.com/office/drawing/2014/main" id="{42EDCD08-671E-4144-8616-5E64CF57A4D0}"/>
            </a:ext>
          </a:extLst>
        </xdr:cNvPr>
        <xdr:cNvPicPr>
          <a:picLocks noChangeAspect="1"/>
        </xdr:cNvPicPr>
      </xdr:nvPicPr>
      <xdr:blipFill>
        <a:blip xmlns:r="http://schemas.openxmlformats.org/officeDocument/2006/relationships" r:embed="rId1"/>
        <a:stretch>
          <a:fillRect/>
        </a:stretch>
      </xdr:blipFill>
      <xdr:spPr>
        <a:xfrm>
          <a:off x="9791701" y="542925"/>
          <a:ext cx="3286124" cy="2025650"/>
        </a:xfrm>
        <a:prstGeom prst="rect">
          <a:avLst/>
        </a:prstGeom>
      </xdr:spPr>
    </xdr:pic>
    <xdr:clientData/>
  </xdr:twoCellAnchor>
  <xdr:twoCellAnchor editAs="oneCell">
    <xdr:from>
      <xdr:col>9</xdr:col>
      <xdr:colOff>28576</xdr:colOff>
      <xdr:row>15</xdr:row>
      <xdr:rowOff>98426</xdr:rowOff>
    </xdr:from>
    <xdr:to>
      <xdr:col>9</xdr:col>
      <xdr:colOff>3352800</xdr:colOff>
      <xdr:row>23</xdr:row>
      <xdr:rowOff>76199</xdr:rowOff>
    </xdr:to>
    <xdr:pic>
      <xdr:nvPicPr>
        <xdr:cNvPr id="3" name="Picture 2">
          <a:extLst>
            <a:ext uri="{FF2B5EF4-FFF2-40B4-BE49-F238E27FC236}">
              <a16:creationId xmlns:a16="http://schemas.microsoft.com/office/drawing/2014/main" id="{1EF08DAB-4FEB-4D35-BFCB-1AEE73FA4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63126" y="3384551"/>
          <a:ext cx="3324224"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26</xdr:row>
      <xdr:rowOff>76200</xdr:rowOff>
    </xdr:from>
    <xdr:ext cx="3276600" cy="1724025"/>
    <xdr:pic>
      <xdr:nvPicPr>
        <xdr:cNvPr id="4" name="Picture 3">
          <a:extLst>
            <a:ext uri="{FF2B5EF4-FFF2-40B4-BE49-F238E27FC236}">
              <a16:creationId xmlns:a16="http://schemas.microsoft.com/office/drawing/2014/main" id="{7034C519-D1D7-4BF6-A98B-4D2283E0B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01225" y="5705475"/>
          <a:ext cx="32766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9</xdr:col>
      <xdr:colOff>47624</xdr:colOff>
      <xdr:row>2</xdr:row>
      <xdr:rowOff>76201</xdr:rowOff>
    </xdr:from>
    <xdr:to>
      <xdr:col>9</xdr:col>
      <xdr:colOff>3314699</xdr:colOff>
      <xdr:row>11</xdr:row>
      <xdr:rowOff>44451</xdr:rowOff>
    </xdr:to>
    <xdr:pic>
      <xdr:nvPicPr>
        <xdr:cNvPr id="2" name="Picture 1">
          <a:extLst>
            <a:ext uri="{FF2B5EF4-FFF2-40B4-BE49-F238E27FC236}">
              <a16:creationId xmlns:a16="http://schemas.microsoft.com/office/drawing/2014/main" id="{43BBFDA8-DD89-4C41-8636-0E4545FB85F2}"/>
            </a:ext>
          </a:extLst>
        </xdr:cNvPr>
        <xdr:cNvPicPr>
          <a:picLocks noChangeAspect="1"/>
        </xdr:cNvPicPr>
      </xdr:nvPicPr>
      <xdr:blipFill>
        <a:blip xmlns:r="http://schemas.openxmlformats.org/officeDocument/2006/relationships" r:embed="rId1"/>
        <a:stretch>
          <a:fillRect/>
        </a:stretch>
      </xdr:blipFill>
      <xdr:spPr>
        <a:xfrm>
          <a:off x="10172699" y="457201"/>
          <a:ext cx="3267075" cy="2016125"/>
        </a:xfrm>
        <a:prstGeom prst="rect">
          <a:avLst/>
        </a:prstGeom>
      </xdr:spPr>
    </xdr:pic>
    <xdr:clientData/>
  </xdr:twoCellAnchor>
  <xdr:twoCellAnchor editAs="oneCell">
    <xdr:from>
      <xdr:col>9</xdr:col>
      <xdr:colOff>57151</xdr:colOff>
      <xdr:row>12</xdr:row>
      <xdr:rowOff>47625</xdr:rowOff>
    </xdr:from>
    <xdr:to>
      <xdr:col>9</xdr:col>
      <xdr:colOff>3333751</xdr:colOff>
      <xdr:row>19</xdr:row>
      <xdr:rowOff>142875</xdr:rowOff>
    </xdr:to>
    <xdr:pic>
      <xdr:nvPicPr>
        <xdr:cNvPr id="3" name="Picture 2">
          <a:extLst>
            <a:ext uri="{FF2B5EF4-FFF2-40B4-BE49-F238E27FC236}">
              <a16:creationId xmlns:a16="http://schemas.microsoft.com/office/drawing/2014/main" id="{D83A5CBB-A834-4099-9512-E29171FA3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82226" y="3038475"/>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47625</xdr:colOff>
      <xdr:row>2</xdr:row>
      <xdr:rowOff>28575</xdr:rowOff>
    </xdr:from>
    <xdr:to>
      <xdr:col>9</xdr:col>
      <xdr:colOff>3352800</xdr:colOff>
      <xdr:row>10</xdr:row>
      <xdr:rowOff>142875</xdr:rowOff>
    </xdr:to>
    <xdr:pic>
      <xdr:nvPicPr>
        <xdr:cNvPr id="2" name="Picture 1">
          <a:extLst>
            <a:ext uri="{FF2B5EF4-FFF2-40B4-BE49-F238E27FC236}">
              <a16:creationId xmlns:a16="http://schemas.microsoft.com/office/drawing/2014/main" id="{70F94553-BE5F-4948-A7C4-A9322486EB4A}"/>
            </a:ext>
          </a:extLst>
        </xdr:cNvPr>
        <xdr:cNvPicPr>
          <a:picLocks noChangeAspect="1"/>
        </xdr:cNvPicPr>
      </xdr:nvPicPr>
      <xdr:blipFill>
        <a:blip xmlns:r="http://schemas.openxmlformats.org/officeDocument/2006/relationships" r:embed="rId1"/>
        <a:stretch>
          <a:fillRect/>
        </a:stretch>
      </xdr:blipFill>
      <xdr:spPr>
        <a:xfrm>
          <a:off x="10172700" y="409575"/>
          <a:ext cx="3305175" cy="2000250"/>
        </a:xfrm>
        <a:prstGeom prst="rect">
          <a:avLst/>
        </a:prstGeom>
      </xdr:spPr>
    </xdr:pic>
    <xdr:clientData/>
  </xdr:twoCellAnchor>
  <xdr:twoCellAnchor editAs="oneCell">
    <xdr:from>
      <xdr:col>9</xdr:col>
      <xdr:colOff>47625</xdr:colOff>
      <xdr:row>12</xdr:row>
      <xdr:rowOff>95250</xdr:rowOff>
    </xdr:from>
    <xdr:to>
      <xdr:col>9</xdr:col>
      <xdr:colOff>3343275</xdr:colOff>
      <xdr:row>19</xdr:row>
      <xdr:rowOff>200025</xdr:rowOff>
    </xdr:to>
    <xdr:pic>
      <xdr:nvPicPr>
        <xdr:cNvPr id="3" name="Picture 2">
          <a:extLst>
            <a:ext uri="{FF2B5EF4-FFF2-40B4-BE49-F238E27FC236}">
              <a16:creationId xmlns:a16="http://schemas.microsoft.com/office/drawing/2014/main" id="{031E79AC-C0B4-4782-9405-715FEBE03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2781300"/>
          <a:ext cx="32956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22</xdr:row>
      <xdr:rowOff>47626</xdr:rowOff>
    </xdr:from>
    <xdr:ext cx="3314700" cy="1771650"/>
    <xdr:pic>
      <xdr:nvPicPr>
        <xdr:cNvPr id="4" name="Picture 3">
          <a:extLst>
            <a:ext uri="{FF2B5EF4-FFF2-40B4-BE49-F238E27FC236}">
              <a16:creationId xmlns:a16="http://schemas.microsoft.com/office/drawing/2014/main" id="{083F7B31-B8E3-49F7-9E8C-B6B024F351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4981576"/>
          <a:ext cx="33147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57150</xdr:colOff>
      <xdr:row>2</xdr:row>
      <xdr:rowOff>57150</xdr:rowOff>
    </xdr:from>
    <xdr:to>
      <xdr:col>9</xdr:col>
      <xdr:colOff>3343275</xdr:colOff>
      <xdr:row>10</xdr:row>
      <xdr:rowOff>142875</xdr:rowOff>
    </xdr:to>
    <xdr:pic>
      <xdr:nvPicPr>
        <xdr:cNvPr id="2" name="Picture 1">
          <a:extLst>
            <a:ext uri="{FF2B5EF4-FFF2-40B4-BE49-F238E27FC236}">
              <a16:creationId xmlns:a16="http://schemas.microsoft.com/office/drawing/2014/main" id="{2B30587C-CA63-440B-9710-81FB6BF11883}"/>
            </a:ext>
          </a:extLst>
        </xdr:cNvPr>
        <xdr:cNvPicPr>
          <a:picLocks noChangeAspect="1"/>
        </xdr:cNvPicPr>
      </xdr:nvPicPr>
      <xdr:blipFill>
        <a:blip xmlns:r="http://schemas.openxmlformats.org/officeDocument/2006/relationships" r:embed="rId1"/>
        <a:stretch>
          <a:fillRect/>
        </a:stretch>
      </xdr:blipFill>
      <xdr:spPr>
        <a:xfrm>
          <a:off x="10182225" y="438150"/>
          <a:ext cx="3286125" cy="1971675"/>
        </a:xfrm>
        <a:prstGeom prst="rect">
          <a:avLst/>
        </a:prstGeom>
      </xdr:spPr>
    </xdr:pic>
    <xdr:clientData/>
  </xdr:twoCellAnchor>
  <xdr:twoCellAnchor editAs="oneCell">
    <xdr:from>
      <xdr:col>9</xdr:col>
      <xdr:colOff>47624</xdr:colOff>
      <xdr:row>13</xdr:row>
      <xdr:rowOff>133351</xdr:rowOff>
    </xdr:from>
    <xdr:to>
      <xdr:col>9</xdr:col>
      <xdr:colOff>3352800</xdr:colOff>
      <xdr:row>21</xdr:row>
      <xdr:rowOff>171451</xdr:rowOff>
    </xdr:to>
    <xdr:pic>
      <xdr:nvPicPr>
        <xdr:cNvPr id="3" name="Picture 2">
          <a:extLst>
            <a:ext uri="{FF2B5EF4-FFF2-40B4-BE49-F238E27FC236}">
              <a16:creationId xmlns:a16="http://schemas.microsoft.com/office/drawing/2014/main" id="{21904C91-252E-41C8-89F0-29F17AFE08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028951"/>
          <a:ext cx="33051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47624</xdr:colOff>
      <xdr:row>2</xdr:row>
      <xdr:rowOff>85724</xdr:rowOff>
    </xdr:from>
    <xdr:to>
      <xdr:col>9</xdr:col>
      <xdr:colOff>3352800</xdr:colOff>
      <xdr:row>10</xdr:row>
      <xdr:rowOff>209549</xdr:rowOff>
    </xdr:to>
    <xdr:pic>
      <xdr:nvPicPr>
        <xdr:cNvPr id="2" name="Picture 1">
          <a:extLst>
            <a:ext uri="{FF2B5EF4-FFF2-40B4-BE49-F238E27FC236}">
              <a16:creationId xmlns:a16="http://schemas.microsoft.com/office/drawing/2014/main" id="{AE4000D2-F999-48E7-9687-7C74D7A17CC4}"/>
            </a:ext>
          </a:extLst>
        </xdr:cNvPr>
        <xdr:cNvPicPr>
          <a:picLocks noChangeAspect="1"/>
        </xdr:cNvPicPr>
      </xdr:nvPicPr>
      <xdr:blipFill>
        <a:blip xmlns:r="http://schemas.openxmlformats.org/officeDocument/2006/relationships" r:embed="rId1"/>
        <a:stretch>
          <a:fillRect/>
        </a:stretch>
      </xdr:blipFill>
      <xdr:spPr>
        <a:xfrm>
          <a:off x="10172699" y="466724"/>
          <a:ext cx="3305176" cy="2009775"/>
        </a:xfrm>
        <a:prstGeom prst="rect">
          <a:avLst/>
        </a:prstGeom>
      </xdr:spPr>
    </xdr:pic>
    <xdr:clientData/>
  </xdr:twoCellAnchor>
  <xdr:twoCellAnchor editAs="oneCell">
    <xdr:from>
      <xdr:col>9</xdr:col>
      <xdr:colOff>47624</xdr:colOff>
      <xdr:row>13</xdr:row>
      <xdr:rowOff>95251</xdr:rowOff>
    </xdr:from>
    <xdr:to>
      <xdr:col>9</xdr:col>
      <xdr:colOff>3352800</xdr:colOff>
      <xdr:row>20</xdr:row>
      <xdr:rowOff>180975</xdr:rowOff>
    </xdr:to>
    <xdr:pic>
      <xdr:nvPicPr>
        <xdr:cNvPr id="3" name="Picture 2">
          <a:extLst>
            <a:ext uri="{FF2B5EF4-FFF2-40B4-BE49-F238E27FC236}">
              <a16:creationId xmlns:a16="http://schemas.microsoft.com/office/drawing/2014/main" id="{EAAD3022-9071-4A01-8031-610EE1F1CB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105151"/>
          <a:ext cx="33051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38102</xdr:colOff>
      <xdr:row>23</xdr:row>
      <xdr:rowOff>76200</xdr:rowOff>
    </xdr:from>
    <xdr:ext cx="3286124" cy="1695450"/>
    <xdr:pic>
      <xdr:nvPicPr>
        <xdr:cNvPr id="4" name="Picture 3">
          <a:extLst>
            <a:ext uri="{FF2B5EF4-FFF2-40B4-BE49-F238E27FC236}">
              <a16:creationId xmlns:a16="http://schemas.microsoft.com/office/drawing/2014/main" id="{030D37F3-B3AA-4EFC-8154-3D47E1968D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7" y="5448300"/>
          <a:ext cx="3286124"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3362325</xdr:colOff>
      <xdr:row>11</xdr:row>
      <xdr:rowOff>34925</xdr:rowOff>
    </xdr:to>
    <xdr:pic>
      <xdr:nvPicPr>
        <xdr:cNvPr id="2" name="Picture 1">
          <a:extLst>
            <a:ext uri="{FF2B5EF4-FFF2-40B4-BE49-F238E27FC236}">
              <a16:creationId xmlns:a16="http://schemas.microsoft.com/office/drawing/2014/main" id="{2F461685-DE3A-46F9-8B0B-19D59EF64EF7}"/>
            </a:ext>
          </a:extLst>
        </xdr:cNvPr>
        <xdr:cNvPicPr>
          <a:picLocks noChangeAspect="1"/>
        </xdr:cNvPicPr>
      </xdr:nvPicPr>
      <xdr:blipFill>
        <a:blip xmlns:r="http://schemas.openxmlformats.org/officeDocument/2006/relationships" r:embed="rId1"/>
        <a:stretch>
          <a:fillRect/>
        </a:stretch>
      </xdr:blipFill>
      <xdr:spPr>
        <a:xfrm>
          <a:off x="10172700" y="485775"/>
          <a:ext cx="3314700" cy="2025650"/>
        </a:xfrm>
        <a:prstGeom prst="rect">
          <a:avLst/>
        </a:prstGeom>
      </xdr:spPr>
    </xdr:pic>
    <xdr:clientData/>
  </xdr:twoCellAnchor>
  <xdr:twoCellAnchor editAs="oneCell">
    <xdr:from>
      <xdr:col>9</xdr:col>
      <xdr:colOff>38100</xdr:colOff>
      <xdr:row>13</xdr:row>
      <xdr:rowOff>114301</xdr:rowOff>
    </xdr:from>
    <xdr:to>
      <xdr:col>9</xdr:col>
      <xdr:colOff>3352800</xdr:colOff>
      <xdr:row>21</xdr:row>
      <xdr:rowOff>139701</xdr:rowOff>
    </xdr:to>
    <xdr:pic>
      <xdr:nvPicPr>
        <xdr:cNvPr id="3" name="Picture 2">
          <a:extLst>
            <a:ext uri="{FF2B5EF4-FFF2-40B4-BE49-F238E27FC236}">
              <a16:creationId xmlns:a16="http://schemas.microsoft.com/office/drawing/2014/main" id="{52B941A1-960F-4C99-8697-1E1E236F8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162301"/>
          <a:ext cx="33147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23</xdr:row>
      <xdr:rowOff>1</xdr:rowOff>
    </xdr:from>
    <xdr:ext cx="3324225" cy="1724024"/>
    <xdr:pic>
      <xdr:nvPicPr>
        <xdr:cNvPr id="4" name="Picture 3">
          <a:extLst>
            <a:ext uri="{FF2B5EF4-FFF2-40B4-BE49-F238E27FC236}">
              <a16:creationId xmlns:a16="http://schemas.microsoft.com/office/drawing/2014/main" id="{240D7C40-D76E-4A6A-8074-96BC81FAB6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5295901"/>
          <a:ext cx="33242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50800</xdr:colOff>
      <xdr:row>13</xdr:row>
      <xdr:rowOff>50801</xdr:rowOff>
    </xdr:from>
    <xdr:to>
      <xdr:col>9</xdr:col>
      <xdr:colOff>3352799</xdr:colOff>
      <xdr:row>20</xdr:row>
      <xdr:rowOff>139701</xdr:rowOff>
    </xdr:to>
    <xdr:pic>
      <xdr:nvPicPr>
        <xdr:cNvPr id="2" name="Picture 1">
          <a:extLst>
            <a:ext uri="{FF2B5EF4-FFF2-40B4-BE49-F238E27FC236}">
              <a16:creationId xmlns:a16="http://schemas.microsoft.com/office/drawing/2014/main" id="{BAA6D314-D398-4092-9B90-3A953AC0D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5875" y="2946401"/>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23</xdr:row>
      <xdr:rowOff>6350</xdr:rowOff>
    </xdr:from>
    <xdr:ext cx="3295650" cy="1762125"/>
    <xdr:pic>
      <xdr:nvPicPr>
        <xdr:cNvPr id="3" name="Picture 2">
          <a:extLst>
            <a:ext uri="{FF2B5EF4-FFF2-40B4-BE49-F238E27FC236}">
              <a16:creationId xmlns:a16="http://schemas.microsoft.com/office/drawing/2014/main" id="{557B9EB0-4EC0-4124-AEF0-5A4A46354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5149850"/>
          <a:ext cx="3295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2</xdr:row>
      <xdr:rowOff>95250</xdr:rowOff>
    </xdr:from>
    <xdr:to>
      <xdr:col>9</xdr:col>
      <xdr:colOff>3331567</xdr:colOff>
      <xdr:row>10</xdr:row>
      <xdr:rowOff>152400</xdr:rowOff>
    </xdr:to>
    <xdr:pic>
      <xdr:nvPicPr>
        <xdr:cNvPr id="4" name="Picture 3">
          <a:extLst>
            <a:ext uri="{FF2B5EF4-FFF2-40B4-BE49-F238E27FC236}">
              <a16:creationId xmlns:a16="http://schemas.microsoft.com/office/drawing/2014/main" id="{C5DA1E31-2B6A-427B-9C55-6D05BDC009BB}"/>
            </a:ext>
          </a:extLst>
        </xdr:cNvPr>
        <xdr:cNvPicPr>
          <a:picLocks noChangeAspect="1"/>
        </xdr:cNvPicPr>
      </xdr:nvPicPr>
      <xdr:blipFill>
        <a:blip xmlns:r="http://schemas.openxmlformats.org/officeDocument/2006/relationships" r:embed="rId2"/>
        <a:stretch>
          <a:fillRect/>
        </a:stretch>
      </xdr:blipFill>
      <xdr:spPr>
        <a:xfrm>
          <a:off x="10172700" y="476250"/>
          <a:ext cx="3283942" cy="19431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28576</xdr:colOff>
      <xdr:row>13</xdr:row>
      <xdr:rowOff>76197</xdr:rowOff>
    </xdr:from>
    <xdr:to>
      <xdr:col>9</xdr:col>
      <xdr:colOff>3371850</xdr:colOff>
      <xdr:row>21</xdr:row>
      <xdr:rowOff>0</xdr:rowOff>
    </xdr:to>
    <xdr:pic>
      <xdr:nvPicPr>
        <xdr:cNvPr id="2" name="Picture 1">
          <a:extLst>
            <a:ext uri="{FF2B5EF4-FFF2-40B4-BE49-F238E27FC236}">
              <a16:creationId xmlns:a16="http://schemas.microsoft.com/office/drawing/2014/main" id="{5598314C-9855-4607-885B-7336EA485FD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53651" y="2971797"/>
          <a:ext cx="3343274"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22</xdr:row>
      <xdr:rowOff>209549</xdr:rowOff>
    </xdr:from>
    <xdr:to>
      <xdr:col>9</xdr:col>
      <xdr:colOff>3352800</xdr:colOff>
      <xdr:row>29</xdr:row>
      <xdr:rowOff>9525</xdr:rowOff>
    </xdr:to>
    <xdr:pic>
      <xdr:nvPicPr>
        <xdr:cNvPr id="3" name="Picture 2">
          <a:extLst>
            <a:ext uri="{FF2B5EF4-FFF2-40B4-BE49-F238E27FC236}">
              <a16:creationId xmlns:a16="http://schemas.microsoft.com/office/drawing/2014/main" id="{50695C73-7D79-40B4-944B-5859C2A5232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53650" y="5295899"/>
          <a:ext cx="3324225" cy="1724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xdr:colOff>
      <xdr:row>2</xdr:row>
      <xdr:rowOff>57149</xdr:rowOff>
    </xdr:from>
    <xdr:to>
      <xdr:col>9</xdr:col>
      <xdr:colOff>3362324</xdr:colOff>
      <xdr:row>10</xdr:row>
      <xdr:rowOff>200025</xdr:rowOff>
    </xdr:to>
    <xdr:pic>
      <xdr:nvPicPr>
        <xdr:cNvPr id="4" name="Picture 3">
          <a:extLst>
            <a:ext uri="{FF2B5EF4-FFF2-40B4-BE49-F238E27FC236}">
              <a16:creationId xmlns:a16="http://schemas.microsoft.com/office/drawing/2014/main" id="{3FAC25AF-C38B-4D55-B039-FC9AEA257BD0}"/>
            </a:ext>
          </a:extLst>
        </xdr:cNvPr>
        <xdr:cNvPicPr>
          <a:picLocks noChangeAspect="1"/>
        </xdr:cNvPicPr>
      </xdr:nvPicPr>
      <xdr:blipFill>
        <a:blip xmlns:r="http://schemas.openxmlformats.org/officeDocument/2006/relationships" r:embed="rId2"/>
        <a:stretch>
          <a:fillRect/>
        </a:stretch>
      </xdr:blipFill>
      <xdr:spPr>
        <a:xfrm>
          <a:off x="10144124" y="438149"/>
          <a:ext cx="3343275" cy="202882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28575</xdr:colOff>
      <xdr:row>2</xdr:row>
      <xdr:rowOff>85725</xdr:rowOff>
    </xdr:from>
    <xdr:to>
      <xdr:col>9</xdr:col>
      <xdr:colOff>3362324</xdr:colOff>
      <xdr:row>10</xdr:row>
      <xdr:rowOff>114300</xdr:rowOff>
    </xdr:to>
    <xdr:pic>
      <xdr:nvPicPr>
        <xdr:cNvPr id="2" name="Picture 1">
          <a:extLst>
            <a:ext uri="{FF2B5EF4-FFF2-40B4-BE49-F238E27FC236}">
              <a16:creationId xmlns:a16="http://schemas.microsoft.com/office/drawing/2014/main" id="{CD7C0691-17FA-4594-8371-AAA4D85C2D80}"/>
            </a:ext>
          </a:extLst>
        </xdr:cNvPr>
        <xdr:cNvPicPr>
          <a:picLocks noChangeAspect="1"/>
        </xdr:cNvPicPr>
      </xdr:nvPicPr>
      <xdr:blipFill>
        <a:blip xmlns:r="http://schemas.openxmlformats.org/officeDocument/2006/relationships" r:embed="rId1"/>
        <a:stretch>
          <a:fillRect/>
        </a:stretch>
      </xdr:blipFill>
      <xdr:spPr>
        <a:xfrm>
          <a:off x="10153650" y="466725"/>
          <a:ext cx="3333749" cy="1914525"/>
        </a:xfrm>
        <a:prstGeom prst="rect">
          <a:avLst/>
        </a:prstGeom>
      </xdr:spPr>
    </xdr:pic>
    <xdr:clientData/>
  </xdr:twoCellAnchor>
  <xdr:twoCellAnchor editAs="oneCell">
    <xdr:from>
      <xdr:col>9</xdr:col>
      <xdr:colOff>47625</xdr:colOff>
      <xdr:row>13</xdr:row>
      <xdr:rowOff>76202</xdr:rowOff>
    </xdr:from>
    <xdr:to>
      <xdr:col>9</xdr:col>
      <xdr:colOff>3362325</xdr:colOff>
      <xdr:row>20</xdr:row>
      <xdr:rowOff>352426</xdr:rowOff>
    </xdr:to>
    <xdr:pic>
      <xdr:nvPicPr>
        <xdr:cNvPr id="3" name="Picture 2">
          <a:extLst>
            <a:ext uri="{FF2B5EF4-FFF2-40B4-BE49-F238E27FC236}">
              <a16:creationId xmlns:a16="http://schemas.microsoft.com/office/drawing/2014/main" id="{7CB38E73-072B-45C3-9AE2-938535F0E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2971802"/>
          <a:ext cx="33147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28575</xdr:colOff>
      <xdr:row>14</xdr:row>
      <xdr:rowOff>57150</xdr:rowOff>
    </xdr:from>
    <xdr:to>
      <xdr:col>9</xdr:col>
      <xdr:colOff>3362325</xdr:colOff>
      <xdr:row>22</xdr:row>
      <xdr:rowOff>206375</xdr:rowOff>
    </xdr:to>
    <xdr:pic>
      <xdr:nvPicPr>
        <xdr:cNvPr id="2" name="Picture 1">
          <a:extLst>
            <a:ext uri="{FF2B5EF4-FFF2-40B4-BE49-F238E27FC236}">
              <a16:creationId xmlns:a16="http://schemas.microsoft.com/office/drawing/2014/main" id="{471C2C37-641C-44C9-A3A5-7CEC8A70A8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96525" y="3552825"/>
          <a:ext cx="33337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85725</xdr:rowOff>
    </xdr:from>
    <xdr:to>
      <xdr:col>9</xdr:col>
      <xdr:colOff>3362324</xdr:colOff>
      <xdr:row>10</xdr:row>
      <xdr:rowOff>123825</xdr:rowOff>
    </xdr:to>
    <xdr:pic>
      <xdr:nvPicPr>
        <xdr:cNvPr id="3" name="Picture 2">
          <a:extLst>
            <a:ext uri="{FF2B5EF4-FFF2-40B4-BE49-F238E27FC236}">
              <a16:creationId xmlns:a16="http://schemas.microsoft.com/office/drawing/2014/main" id="{CB53125C-DC49-4DE6-AC2E-1ECC8250ACC6}"/>
            </a:ext>
          </a:extLst>
        </xdr:cNvPr>
        <xdr:cNvPicPr>
          <a:picLocks noChangeAspect="1"/>
        </xdr:cNvPicPr>
      </xdr:nvPicPr>
      <xdr:blipFill>
        <a:blip xmlns:r="http://schemas.openxmlformats.org/officeDocument/2006/relationships" r:embed="rId2"/>
        <a:stretch>
          <a:fillRect/>
        </a:stretch>
      </xdr:blipFill>
      <xdr:spPr>
        <a:xfrm>
          <a:off x="10306049" y="466725"/>
          <a:ext cx="3324225" cy="1924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0CE5-2B60-416D-9348-3800327722C2}">
  <dimension ref="A1:C30"/>
  <sheetViews>
    <sheetView tabSelected="1" zoomScale="110" zoomScaleNormal="110" workbookViewId="0">
      <pane ySplit="1" topLeftCell="A2" activePane="bottomLeft" state="frozen"/>
      <selection pane="bottomLeft" activeCell="B4" sqref="B4"/>
    </sheetView>
  </sheetViews>
  <sheetFormatPr defaultColWidth="9.140625" defaultRowHeight="15" x14ac:dyDescent="0.25"/>
  <cols>
    <col min="1" max="1" width="6.140625" style="62" bestFit="1" customWidth="1"/>
    <col min="2" max="2" width="10.42578125" style="62" bestFit="1" customWidth="1"/>
    <col min="3" max="3" width="56.85546875" style="62" bestFit="1" customWidth="1"/>
    <col min="4" max="16384" width="9.140625" style="62"/>
  </cols>
  <sheetData>
    <row r="1" spans="1:3" x14ac:dyDescent="0.25">
      <c r="A1" s="61" t="s">
        <v>959</v>
      </c>
      <c r="B1" s="61" t="s">
        <v>960</v>
      </c>
      <c r="C1" s="61" t="s">
        <v>961</v>
      </c>
    </row>
    <row r="2" spans="1:3" x14ac:dyDescent="0.25">
      <c r="A2" s="63">
        <v>1</v>
      </c>
      <c r="B2" s="64" t="s">
        <v>962</v>
      </c>
      <c r="C2" s="65" t="s">
        <v>1</v>
      </c>
    </row>
    <row r="3" spans="1:3" x14ac:dyDescent="0.25">
      <c r="A3" s="63">
        <v>2</v>
      </c>
      <c r="B3" s="64" t="s">
        <v>963</v>
      </c>
      <c r="C3" s="65" t="s">
        <v>198</v>
      </c>
    </row>
    <row r="4" spans="1:3" x14ac:dyDescent="0.25">
      <c r="A4" s="63">
        <v>3</v>
      </c>
      <c r="B4" s="64" t="s">
        <v>964</v>
      </c>
      <c r="C4" s="65" t="s">
        <v>201</v>
      </c>
    </row>
    <row r="5" spans="1:3" x14ac:dyDescent="0.25">
      <c r="A5" s="63">
        <v>4</v>
      </c>
      <c r="B5" s="64" t="s">
        <v>965</v>
      </c>
      <c r="C5" s="65" t="s">
        <v>966</v>
      </c>
    </row>
    <row r="6" spans="1:3" x14ac:dyDescent="0.25">
      <c r="A6" s="63">
        <v>5</v>
      </c>
      <c r="B6" s="64" t="s">
        <v>967</v>
      </c>
      <c r="C6" s="65" t="s">
        <v>968</v>
      </c>
    </row>
    <row r="7" spans="1:3" x14ac:dyDescent="0.25">
      <c r="A7" s="63">
        <v>6</v>
      </c>
      <c r="B7" s="64" t="s">
        <v>969</v>
      </c>
      <c r="C7" s="65" t="s">
        <v>970</v>
      </c>
    </row>
    <row r="8" spans="1:3" x14ac:dyDescent="0.25">
      <c r="A8" s="63">
        <v>7</v>
      </c>
      <c r="B8" s="64" t="s">
        <v>971</v>
      </c>
      <c r="C8" s="65" t="s">
        <v>972</v>
      </c>
    </row>
    <row r="9" spans="1:3" x14ac:dyDescent="0.25">
      <c r="A9" s="63">
        <v>8</v>
      </c>
      <c r="B9" s="64" t="s">
        <v>973</v>
      </c>
      <c r="C9" s="65" t="s">
        <v>974</v>
      </c>
    </row>
    <row r="10" spans="1:3" x14ac:dyDescent="0.25">
      <c r="A10" s="63">
        <v>9</v>
      </c>
      <c r="B10" s="64" t="s">
        <v>975</v>
      </c>
      <c r="C10" s="65" t="s">
        <v>549</v>
      </c>
    </row>
    <row r="11" spans="1:3" x14ac:dyDescent="0.25">
      <c r="A11" s="63">
        <v>10</v>
      </c>
      <c r="B11" s="64" t="s">
        <v>976</v>
      </c>
      <c r="C11" s="65" t="s">
        <v>561</v>
      </c>
    </row>
    <row r="12" spans="1:3" x14ac:dyDescent="0.25">
      <c r="A12" s="63">
        <v>11</v>
      </c>
      <c r="B12" s="64" t="s">
        <v>977</v>
      </c>
      <c r="C12" s="65" t="s">
        <v>562</v>
      </c>
    </row>
    <row r="13" spans="1:3" x14ac:dyDescent="0.25">
      <c r="A13" s="63">
        <v>12</v>
      </c>
      <c r="B13" s="64" t="s">
        <v>978</v>
      </c>
      <c r="C13" s="65" t="s">
        <v>563</v>
      </c>
    </row>
    <row r="14" spans="1:3" x14ac:dyDescent="0.25">
      <c r="A14" s="63">
        <v>13</v>
      </c>
      <c r="B14" s="64" t="s">
        <v>979</v>
      </c>
      <c r="C14" s="65" t="s">
        <v>564</v>
      </c>
    </row>
    <row r="15" spans="1:3" x14ac:dyDescent="0.25">
      <c r="A15" s="63">
        <v>14</v>
      </c>
      <c r="B15" s="64" t="s">
        <v>980</v>
      </c>
      <c r="C15" s="65" t="s">
        <v>616</v>
      </c>
    </row>
    <row r="16" spans="1:3" x14ac:dyDescent="0.25">
      <c r="A16" s="63">
        <v>15</v>
      </c>
      <c r="B16" s="64" t="s">
        <v>981</v>
      </c>
      <c r="C16" s="65" t="s">
        <v>982</v>
      </c>
    </row>
    <row r="17" spans="1:3" x14ac:dyDescent="0.25">
      <c r="A17" s="63">
        <v>16</v>
      </c>
      <c r="B17" s="64" t="s">
        <v>983</v>
      </c>
      <c r="C17" s="65" t="s">
        <v>714</v>
      </c>
    </row>
    <row r="18" spans="1:3" x14ac:dyDescent="0.25">
      <c r="A18" s="63">
        <v>17</v>
      </c>
      <c r="B18" s="64" t="s">
        <v>984</v>
      </c>
      <c r="C18" s="65" t="s">
        <v>723</v>
      </c>
    </row>
    <row r="19" spans="1:3" x14ac:dyDescent="0.25">
      <c r="A19" s="63">
        <v>18</v>
      </c>
      <c r="B19" s="64" t="s">
        <v>985</v>
      </c>
      <c r="C19" s="65" t="s">
        <v>745</v>
      </c>
    </row>
    <row r="20" spans="1:3" x14ac:dyDescent="0.25">
      <c r="A20" s="63">
        <v>19</v>
      </c>
      <c r="B20" s="64" t="s">
        <v>986</v>
      </c>
      <c r="C20" s="65" t="s">
        <v>987</v>
      </c>
    </row>
    <row r="21" spans="1:3" x14ac:dyDescent="0.25">
      <c r="A21" s="63">
        <v>20</v>
      </c>
      <c r="B21" s="64" t="s">
        <v>988</v>
      </c>
      <c r="C21" s="65" t="s">
        <v>768</v>
      </c>
    </row>
    <row r="22" spans="1:3" x14ac:dyDescent="0.25">
      <c r="A22" s="63">
        <v>21</v>
      </c>
      <c r="B22" s="64" t="s">
        <v>989</v>
      </c>
      <c r="C22" s="65" t="s">
        <v>990</v>
      </c>
    </row>
    <row r="23" spans="1:3" x14ac:dyDescent="0.25">
      <c r="A23" s="63">
        <v>22</v>
      </c>
      <c r="B23" s="64" t="s">
        <v>991</v>
      </c>
      <c r="C23" s="65" t="s">
        <v>835</v>
      </c>
    </row>
    <row r="24" spans="1:3" x14ac:dyDescent="0.25">
      <c r="A24" s="63">
        <v>23</v>
      </c>
      <c r="B24" s="64" t="s">
        <v>992</v>
      </c>
      <c r="C24" s="65" t="s">
        <v>843</v>
      </c>
    </row>
    <row r="25" spans="1:3" x14ac:dyDescent="0.25">
      <c r="A25" s="63">
        <v>24</v>
      </c>
      <c r="B25" s="64" t="s">
        <v>993</v>
      </c>
      <c r="C25" s="65" t="s">
        <v>848</v>
      </c>
    </row>
    <row r="26" spans="1:3" x14ac:dyDescent="0.25">
      <c r="A26" s="63">
        <v>25</v>
      </c>
      <c r="B26" s="64" t="s">
        <v>994</v>
      </c>
      <c r="C26" s="65" t="s">
        <v>856</v>
      </c>
    </row>
    <row r="27" spans="1:3" x14ac:dyDescent="0.25">
      <c r="A27" s="63">
        <v>26</v>
      </c>
      <c r="B27" s="64" t="s">
        <v>995</v>
      </c>
      <c r="C27" s="65" t="s">
        <v>857</v>
      </c>
    </row>
    <row r="28" spans="1:3" x14ac:dyDescent="0.25">
      <c r="A28" s="63">
        <v>27</v>
      </c>
      <c r="B28" s="64" t="s">
        <v>996</v>
      </c>
      <c r="C28" s="65" t="s">
        <v>859</v>
      </c>
    </row>
    <row r="29" spans="1:3" x14ac:dyDescent="0.25">
      <c r="A29" s="63">
        <v>28</v>
      </c>
      <c r="B29" s="64" t="s">
        <v>997</v>
      </c>
      <c r="C29" s="65" t="s">
        <v>860</v>
      </c>
    </row>
    <row r="30" spans="1:3" x14ac:dyDescent="0.25">
      <c r="A30" s="63">
        <v>29</v>
      </c>
      <c r="B30" s="64" t="s">
        <v>998</v>
      </c>
      <c r="C30" s="65" t="s">
        <v>861</v>
      </c>
    </row>
  </sheetData>
  <hyperlinks>
    <hyperlink ref="B4" location="MIDCAP!A1" display="MIDCAP" xr:uid="{6A1D5459-0F48-4B5A-BFA0-0D0E09C2BE9C}"/>
    <hyperlink ref="B5" location="MULTIP!A1" display="MULTIP" xr:uid="{28EFEAD8-F8D2-4DFF-A0B7-EA888EFD3BAF}"/>
    <hyperlink ref="B6" location="SLTADV3!A1" display="SLTADV3" xr:uid="{35390421-50AF-4854-8DF5-A7BB54B2EC3F}"/>
    <hyperlink ref="B7" location="SLTADV4!A1" display="SLTADV4" xr:uid="{875C0577-545D-4F8E-B647-F950D2003340}"/>
    <hyperlink ref="B8" location="SLTAX1!A1" display="SLTAX1" xr:uid="{BC35FE82-3746-4F07-AB33-ACC2AB9E5914}"/>
    <hyperlink ref="B9" location="SLTAX2!A1" display="SLTAX2" xr:uid="{3C1E0D26-06F7-468A-B4AD-F37F1DA9DA77}"/>
    <hyperlink ref="B10" location="SLTAX3!A1" display="SLTAX3" xr:uid="{7ADAF77F-2425-44B7-9AE8-9EDC589D5FEE}"/>
    <hyperlink ref="B11" location="SLTAX4!A1" display="SLTAX4" xr:uid="{6A809289-5E14-4CFF-8D09-4FB7ED4609A4}"/>
    <hyperlink ref="B12" location="SLTAX5!A1" display="SLTAX5" xr:uid="{346091D2-EA47-4FEF-ABC2-594CF90D7752}"/>
    <hyperlink ref="B13" location="SLTAX6!A1" display="SLTAX6" xr:uid="{BD47577A-36EF-46A9-AE55-96D68626AA6B}"/>
    <hyperlink ref="B14" location="SMILE!A1" display="SMILE" xr:uid="{34816EFB-0CE9-4B93-8F46-708815C40D42}"/>
    <hyperlink ref="B15" location="SPAHF!A1" display="SPAHF" xr:uid="{15DF97E0-3BB8-4FE7-BA7D-92C5A1FF7FA4}"/>
    <hyperlink ref="B16" location="SPARF!A1" display="SPARF" xr:uid="{EDA16A98-A2C8-4A83-A6BE-1F544CF6EC6A}"/>
    <hyperlink ref="B17" location="SPBAF!A1" display="SPBAF" xr:uid="{64ABB8E8-EAF6-46F6-B7FF-3A827565AF39}"/>
    <hyperlink ref="B19" location="SPESF!A1" display="SPESF" xr:uid="{35ADDD2B-8A44-404F-BF3D-A5EB0B2D59C2}"/>
    <hyperlink ref="B20" location="SPFOCUS!A1" display="SPFOCUS" xr:uid="{00086BE2-D9B8-442D-9D25-559952B18EFA}"/>
    <hyperlink ref="B21" location="SPMUCF!A1" display="SPMUCF" xr:uid="{DF522C10-C4F3-4E45-850D-68217581A3AD}"/>
    <hyperlink ref="B22" location="SPSN100!A1" display="SPSN100" xr:uid="{F318F76B-E5AC-4718-81AB-57AD5EAEE508}"/>
    <hyperlink ref="B23" location="SPTAX!A1" display="SPTAX" xr:uid="{A2FB3481-8A96-4ADF-BFDC-B443A3917B05}"/>
    <hyperlink ref="B24" location="SRURAL!A1" display="SRURAL" xr:uid="{5A499516-B9AA-44F6-A3D3-4DFAEC1E1368}"/>
    <hyperlink ref="B25" location="SSFUND!A1" display="SSFUND" xr:uid="{90FD1BBB-A817-4151-9F75-0C6B9925A8BD}"/>
    <hyperlink ref="B26" location="STAX!A1" display="STAX" xr:uid="{03070D4A-3BC2-41FD-AF2C-9013D5C0B504}"/>
    <hyperlink ref="B27" location="SUNBCF!A1" display="SUNBCF" xr:uid="{9BA2802A-C64E-4819-8E64-ED401A7B85D2}"/>
    <hyperlink ref="B29" location="SUNFOP!A1" display="SUNFOP" xr:uid="{03EF7D5E-853B-48C0-BAB4-1C0C2CE2FCD9}"/>
    <hyperlink ref="B3" location="GLOB!A1" display="GLOB" xr:uid="{AC7DE605-7BD5-44CA-B0CD-DC7EC92DAA50}"/>
    <hyperlink ref="B28" location="SUNFCF!A1" display="SUNFCF" xr:uid="{969922B2-099C-44D3-AB4B-43F330E5F56D}"/>
    <hyperlink ref="B18" location="SPDYF!A1" display="SPDYF" xr:uid="{C99BE6F0-47B2-4B24-AC4C-E71F91ABE243}"/>
    <hyperlink ref="B30" location="SUNMAF!A1" display="SUNMAF" xr:uid="{AFEACD74-08B8-4BE3-BE75-9FA3DA3ED1BA}"/>
    <hyperlink ref="B2" location="CAPEXG!A1" display="CAPEXG" xr:uid="{D6F5B31D-2BC4-4A2F-A0AE-D34C758A81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55"/>
  <sheetViews>
    <sheetView showGridLines="0" workbookViewId="0">
      <selection activeCell="C90" sqref="C90"/>
    </sheetView>
  </sheetViews>
  <sheetFormatPr defaultRowHeight="12.75" x14ac:dyDescent="0.2"/>
  <cols>
    <col min="1" max="1" width="5.85546875" bestFit="1" customWidth="1"/>
    <col min="2" max="2" width="18.42578125" bestFit="1" customWidth="1"/>
    <col min="3" max="3" width="34.28515625" customWidth="1"/>
    <col min="4" max="4" width="17.7109375" bestFit="1" customWidth="1"/>
    <col min="5" max="5" width="10.4257812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50" t="s">
        <v>888</v>
      </c>
      <c r="J1" s="75"/>
    </row>
    <row r="2" spans="1:17" ht="15" x14ac:dyDescent="0.2">
      <c r="A2" s="250" t="s">
        <v>1</v>
      </c>
      <c r="B2" s="250"/>
      <c r="C2" s="250"/>
      <c r="D2" s="250"/>
      <c r="E2" s="250"/>
      <c r="F2" s="250"/>
      <c r="G2" s="250"/>
      <c r="H2" s="250"/>
      <c r="J2" s="70" t="s">
        <v>889</v>
      </c>
      <c r="K2" s="67"/>
      <c r="L2" s="67"/>
      <c r="M2" s="67"/>
      <c r="N2" s="67"/>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K4" s="36"/>
      <c r="L4" s="36"/>
      <c r="M4" s="36"/>
      <c r="N4" s="36"/>
      <c r="O4"/>
      <c r="P4"/>
      <c r="Q4"/>
    </row>
    <row r="5" spans="1:17" x14ac:dyDescent="0.2">
      <c r="A5" s="162"/>
      <c r="B5" s="162"/>
      <c r="C5" s="163" t="s">
        <v>9</v>
      </c>
      <c r="D5" s="162"/>
      <c r="E5" s="162"/>
      <c r="F5" s="162"/>
      <c r="G5" s="162"/>
      <c r="H5" s="162"/>
      <c r="J5" s="75"/>
    </row>
    <row r="6" spans="1:17" ht="25.5" x14ac:dyDescent="0.2">
      <c r="A6" s="162"/>
      <c r="B6" s="162"/>
      <c r="C6" s="163" t="s">
        <v>10</v>
      </c>
      <c r="D6" s="162"/>
      <c r="E6" s="162"/>
      <c r="F6" s="162"/>
      <c r="G6" s="162"/>
      <c r="H6" s="162"/>
      <c r="J6" s="75"/>
    </row>
    <row r="7" spans="1:17" x14ac:dyDescent="0.2">
      <c r="A7" s="164">
        <v>1</v>
      </c>
      <c r="B7" s="165" t="s">
        <v>11</v>
      </c>
      <c r="C7" s="165" t="s">
        <v>12</v>
      </c>
      <c r="D7" s="165" t="s">
        <v>13</v>
      </c>
      <c r="E7" s="166">
        <v>218850</v>
      </c>
      <c r="F7" s="167">
        <v>7866.1255499999997</v>
      </c>
      <c r="G7" s="168">
        <v>8.351749E-2</v>
      </c>
      <c r="H7" s="168"/>
      <c r="J7" s="75"/>
    </row>
    <row r="8" spans="1:17" x14ac:dyDescent="0.2">
      <c r="A8" s="164">
        <v>2</v>
      </c>
      <c r="B8" s="165" t="s">
        <v>14</v>
      </c>
      <c r="C8" s="165" t="s">
        <v>15</v>
      </c>
      <c r="D8" s="165" t="s">
        <v>16</v>
      </c>
      <c r="E8" s="166">
        <v>219000</v>
      </c>
      <c r="F8" s="167">
        <v>6425.46</v>
      </c>
      <c r="G8" s="168">
        <v>6.822143E-2</v>
      </c>
      <c r="H8" s="168"/>
      <c r="J8" s="75"/>
    </row>
    <row r="9" spans="1:17" x14ac:dyDescent="0.2">
      <c r="A9" s="164">
        <v>3</v>
      </c>
      <c r="B9" s="165" t="s">
        <v>17</v>
      </c>
      <c r="C9" s="165" t="s">
        <v>18</v>
      </c>
      <c r="D9" s="165" t="s">
        <v>19</v>
      </c>
      <c r="E9" s="166">
        <v>442000</v>
      </c>
      <c r="F9" s="167">
        <v>5844.5659999999998</v>
      </c>
      <c r="G9" s="168">
        <v>6.2053869999999997E-2</v>
      </c>
      <c r="H9" s="168"/>
      <c r="J9" s="75"/>
    </row>
    <row r="10" spans="1:17" x14ac:dyDescent="0.2">
      <c r="A10" s="164">
        <v>4</v>
      </c>
      <c r="B10" s="165" t="s">
        <v>20</v>
      </c>
      <c r="C10" s="165" t="s">
        <v>21</v>
      </c>
      <c r="D10" s="165" t="s">
        <v>22</v>
      </c>
      <c r="E10" s="166">
        <v>1570000</v>
      </c>
      <c r="F10" s="167">
        <v>5702.24</v>
      </c>
      <c r="G10" s="168">
        <v>6.0542739999999998E-2</v>
      </c>
      <c r="H10" s="168"/>
      <c r="J10" s="75"/>
    </row>
    <row r="11" spans="1:17" ht="25.5" x14ac:dyDescent="0.2">
      <c r="A11" s="164">
        <v>5</v>
      </c>
      <c r="B11" s="165" t="s">
        <v>23</v>
      </c>
      <c r="C11" s="165" t="s">
        <v>24</v>
      </c>
      <c r="D11" s="165" t="s">
        <v>25</v>
      </c>
      <c r="E11" s="166">
        <v>28000</v>
      </c>
      <c r="F11" s="167">
        <v>2792.1179999999999</v>
      </c>
      <c r="G11" s="168">
        <v>2.9644920000000002E-2</v>
      </c>
      <c r="H11" s="168"/>
      <c r="J11" s="75"/>
    </row>
    <row r="12" spans="1:17" ht="15" x14ac:dyDescent="0.2">
      <c r="A12" s="164">
        <v>6</v>
      </c>
      <c r="B12" s="165" t="s">
        <v>26</v>
      </c>
      <c r="C12" s="165" t="s">
        <v>27</v>
      </c>
      <c r="D12" s="165" t="s">
        <v>28</v>
      </c>
      <c r="E12" s="166">
        <v>1150000</v>
      </c>
      <c r="F12" s="167">
        <v>2688.125</v>
      </c>
      <c r="G12" s="168">
        <v>2.854079E-2</v>
      </c>
      <c r="H12" s="168"/>
      <c r="J12" s="71"/>
    </row>
    <row r="13" spans="1:17" x14ac:dyDescent="0.2">
      <c r="A13" s="164">
        <v>7</v>
      </c>
      <c r="B13" s="165" t="s">
        <v>29</v>
      </c>
      <c r="C13" s="165" t="s">
        <v>30</v>
      </c>
      <c r="D13" s="165" t="s">
        <v>22</v>
      </c>
      <c r="E13" s="166">
        <v>805000</v>
      </c>
      <c r="F13" s="167">
        <v>2429.8924999999999</v>
      </c>
      <c r="G13" s="168">
        <v>2.579905E-2</v>
      </c>
      <c r="H13" s="168"/>
      <c r="J13" s="75"/>
    </row>
    <row r="14" spans="1:17" x14ac:dyDescent="0.2">
      <c r="A14" s="164">
        <v>8</v>
      </c>
      <c r="B14" s="165" t="s">
        <v>31</v>
      </c>
      <c r="C14" s="165" t="s">
        <v>32</v>
      </c>
      <c r="D14" s="165" t="s">
        <v>33</v>
      </c>
      <c r="E14" s="166">
        <v>33000</v>
      </c>
      <c r="F14" s="167">
        <v>2158.4475000000002</v>
      </c>
      <c r="G14" s="168">
        <v>2.291702E-2</v>
      </c>
      <c r="H14" s="168"/>
      <c r="J14" s="75"/>
    </row>
    <row r="15" spans="1:17" x14ac:dyDescent="0.2">
      <c r="A15" s="164">
        <v>9</v>
      </c>
      <c r="B15" s="165" t="s">
        <v>34</v>
      </c>
      <c r="C15" s="165" t="s">
        <v>35</v>
      </c>
      <c r="D15" s="165" t="s">
        <v>36</v>
      </c>
      <c r="E15" s="166">
        <v>44000</v>
      </c>
      <c r="F15" s="167">
        <v>1985.28</v>
      </c>
      <c r="G15" s="168">
        <v>2.1078429999999999E-2</v>
      </c>
      <c r="H15" s="168"/>
      <c r="J15" s="75" t="s">
        <v>890</v>
      </c>
    </row>
    <row r="16" spans="1:17" x14ac:dyDescent="0.2">
      <c r="A16" s="164">
        <v>10</v>
      </c>
      <c r="B16" s="165" t="s">
        <v>37</v>
      </c>
      <c r="C16" s="165" t="s">
        <v>38</v>
      </c>
      <c r="D16" s="165" t="s">
        <v>39</v>
      </c>
      <c r="E16" s="166">
        <v>170000</v>
      </c>
      <c r="F16" s="167">
        <v>1955.68</v>
      </c>
      <c r="G16" s="168">
        <v>2.076416E-2</v>
      </c>
      <c r="H16" s="168"/>
      <c r="J16" s="75"/>
    </row>
    <row r="17" spans="1:10" x14ac:dyDescent="0.2">
      <c r="A17" s="164">
        <v>11</v>
      </c>
      <c r="B17" s="165" t="s">
        <v>40</v>
      </c>
      <c r="C17" s="165" t="s">
        <v>41</v>
      </c>
      <c r="D17" s="165" t="s">
        <v>36</v>
      </c>
      <c r="E17" s="166">
        <v>36400</v>
      </c>
      <c r="F17" s="167">
        <v>1934.7873999999999</v>
      </c>
      <c r="G17" s="168">
        <v>2.0542339999999999E-2</v>
      </c>
      <c r="H17" s="168"/>
      <c r="J17" s="75"/>
    </row>
    <row r="18" spans="1:10" x14ac:dyDescent="0.2">
      <c r="A18" s="164">
        <v>12</v>
      </c>
      <c r="B18" s="165" t="s">
        <v>42</v>
      </c>
      <c r="C18" s="165" t="s">
        <v>43</v>
      </c>
      <c r="D18" s="165" t="s">
        <v>28</v>
      </c>
      <c r="E18" s="166">
        <v>42000</v>
      </c>
      <c r="F18" s="167">
        <v>1654.527</v>
      </c>
      <c r="G18" s="168">
        <v>1.7566709999999999E-2</v>
      </c>
      <c r="H18" s="168"/>
      <c r="J18" s="75"/>
    </row>
    <row r="19" spans="1:10" x14ac:dyDescent="0.2">
      <c r="A19" s="164">
        <v>13</v>
      </c>
      <c r="B19" s="165" t="s">
        <v>44</v>
      </c>
      <c r="C19" s="165" t="s">
        <v>45</v>
      </c>
      <c r="D19" s="165" t="s">
        <v>46</v>
      </c>
      <c r="E19" s="166">
        <v>580000</v>
      </c>
      <c r="F19" s="167">
        <v>1640.53</v>
      </c>
      <c r="G19" s="168">
        <v>1.7418099999999999E-2</v>
      </c>
      <c r="H19" s="168"/>
      <c r="J19" s="75"/>
    </row>
    <row r="20" spans="1:10" x14ac:dyDescent="0.2">
      <c r="A20" s="164">
        <v>14</v>
      </c>
      <c r="B20" s="165" t="s">
        <v>47</v>
      </c>
      <c r="C20" s="165" t="s">
        <v>48</v>
      </c>
      <c r="D20" s="165" t="s">
        <v>22</v>
      </c>
      <c r="E20" s="166">
        <v>350000</v>
      </c>
      <c r="F20" s="167">
        <v>1572.375</v>
      </c>
      <c r="G20" s="168">
        <v>1.6694469999999999E-2</v>
      </c>
      <c r="H20" s="168"/>
      <c r="J20" s="75"/>
    </row>
    <row r="21" spans="1:10" x14ac:dyDescent="0.2">
      <c r="A21" s="164">
        <v>15</v>
      </c>
      <c r="B21" s="165" t="s">
        <v>49</v>
      </c>
      <c r="C21" s="165" t="s">
        <v>50</v>
      </c>
      <c r="D21" s="165" t="s">
        <v>13</v>
      </c>
      <c r="E21" s="166">
        <v>330000</v>
      </c>
      <c r="F21" s="167">
        <v>1480.2149999999999</v>
      </c>
      <c r="G21" s="168">
        <v>1.5715980000000001E-2</v>
      </c>
      <c r="H21" s="168"/>
      <c r="J21" s="75"/>
    </row>
    <row r="22" spans="1:10" ht="15" x14ac:dyDescent="0.2">
      <c r="A22" s="164">
        <v>16</v>
      </c>
      <c r="B22" s="165" t="s">
        <v>51</v>
      </c>
      <c r="C22" s="165" t="s">
        <v>52</v>
      </c>
      <c r="D22" s="165" t="s">
        <v>53</v>
      </c>
      <c r="E22" s="166">
        <v>290000</v>
      </c>
      <c r="F22" s="167">
        <v>1470.7349999999999</v>
      </c>
      <c r="G22" s="168">
        <v>1.561532E-2</v>
      </c>
      <c r="H22" s="168"/>
      <c r="J22" s="71"/>
    </row>
    <row r="23" spans="1:10" x14ac:dyDescent="0.2">
      <c r="A23" s="164">
        <v>17</v>
      </c>
      <c r="B23" s="165" t="s">
        <v>54</v>
      </c>
      <c r="C23" s="165" t="s">
        <v>55</v>
      </c>
      <c r="D23" s="165" t="s">
        <v>39</v>
      </c>
      <c r="E23" s="166">
        <v>170000</v>
      </c>
      <c r="F23" s="167">
        <v>1404.625</v>
      </c>
      <c r="G23" s="168">
        <v>1.491341E-2</v>
      </c>
      <c r="H23" s="168"/>
      <c r="J23" s="75"/>
    </row>
    <row r="24" spans="1:10" x14ac:dyDescent="0.2">
      <c r="A24" s="164">
        <v>18</v>
      </c>
      <c r="B24" s="165" t="s">
        <v>56</v>
      </c>
      <c r="C24" s="165" t="s">
        <v>57</v>
      </c>
      <c r="D24" s="165" t="s">
        <v>33</v>
      </c>
      <c r="E24" s="166">
        <v>23000</v>
      </c>
      <c r="F24" s="167">
        <v>1343.5909999999999</v>
      </c>
      <c r="G24" s="168">
        <v>1.4265389999999999E-2</v>
      </c>
      <c r="H24" s="168"/>
      <c r="J24" s="75"/>
    </row>
    <row r="25" spans="1:10" x14ac:dyDescent="0.2">
      <c r="A25" s="164">
        <v>19</v>
      </c>
      <c r="B25" s="165" t="s">
        <v>58</v>
      </c>
      <c r="C25" s="165" t="s">
        <v>59</v>
      </c>
      <c r="D25" s="165" t="s">
        <v>19</v>
      </c>
      <c r="E25" s="166">
        <v>154421</v>
      </c>
      <c r="F25" s="167">
        <v>1338.057965</v>
      </c>
      <c r="G25" s="168">
        <v>1.420664E-2</v>
      </c>
      <c r="H25" s="168"/>
      <c r="J25" s="75"/>
    </row>
    <row r="26" spans="1:10" x14ac:dyDescent="0.2">
      <c r="A26" s="164">
        <v>20</v>
      </c>
      <c r="B26" s="165" t="s">
        <v>60</v>
      </c>
      <c r="C26" s="165" t="s">
        <v>61</v>
      </c>
      <c r="D26" s="165" t="s">
        <v>62</v>
      </c>
      <c r="E26" s="166">
        <v>130000</v>
      </c>
      <c r="F26" s="167">
        <v>1336.4</v>
      </c>
      <c r="G26" s="168">
        <v>1.418904E-2</v>
      </c>
      <c r="H26" s="168"/>
      <c r="J26" s="75"/>
    </row>
    <row r="27" spans="1:10" x14ac:dyDescent="0.2">
      <c r="A27" s="164">
        <v>21</v>
      </c>
      <c r="B27" s="165" t="s">
        <v>63</v>
      </c>
      <c r="C27" s="165" t="s">
        <v>64</v>
      </c>
      <c r="D27" s="165" t="s">
        <v>65</v>
      </c>
      <c r="E27" s="166">
        <v>620000</v>
      </c>
      <c r="F27" s="167">
        <v>1296.42</v>
      </c>
      <c r="G27" s="168">
        <v>1.376456E-2</v>
      </c>
      <c r="H27" s="168"/>
      <c r="J27" s="75"/>
    </row>
    <row r="28" spans="1:10" x14ac:dyDescent="0.2">
      <c r="A28" s="164">
        <v>22</v>
      </c>
      <c r="B28" s="165" t="s">
        <v>66</v>
      </c>
      <c r="C28" s="165" t="s">
        <v>67</v>
      </c>
      <c r="D28" s="165" t="s">
        <v>13</v>
      </c>
      <c r="E28" s="166">
        <v>530000</v>
      </c>
      <c r="F28" s="167">
        <v>1283.6600000000001</v>
      </c>
      <c r="G28" s="168">
        <v>1.362908E-2</v>
      </c>
      <c r="H28" s="168"/>
      <c r="J28" s="75"/>
    </row>
    <row r="29" spans="1:10" ht="25.5" x14ac:dyDescent="0.2">
      <c r="A29" s="164">
        <v>23</v>
      </c>
      <c r="B29" s="165" t="s">
        <v>68</v>
      </c>
      <c r="C29" s="165" t="s">
        <v>69</v>
      </c>
      <c r="D29" s="165" t="s">
        <v>70</v>
      </c>
      <c r="E29" s="166">
        <v>2785</v>
      </c>
      <c r="F29" s="167">
        <v>1257.1086175</v>
      </c>
      <c r="G29" s="168">
        <v>1.334718E-2</v>
      </c>
      <c r="H29" s="168"/>
      <c r="J29" s="75"/>
    </row>
    <row r="30" spans="1:10" x14ac:dyDescent="0.2">
      <c r="A30" s="164">
        <v>24</v>
      </c>
      <c r="B30" s="165" t="s">
        <v>71</v>
      </c>
      <c r="C30" s="165" t="s">
        <v>72</v>
      </c>
      <c r="D30" s="165" t="s">
        <v>36</v>
      </c>
      <c r="E30" s="166">
        <v>58968</v>
      </c>
      <c r="F30" s="167">
        <v>1254.042972</v>
      </c>
      <c r="G30" s="168">
        <v>1.3314629999999999E-2</v>
      </c>
      <c r="H30" s="168"/>
      <c r="J30" s="75"/>
    </row>
    <row r="31" spans="1:10" x14ac:dyDescent="0.2">
      <c r="A31" s="164">
        <v>25</v>
      </c>
      <c r="B31" s="165" t="s">
        <v>73</v>
      </c>
      <c r="C31" s="165" t="s">
        <v>74</v>
      </c>
      <c r="D31" s="165" t="s">
        <v>75</v>
      </c>
      <c r="E31" s="166">
        <v>15000</v>
      </c>
      <c r="F31" s="167">
        <v>1251.2625</v>
      </c>
      <c r="G31" s="168">
        <v>1.3285109999999999E-2</v>
      </c>
      <c r="H31" s="168"/>
      <c r="J31" s="75"/>
    </row>
    <row r="32" spans="1:10" x14ac:dyDescent="0.2">
      <c r="A32" s="164">
        <v>26</v>
      </c>
      <c r="B32" s="165" t="s">
        <v>76</v>
      </c>
      <c r="C32" s="165" t="s">
        <v>77</v>
      </c>
      <c r="D32" s="165" t="s">
        <v>33</v>
      </c>
      <c r="E32" s="166">
        <v>13000</v>
      </c>
      <c r="F32" s="167">
        <v>1245.2375</v>
      </c>
      <c r="G32" s="168">
        <v>1.3221139999999999E-2</v>
      </c>
      <c r="H32" s="168"/>
      <c r="J32" s="75"/>
    </row>
    <row r="33" spans="1:10" x14ac:dyDescent="0.2">
      <c r="A33" s="164">
        <v>27</v>
      </c>
      <c r="B33" s="165" t="s">
        <v>78</v>
      </c>
      <c r="C33" s="165" t="s">
        <v>79</v>
      </c>
      <c r="D33" s="165" t="s">
        <v>80</v>
      </c>
      <c r="E33" s="166">
        <v>119000</v>
      </c>
      <c r="F33" s="167">
        <v>1229.1510000000001</v>
      </c>
      <c r="G33" s="168">
        <v>1.3050340000000001E-2</v>
      </c>
      <c r="H33" s="168"/>
      <c r="J33" s="75"/>
    </row>
    <row r="34" spans="1:10" x14ac:dyDescent="0.2">
      <c r="A34" s="164">
        <v>28</v>
      </c>
      <c r="B34" s="165" t="s">
        <v>81</v>
      </c>
      <c r="C34" s="165" t="s">
        <v>82</v>
      </c>
      <c r="D34" s="165" t="s">
        <v>36</v>
      </c>
      <c r="E34" s="166">
        <v>37000</v>
      </c>
      <c r="F34" s="167">
        <v>1211.9165</v>
      </c>
      <c r="G34" s="168">
        <v>1.286736E-2</v>
      </c>
      <c r="H34" s="168"/>
      <c r="J34" s="75"/>
    </row>
    <row r="35" spans="1:10" x14ac:dyDescent="0.2">
      <c r="A35" s="164">
        <v>29</v>
      </c>
      <c r="B35" s="165" t="s">
        <v>83</v>
      </c>
      <c r="C35" s="165" t="s">
        <v>84</v>
      </c>
      <c r="D35" s="165" t="s">
        <v>36</v>
      </c>
      <c r="E35" s="166">
        <v>114785</v>
      </c>
      <c r="F35" s="167">
        <v>1173.5044475</v>
      </c>
      <c r="G35" s="168">
        <v>1.245952E-2</v>
      </c>
      <c r="H35" s="168"/>
      <c r="J35" s="75"/>
    </row>
    <row r="36" spans="1:10" x14ac:dyDescent="0.2">
      <c r="A36" s="164">
        <v>30</v>
      </c>
      <c r="B36" s="165" t="s">
        <v>85</v>
      </c>
      <c r="C36" s="165" t="s">
        <v>86</v>
      </c>
      <c r="D36" s="165" t="s">
        <v>33</v>
      </c>
      <c r="E36" s="166">
        <v>325000</v>
      </c>
      <c r="F36" s="167">
        <v>1090.2125000000001</v>
      </c>
      <c r="G36" s="168">
        <v>1.1575179999999999E-2</v>
      </c>
      <c r="H36" s="168"/>
      <c r="J36" s="75"/>
    </row>
    <row r="37" spans="1:10" ht="25.5" x14ac:dyDescent="0.2">
      <c r="A37" s="164">
        <v>31</v>
      </c>
      <c r="B37" s="165" t="s">
        <v>87</v>
      </c>
      <c r="C37" s="165" t="s">
        <v>88</v>
      </c>
      <c r="D37" s="165" t="s">
        <v>13</v>
      </c>
      <c r="E37" s="166">
        <v>165000</v>
      </c>
      <c r="F37" s="167">
        <v>1082.4825000000001</v>
      </c>
      <c r="G37" s="168">
        <v>1.1493110000000001E-2</v>
      </c>
      <c r="H37" s="168"/>
      <c r="J37" s="75"/>
    </row>
    <row r="38" spans="1:10" x14ac:dyDescent="0.2">
      <c r="A38" s="164">
        <v>32</v>
      </c>
      <c r="B38" s="165" t="s">
        <v>89</v>
      </c>
      <c r="C38" s="165" t="s">
        <v>90</v>
      </c>
      <c r="D38" s="165" t="s">
        <v>62</v>
      </c>
      <c r="E38" s="166">
        <v>27000</v>
      </c>
      <c r="F38" s="167">
        <v>1075.221</v>
      </c>
      <c r="G38" s="168">
        <v>1.1416010000000001E-2</v>
      </c>
      <c r="H38" s="168"/>
      <c r="J38" s="75"/>
    </row>
    <row r="39" spans="1:10" x14ac:dyDescent="0.2">
      <c r="A39" s="164">
        <v>33</v>
      </c>
      <c r="B39" s="165" t="s">
        <v>91</v>
      </c>
      <c r="C39" s="165" t="s">
        <v>92</v>
      </c>
      <c r="D39" s="165" t="s">
        <v>33</v>
      </c>
      <c r="E39" s="166">
        <v>13298</v>
      </c>
      <c r="F39" s="167">
        <v>1047.895698</v>
      </c>
      <c r="G39" s="168">
        <v>1.1125889999999999E-2</v>
      </c>
      <c r="H39" s="168"/>
      <c r="J39" s="75"/>
    </row>
    <row r="40" spans="1:10" x14ac:dyDescent="0.2">
      <c r="A40" s="164">
        <v>34</v>
      </c>
      <c r="B40" s="165" t="s">
        <v>93</v>
      </c>
      <c r="C40" s="165" t="s">
        <v>94</v>
      </c>
      <c r="D40" s="165" t="s">
        <v>36</v>
      </c>
      <c r="E40" s="166">
        <v>26000</v>
      </c>
      <c r="F40" s="167">
        <v>1038.856</v>
      </c>
      <c r="G40" s="168">
        <v>1.102991E-2</v>
      </c>
      <c r="H40" s="168"/>
      <c r="J40" s="75"/>
    </row>
    <row r="41" spans="1:10" x14ac:dyDescent="0.2">
      <c r="A41" s="164">
        <v>35</v>
      </c>
      <c r="B41" s="165" t="s">
        <v>95</v>
      </c>
      <c r="C41" s="165" t="s">
        <v>96</v>
      </c>
      <c r="D41" s="165" t="s">
        <v>33</v>
      </c>
      <c r="E41" s="166">
        <v>190000</v>
      </c>
      <c r="F41" s="167">
        <v>1021.345</v>
      </c>
      <c r="G41" s="168">
        <v>1.084399E-2</v>
      </c>
      <c r="H41" s="168"/>
      <c r="J41" s="75"/>
    </row>
    <row r="42" spans="1:10" ht="25.5" x14ac:dyDescent="0.2">
      <c r="A42" s="164">
        <v>36</v>
      </c>
      <c r="B42" s="165" t="s">
        <v>97</v>
      </c>
      <c r="C42" s="165" t="s">
        <v>98</v>
      </c>
      <c r="D42" s="165" t="s">
        <v>99</v>
      </c>
      <c r="E42" s="166">
        <v>75000</v>
      </c>
      <c r="F42" s="167">
        <v>993.67499999999995</v>
      </c>
      <c r="G42" s="168">
        <v>1.0550210000000001E-2</v>
      </c>
      <c r="H42" s="168"/>
      <c r="J42" s="75"/>
    </row>
    <row r="43" spans="1:10" x14ac:dyDescent="0.2">
      <c r="A43" s="164">
        <v>37</v>
      </c>
      <c r="B43" s="165" t="s">
        <v>100</v>
      </c>
      <c r="C43" s="165" t="s">
        <v>101</v>
      </c>
      <c r="D43" s="165" t="s">
        <v>36</v>
      </c>
      <c r="E43" s="166">
        <v>61000</v>
      </c>
      <c r="F43" s="167">
        <v>949.92250000000001</v>
      </c>
      <c r="G43" s="168">
        <v>1.008567E-2</v>
      </c>
      <c r="H43" s="168"/>
      <c r="J43" s="75"/>
    </row>
    <row r="44" spans="1:10" x14ac:dyDescent="0.2">
      <c r="A44" s="164">
        <v>38</v>
      </c>
      <c r="B44" s="165" t="s">
        <v>102</v>
      </c>
      <c r="C44" s="165" t="s">
        <v>103</v>
      </c>
      <c r="D44" s="165" t="s">
        <v>104</v>
      </c>
      <c r="E44" s="166">
        <v>25000</v>
      </c>
      <c r="F44" s="167">
        <v>922.46249999999998</v>
      </c>
      <c r="G44" s="168">
        <v>9.7941199999999999E-3</v>
      </c>
      <c r="H44" s="168"/>
      <c r="J44" s="75"/>
    </row>
    <row r="45" spans="1:10" x14ac:dyDescent="0.2">
      <c r="A45" s="164">
        <v>39</v>
      </c>
      <c r="B45" s="165" t="s">
        <v>105</v>
      </c>
      <c r="C45" s="165" t="s">
        <v>106</v>
      </c>
      <c r="D45" s="165" t="s">
        <v>107</v>
      </c>
      <c r="E45" s="166">
        <v>200000</v>
      </c>
      <c r="F45" s="167">
        <v>908.6</v>
      </c>
      <c r="G45" s="168">
        <v>9.6469299999999997E-3</v>
      </c>
      <c r="H45" s="168"/>
      <c r="J45" s="75"/>
    </row>
    <row r="46" spans="1:10" x14ac:dyDescent="0.2">
      <c r="A46" s="164">
        <v>40</v>
      </c>
      <c r="B46" s="165" t="s">
        <v>108</v>
      </c>
      <c r="C46" s="165" t="s">
        <v>109</v>
      </c>
      <c r="D46" s="165" t="s">
        <v>62</v>
      </c>
      <c r="E46" s="166">
        <v>200000</v>
      </c>
      <c r="F46" s="167">
        <v>898</v>
      </c>
      <c r="G46" s="168">
        <v>9.5343900000000002E-3</v>
      </c>
      <c r="H46" s="168"/>
      <c r="J46" s="75"/>
    </row>
    <row r="47" spans="1:10" x14ac:dyDescent="0.2">
      <c r="A47" s="164">
        <v>41</v>
      </c>
      <c r="B47" s="165" t="s">
        <v>110</v>
      </c>
      <c r="C47" s="165" t="s">
        <v>111</v>
      </c>
      <c r="D47" s="165" t="s">
        <v>19</v>
      </c>
      <c r="E47" s="166">
        <v>250000</v>
      </c>
      <c r="F47" s="167">
        <v>887</v>
      </c>
      <c r="G47" s="168">
        <v>9.4175999999999999E-3</v>
      </c>
      <c r="H47" s="168"/>
      <c r="J47" s="75"/>
    </row>
    <row r="48" spans="1:10" x14ac:dyDescent="0.2">
      <c r="A48" s="164">
        <v>42</v>
      </c>
      <c r="B48" s="165" t="s">
        <v>112</v>
      </c>
      <c r="C48" s="165" t="s">
        <v>113</v>
      </c>
      <c r="D48" s="165" t="s">
        <v>114</v>
      </c>
      <c r="E48" s="166">
        <v>92972</v>
      </c>
      <c r="F48" s="167">
        <v>864.31419800000003</v>
      </c>
      <c r="G48" s="168">
        <v>9.1767399999999992E-3</v>
      </c>
      <c r="H48" s="168"/>
      <c r="J48" s="75"/>
    </row>
    <row r="49" spans="1:10" x14ac:dyDescent="0.2">
      <c r="A49" s="164">
        <v>43</v>
      </c>
      <c r="B49" s="165" t="s">
        <v>115</v>
      </c>
      <c r="C49" s="165" t="s">
        <v>116</v>
      </c>
      <c r="D49" s="165" t="s">
        <v>33</v>
      </c>
      <c r="E49" s="166">
        <v>300000</v>
      </c>
      <c r="F49" s="167">
        <v>845.1</v>
      </c>
      <c r="G49" s="168">
        <v>8.9727299999999999E-3</v>
      </c>
      <c r="H49" s="168"/>
      <c r="J49" s="75"/>
    </row>
    <row r="50" spans="1:10" x14ac:dyDescent="0.2">
      <c r="A50" s="164">
        <v>44</v>
      </c>
      <c r="B50" s="165" t="s">
        <v>117</v>
      </c>
      <c r="C50" s="165" t="s">
        <v>118</v>
      </c>
      <c r="D50" s="165" t="s">
        <v>33</v>
      </c>
      <c r="E50" s="166">
        <v>18000</v>
      </c>
      <c r="F50" s="167">
        <v>840.52800000000002</v>
      </c>
      <c r="G50" s="168">
        <v>8.9241900000000002E-3</v>
      </c>
      <c r="H50" s="168"/>
      <c r="J50" s="75"/>
    </row>
    <row r="51" spans="1:10" ht="25.5" x14ac:dyDescent="0.2">
      <c r="A51" s="164">
        <v>45</v>
      </c>
      <c r="B51" s="165" t="s">
        <v>119</v>
      </c>
      <c r="C51" s="165" t="s">
        <v>120</v>
      </c>
      <c r="D51" s="165" t="s">
        <v>25</v>
      </c>
      <c r="E51" s="166">
        <v>135000</v>
      </c>
      <c r="F51" s="167">
        <v>836.86500000000001</v>
      </c>
      <c r="G51" s="168">
        <v>8.8853000000000005E-3</v>
      </c>
      <c r="H51" s="168"/>
      <c r="J51" s="75"/>
    </row>
    <row r="52" spans="1:10" x14ac:dyDescent="0.2">
      <c r="A52" s="164">
        <v>46</v>
      </c>
      <c r="B52" s="165" t="s">
        <v>121</v>
      </c>
      <c r="C52" s="165" t="s">
        <v>122</v>
      </c>
      <c r="D52" s="165" t="s">
        <v>16</v>
      </c>
      <c r="E52" s="166">
        <v>475000</v>
      </c>
      <c r="F52" s="167">
        <v>802.03750000000002</v>
      </c>
      <c r="G52" s="168">
        <v>8.5155200000000004E-3</v>
      </c>
      <c r="H52" s="168"/>
      <c r="J52" s="75"/>
    </row>
    <row r="53" spans="1:10" ht="25.5" x14ac:dyDescent="0.2">
      <c r="A53" s="164">
        <v>47</v>
      </c>
      <c r="B53" s="165" t="s">
        <v>123</v>
      </c>
      <c r="C53" s="165" t="s">
        <v>124</v>
      </c>
      <c r="D53" s="165" t="s">
        <v>25</v>
      </c>
      <c r="E53" s="166">
        <v>20000</v>
      </c>
      <c r="F53" s="167">
        <v>799.9</v>
      </c>
      <c r="G53" s="168">
        <v>8.4928299999999998E-3</v>
      </c>
      <c r="H53" s="168"/>
      <c r="J53" s="75"/>
    </row>
    <row r="54" spans="1:10" x14ac:dyDescent="0.2">
      <c r="A54" s="164">
        <v>48</v>
      </c>
      <c r="B54" s="165" t="s">
        <v>125</v>
      </c>
      <c r="C54" s="165" t="s">
        <v>126</v>
      </c>
      <c r="D54" s="165" t="s">
        <v>53</v>
      </c>
      <c r="E54" s="166">
        <v>180000</v>
      </c>
      <c r="F54" s="167">
        <v>794.79</v>
      </c>
      <c r="G54" s="168">
        <v>8.4385699999999994E-3</v>
      </c>
      <c r="H54" s="168"/>
      <c r="J54" s="75"/>
    </row>
    <row r="55" spans="1:10" x14ac:dyDescent="0.2">
      <c r="A55" s="164">
        <v>49</v>
      </c>
      <c r="B55" s="165" t="s">
        <v>127</v>
      </c>
      <c r="C55" s="165" t="s">
        <v>128</v>
      </c>
      <c r="D55" s="165" t="s">
        <v>16</v>
      </c>
      <c r="E55" s="166">
        <v>125000</v>
      </c>
      <c r="F55" s="167">
        <v>759.1875</v>
      </c>
      <c r="G55" s="168">
        <v>8.0605699999999995E-3</v>
      </c>
      <c r="H55" s="168"/>
      <c r="J55" s="75"/>
    </row>
    <row r="56" spans="1:10" x14ac:dyDescent="0.2">
      <c r="A56" s="164">
        <v>50</v>
      </c>
      <c r="B56" s="165" t="s">
        <v>129</v>
      </c>
      <c r="C56" s="165" t="s">
        <v>130</v>
      </c>
      <c r="D56" s="165" t="s">
        <v>80</v>
      </c>
      <c r="E56" s="166">
        <v>50000</v>
      </c>
      <c r="F56" s="167">
        <v>741.67499999999995</v>
      </c>
      <c r="G56" s="168">
        <v>7.8746300000000005E-3</v>
      </c>
      <c r="H56" s="168"/>
      <c r="J56" s="75"/>
    </row>
    <row r="57" spans="1:10" x14ac:dyDescent="0.2">
      <c r="A57" s="164">
        <v>51</v>
      </c>
      <c r="B57" s="165" t="s">
        <v>131</v>
      </c>
      <c r="C57" s="165" t="s">
        <v>132</v>
      </c>
      <c r="D57" s="165" t="s">
        <v>36</v>
      </c>
      <c r="E57" s="166">
        <v>52907</v>
      </c>
      <c r="F57" s="167">
        <v>715.40845400000001</v>
      </c>
      <c r="G57" s="168">
        <v>7.5957500000000001E-3</v>
      </c>
      <c r="H57" s="168"/>
      <c r="J57" s="75"/>
    </row>
    <row r="58" spans="1:10" ht="25.5" x14ac:dyDescent="0.2">
      <c r="A58" s="164">
        <v>52</v>
      </c>
      <c r="B58" s="165" t="s">
        <v>133</v>
      </c>
      <c r="C58" s="165" t="s">
        <v>134</v>
      </c>
      <c r="D58" s="165" t="s">
        <v>25</v>
      </c>
      <c r="E58" s="166">
        <v>391000</v>
      </c>
      <c r="F58" s="167">
        <v>708.6875</v>
      </c>
      <c r="G58" s="168">
        <v>7.5243899999999997E-3</v>
      </c>
      <c r="H58" s="168"/>
      <c r="J58" s="75"/>
    </row>
    <row r="59" spans="1:10" ht="25.5" x14ac:dyDescent="0.2">
      <c r="A59" s="164">
        <v>53</v>
      </c>
      <c r="B59" s="165" t="s">
        <v>135</v>
      </c>
      <c r="C59" s="165" t="s">
        <v>136</v>
      </c>
      <c r="D59" s="165" t="s">
        <v>25</v>
      </c>
      <c r="E59" s="166">
        <v>48000</v>
      </c>
      <c r="F59" s="167">
        <v>692.23199999999997</v>
      </c>
      <c r="G59" s="168">
        <v>7.3496799999999999E-3</v>
      </c>
      <c r="H59" s="168"/>
      <c r="J59" s="75"/>
    </row>
    <row r="60" spans="1:10" x14ac:dyDescent="0.2">
      <c r="A60" s="164">
        <v>54</v>
      </c>
      <c r="B60" s="165" t="s">
        <v>137</v>
      </c>
      <c r="C60" s="165" t="s">
        <v>138</v>
      </c>
      <c r="D60" s="165" t="s">
        <v>104</v>
      </c>
      <c r="E60" s="166">
        <v>104000</v>
      </c>
      <c r="F60" s="167">
        <v>653.53599999999994</v>
      </c>
      <c r="G60" s="168">
        <v>6.93883E-3</v>
      </c>
      <c r="H60" s="168"/>
      <c r="J60" s="75"/>
    </row>
    <row r="61" spans="1:10" x14ac:dyDescent="0.2">
      <c r="A61" s="164">
        <v>55</v>
      </c>
      <c r="B61" s="165" t="s">
        <v>139</v>
      </c>
      <c r="C61" s="165" t="s">
        <v>140</v>
      </c>
      <c r="D61" s="165" t="s">
        <v>36</v>
      </c>
      <c r="E61" s="166">
        <v>95000</v>
      </c>
      <c r="F61" s="167">
        <v>617.73749999999995</v>
      </c>
      <c r="G61" s="168">
        <v>6.5587400000000004E-3</v>
      </c>
      <c r="H61" s="168"/>
      <c r="J61" s="75"/>
    </row>
    <row r="62" spans="1:10" ht="25.5" x14ac:dyDescent="0.2">
      <c r="A62" s="164">
        <v>56</v>
      </c>
      <c r="B62" s="165" t="s">
        <v>141</v>
      </c>
      <c r="C62" s="165" t="s">
        <v>142</v>
      </c>
      <c r="D62" s="165" t="s">
        <v>25</v>
      </c>
      <c r="E62" s="166">
        <v>26000</v>
      </c>
      <c r="F62" s="167">
        <v>477.91899999999998</v>
      </c>
      <c r="G62" s="168">
        <v>5.0742399999999998E-3</v>
      </c>
      <c r="H62" s="168"/>
      <c r="J62" s="75"/>
    </row>
    <row r="63" spans="1:10" x14ac:dyDescent="0.2">
      <c r="A63" s="164">
        <v>57</v>
      </c>
      <c r="B63" s="165" t="s">
        <v>143</v>
      </c>
      <c r="C63" s="165" t="s">
        <v>144</v>
      </c>
      <c r="D63" s="165" t="s">
        <v>104</v>
      </c>
      <c r="E63" s="166">
        <v>70000</v>
      </c>
      <c r="F63" s="167">
        <v>437.745</v>
      </c>
      <c r="G63" s="168">
        <v>4.6477000000000003E-3</v>
      </c>
      <c r="H63" s="168"/>
      <c r="J63" s="75"/>
    </row>
    <row r="64" spans="1:10" ht="25.5" x14ac:dyDescent="0.2">
      <c r="A64" s="164">
        <v>58</v>
      </c>
      <c r="B64" s="165" t="s">
        <v>145</v>
      </c>
      <c r="C64" s="165" t="s">
        <v>146</v>
      </c>
      <c r="D64" s="165" t="s">
        <v>99</v>
      </c>
      <c r="E64" s="166">
        <v>142109</v>
      </c>
      <c r="F64" s="167">
        <v>355.27249999999998</v>
      </c>
      <c r="G64" s="168">
        <v>3.7720599999999998E-3</v>
      </c>
      <c r="H64" s="168"/>
      <c r="J64" s="75"/>
    </row>
    <row r="65" spans="1:10" x14ac:dyDescent="0.2">
      <c r="A65" s="164">
        <v>59</v>
      </c>
      <c r="B65" s="165" t="s">
        <v>147</v>
      </c>
      <c r="C65" s="165" t="s">
        <v>148</v>
      </c>
      <c r="D65" s="165" t="s">
        <v>75</v>
      </c>
      <c r="E65" s="166">
        <v>100000</v>
      </c>
      <c r="F65" s="167">
        <v>315.8</v>
      </c>
      <c r="G65" s="168">
        <v>3.3529599999999999E-3</v>
      </c>
      <c r="H65" s="168"/>
      <c r="J65" s="75"/>
    </row>
    <row r="66" spans="1:10" x14ac:dyDescent="0.2">
      <c r="A66" s="162"/>
      <c r="B66" s="162"/>
      <c r="C66" s="163" t="s">
        <v>152</v>
      </c>
      <c r="D66" s="162"/>
      <c r="E66" s="162" t="s">
        <v>153</v>
      </c>
      <c r="F66" s="169">
        <v>90400.489313188998</v>
      </c>
      <c r="G66" s="170">
        <v>0.95981466000000004</v>
      </c>
      <c r="H66" s="170"/>
      <c r="J66" s="75"/>
    </row>
    <row r="67" spans="1:10" x14ac:dyDescent="0.2">
      <c r="A67" s="162"/>
      <c r="B67" s="162"/>
      <c r="C67" s="171"/>
      <c r="D67" s="162"/>
      <c r="E67" s="162"/>
      <c r="F67" s="172"/>
      <c r="G67" s="172"/>
      <c r="H67" s="172"/>
      <c r="J67" s="75"/>
    </row>
    <row r="68" spans="1:10" x14ac:dyDescent="0.2">
      <c r="A68" s="162"/>
      <c r="B68" s="162"/>
      <c r="C68" s="163" t="s">
        <v>154</v>
      </c>
      <c r="D68" s="162"/>
      <c r="E68" s="162"/>
      <c r="F68" s="162"/>
      <c r="G68" s="162"/>
      <c r="H68" s="162"/>
      <c r="J68" s="75"/>
    </row>
    <row r="69" spans="1:10" x14ac:dyDescent="0.2">
      <c r="A69" s="162"/>
      <c r="B69" s="162"/>
      <c r="C69" s="163" t="s">
        <v>152</v>
      </c>
      <c r="D69" s="162"/>
      <c r="E69" s="162" t="s">
        <v>153</v>
      </c>
      <c r="F69" s="173" t="s">
        <v>155</v>
      </c>
      <c r="G69" s="170">
        <v>0</v>
      </c>
      <c r="H69" s="170"/>
      <c r="J69" s="75"/>
    </row>
    <row r="70" spans="1:10" x14ac:dyDescent="0.2">
      <c r="A70" s="162"/>
      <c r="B70" s="162"/>
      <c r="C70" s="171"/>
      <c r="D70" s="162"/>
      <c r="E70" s="162"/>
      <c r="F70" s="172"/>
      <c r="G70" s="172"/>
      <c r="H70" s="172"/>
      <c r="J70" s="75"/>
    </row>
    <row r="71" spans="1:10" x14ac:dyDescent="0.2">
      <c r="A71" s="162"/>
      <c r="B71" s="162"/>
      <c r="C71" s="163" t="s">
        <v>156</v>
      </c>
      <c r="D71" s="162"/>
      <c r="E71" s="162"/>
      <c r="F71" s="162"/>
      <c r="G71" s="162"/>
      <c r="H71" s="162"/>
      <c r="J71" s="75"/>
    </row>
    <row r="72" spans="1:10" x14ac:dyDescent="0.2">
      <c r="A72" s="164">
        <v>1</v>
      </c>
      <c r="B72" s="165" t="s">
        <v>149</v>
      </c>
      <c r="C72" s="165" t="s">
        <v>1200</v>
      </c>
      <c r="D72" s="165" t="s">
        <v>150</v>
      </c>
      <c r="E72" s="166">
        <v>559425</v>
      </c>
      <c r="F72" s="167">
        <v>1.1189000000000001E-5</v>
      </c>
      <c r="G72" s="174" t="s">
        <v>151</v>
      </c>
      <c r="H72" s="174"/>
      <c r="J72" s="75"/>
    </row>
    <row r="73" spans="1:10" x14ac:dyDescent="0.2">
      <c r="A73" s="162"/>
      <c r="B73" s="162"/>
      <c r="C73" s="163" t="s">
        <v>152</v>
      </c>
      <c r="D73" s="162"/>
      <c r="E73" s="162" t="s">
        <v>153</v>
      </c>
      <c r="F73" s="173" t="s">
        <v>155</v>
      </c>
      <c r="G73" s="170">
        <v>0</v>
      </c>
      <c r="H73" s="170"/>
      <c r="J73" s="75"/>
    </row>
    <row r="74" spans="1:10" x14ac:dyDescent="0.2">
      <c r="A74" s="162"/>
      <c r="B74" s="162"/>
      <c r="C74" s="171"/>
      <c r="D74" s="162"/>
      <c r="E74" s="162"/>
      <c r="F74" s="172"/>
      <c r="G74" s="172"/>
      <c r="H74" s="172"/>
      <c r="J74" s="75"/>
    </row>
    <row r="75" spans="1:10" x14ac:dyDescent="0.2">
      <c r="A75" s="162"/>
      <c r="B75" s="162"/>
      <c r="C75" s="163" t="s">
        <v>157</v>
      </c>
      <c r="D75" s="162"/>
      <c r="E75" s="162"/>
      <c r="F75" s="162"/>
      <c r="G75" s="162"/>
      <c r="H75" s="162"/>
      <c r="J75" s="75"/>
    </row>
    <row r="76" spans="1:10" x14ac:dyDescent="0.2">
      <c r="A76" s="162"/>
      <c r="B76" s="162"/>
      <c r="C76" s="163" t="s">
        <v>152</v>
      </c>
      <c r="D76" s="162"/>
      <c r="E76" s="162" t="s">
        <v>153</v>
      </c>
      <c r="F76" s="173" t="s">
        <v>155</v>
      </c>
      <c r="G76" s="170">
        <v>0</v>
      </c>
      <c r="H76" s="170"/>
      <c r="J76" s="75"/>
    </row>
    <row r="77" spans="1:10" x14ac:dyDescent="0.2">
      <c r="A77" s="162"/>
      <c r="B77" s="162"/>
      <c r="C77" s="171"/>
      <c r="D77" s="162"/>
      <c r="E77" s="162"/>
      <c r="F77" s="172"/>
      <c r="G77" s="172"/>
      <c r="H77" s="172"/>
      <c r="J77" s="75"/>
    </row>
    <row r="78" spans="1:10" x14ac:dyDescent="0.2">
      <c r="A78" s="162"/>
      <c r="B78" s="162"/>
      <c r="C78" s="163" t="s">
        <v>158</v>
      </c>
      <c r="D78" s="162"/>
      <c r="E78" s="162"/>
      <c r="F78" s="172"/>
      <c r="G78" s="172"/>
      <c r="H78" s="172"/>
      <c r="J78" s="75"/>
    </row>
    <row r="79" spans="1:10" x14ac:dyDescent="0.2">
      <c r="A79" s="162"/>
      <c r="B79" s="162"/>
      <c r="C79" s="163" t="s">
        <v>152</v>
      </c>
      <c r="D79" s="162"/>
      <c r="E79" s="162" t="s">
        <v>153</v>
      </c>
      <c r="F79" s="173" t="s">
        <v>155</v>
      </c>
      <c r="G79" s="170">
        <v>0</v>
      </c>
      <c r="H79" s="170"/>
      <c r="J79" s="75"/>
    </row>
    <row r="80" spans="1:10" x14ac:dyDescent="0.2">
      <c r="A80" s="162"/>
      <c r="B80" s="162"/>
      <c r="C80" s="171"/>
      <c r="D80" s="162"/>
      <c r="E80" s="162"/>
      <c r="F80" s="172"/>
      <c r="G80" s="172"/>
      <c r="H80" s="172"/>
      <c r="J80" s="75"/>
    </row>
    <row r="81" spans="1:10" x14ac:dyDescent="0.2">
      <c r="A81" s="162"/>
      <c r="B81" s="162"/>
      <c r="C81" s="163" t="s">
        <v>159</v>
      </c>
      <c r="D81" s="162"/>
      <c r="E81" s="162"/>
      <c r="F81" s="172"/>
      <c r="G81" s="172"/>
      <c r="H81" s="172"/>
      <c r="J81" s="75"/>
    </row>
    <row r="82" spans="1:10" x14ac:dyDescent="0.2">
      <c r="A82" s="162"/>
      <c r="B82" s="162"/>
      <c r="C82" s="163" t="s">
        <v>152</v>
      </c>
      <c r="D82" s="162"/>
      <c r="E82" s="162" t="s">
        <v>153</v>
      </c>
      <c r="F82" s="173" t="s">
        <v>155</v>
      </c>
      <c r="G82" s="170">
        <v>0</v>
      </c>
      <c r="H82" s="170"/>
      <c r="J82" s="75"/>
    </row>
    <row r="83" spans="1:10" x14ac:dyDescent="0.2">
      <c r="A83" s="162"/>
      <c r="B83" s="162"/>
      <c r="C83" s="171"/>
      <c r="D83" s="162"/>
      <c r="E83" s="162"/>
      <c r="F83" s="172"/>
      <c r="G83" s="172"/>
      <c r="H83" s="172"/>
      <c r="J83" s="75"/>
    </row>
    <row r="84" spans="1:10" x14ac:dyDescent="0.2">
      <c r="A84" s="162"/>
      <c r="B84" s="162"/>
      <c r="C84" s="163" t="s">
        <v>160</v>
      </c>
      <c r="D84" s="162"/>
      <c r="E84" s="162"/>
      <c r="F84" s="169">
        <v>90400.489313188998</v>
      </c>
      <c r="G84" s="170">
        <v>0.95981466000000004</v>
      </c>
      <c r="H84" s="170"/>
      <c r="J84" s="75"/>
    </row>
    <row r="85" spans="1:10" x14ac:dyDescent="0.2">
      <c r="A85" s="162"/>
      <c r="B85" s="162"/>
      <c r="C85" s="171"/>
      <c r="D85" s="162"/>
      <c r="E85" s="162"/>
      <c r="F85" s="172"/>
      <c r="G85" s="172"/>
      <c r="H85" s="172"/>
      <c r="J85" s="75"/>
    </row>
    <row r="86" spans="1:10" x14ac:dyDescent="0.2">
      <c r="A86" s="162"/>
      <c r="B86" s="162"/>
      <c r="C86" s="163" t="s">
        <v>161</v>
      </c>
      <c r="D86" s="162"/>
      <c r="E86" s="162"/>
      <c r="F86" s="172"/>
      <c r="G86" s="172"/>
      <c r="H86" s="172"/>
      <c r="J86" s="75"/>
    </row>
    <row r="87" spans="1:10" ht="25.5" x14ac:dyDescent="0.2">
      <c r="A87" s="162"/>
      <c r="B87" s="162"/>
      <c r="C87" s="163" t="s">
        <v>10</v>
      </c>
      <c r="D87" s="162"/>
      <c r="E87" s="162"/>
      <c r="F87" s="172"/>
      <c r="G87" s="172"/>
      <c r="H87" s="172"/>
      <c r="J87" s="75"/>
    </row>
    <row r="88" spans="1:10" x14ac:dyDescent="0.2">
      <c r="A88" s="162"/>
      <c r="B88" s="162"/>
      <c r="C88" s="163" t="s">
        <v>152</v>
      </c>
      <c r="D88" s="162"/>
      <c r="E88" s="162" t="s">
        <v>153</v>
      </c>
      <c r="F88" s="173" t="s">
        <v>155</v>
      </c>
      <c r="G88" s="170">
        <v>0</v>
      </c>
      <c r="H88" s="170"/>
      <c r="J88" s="75"/>
    </row>
    <row r="89" spans="1:10" x14ac:dyDescent="0.2">
      <c r="A89" s="162"/>
      <c r="B89" s="162"/>
      <c r="C89" s="171"/>
      <c r="D89" s="162"/>
      <c r="E89" s="162"/>
      <c r="F89" s="172"/>
      <c r="G89" s="172"/>
      <c r="H89" s="172"/>
      <c r="J89" s="75"/>
    </row>
    <row r="90" spans="1:10" x14ac:dyDescent="0.2">
      <c r="A90" s="162"/>
      <c r="B90" s="162"/>
      <c r="C90" s="163" t="s">
        <v>162</v>
      </c>
      <c r="D90" s="162"/>
      <c r="E90" s="162"/>
      <c r="F90" s="162"/>
      <c r="G90" s="162"/>
      <c r="H90" s="162"/>
      <c r="J90" s="75"/>
    </row>
    <row r="91" spans="1:10" x14ac:dyDescent="0.2">
      <c r="A91" s="162"/>
      <c r="B91" s="162"/>
      <c r="C91" s="163" t="s">
        <v>152</v>
      </c>
      <c r="D91" s="162"/>
      <c r="E91" s="162" t="s">
        <v>153</v>
      </c>
      <c r="F91" s="173" t="s">
        <v>155</v>
      </c>
      <c r="G91" s="170">
        <v>0</v>
      </c>
      <c r="H91" s="170"/>
      <c r="J91" s="75"/>
    </row>
    <row r="92" spans="1:10" x14ac:dyDescent="0.2">
      <c r="A92" s="162"/>
      <c r="B92" s="162"/>
      <c r="C92" s="171"/>
      <c r="D92" s="162"/>
      <c r="E92" s="162"/>
      <c r="F92" s="172"/>
      <c r="G92" s="172"/>
      <c r="H92" s="172"/>
      <c r="J92" s="75"/>
    </row>
    <row r="93" spans="1:10" x14ac:dyDescent="0.2">
      <c r="A93" s="162"/>
      <c r="B93" s="162"/>
      <c r="C93" s="163" t="s">
        <v>163</v>
      </c>
      <c r="D93" s="162"/>
      <c r="E93" s="162"/>
      <c r="F93" s="162"/>
      <c r="G93" s="162"/>
      <c r="H93" s="162"/>
      <c r="J93" s="75"/>
    </row>
    <row r="94" spans="1:10" x14ac:dyDescent="0.2">
      <c r="A94" s="162"/>
      <c r="B94" s="162"/>
      <c r="C94" s="163" t="s">
        <v>152</v>
      </c>
      <c r="D94" s="162"/>
      <c r="E94" s="162" t="s">
        <v>153</v>
      </c>
      <c r="F94" s="173" t="s">
        <v>155</v>
      </c>
      <c r="G94" s="170">
        <v>0</v>
      </c>
      <c r="H94" s="170"/>
      <c r="J94" s="75"/>
    </row>
    <row r="95" spans="1:10" x14ac:dyDescent="0.2">
      <c r="A95" s="162"/>
      <c r="B95" s="162"/>
      <c r="C95" s="171"/>
      <c r="D95" s="162"/>
      <c r="E95" s="162"/>
      <c r="F95" s="172"/>
      <c r="G95" s="172"/>
      <c r="H95" s="172"/>
      <c r="J95" s="75"/>
    </row>
    <row r="96" spans="1:10" x14ac:dyDescent="0.2">
      <c r="A96" s="162"/>
      <c r="B96" s="162"/>
      <c r="C96" s="163" t="s">
        <v>164</v>
      </c>
      <c r="D96" s="162"/>
      <c r="E96" s="162"/>
      <c r="F96" s="172"/>
      <c r="G96" s="172"/>
      <c r="H96" s="172"/>
      <c r="J96" s="75"/>
    </row>
    <row r="97" spans="1:10" x14ac:dyDescent="0.2">
      <c r="A97" s="162"/>
      <c r="B97" s="162"/>
      <c r="C97" s="163" t="s">
        <v>152</v>
      </c>
      <c r="D97" s="162"/>
      <c r="E97" s="162" t="s">
        <v>153</v>
      </c>
      <c r="F97" s="173" t="s">
        <v>155</v>
      </c>
      <c r="G97" s="170">
        <v>0</v>
      </c>
      <c r="H97" s="170"/>
      <c r="J97" s="75"/>
    </row>
    <row r="98" spans="1:10" x14ac:dyDescent="0.2">
      <c r="A98" s="162"/>
      <c r="B98" s="162"/>
      <c r="C98" s="171"/>
      <c r="D98" s="162"/>
      <c r="E98" s="162"/>
      <c r="F98" s="172"/>
      <c r="G98" s="172"/>
      <c r="H98" s="172"/>
      <c r="J98" s="75"/>
    </row>
    <row r="99" spans="1:10" x14ac:dyDescent="0.2">
      <c r="A99" s="162"/>
      <c r="B99" s="162"/>
      <c r="C99" s="163" t="s">
        <v>165</v>
      </c>
      <c r="D99" s="162"/>
      <c r="E99" s="162"/>
      <c r="F99" s="169">
        <v>0</v>
      </c>
      <c r="G99" s="170">
        <v>0</v>
      </c>
      <c r="H99" s="170"/>
      <c r="J99" s="75"/>
    </row>
    <row r="100" spans="1:10" x14ac:dyDescent="0.2">
      <c r="A100" s="162"/>
      <c r="B100" s="162"/>
      <c r="C100" s="171"/>
      <c r="D100" s="162"/>
      <c r="E100" s="162"/>
      <c r="F100" s="172"/>
      <c r="G100" s="172"/>
      <c r="H100" s="172"/>
      <c r="J100" s="75"/>
    </row>
    <row r="101" spans="1:10" x14ac:dyDescent="0.2">
      <c r="A101" s="162"/>
      <c r="B101" s="162"/>
      <c r="C101" s="163" t="s">
        <v>166</v>
      </c>
      <c r="D101" s="162"/>
      <c r="E101" s="162"/>
      <c r="F101" s="172"/>
      <c r="G101" s="172"/>
      <c r="H101" s="172"/>
      <c r="J101" s="75"/>
    </row>
    <row r="102" spans="1:10" x14ac:dyDescent="0.2">
      <c r="A102" s="162"/>
      <c r="B102" s="162"/>
      <c r="C102" s="163" t="s">
        <v>167</v>
      </c>
      <c r="D102" s="162"/>
      <c r="E102" s="198"/>
      <c r="F102" s="172"/>
      <c r="G102" s="172"/>
      <c r="H102" s="172"/>
      <c r="J102" s="75"/>
    </row>
    <row r="103" spans="1:10" x14ac:dyDescent="0.2">
      <c r="A103" s="162"/>
      <c r="B103" s="162"/>
      <c r="C103" s="163" t="s">
        <v>152</v>
      </c>
      <c r="D103" s="162"/>
      <c r="E103" s="162" t="s">
        <v>153</v>
      </c>
      <c r="F103" s="173" t="s">
        <v>155</v>
      </c>
      <c r="G103" s="170">
        <v>0</v>
      </c>
      <c r="H103" s="170"/>
      <c r="J103" s="75"/>
    </row>
    <row r="104" spans="1:10" x14ac:dyDescent="0.2">
      <c r="A104" s="162"/>
      <c r="B104" s="162"/>
      <c r="C104" s="171"/>
      <c r="D104" s="162"/>
      <c r="E104" s="162"/>
      <c r="F104" s="172"/>
      <c r="G104" s="172"/>
      <c r="H104" s="172"/>
      <c r="J104" s="75"/>
    </row>
    <row r="105" spans="1:10" x14ac:dyDescent="0.2">
      <c r="A105" s="162"/>
      <c r="B105" s="162"/>
      <c r="C105" s="163" t="s">
        <v>168</v>
      </c>
      <c r="D105" s="162"/>
      <c r="E105" s="162"/>
      <c r="F105" s="172"/>
      <c r="G105" s="172"/>
      <c r="H105" s="172"/>
      <c r="J105" s="75"/>
    </row>
    <row r="106" spans="1:10" x14ac:dyDescent="0.2">
      <c r="A106" s="162"/>
      <c r="B106" s="162"/>
      <c r="C106" s="163" t="s">
        <v>152</v>
      </c>
      <c r="D106" s="162"/>
      <c r="E106" s="162" t="s">
        <v>153</v>
      </c>
      <c r="F106" s="173" t="s">
        <v>155</v>
      </c>
      <c r="G106" s="170">
        <v>0</v>
      </c>
      <c r="H106" s="170"/>
      <c r="J106" s="75"/>
    </row>
    <row r="107" spans="1:10" x14ac:dyDescent="0.2">
      <c r="A107" s="162"/>
      <c r="B107" s="162"/>
      <c r="C107" s="171"/>
      <c r="D107" s="162"/>
      <c r="E107" s="162"/>
      <c r="F107" s="172"/>
      <c r="G107" s="172"/>
      <c r="H107" s="172"/>
      <c r="J107" s="75"/>
    </row>
    <row r="108" spans="1:10" x14ac:dyDescent="0.2">
      <c r="A108" s="162"/>
      <c r="B108" s="162"/>
      <c r="C108" s="163" t="s">
        <v>169</v>
      </c>
      <c r="D108" s="162"/>
      <c r="E108" s="162"/>
      <c r="F108" s="172"/>
      <c r="G108" s="172"/>
      <c r="H108" s="172"/>
      <c r="J108" s="75"/>
    </row>
    <row r="109" spans="1:10" x14ac:dyDescent="0.2">
      <c r="A109" s="162"/>
      <c r="B109" s="162"/>
      <c r="C109" s="163" t="s">
        <v>152</v>
      </c>
      <c r="D109" s="162"/>
      <c r="E109" s="162" t="s">
        <v>153</v>
      </c>
      <c r="F109" s="173" t="s">
        <v>155</v>
      </c>
      <c r="G109" s="170">
        <v>0</v>
      </c>
      <c r="H109" s="170"/>
      <c r="J109" s="75"/>
    </row>
    <row r="110" spans="1:10" x14ac:dyDescent="0.2">
      <c r="A110" s="162"/>
      <c r="B110" s="162"/>
      <c r="C110" s="171"/>
      <c r="D110" s="162"/>
      <c r="E110" s="162"/>
      <c r="F110" s="172"/>
      <c r="G110" s="172"/>
      <c r="H110" s="172"/>
      <c r="J110" s="75"/>
    </row>
    <row r="111" spans="1:10" x14ac:dyDescent="0.2">
      <c r="A111" s="162"/>
      <c r="B111" s="162"/>
      <c r="C111" s="163" t="s">
        <v>170</v>
      </c>
      <c r="D111" s="162"/>
      <c r="E111" s="162"/>
      <c r="F111" s="172"/>
      <c r="G111" s="172"/>
      <c r="H111" s="172"/>
      <c r="J111" s="75"/>
    </row>
    <row r="112" spans="1:10" x14ac:dyDescent="0.2">
      <c r="A112" s="164">
        <v>1</v>
      </c>
      <c r="B112" s="165"/>
      <c r="C112" s="165" t="s">
        <v>171</v>
      </c>
      <c r="D112" s="165"/>
      <c r="E112" s="174"/>
      <c r="F112" s="167">
        <v>3384.1449831049999</v>
      </c>
      <c r="G112" s="168">
        <v>3.5930690000000001E-2</v>
      </c>
      <c r="H112" s="175">
        <v>6.66</v>
      </c>
      <c r="J112" s="75"/>
    </row>
    <row r="113" spans="1:10" x14ac:dyDescent="0.2">
      <c r="A113" s="162"/>
      <c r="B113" s="162"/>
      <c r="C113" s="163" t="s">
        <v>152</v>
      </c>
      <c r="D113" s="162"/>
      <c r="E113" s="162" t="s">
        <v>153</v>
      </c>
      <c r="F113" s="169">
        <v>3384.1449831049999</v>
      </c>
      <c r="G113" s="170">
        <v>3.5930690000000001E-2</v>
      </c>
      <c r="H113" s="170"/>
      <c r="J113" s="75"/>
    </row>
    <row r="114" spans="1:10" x14ac:dyDescent="0.2">
      <c r="A114" s="162"/>
      <c r="B114" s="162"/>
      <c r="C114" s="171"/>
      <c r="D114" s="162"/>
      <c r="E114" s="162"/>
      <c r="F114" s="172"/>
      <c r="G114" s="172"/>
      <c r="H114" s="172"/>
      <c r="J114" s="75"/>
    </row>
    <row r="115" spans="1:10" x14ac:dyDescent="0.2">
      <c r="A115" s="162"/>
      <c r="B115" s="162"/>
      <c r="C115" s="163" t="s">
        <v>172</v>
      </c>
      <c r="D115" s="162"/>
      <c r="E115" s="162"/>
      <c r="F115" s="169">
        <v>3384.1449831049999</v>
      </c>
      <c r="G115" s="170">
        <v>3.5930690000000001E-2</v>
      </c>
      <c r="H115" s="170"/>
      <c r="J115" s="75"/>
    </row>
    <row r="116" spans="1:10" x14ac:dyDescent="0.2">
      <c r="A116" s="162"/>
      <c r="B116" s="162"/>
      <c r="C116" s="172"/>
      <c r="D116" s="162"/>
      <c r="E116" s="162"/>
      <c r="F116" s="162"/>
      <c r="G116" s="162"/>
      <c r="H116" s="162"/>
      <c r="J116" s="75"/>
    </row>
    <row r="117" spans="1:10" x14ac:dyDescent="0.2">
      <c r="A117" s="162"/>
      <c r="B117" s="162"/>
      <c r="C117" s="163" t="s">
        <v>173</v>
      </c>
      <c r="D117" s="162"/>
      <c r="E117" s="162"/>
      <c r="F117" s="162"/>
      <c r="G117" s="162"/>
      <c r="H117" s="162"/>
      <c r="J117" s="75"/>
    </row>
    <row r="118" spans="1:10" x14ac:dyDescent="0.2">
      <c r="A118" s="162"/>
      <c r="B118" s="162"/>
      <c r="C118" s="163" t="s">
        <v>174</v>
      </c>
      <c r="D118" s="162"/>
      <c r="E118" s="162"/>
      <c r="F118" s="162"/>
      <c r="G118" s="162"/>
      <c r="H118" s="162"/>
      <c r="J118" s="75"/>
    </row>
    <row r="119" spans="1:10" x14ac:dyDescent="0.2">
      <c r="A119" s="164">
        <v>1</v>
      </c>
      <c r="B119" s="165" t="s">
        <v>175</v>
      </c>
      <c r="C119" s="165" t="s">
        <v>176</v>
      </c>
      <c r="D119" s="165"/>
      <c r="E119" s="176">
        <v>30850.85</v>
      </c>
      <c r="F119" s="167">
        <v>662.00892326400003</v>
      </c>
      <c r="G119" s="168">
        <v>7.02879E-3</v>
      </c>
      <c r="H119" s="168"/>
      <c r="J119" s="75"/>
    </row>
    <row r="120" spans="1:10" x14ac:dyDescent="0.2">
      <c r="A120" s="162"/>
      <c r="B120" s="162"/>
      <c r="C120" s="163" t="s">
        <v>152</v>
      </c>
      <c r="D120" s="162"/>
      <c r="E120" s="162" t="s">
        <v>153</v>
      </c>
      <c r="F120" s="169">
        <v>662.00892326400003</v>
      </c>
      <c r="G120" s="170">
        <v>7.02879E-3</v>
      </c>
      <c r="H120" s="170"/>
      <c r="J120" s="75"/>
    </row>
    <row r="121" spans="1:10" x14ac:dyDescent="0.2">
      <c r="A121" s="162"/>
      <c r="B121" s="162"/>
      <c r="C121" s="171"/>
      <c r="D121" s="162"/>
      <c r="E121" s="162"/>
      <c r="F121" s="172"/>
      <c r="G121" s="172"/>
      <c r="H121" s="172"/>
      <c r="J121" s="75"/>
    </row>
    <row r="122" spans="1:10" x14ac:dyDescent="0.2">
      <c r="A122" s="162"/>
      <c r="B122" s="162"/>
      <c r="C122" s="163" t="s">
        <v>177</v>
      </c>
      <c r="D122" s="162"/>
      <c r="E122" s="162"/>
      <c r="F122" s="162"/>
      <c r="G122" s="162"/>
      <c r="H122" s="162"/>
      <c r="J122" s="75"/>
    </row>
    <row r="123" spans="1:10" x14ac:dyDescent="0.2">
      <c r="A123" s="162"/>
      <c r="B123" s="162"/>
      <c r="C123" s="163" t="s">
        <v>178</v>
      </c>
      <c r="D123" s="162"/>
      <c r="E123" s="162"/>
      <c r="F123" s="162"/>
      <c r="G123" s="162"/>
      <c r="H123" s="162"/>
      <c r="J123" s="75"/>
    </row>
    <row r="124" spans="1:10" x14ac:dyDescent="0.2">
      <c r="A124" s="162"/>
      <c r="B124" s="162"/>
      <c r="C124" s="163" t="s">
        <v>152</v>
      </c>
      <c r="D124" s="162"/>
      <c r="E124" s="162" t="s">
        <v>153</v>
      </c>
      <c r="F124" s="173" t="s">
        <v>155</v>
      </c>
      <c r="G124" s="170">
        <v>0</v>
      </c>
      <c r="H124" s="170"/>
      <c r="J124" s="75"/>
    </row>
    <row r="125" spans="1:10" x14ac:dyDescent="0.2">
      <c r="A125" s="162"/>
      <c r="B125" s="162"/>
      <c r="C125" s="171"/>
      <c r="D125" s="162"/>
      <c r="E125" s="162"/>
      <c r="F125" s="172"/>
      <c r="G125" s="172"/>
      <c r="H125" s="172"/>
      <c r="J125" s="75"/>
    </row>
    <row r="126" spans="1:10" ht="25.5" x14ac:dyDescent="0.2">
      <c r="A126" s="162"/>
      <c r="B126" s="162"/>
      <c r="C126" s="163" t="s">
        <v>179</v>
      </c>
      <c r="D126" s="162"/>
      <c r="E126" s="162"/>
      <c r="F126" s="172"/>
      <c r="G126" s="172"/>
      <c r="H126" s="172"/>
      <c r="J126" s="75"/>
    </row>
    <row r="127" spans="1:10" x14ac:dyDescent="0.2">
      <c r="A127" s="162"/>
      <c r="B127" s="162"/>
      <c r="C127" s="163" t="s">
        <v>152</v>
      </c>
      <c r="D127" s="162"/>
      <c r="E127" s="162" t="s">
        <v>153</v>
      </c>
      <c r="F127" s="173" t="s">
        <v>155</v>
      </c>
      <c r="G127" s="170">
        <v>0</v>
      </c>
      <c r="H127" s="170"/>
      <c r="J127" s="75"/>
    </row>
    <row r="128" spans="1:10" x14ac:dyDescent="0.2">
      <c r="A128" s="162"/>
      <c r="B128" s="165"/>
      <c r="C128" s="165"/>
      <c r="D128" s="163"/>
      <c r="E128" s="162"/>
      <c r="F128" s="165"/>
      <c r="G128" s="174"/>
      <c r="H128" s="174"/>
      <c r="J128" s="75"/>
    </row>
    <row r="129" spans="1:17" x14ac:dyDescent="0.2">
      <c r="A129" s="174"/>
      <c r="B129" s="165"/>
      <c r="C129" s="165" t="s">
        <v>180</v>
      </c>
      <c r="D129" s="165"/>
      <c r="E129" s="174"/>
      <c r="F129" s="167">
        <v>-261.27699474999997</v>
      </c>
      <c r="G129" s="168">
        <v>-2.77407E-3</v>
      </c>
      <c r="H129" s="168"/>
      <c r="J129" s="75"/>
    </row>
    <row r="130" spans="1:17" x14ac:dyDescent="0.2">
      <c r="A130" s="171"/>
      <c r="B130" s="171"/>
      <c r="C130" s="163" t="s">
        <v>181</v>
      </c>
      <c r="D130" s="172"/>
      <c r="E130" s="172"/>
      <c r="F130" s="169">
        <v>94185.366224808007</v>
      </c>
      <c r="G130" s="177">
        <v>1.00000007</v>
      </c>
      <c r="H130" s="177"/>
      <c r="J130" s="75"/>
    </row>
    <row r="131" spans="1:17" x14ac:dyDescent="0.2">
      <c r="A131" s="178"/>
      <c r="B131" s="178"/>
      <c r="C131" s="178"/>
      <c r="D131" s="179"/>
      <c r="E131" s="179"/>
      <c r="F131" s="179"/>
      <c r="G131" s="179"/>
      <c r="H131" s="179"/>
      <c r="J131" s="75"/>
    </row>
    <row r="132" spans="1:17" ht="12.75" customHeight="1" x14ac:dyDescent="0.2">
      <c r="A132" s="180"/>
      <c r="B132" s="258" t="s">
        <v>882</v>
      </c>
      <c r="C132" s="258"/>
      <c r="D132" s="258"/>
      <c r="E132" s="258"/>
      <c r="F132" s="258"/>
      <c r="G132" s="258"/>
      <c r="H132" s="258"/>
      <c r="J132" s="75"/>
    </row>
    <row r="133" spans="1:17" ht="14.1" customHeight="1" x14ac:dyDescent="0.2">
      <c r="A133" s="180"/>
      <c r="B133" s="258" t="s">
        <v>883</v>
      </c>
      <c r="C133" s="258"/>
      <c r="D133" s="258"/>
      <c r="E133" s="258"/>
      <c r="F133" s="258"/>
      <c r="G133" s="258"/>
      <c r="H133" s="258"/>
      <c r="J133" s="75"/>
    </row>
    <row r="134" spans="1:17" ht="17.100000000000001" customHeight="1" x14ac:dyDescent="0.2">
      <c r="A134" s="180"/>
      <c r="B134" s="258" t="s">
        <v>884</v>
      </c>
      <c r="C134" s="258"/>
      <c r="D134" s="258"/>
      <c r="E134" s="258"/>
      <c r="F134" s="258"/>
      <c r="G134" s="258"/>
      <c r="H134" s="258"/>
      <c r="J134" s="75"/>
    </row>
    <row r="135" spans="1:17" s="34" customFormat="1" ht="66.75" customHeight="1" x14ac:dyDescent="0.25">
      <c r="A135" s="33"/>
      <c r="B135" s="259" t="s">
        <v>885</v>
      </c>
      <c r="C135" s="259"/>
      <c r="D135" s="259"/>
      <c r="E135" s="259"/>
      <c r="F135" s="259"/>
      <c r="G135" s="259"/>
      <c r="H135" s="259"/>
      <c r="I135"/>
      <c r="J135" s="75"/>
      <c r="K135"/>
      <c r="L135"/>
      <c r="M135"/>
      <c r="N135"/>
      <c r="O135"/>
      <c r="P135"/>
      <c r="Q135"/>
    </row>
    <row r="136" spans="1:17" ht="12.75" customHeight="1" x14ac:dyDescent="0.2">
      <c r="A136" s="180"/>
      <c r="B136" s="258" t="s">
        <v>886</v>
      </c>
      <c r="C136" s="258"/>
      <c r="D136" s="258"/>
      <c r="E136" s="258"/>
      <c r="F136" s="258"/>
      <c r="G136" s="258"/>
      <c r="H136" s="258"/>
      <c r="J136" s="75"/>
    </row>
    <row r="137" spans="1:17" x14ac:dyDescent="0.2">
      <c r="A137" s="181"/>
      <c r="B137" s="181"/>
      <c r="C137" s="181"/>
      <c r="D137" s="182"/>
      <c r="E137" s="182"/>
      <c r="F137" s="182"/>
      <c r="G137" s="182"/>
      <c r="H137" s="182"/>
      <c r="J137" s="75"/>
    </row>
    <row r="138" spans="1:17" x14ac:dyDescent="0.2">
      <c r="A138" s="181"/>
      <c r="B138" s="255" t="s">
        <v>183</v>
      </c>
      <c r="C138" s="256"/>
      <c r="D138" s="257"/>
      <c r="E138" s="183"/>
      <c r="F138" s="182"/>
      <c r="G138" s="182"/>
      <c r="H138" s="182"/>
      <c r="J138" s="75"/>
    </row>
    <row r="139" spans="1:17" x14ac:dyDescent="0.2">
      <c r="A139" s="181"/>
      <c r="B139" s="253" t="s">
        <v>184</v>
      </c>
      <c r="C139" s="254"/>
      <c r="D139" s="163" t="s">
        <v>185</v>
      </c>
      <c r="E139" s="183"/>
      <c r="F139" s="182"/>
      <c r="G139" s="182"/>
      <c r="H139" s="182"/>
      <c r="J139" s="75"/>
    </row>
    <row r="140" spans="1:17" ht="12.75" customHeight="1" x14ac:dyDescent="0.2">
      <c r="A140" s="181"/>
      <c r="B140" s="251" t="s">
        <v>899</v>
      </c>
      <c r="C140" s="252"/>
      <c r="D140" s="163" t="s">
        <v>887</v>
      </c>
      <c r="E140" s="183"/>
      <c r="F140" s="182"/>
      <c r="G140" s="182"/>
      <c r="H140" s="182"/>
      <c r="J140" s="75"/>
    </row>
    <row r="141" spans="1:17" x14ac:dyDescent="0.2">
      <c r="A141" s="181"/>
      <c r="B141" s="253" t="s">
        <v>187</v>
      </c>
      <c r="C141" s="254"/>
      <c r="D141" s="172" t="s">
        <v>153</v>
      </c>
      <c r="E141" s="183"/>
      <c r="F141" s="182"/>
      <c r="G141" s="182"/>
      <c r="H141" s="182"/>
      <c r="J141" s="75"/>
    </row>
    <row r="142" spans="1:17" x14ac:dyDescent="0.2">
      <c r="A142" s="185"/>
      <c r="B142" s="186" t="s">
        <v>153</v>
      </c>
      <c r="C142" s="186" t="s">
        <v>1088</v>
      </c>
      <c r="D142" s="186" t="s">
        <v>188</v>
      </c>
      <c r="E142" s="185"/>
      <c r="F142" s="185"/>
      <c r="G142" s="185"/>
      <c r="H142" s="185"/>
      <c r="J142" s="75"/>
    </row>
    <row r="143" spans="1:17" x14ac:dyDescent="0.2">
      <c r="A143" s="185"/>
      <c r="B143" s="187" t="s">
        <v>189</v>
      </c>
      <c r="C143" s="186" t="s">
        <v>190</v>
      </c>
      <c r="D143" s="186" t="s">
        <v>191</v>
      </c>
      <c r="E143" s="185"/>
      <c r="F143" s="185"/>
      <c r="G143" s="185"/>
      <c r="H143" s="185"/>
      <c r="J143" s="75"/>
    </row>
    <row r="144" spans="1:17" x14ac:dyDescent="0.2">
      <c r="A144" s="185"/>
      <c r="B144" s="165" t="s">
        <v>192</v>
      </c>
      <c r="C144" s="188">
        <v>86.707599999999999</v>
      </c>
      <c r="D144" s="188">
        <v>92.380499999999998</v>
      </c>
      <c r="E144" s="185"/>
      <c r="F144" s="189"/>
      <c r="G144" s="190"/>
      <c r="H144" s="190"/>
      <c r="J144" s="75"/>
    </row>
    <row r="145" spans="1:10" x14ac:dyDescent="0.2">
      <c r="A145" s="185"/>
      <c r="B145" s="165" t="s">
        <v>1054</v>
      </c>
      <c r="C145" s="188">
        <v>57.780999999999999</v>
      </c>
      <c r="D145" s="188">
        <v>61.561399999999999</v>
      </c>
      <c r="E145" s="185"/>
      <c r="F145" s="189"/>
      <c r="G145" s="190"/>
      <c r="H145" s="190"/>
      <c r="J145" s="75"/>
    </row>
    <row r="146" spans="1:10" x14ac:dyDescent="0.2">
      <c r="A146" s="185"/>
      <c r="B146" s="165" t="s">
        <v>193</v>
      </c>
      <c r="C146" s="188">
        <v>81.733000000000004</v>
      </c>
      <c r="D146" s="188">
        <v>87.033299999999997</v>
      </c>
      <c r="E146" s="185"/>
      <c r="F146" s="189"/>
      <c r="G146" s="190"/>
      <c r="H146" s="190"/>
      <c r="J146" s="75"/>
    </row>
    <row r="147" spans="1:10" x14ac:dyDescent="0.2">
      <c r="A147" s="185"/>
      <c r="B147" s="165" t="s">
        <v>1055</v>
      </c>
      <c r="C147" s="188">
        <v>54.189900000000002</v>
      </c>
      <c r="D147" s="188">
        <v>57.703800000000001</v>
      </c>
      <c r="E147" s="185"/>
      <c r="F147" s="189"/>
      <c r="G147" s="190"/>
      <c r="H147" s="190"/>
      <c r="J147" s="75"/>
    </row>
    <row r="148" spans="1:10" x14ac:dyDescent="0.2">
      <c r="A148" s="185"/>
      <c r="B148" s="185"/>
      <c r="C148" s="185"/>
      <c r="D148" s="185"/>
      <c r="E148" s="185"/>
      <c r="F148" s="185"/>
      <c r="G148" s="185"/>
      <c r="H148" s="185"/>
      <c r="J148" s="75"/>
    </row>
    <row r="149" spans="1:10" x14ac:dyDescent="0.2">
      <c r="A149" s="185"/>
      <c r="B149" s="253" t="s">
        <v>1056</v>
      </c>
      <c r="C149" s="254"/>
      <c r="D149" s="163" t="s">
        <v>185</v>
      </c>
      <c r="E149" s="185"/>
      <c r="F149" s="185"/>
      <c r="G149" s="185"/>
      <c r="H149" s="185"/>
      <c r="J149" s="75"/>
    </row>
    <row r="150" spans="1:10" x14ac:dyDescent="0.2">
      <c r="A150" s="185"/>
      <c r="B150" s="189"/>
      <c r="C150" s="189"/>
      <c r="D150" s="185"/>
      <c r="E150" s="185"/>
      <c r="F150" s="185"/>
      <c r="G150" s="185"/>
      <c r="H150" s="185"/>
      <c r="J150" s="75"/>
    </row>
    <row r="151" spans="1:10" x14ac:dyDescent="0.2">
      <c r="A151" s="185"/>
      <c r="B151" s="253" t="s">
        <v>194</v>
      </c>
      <c r="C151" s="254"/>
      <c r="D151" s="163" t="s">
        <v>185</v>
      </c>
      <c r="E151" s="191"/>
      <c r="F151" s="185"/>
      <c r="G151" s="185"/>
      <c r="H151" s="185"/>
      <c r="J151" s="75"/>
    </row>
    <row r="152" spans="1:10" x14ac:dyDescent="0.2">
      <c r="A152" s="185"/>
      <c r="B152" s="253" t="s">
        <v>195</v>
      </c>
      <c r="C152" s="254"/>
      <c r="D152" s="163" t="s">
        <v>185</v>
      </c>
      <c r="E152" s="191"/>
      <c r="F152" s="185"/>
      <c r="G152" s="185"/>
      <c r="H152" s="185"/>
      <c r="J152" s="75"/>
    </row>
    <row r="153" spans="1:10" x14ac:dyDescent="0.2">
      <c r="A153" s="185"/>
      <c r="B153" s="253" t="s">
        <v>196</v>
      </c>
      <c r="C153" s="254"/>
      <c r="D153" s="163" t="s">
        <v>185</v>
      </c>
      <c r="E153" s="191"/>
      <c r="F153" s="185"/>
      <c r="G153" s="185"/>
      <c r="H153" s="185"/>
      <c r="J153" s="75"/>
    </row>
    <row r="154" spans="1:10" x14ac:dyDescent="0.2">
      <c r="A154" s="185"/>
      <c r="B154" s="253" t="s">
        <v>197</v>
      </c>
      <c r="C154" s="254"/>
      <c r="D154" s="192">
        <v>0.30074639844825524</v>
      </c>
      <c r="E154" s="185"/>
      <c r="F154" s="189"/>
      <c r="G154" s="190"/>
      <c r="H154" s="190"/>
      <c r="J154" s="75"/>
    </row>
    <row r="155" spans="1:10" x14ac:dyDescent="0.2">
      <c r="J155" s="75"/>
    </row>
  </sheetData>
  <mergeCells count="17">
    <mergeCell ref="B154:C154"/>
    <mergeCell ref="B149:C149"/>
    <mergeCell ref="B151:C151"/>
    <mergeCell ref="B152:C152"/>
    <mergeCell ref="B153:C153"/>
    <mergeCell ref="A1:H1"/>
    <mergeCell ref="A2:H2"/>
    <mergeCell ref="A3:H3"/>
    <mergeCell ref="B140:C140"/>
    <mergeCell ref="B141:C141"/>
    <mergeCell ref="B138:D138"/>
    <mergeCell ref="B139:C139"/>
    <mergeCell ref="B132:H132"/>
    <mergeCell ref="B133:H133"/>
    <mergeCell ref="B134:H134"/>
    <mergeCell ref="B135:H135"/>
    <mergeCell ref="B136:H136"/>
  </mergeCells>
  <hyperlinks>
    <hyperlink ref="I1" location="Index!B2" display="Index" xr:uid="{4AC29585-16C0-4B33-9C60-EB2C5767D3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4"/>
  <sheetViews>
    <sheetView showGridLines="0" workbookViewId="0">
      <selection activeCell="C12" sqref="C12"/>
    </sheetView>
  </sheetViews>
  <sheetFormatPr defaultRowHeight="12.75" x14ac:dyDescent="0.2"/>
  <cols>
    <col min="1" max="1" width="5.85546875" bestFit="1" customWidth="1"/>
    <col min="2" max="2" width="18.42578125" bestFit="1" customWidth="1"/>
    <col min="3" max="3" width="39.140625" bestFit="1" customWidth="1"/>
    <col min="4" max="4" width="15.140625" bestFit="1" customWidth="1"/>
    <col min="5" max="5" width="12.42578125" bestFit="1" customWidth="1"/>
    <col min="6" max="6" width="10.140625" bestFit="1" customWidth="1"/>
    <col min="7" max="7" width="14" bestFit="1" customWidth="1"/>
    <col min="8" max="8" width="8.42578125" bestFit="1" customWidth="1"/>
    <col min="9" max="9" width="5.7109375" style="30" bestFit="1" customWidth="1"/>
    <col min="10" max="10" width="50.7109375" style="76" customWidth="1"/>
  </cols>
  <sheetData>
    <row r="1" spans="1:17" ht="15" x14ac:dyDescent="0.2">
      <c r="A1" s="250" t="s">
        <v>0</v>
      </c>
      <c r="B1" s="250"/>
      <c r="C1" s="250"/>
      <c r="D1" s="250"/>
      <c r="E1" s="250"/>
      <c r="F1" s="250"/>
      <c r="G1" s="250"/>
      <c r="H1" s="250"/>
      <c r="I1" s="35" t="s">
        <v>888</v>
      </c>
      <c r="J1" s="75"/>
      <c r="K1" s="32"/>
      <c r="L1" s="32"/>
      <c r="M1" s="32"/>
      <c r="N1" s="32"/>
    </row>
    <row r="2" spans="1:17" ht="15" x14ac:dyDescent="0.2">
      <c r="A2" s="250" t="s">
        <v>198</v>
      </c>
      <c r="B2" s="250"/>
      <c r="C2" s="250"/>
      <c r="D2" s="250"/>
      <c r="E2" s="250"/>
      <c r="F2" s="250"/>
      <c r="G2" s="250"/>
      <c r="H2" s="250"/>
      <c r="J2" s="70" t="s">
        <v>889</v>
      </c>
      <c r="K2" s="67"/>
      <c r="L2" s="67"/>
      <c r="M2" s="67"/>
      <c r="N2" s="67"/>
    </row>
    <row r="3" spans="1:17" ht="15" x14ac:dyDescent="0.2">
      <c r="A3" s="250" t="s">
        <v>873</v>
      </c>
      <c r="B3" s="250"/>
      <c r="C3" s="250"/>
      <c r="D3" s="250"/>
      <c r="E3" s="250"/>
      <c r="F3" s="250"/>
      <c r="G3" s="250"/>
      <c r="H3" s="250"/>
      <c r="J3" s="75"/>
      <c r="K3" s="32"/>
      <c r="L3" s="32"/>
      <c r="M3" s="32"/>
      <c r="N3" s="32"/>
    </row>
    <row r="4" spans="1:17" s="28" customFormat="1" ht="30" x14ac:dyDescent="0.2">
      <c r="A4" s="161" t="s">
        <v>2</v>
      </c>
      <c r="B4" s="161" t="s">
        <v>3</v>
      </c>
      <c r="C4" s="161" t="s">
        <v>4</v>
      </c>
      <c r="D4" s="161" t="s">
        <v>5</v>
      </c>
      <c r="E4" s="161" t="s">
        <v>6</v>
      </c>
      <c r="F4" s="161" t="s">
        <v>7</v>
      </c>
      <c r="G4" s="161" t="s">
        <v>8</v>
      </c>
      <c r="H4" s="161" t="s">
        <v>872</v>
      </c>
      <c r="I4" s="37"/>
      <c r="J4" s="75"/>
      <c r="K4" s="32"/>
      <c r="L4" s="32"/>
      <c r="M4" s="32"/>
      <c r="N4" s="32"/>
      <c r="P4"/>
      <c r="Q4"/>
    </row>
    <row r="5" spans="1:17" ht="14.1" customHeight="1" x14ac:dyDescent="0.2">
      <c r="A5" s="162"/>
      <c r="B5" s="162"/>
      <c r="C5" s="163" t="s">
        <v>9</v>
      </c>
      <c r="D5" s="162"/>
      <c r="E5" s="162"/>
      <c r="F5" s="162"/>
      <c r="G5" s="162"/>
      <c r="H5" s="162"/>
      <c r="J5" s="75"/>
      <c r="K5" s="32"/>
      <c r="L5" s="32"/>
      <c r="M5" s="32"/>
      <c r="N5" s="32"/>
    </row>
    <row r="6" spans="1:17" ht="24" customHeight="1" x14ac:dyDescent="0.2">
      <c r="A6" s="162"/>
      <c r="B6" s="162"/>
      <c r="C6" s="163" t="s">
        <v>10</v>
      </c>
      <c r="D6" s="162"/>
      <c r="E6" s="162"/>
      <c r="F6" s="162"/>
      <c r="G6" s="162"/>
      <c r="H6" s="162"/>
      <c r="J6" s="75"/>
      <c r="K6" s="32"/>
      <c r="L6" s="32"/>
      <c r="M6" s="32"/>
      <c r="N6" s="32"/>
    </row>
    <row r="7" spans="1:17" ht="14.1" customHeight="1" x14ac:dyDescent="0.2">
      <c r="A7" s="162"/>
      <c r="B7" s="162"/>
      <c r="C7" s="163" t="s">
        <v>152</v>
      </c>
      <c r="D7" s="162"/>
      <c r="E7" s="162" t="s">
        <v>153</v>
      </c>
      <c r="F7" s="173" t="s">
        <v>155</v>
      </c>
      <c r="G7" s="170">
        <v>0</v>
      </c>
      <c r="H7" s="170"/>
      <c r="J7" s="75"/>
      <c r="K7" s="32"/>
      <c r="L7" s="32"/>
      <c r="M7" s="32"/>
      <c r="N7" s="32"/>
    </row>
    <row r="8" spans="1:17" ht="14.1" customHeight="1" x14ac:dyDescent="0.2">
      <c r="A8" s="162"/>
      <c r="B8" s="162"/>
      <c r="C8" s="171"/>
      <c r="D8" s="162"/>
      <c r="E8" s="162"/>
      <c r="F8" s="172"/>
      <c r="G8" s="172"/>
      <c r="H8" s="172"/>
      <c r="J8" s="75"/>
      <c r="K8" s="32"/>
      <c r="L8" s="32"/>
      <c r="M8" s="32"/>
      <c r="N8" s="32"/>
    </row>
    <row r="9" spans="1:17" ht="14.1" customHeight="1" x14ac:dyDescent="0.2">
      <c r="A9" s="162"/>
      <c r="B9" s="162"/>
      <c r="C9" s="163" t="s">
        <v>154</v>
      </c>
      <c r="D9" s="162"/>
      <c r="E9" s="162"/>
      <c r="F9" s="162"/>
      <c r="G9" s="162"/>
      <c r="H9" s="162"/>
      <c r="J9" s="75"/>
      <c r="K9" s="32"/>
      <c r="L9" s="32"/>
      <c r="M9" s="32"/>
      <c r="N9" s="32"/>
    </row>
    <row r="10" spans="1:17" ht="14.1" customHeight="1" x14ac:dyDescent="0.2">
      <c r="A10" s="162"/>
      <c r="B10" s="162"/>
      <c r="C10" s="163" t="s">
        <v>152</v>
      </c>
      <c r="D10" s="162"/>
      <c r="E10" s="162" t="s">
        <v>153</v>
      </c>
      <c r="F10" s="173" t="s">
        <v>155</v>
      </c>
      <c r="G10" s="170">
        <v>0</v>
      </c>
      <c r="H10" s="170"/>
      <c r="J10" s="75"/>
      <c r="K10" s="32"/>
      <c r="L10" s="32"/>
      <c r="M10" s="32"/>
      <c r="N10" s="32"/>
    </row>
    <row r="11" spans="1:17" ht="14.1" customHeight="1" x14ac:dyDescent="0.2">
      <c r="A11" s="162"/>
      <c r="B11" s="162"/>
      <c r="C11" s="171"/>
      <c r="D11" s="162"/>
      <c r="E11" s="162"/>
      <c r="F11" s="172"/>
      <c r="G11" s="172"/>
      <c r="H11" s="172"/>
      <c r="J11" s="75"/>
      <c r="K11" s="32"/>
      <c r="L11" s="32"/>
      <c r="M11" s="32"/>
      <c r="N11" s="32"/>
    </row>
    <row r="12" spans="1:17" ht="14.1" customHeight="1" x14ac:dyDescent="0.2">
      <c r="A12" s="162"/>
      <c r="B12" s="162"/>
      <c r="C12" s="163" t="s">
        <v>156</v>
      </c>
      <c r="D12" s="162"/>
      <c r="E12" s="162"/>
      <c r="F12" s="162"/>
      <c r="G12" s="162"/>
      <c r="H12" s="162"/>
      <c r="J12" s="71"/>
      <c r="K12" s="32"/>
      <c r="L12" s="32"/>
      <c r="M12" s="32"/>
      <c r="N12" s="32"/>
    </row>
    <row r="13" spans="1:17" ht="14.1" customHeight="1" x14ac:dyDescent="0.2">
      <c r="A13" s="162"/>
      <c r="B13" s="162"/>
      <c r="C13" s="163" t="s">
        <v>152</v>
      </c>
      <c r="D13" s="162"/>
      <c r="E13" s="162" t="s">
        <v>153</v>
      </c>
      <c r="F13" s="173" t="s">
        <v>155</v>
      </c>
      <c r="G13" s="170">
        <v>0</v>
      </c>
      <c r="H13" s="170"/>
      <c r="J13" s="75"/>
      <c r="K13" s="32"/>
      <c r="L13" s="32"/>
      <c r="M13" s="32"/>
      <c r="N13" s="32"/>
    </row>
    <row r="14" spans="1:17" ht="14.1" customHeight="1" x14ac:dyDescent="0.2">
      <c r="A14" s="162"/>
      <c r="B14" s="162"/>
      <c r="C14" s="171"/>
      <c r="D14" s="162"/>
      <c r="E14" s="162"/>
      <c r="F14" s="172"/>
      <c r="G14" s="172"/>
      <c r="H14" s="172"/>
      <c r="J14" s="75"/>
      <c r="K14" s="32"/>
      <c r="L14" s="32"/>
      <c r="M14" s="32"/>
      <c r="N14" s="32"/>
    </row>
    <row r="15" spans="1:17" ht="14.1" customHeight="1" x14ac:dyDescent="0.2">
      <c r="A15" s="162"/>
      <c r="B15" s="162"/>
      <c r="C15" s="163" t="s">
        <v>157</v>
      </c>
      <c r="D15" s="162"/>
      <c r="E15" s="162"/>
      <c r="F15" s="162"/>
      <c r="G15" s="162"/>
      <c r="H15" s="162"/>
      <c r="J15" s="75"/>
      <c r="K15" s="32"/>
      <c r="L15" s="32"/>
      <c r="M15" s="32"/>
      <c r="N15" s="32"/>
    </row>
    <row r="16" spans="1:17" ht="14.1" customHeight="1" x14ac:dyDescent="0.2">
      <c r="A16" s="162"/>
      <c r="B16" s="162"/>
      <c r="C16" s="163" t="s">
        <v>152</v>
      </c>
      <c r="D16" s="162"/>
      <c r="E16" s="162" t="s">
        <v>153</v>
      </c>
      <c r="F16" s="173" t="s">
        <v>155</v>
      </c>
      <c r="G16" s="170">
        <v>0</v>
      </c>
      <c r="H16" s="170"/>
      <c r="J16" s="75" t="s">
        <v>1069</v>
      </c>
      <c r="K16" s="32"/>
      <c r="L16" s="32"/>
      <c r="M16" s="32"/>
      <c r="N16" s="32"/>
    </row>
    <row r="17" spans="1:14" ht="14.1" customHeight="1" x14ac:dyDescent="0.2">
      <c r="A17" s="162"/>
      <c r="B17" s="162"/>
      <c r="C17" s="171"/>
      <c r="D17" s="162"/>
      <c r="E17" s="162"/>
      <c r="F17" s="172"/>
      <c r="G17" s="172"/>
      <c r="H17" s="172"/>
      <c r="J17" s="75"/>
      <c r="K17" s="32"/>
      <c r="L17" s="32"/>
      <c r="M17" s="32"/>
      <c r="N17" s="32"/>
    </row>
    <row r="18" spans="1:14" ht="14.1" customHeight="1" x14ac:dyDescent="0.2">
      <c r="A18" s="162"/>
      <c r="B18" s="162"/>
      <c r="C18" s="163" t="s">
        <v>158</v>
      </c>
      <c r="D18" s="162"/>
      <c r="E18" s="162"/>
      <c r="F18" s="172"/>
      <c r="G18" s="172"/>
      <c r="H18" s="172"/>
      <c r="J18" s="75"/>
      <c r="K18" s="32"/>
      <c r="L18" s="32"/>
      <c r="M18" s="32"/>
      <c r="N18" s="32"/>
    </row>
    <row r="19" spans="1:14" ht="14.1" customHeight="1" x14ac:dyDescent="0.2">
      <c r="A19" s="162"/>
      <c r="B19" s="162"/>
      <c r="C19" s="163" t="s">
        <v>152</v>
      </c>
      <c r="D19" s="162"/>
      <c r="E19" s="162" t="s">
        <v>153</v>
      </c>
      <c r="F19" s="173" t="s">
        <v>155</v>
      </c>
      <c r="G19" s="170">
        <v>0</v>
      </c>
      <c r="H19" s="170"/>
      <c r="J19" s="75"/>
      <c r="K19" s="32"/>
      <c r="L19" s="32"/>
      <c r="M19" s="32"/>
      <c r="N19" s="32"/>
    </row>
    <row r="20" spans="1:14" ht="14.1" customHeight="1" x14ac:dyDescent="0.2">
      <c r="A20" s="162"/>
      <c r="B20" s="162"/>
      <c r="C20" s="171"/>
      <c r="D20" s="162"/>
      <c r="E20" s="162"/>
      <c r="F20" s="172"/>
      <c r="G20" s="172"/>
      <c r="H20" s="172"/>
      <c r="J20" s="75"/>
      <c r="K20" s="32"/>
      <c r="L20" s="32"/>
      <c r="M20" s="32"/>
      <c r="N20" s="32"/>
    </row>
    <row r="21" spans="1:14" ht="14.1" customHeight="1" x14ac:dyDescent="0.2">
      <c r="A21" s="162"/>
      <c r="B21" s="162"/>
      <c r="C21" s="163" t="s">
        <v>159</v>
      </c>
      <c r="D21" s="162"/>
      <c r="E21" s="162"/>
      <c r="F21" s="172"/>
      <c r="G21" s="172"/>
      <c r="H21" s="172"/>
      <c r="J21" s="75"/>
      <c r="K21" s="32"/>
      <c r="L21" s="32"/>
      <c r="M21" s="32"/>
      <c r="N21" s="32"/>
    </row>
    <row r="22" spans="1:14" ht="14.1" customHeight="1" x14ac:dyDescent="0.2">
      <c r="A22" s="162"/>
      <c r="B22" s="162"/>
      <c r="C22" s="163" t="s">
        <v>152</v>
      </c>
      <c r="D22" s="162"/>
      <c r="E22" s="162" t="s">
        <v>153</v>
      </c>
      <c r="F22" s="173" t="s">
        <v>155</v>
      </c>
      <c r="G22" s="170">
        <v>0</v>
      </c>
      <c r="H22" s="170"/>
      <c r="J22" s="71"/>
      <c r="K22" s="32"/>
      <c r="L22" s="32"/>
      <c r="M22" s="32"/>
      <c r="N22" s="32"/>
    </row>
    <row r="23" spans="1:14" ht="14.1" customHeight="1" x14ac:dyDescent="0.2">
      <c r="A23" s="162"/>
      <c r="B23" s="162"/>
      <c r="C23" s="171"/>
      <c r="D23" s="162"/>
      <c r="E23" s="162"/>
      <c r="F23" s="172"/>
      <c r="G23" s="172"/>
      <c r="H23" s="172"/>
      <c r="J23" s="75"/>
      <c r="K23" s="32"/>
      <c r="L23" s="32"/>
      <c r="M23" s="32"/>
      <c r="N23" s="32"/>
    </row>
    <row r="24" spans="1:14" ht="18" customHeight="1" x14ac:dyDescent="0.2">
      <c r="A24" s="162"/>
      <c r="B24" s="162"/>
      <c r="C24" s="163" t="s">
        <v>160</v>
      </c>
      <c r="D24" s="162"/>
      <c r="E24" s="162"/>
      <c r="F24" s="169">
        <v>0</v>
      </c>
      <c r="G24" s="170">
        <v>0</v>
      </c>
      <c r="H24" s="170"/>
      <c r="J24" s="75"/>
      <c r="K24" s="32"/>
      <c r="L24" s="32"/>
      <c r="M24" s="32"/>
      <c r="N24" s="32"/>
    </row>
    <row r="25" spans="1:14" ht="14.1" customHeight="1" x14ac:dyDescent="0.2">
      <c r="A25" s="162"/>
      <c r="B25" s="162"/>
      <c r="C25" s="171"/>
      <c r="D25" s="162"/>
      <c r="E25" s="162"/>
      <c r="F25" s="172"/>
      <c r="G25" s="172"/>
      <c r="H25" s="172"/>
      <c r="J25" s="75"/>
      <c r="K25" s="32"/>
      <c r="L25" s="32"/>
      <c r="M25" s="32"/>
      <c r="N25" s="32"/>
    </row>
    <row r="26" spans="1:14" ht="14.1" customHeight="1" x14ac:dyDescent="0.2">
      <c r="A26" s="162"/>
      <c r="B26" s="162"/>
      <c r="C26" s="163" t="s">
        <v>161</v>
      </c>
      <c r="D26" s="162"/>
      <c r="E26" s="162"/>
      <c r="F26" s="172"/>
      <c r="G26" s="172"/>
      <c r="H26" s="172"/>
      <c r="J26" s="75"/>
      <c r="K26" s="32"/>
      <c r="L26" s="32"/>
      <c r="M26" s="32"/>
      <c r="N26" s="32"/>
    </row>
    <row r="27" spans="1:14" ht="24" customHeight="1" x14ac:dyDescent="0.2">
      <c r="A27" s="162"/>
      <c r="B27" s="162"/>
      <c r="C27" s="163" t="s">
        <v>10</v>
      </c>
      <c r="D27" s="162"/>
      <c r="E27" s="162"/>
      <c r="F27" s="172"/>
      <c r="G27" s="172"/>
      <c r="H27" s="172"/>
      <c r="J27" s="75"/>
      <c r="K27" s="32"/>
      <c r="L27" s="32"/>
      <c r="M27" s="32"/>
      <c r="N27" s="32"/>
    </row>
    <row r="28" spans="1:14" ht="14.1" customHeight="1" x14ac:dyDescent="0.2">
      <c r="A28" s="162"/>
      <c r="B28" s="162"/>
      <c r="C28" s="163" t="s">
        <v>152</v>
      </c>
      <c r="D28" s="162"/>
      <c r="E28" s="162" t="s">
        <v>153</v>
      </c>
      <c r="F28" s="173" t="s">
        <v>155</v>
      </c>
      <c r="G28" s="170">
        <v>0</v>
      </c>
      <c r="H28" s="170"/>
      <c r="J28" s="75"/>
      <c r="K28" s="32"/>
      <c r="L28" s="32"/>
      <c r="M28" s="32"/>
      <c r="N28" s="32"/>
    </row>
    <row r="29" spans="1:14" ht="14.1" customHeight="1" x14ac:dyDescent="0.2">
      <c r="A29" s="162"/>
      <c r="B29" s="162"/>
      <c r="C29" s="171"/>
      <c r="D29" s="162"/>
      <c r="E29" s="162"/>
      <c r="F29" s="172"/>
      <c r="G29" s="172"/>
      <c r="H29" s="172"/>
      <c r="J29" s="75"/>
      <c r="K29" s="32"/>
      <c r="L29" s="32"/>
      <c r="M29" s="32"/>
      <c r="N29" s="32"/>
    </row>
    <row r="30" spans="1:14" ht="14.1" customHeight="1" x14ac:dyDescent="0.2">
      <c r="A30" s="162"/>
      <c r="B30" s="162"/>
      <c r="C30" s="163" t="s">
        <v>162</v>
      </c>
      <c r="D30" s="162"/>
      <c r="E30" s="162"/>
      <c r="F30" s="162"/>
      <c r="G30" s="162"/>
      <c r="H30" s="162"/>
      <c r="J30" s="75"/>
      <c r="K30" s="32"/>
      <c r="L30" s="32"/>
      <c r="M30" s="32"/>
      <c r="N30" s="32"/>
    </row>
    <row r="31" spans="1:14" ht="14.1" customHeight="1" x14ac:dyDescent="0.2">
      <c r="A31" s="162"/>
      <c r="B31" s="162"/>
      <c r="C31" s="163" t="s">
        <v>152</v>
      </c>
      <c r="D31" s="162"/>
      <c r="E31" s="162" t="s">
        <v>153</v>
      </c>
      <c r="F31" s="173" t="s">
        <v>155</v>
      </c>
      <c r="G31" s="170">
        <v>0</v>
      </c>
      <c r="H31" s="170"/>
      <c r="J31" s="75"/>
      <c r="K31" s="32"/>
      <c r="L31" s="32"/>
      <c r="M31" s="32"/>
      <c r="N31" s="32"/>
    </row>
    <row r="32" spans="1:14" ht="14.1" customHeight="1" x14ac:dyDescent="0.2">
      <c r="A32" s="162"/>
      <c r="B32" s="162"/>
      <c r="C32" s="171"/>
      <c r="D32" s="162"/>
      <c r="E32" s="162"/>
      <c r="F32" s="172"/>
      <c r="G32" s="172"/>
      <c r="H32" s="172"/>
      <c r="J32" s="75"/>
      <c r="K32" s="32"/>
      <c r="L32" s="32"/>
      <c r="M32" s="32"/>
      <c r="N32" s="32"/>
    </row>
    <row r="33" spans="1:14" ht="14.1" customHeight="1" x14ac:dyDescent="0.2">
      <c r="A33" s="162"/>
      <c r="B33" s="162"/>
      <c r="C33" s="163" t="s">
        <v>163</v>
      </c>
      <c r="D33" s="162"/>
      <c r="E33" s="162"/>
      <c r="F33" s="162"/>
      <c r="G33" s="162"/>
      <c r="H33" s="162"/>
      <c r="J33" s="75"/>
      <c r="K33" s="32"/>
      <c r="L33" s="32"/>
      <c r="M33" s="32"/>
      <c r="N33" s="32"/>
    </row>
    <row r="34" spans="1:14" ht="14.1" customHeight="1" x14ac:dyDescent="0.2">
      <c r="A34" s="162"/>
      <c r="B34" s="162"/>
      <c r="C34" s="163" t="s">
        <v>152</v>
      </c>
      <c r="D34" s="162"/>
      <c r="E34" s="162" t="s">
        <v>153</v>
      </c>
      <c r="F34" s="173" t="s">
        <v>155</v>
      </c>
      <c r="G34" s="170">
        <v>0</v>
      </c>
      <c r="H34" s="170"/>
      <c r="J34" s="75"/>
      <c r="K34" s="32"/>
      <c r="L34" s="32"/>
      <c r="M34" s="32"/>
      <c r="N34" s="32"/>
    </row>
    <row r="35" spans="1:14" ht="14.1" customHeight="1" x14ac:dyDescent="0.2">
      <c r="A35" s="162"/>
      <c r="B35" s="162"/>
      <c r="C35" s="171"/>
      <c r="D35" s="162"/>
      <c r="E35" s="162"/>
      <c r="F35" s="172"/>
      <c r="G35" s="172"/>
      <c r="H35" s="172"/>
      <c r="J35" s="75"/>
      <c r="K35" s="32"/>
      <c r="L35" s="32"/>
      <c r="M35" s="32"/>
      <c r="N35" s="32"/>
    </row>
    <row r="36" spans="1:14" ht="14.1" customHeight="1" x14ac:dyDescent="0.2">
      <c r="A36" s="162"/>
      <c r="B36" s="162"/>
      <c r="C36" s="163" t="s">
        <v>164</v>
      </c>
      <c r="D36" s="162"/>
      <c r="E36" s="162"/>
      <c r="F36" s="172"/>
      <c r="G36" s="172"/>
      <c r="H36" s="172"/>
      <c r="J36" s="75"/>
      <c r="K36" s="32"/>
      <c r="L36" s="32"/>
      <c r="M36" s="32"/>
      <c r="N36" s="32"/>
    </row>
    <row r="37" spans="1:14" ht="14.1" customHeight="1" x14ac:dyDescent="0.2">
      <c r="A37" s="162"/>
      <c r="B37" s="162"/>
      <c r="C37" s="163" t="s">
        <v>152</v>
      </c>
      <c r="D37" s="162"/>
      <c r="E37" s="162" t="s">
        <v>153</v>
      </c>
      <c r="F37" s="173" t="s">
        <v>155</v>
      </c>
      <c r="G37" s="170">
        <v>0</v>
      </c>
      <c r="H37" s="170"/>
      <c r="J37" s="75"/>
      <c r="K37" s="32"/>
      <c r="L37" s="32"/>
      <c r="M37" s="32"/>
      <c r="N37" s="32"/>
    </row>
    <row r="38" spans="1:14" ht="14.1" customHeight="1" x14ac:dyDescent="0.2">
      <c r="A38" s="162"/>
      <c r="B38" s="162"/>
      <c r="C38" s="171"/>
      <c r="D38" s="162"/>
      <c r="E38" s="162"/>
      <c r="F38" s="172"/>
      <c r="G38" s="172"/>
      <c r="H38" s="172"/>
      <c r="J38" s="75"/>
      <c r="K38" s="32"/>
      <c r="L38" s="32"/>
      <c r="M38" s="32"/>
      <c r="N38" s="32"/>
    </row>
    <row r="39" spans="1:14" ht="14.1" customHeight="1" x14ac:dyDescent="0.2">
      <c r="A39" s="162"/>
      <c r="B39" s="162"/>
      <c r="C39" s="163" t="s">
        <v>165</v>
      </c>
      <c r="D39" s="162"/>
      <c r="E39" s="162"/>
      <c r="F39" s="169">
        <v>0</v>
      </c>
      <c r="G39" s="170">
        <v>0</v>
      </c>
      <c r="H39" s="170"/>
      <c r="J39" s="75"/>
      <c r="K39" s="32"/>
      <c r="L39" s="32"/>
      <c r="M39" s="32"/>
      <c r="N39" s="32"/>
    </row>
    <row r="40" spans="1:14" ht="14.1" customHeight="1" x14ac:dyDescent="0.2">
      <c r="A40" s="162"/>
      <c r="B40" s="162"/>
      <c r="C40" s="171"/>
      <c r="D40" s="162"/>
      <c r="E40" s="162"/>
      <c r="F40" s="172"/>
      <c r="G40" s="172"/>
      <c r="H40" s="172"/>
      <c r="J40" s="75"/>
      <c r="K40" s="32"/>
      <c r="L40" s="32"/>
      <c r="M40" s="32"/>
      <c r="N40" s="32"/>
    </row>
    <row r="41" spans="1:14" ht="14.1" customHeight="1" x14ac:dyDescent="0.2">
      <c r="A41" s="162"/>
      <c r="B41" s="162"/>
      <c r="C41" s="163" t="s">
        <v>166</v>
      </c>
      <c r="D41" s="162"/>
      <c r="E41" s="162"/>
      <c r="F41" s="172"/>
      <c r="G41" s="172"/>
      <c r="H41" s="172"/>
      <c r="J41" s="75"/>
      <c r="K41" s="32"/>
      <c r="L41" s="32"/>
      <c r="M41" s="32"/>
      <c r="N41" s="32"/>
    </row>
    <row r="42" spans="1:14" ht="14.1" customHeight="1" x14ac:dyDescent="0.2">
      <c r="A42" s="162"/>
      <c r="B42" s="162"/>
      <c r="C42" s="163" t="s">
        <v>167</v>
      </c>
      <c r="D42" s="162"/>
      <c r="E42" s="162"/>
      <c r="F42" s="172"/>
      <c r="G42" s="172"/>
      <c r="H42" s="172"/>
      <c r="J42" s="75"/>
      <c r="K42" s="32"/>
      <c r="L42" s="32"/>
      <c r="M42" s="32"/>
      <c r="N42" s="32"/>
    </row>
    <row r="43" spans="1:14" ht="14.1" customHeight="1" x14ac:dyDescent="0.2">
      <c r="A43" s="162"/>
      <c r="B43" s="162"/>
      <c r="C43" s="163" t="s">
        <v>152</v>
      </c>
      <c r="D43" s="162"/>
      <c r="E43" s="162" t="s">
        <v>153</v>
      </c>
      <c r="F43" s="173" t="s">
        <v>155</v>
      </c>
      <c r="G43" s="170">
        <v>0</v>
      </c>
      <c r="H43" s="170"/>
      <c r="J43" s="75"/>
      <c r="K43" s="32"/>
      <c r="L43" s="32"/>
      <c r="M43" s="32"/>
      <c r="N43" s="32"/>
    </row>
    <row r="44" spans="1:14" ht="14.1" customHeight="1" x14ac:dyDescent="0.2">
      <c r="A44" s="162"/>
      <c r="B44" s="162"/>
      <c r="C44" s="171"/>
      <c r="D44" s="162"/>
      <c r="E44" s="162"/>
      <c r="F44" s="172"/>
      <c r="G44" s="172"/>
      <c r="H44" s="172"/>
      <c r="J44" s="75"/>
      <c r="K44" s="32"/>
      <c r="L44" s="32"/>
      <c r="M44" s="32"/>
      <c r="N44" s="32"/>
    </row>
    <row r="45" spans="1:14" ht="14.1" customHeight="1" x14ac:dyDescent="0.2">
      <c r="A45" s="162"/>
      <c r="B45" s="162"/>
      <c r="C45" s="163" t="s">
        <v>168</v>
      </c>
      <c r="D45" s="162"/>
      <c r="E45" s="162"/>
      <c r="F45" s="172"/>
      <c r="G45" s="172"/>
      <c r="H45" s="172"/>
      <c r="J45" s="75"/>
      <c r="K45" s="32"/>
      <c r="L45" s="32"/>
      <c r="M45" s="32"/>
      <c r="N45" s="32"/>
    </row>
    <row r="46" spans="1:14" ht="14.1" customHeight="1" x14ac:dyDescent="0.2">
      <c r="A46" s="162"/>
      <c r="B46" s="162"/>
      <c r="C46" s="163" t="s">
        <v>152</v>
      </c>
      <c r="D46" s="162"/>
      <c r="E46" s="162" t="s">
        <v>153</v>
      </c>
      <c r="F46" s="173" t="s">
        <v>155</v>
      </c>
      <c r="G46" s="170">
        <v>0</v>
      </c>
      <c r="H46" s="170"/>
      <c r="J46" s="75"/>
      <c r="K46" s="32"/>
      <c r="L46" s="32"/>
      <c r="M46" s="32"/>
      <c r="N46" s="32"/>
    </row>
    <row r="47" spans="1:14" ht="14.1" customHeight="1" x14ac:dyDescent="0.2">
      <c r="A47" s="162"/>
      <c r="B47" s="162"/>
      <c r="C47" s="171"/>
      <c r="D47" s="162"/>
      <c r="E47" s="162"/>
      <c r="F47" s="172"/>
      <c r="G47" s="172"/>
      <c r="H47" s="172"/>
      <c r="J47" s="75"/>
      <c r="K47" s="32"/>
      <c r="L47" s="32"/>
      <c r="M47" s="32"/>
      <c r="N47" s="32"/>
    </row>
    <row r="48" spans="1:14" ht="14.1" customHeight="1" x14ac:dyDescent="0.2">
      <c r="A48" s="162"/>
      <c r="B48" s="162"/>
      <c r="C48" s="163" t="s">
        <v>169</v>
      </c>
      <c r="D48" s="162"/>
      <c r="E48" s="162"/>
      <c r="F48" s="172"/>
      <c r="G48" s="172"/>
      <c r="H48" s="172"/>
      <c r="J48" s="75"/>
      <c r="K48" s="32"/>
      <c r="L48" s="32"/>
      <c r="M48" s="32"/>
      <c r="N48" s="32"/>
    </row>
    <row r="49" spans="1:14" ht="14.1" customHeight="1" x14ac:dyDescent="0.2">
      <c r="A49" s="162"/>
      <c r="B49" s="162"/>
      <c r="C49" s="163" t="s">
        <v>152</v>
      </c>
      <c r="D49" s="162"/>
      <c r="E49" s="162" t="s">
        <v>153</v>
      </c>
      <c r="F49" s="173" t="s">
        <v>155</v>
      </c>
      <c r="G49" s="170">
        <v>0</v>
      </c>
      <c r="H49" s="170"/>
      <c r="J49" s="75"/>
      <c r="K49" s="32"/>
      <c r="L49" s="32"/>
      <c r="M49" s="32"/>
      <c r="N49" s="32"/>
    </row>
    <row r="50" spans="1:14" ht="14.1" customHeight="1" x14ac:dyDescent="0.2">
      <c r="A50" s="162"/>
      <c r="B50" s="162"/>
      <c r="C50" s="171"/>
      <c r="D50" s="162"/>
      <c r="E50" s="162"/>
      <c r="F50" s="172"/>
      <c r="G50" s="172"/>
      <c r="H50" s="172"/>
      <c r="J50" s="75"/>
      <c r="K50" s="32"/>
      <c r="L50" s="32"/>
      <c r="M50" s="32"/>
      <c r="N50" s="32"/>
    </row>
    <row r="51" spans="1:14" ht="14.1" customHeight="1" x14ac:dyDescent="0.2">
      <c r="A51" s="162"/>
      <c r="B51" s="162"/>
      <c r="C51" s="163" t="s">
        <v>170</v>
      </c>
      <c r="D51" s="162"/>
      <c r="E51" s="162"/>
      <c r="F51" s="172"/>
      <c r="G51" s="172"/>
      <c r="H51" s="172"/>
      <c r="J51" s="75"/>
      <c r="K51" s="32"/>
      <c r="L51" s="32"/>
      <c r="M51" s="32"/>
      <c r="N51" s="32"/>
    </row>
    <row r="52" spans="1:14" ht="17.100000000000001" customHeight="1" x14ac:dyDescent="0.2">
      <c r="A52" s="164">
        <v>1</v>
      </c>
      <c r="B52" s="165"/>
      <c r="C52" s="165" t="s">
        <v>171</v>
      </c>
      <c r="D52" s="165"/>
      <c r="E52" s="174"/>
      <c r="F52" s="167">
        <v>400.45988040200001</v>
      </c>
      <c r="G52" s="168">
        <v>3.4867330000000002E-2</v>
      </c>
      <c r="H52" s="175">
        <v>6.66</v>
      </c>
      <c r="J52" s="75"/>
      <c r="K52" s="32"/>
      <c r="L52" s="32"/>
      <c r="M52" s="32"/>
      <c r="N52" s="32"/>
    </row>
    <row r="53" spans="1:14" ht="14.1" customHeight="1" x14ac:dyDescent="0.2">
      <c r="A53" s="162"/>
      <c r="B53" s="162"/>
      <c r="C53" s="163" t="s">
        <v>152</v>
      </c>
      <c r="D53" s="162"/>
      <c r="E53" s="162" t="s">
        <v>153</v>
      </c>
      <c r="F53" s="169">
        <v>400.45988040200001</v>
      </c>
      <c r="G53" s="170">
        <v>3.4867330000000002E-2</v>
      </c>
      <c r="H53" s="170"/>
      <c r="J53" s="75"/>
      <c r="K53" s="32"/>
      <c r="L53" s="32"/>
      <c r="M53" s="32"/>
      <c r="N53" s="32"/>
    </row>
    <row r="54" spans="1:14" ht="14.1" customHeight="1" x14ac:dyDescent="0.2">
      <c r="A54" s="162"/>
      <c r="B54" s="162"/>
      <c r="C54" s="171"/>
      <c r="D54" s="162"/>
      <c r="E54" s="162"/>
      <c r="F54" s="172"/>
      <c r="G54" s="172"/>
      <c r="H54" s="172"/>
      <c r="J54" s="75"/>
      <c r="K54" s="32"/>
      <c r="L54" s="32"/>
      <c r="M54" s="32"/>
      <c r="N54" s="32"/>
    </row>
    <row r="55" spans="1:14" ht="14.1" customHeight="1" x14ac:dyDescent="0.2">
      <c r="A55" s="162"/>
      <c r="B55" s="162"/>
      <c r="C55" s="163" t="s">
        <v>172</v>
      </c>
      <c r="D55" s="162"/>
      <c r="E55" s="162"/>
      <c r="F55" s="169">
        <v>400.45988040200001</v>
      </c>
      <c r="G55" s="170">
        <v>3.4867330000000002E-2</v>
      </c>
      <c r="H55" s="170"/>
      <c r="J55" s="75"/>
      <c r="K55" s="32"/>
      <c r="L55" s="32"/>
      <c r="M55" s="32"/>
      <c r="N55" s="32"/>
    </row>
    <row r="56" spans="1:14" ht="14.1" customHeight="1" x14ac:dyDescent="0.2">
      <c r="A56" s="162"/>
      <c r="B56" s="162"/>
      <c r="C56" s="172"/>
      <c r="D56" s="162"/>
      <c r="E56" s="162"/>
      <c r="F56" s="162"/>
      <c r="G56" s="162"/>
      <c r="H56" s="162"/>
      <c r="J56" s="75"/>
      <c r="K56" s="32"/>
      <c r="L56" s="32"/>
      <c r="M56" s="32"/>
      <c r="N56" s="32"/>
    </row>
    <row r="57" spans="1:14" ht="14.1" customHeight="1" x14ac:dyDescent="0.2">
      <c r="A57" s="162"/>
      <c r="B57" s="162"/>
      <c r="C57" s="163" t="s">
        <v>173</v>
      </c>
      <c r="D57" s="162"/>
      <c r="E57" s="162"/>
      <c r="F57" s="162"/>
      <c r="G57" s="162"/>
      <c r="H57" s="162"/>
      <c r="J57" s="75"/>
      <c r="K57" s="32"/>
      <c r="L57" s="32"/>
      <c r="M57" s="32"/>
      <c r="N57" s="32"/>
    </row>
    <row r="58" spans="1:14" ht="25.5" x14ac:dyDescent="0.2">
      <c r="A58" s="162"/>
      <c r="B58" s="162"/>
      <c r="C58" s="184" t="s">
        <v>1064</v>
      </c>
      <c r="D58" s="162"/>
      <c r="E58" s="162"/>
      <c r="F58" s="162"/>
      <c r="G58" s="162"/>
      <c r="H58" s="162"/>
      <c r="J58" s="75"/>
      <c r="K58" s="32"/>
      <c r="L58" s="32"/>
      <c r="M58" s="32"/>
      <c r="N58" s="32"/>
    </row>
    <row r="59" spans="1:14" ht="29.1" customHeight="1" x14ac:dyDescent="0.2">
      <c r="A59" s="164">
        <v>1</v>
      </c>
      <c r="B59" s="165" t="s">
        <v>199</v>
      </c>
      <c r="C59" s="165" t="s">
        <v>200</v>
      </c>
      <c r="D59" s="165"/>
      <c r="E59" s="176">
        <v>9357595.0219999999</v>
      </c>
      <c r="F59" s="167">
        <v>11113.415916795</v>
      </c>
      <c r="G59" s="168">
        <v>0.96762548000000004</v>
      </c>
      <c r="H59" s="168"/>
      <c r="J59" s="75"/>
      <c r="K59" s="32"/>
      <c r="L59" s="32"/>
      <c r="M59" s="32"/>
      <c r="N59" s="32"/>
    </row>
    <row r="60" spans="1:14" ht="14.1" customHeight="1" x14ac:dyDescent="0.2">
      <c r="A60" s="162"/>
      <c r="B60" s="162"/>
      <c r="C60" s="163" t="s">
        <v>152</v>
      </c>
      <c r="D60" s="162"/>
      <c r="E60" s="162" t="s">
        <v>153</v>
      </c>
      <c r="F60" s="169">
        <v>11113.415916795</v>
      </c>
      <c r="G60" s="170">
        <v>0.96762548000000004</v>
      </c>
      <c r="H60" s="170"/>
      <c r="J60" s="75"/>
      <c r="K60" s="32"/>
      <c r="L60" s="32"/>
      <c r="M60" s="32"/>
      <c r="N60" s="32"/>
    </row>
    <row r="61" spans="1:14" ht="14.1" customHeight="1" x14ac:dyDescent="0.2">
      <c r="A61" s="162"/>
      <c r="B61" s="162"/>
      <c r="C61" s="171"/>
      <c r="D61" s="162"/>
      <c r="E61" s="162"/>
      <c r="F61" s="172"/>
      <c r="G61" s="172"/>
      <c r="H61" s="172"/>
      <c r="J61" s="75"/>
      <c r="K61" s="32"/>
      <c r="L61" s="32"/>
      <c r="M61" s="32"/>
      <c r="N61" s="32"/>
    </row>
    <row r="62" spans="1:14" ht="14.1" customHeight="1" x14ac:dyDescent="0.2">
      <c r="A62" s="162"/>
      <c r="B62" s="162"/>
      <c r="C62" s="163" t="s">
        <v>177</v>
      </c>
      <c r="D62" s="162"/>
      <c r="E62" s="162"/>
      <c r="F62" s="162"/>
      <c r="G62" s="162"/>
      <c r="H62" s="162"/>
      <c r="J62" s="75"/>
      <c r="K62" s="32"/>
      <c r="L62" s="32"/>
      <c r="M62" s="32"/>
      <c r="N62" s="32"/>
    </row>
    <row r="63" spans="1:14" ht="14.1" customHeight="1" x14ac:dyDescent="0.2">
      <c r="A63" s="162"/>
      <c r="B63" s="162"/>
      <c r="C63" s="163" t="s">
        <v>178</v>
      </c>
      <c r="D63" s="162"/>
      <c r="E63" s="162"/>
      <c r="F63" s="162"/>
      <c r="G63" s="162"/>
      <c r="H63" s="162"/>
      <c r="J63" s="75"/>
      <c r="K63" s="32"/>
      <c r="L63" s="32"/>
      <c r="M63" s="32"/>
      <c r="N63" s="32"/>
    </row>
    <row r="64" spans="1:14" ht="14.1" customHeight="1" x14ac:dyDescent="0.2">
      <c r="A64" s="162"/>
      <c r="B64" s="162"/>
      <c r="C64" s="163" t="s">
        <v>152</v>
      </c>
      <c r="D64" s="162"/>
      <c r="E64" s="162" t="s">
        <v>153</v>
      </c>
      <c r="F64" s="173" t="s">
        <v>155</v>
      </c>
      <c r="G64" s="170">
        <v>0</v>
      </c>
      <c r="H64" s="170"/>
      <c r="J64" s="75"/>
      <c r="K64" s="32"/>
      <c r="L64" s="32"/>
      <c r="M64" s="32"/>
      <c r="N64" s="32"/>
    </row>
    <row r="65" spans="1:17" ht="14.1" customHeight="1" x14ac:dyDescent="0.2">
      <c r="A65" s="162"/>
      <c r="B65" s="162"/>
      <c r="C65" s="171"/>
      <c r="D65" s="162"/>
      <c r="E65" s="162"/>
      <c r="F65" s="172"/>
      <c r="G65" s="172"/>
      <c r="H65" s="172"/>
      <c r="J65" s="75"/>
      <c r="K65" s="32"/>
      <c r="L65" s="32"/>
      <c r="M65" s="32"/>
      <c r="N65" s="32"/>
    </row>
    <row r="66" spans="1:17" ht="24" customHeight="1" x14ac:dyDescent="0.2">
      <c r="A66" s="162"/>
      <c r="B66" s="162"/>
      <c r="C66" s="163" t="s">
        <v>179</v>
      </c>
      <c r="D66" s="162"/>
      <c r="E66" s="162"/>
      <c r="F66" s="172"/>
      <c r="G66" s="172"/>
      <c r="H66" s="172"/>
      <c r="J66" s="75"/>
      <c r="K66" s="32"/>
      <c r="L66" s="32"/>
      <c r="M66" s="32"/>
      <c r="N66" s="32"/>
    </row>
    <row r="67" spans="1:17" ht="14.1" customHeight="1" x14ac:dyDescent="0.2">
      <c r="A67" s="162"/>
      <c r="B67" s="162"/>
      <c r="C67" s="163" t="s">
        <v>152</v>
      </c>
      <c r="D67" s="162"/>
      <c r="E67" s="162" t="s">
        <v>153</v>
      </c>
      <c r="F67" s="173" t="s">
        <v>155</v>
      </c>
      <c r="G67" s="170">
        <v>0</v>
      </c>
      <c r="H67" s="170"/>
      <c r="J67" s="75"/>
      <c r="K67" s="32"/>
      <c r="L67" s="32"/>
      <c r="M67" s="32"/>
      <c r="N67" s="32"/>
    </row>
    <row r="68" spans="1:17" ht="14.1" customHeight="1" x14ac:dyDescent="0.2">
      <c r="A68" s="162"/>
      <c r="B68" s="165"/>
      <c r="C68" s="165"/>
      <c r="D68" s="163"/>
      <c r="E68" s="162"/>
      <c r="F68" s="165"/>
      <c r="G68" s="174"/>
      <c r="H68" s="174"/>
      <c r="J68" s="75"/>
      <c r="K68" s="32"/>
      <c r="L68" s="32"/>
      <c r="M68" s="32"/>
      <c r="N68" s="32"/>
    </row>
    <row r="69" spans="1:17" ht="18" customHeight="1" x14ac:dyDescent="0.2">
      <c r="A69" s="174"/>
      <c r="B69" s="165"/>
      <c r="C69" s="165" t="s">
        <v>180</v>
      </c>
      <c r="D69" s="165"/>
      <c r="E69" s="174"/>
      <c r="F69" s="167">
        <v>-28.63060218</v>
      </c>
      <c r="G69" s="168">
        <v>-2.4928200000000002E-3</v>
      </c>
      <c r="H69" s="168"/>
      <c r="J69" s="75"/>
      <c r="K69" s="32"/>
      <c r="L69" s="32"/>
      <c r="M69" s="32"/>
      <c r="N69" s="32"/>
    </row>
    <row r="70" spans="1:17" ht="14.1" customHeight="1" x14ac:dyDescent="0.2">
      <c r="A70" s="171"/>
      <c r="B70" s="171"/>
      <c r="C70" s="163" t="s">
        <v>181</v>
      </c>
      <c r="D70" s="172"/>
      <c r="E70" s="172"/>
      <c r="F70" s="169">
        <v>11485.245195017</v>
      </c>
      <c r="G70" s="177">
        <v>0.99999998999999995</v>
      </c>
      <c r="H70" s="177"/>
      <c r="J70" s="75"/>
      <c r="K70" s="32"/>
      <c r="L70" s="32"/>
      <c r="M70" s="32"/>
      <c r="N70" s="32"/>
    </row>
    <row r="71" spans="1:17" ht="14.1" customHeight="1" x14ac:dyDescent="0.2">
      <c r="A71" s="178"/>
      <c r="B71" s="178"/>
      <c r="C71" s="178"/>
      <c r="D71" s="179"/>
      <c r="E71" s="179"/>
      <c r="F71" s="179"/>
      <c r="G71" s="179"/>
      <c r="H71" s="179"/>
      <c r="J71" s="75"/>
      <c r="K71" s="32"/>
      <c r="L71" s="32"/>
      <c r="M71" s="32"/>
      <c r="N71" s="32"/>
    </row>
    <row r="72" spans="1:17" ht="12.75" customHeight="1" x14ac:dyDescent="0.2">
      <c r="A72" s="180"/>
      <c r="B72" s="258" t="s">
        <v>882</v>
      </c>
      <c r="C72" s="258"/>
      <c r="D72" s="258"/>
      <c r="E72" s="258"/>
      <c r="F72" s="258"/>
      <c r="G72" s="258"/>
      <c r="H72" s="258"/>
      <c r="I72"/>
      <c r="J72" s="75"/>
    </row>
    <row r="73" spans="1:17" ht="14.1" customHeight="1" x14ac:dyDescent="0.2">
      <c r="A73" s="180"/>
      <c r="B73" s="258" t="s">
        <v>883</v>
      </c>
      <c r="C73" s="258"/>
      <c r="D73" s="258"/>
      <c r="E73" s="258"/>
      <c r="F73" s="258"/>
      <c r="G73" s="258"/>
      <c r="H73" s="258"/>
      <c r="I73"/>
      <c r="J73" s="75"/>
    </row>
    <row r="74" spans="1:17" ht="17.100000000000001" customHeight="1" x14ac:dyDescent="0.2">
      <c r="A74" s="180"/>
      <c r="B74" s="258" t="s">
        <v>884</v>
      </c>
      <c r="C74" s="258"/>
      <c r="D74" s="258"/>
      <c r="E74" s="258"/>
      <c r="F74" s="258"/>
      <c r="G74" s="258"/>
      <c r="H74" s="258"/>
      <c r="I74"/>
      <c r="J74" s="75"/>
    </row>
    <row r="75" spans="1:17" s="34" customFormat="1" ht="62.25" customHeight="1" x14ac:dyDescent="0.25">
      <c r="A75" s="33"/>
      <c r="B75" s="259" t="s">
        <v>885</v>
      </c>
      <c r="C75" s="259"/>
      <c r="D75" s="259"/>
      <c r="E75" s="259"/>
      <c r="F75" s="259"/>
      <c r="G75" s="259"/>
      <c r="H75" s="259"/>
      <c r="I75"/>
      <c r="J75" s="75"/>
      <c r="K75"/>
      <c r="L75"/>
      <c r="M75"/>
      <c r="N75"/>
      <c r="O75"/>
      <c r="P75"/>
      <c r="Q75"/>
    </row>
    <row r="76" spans="1:17" ht="12.75" customHeight="1" x14ac:dyDescent="0.2">
      <c r="A76" s="180"/>
      <c r="B76" s="258" t="s">
        <v>886</v>
      </c>
      <c r="C76" s="258"/>
      <c r="D76" s="258"/>
      <c r="E76" s="258"/>
      <c r="F76" s="258"/>
      <c r="G76" s="258"/>
      <c r="H76" s="258"/>
      <c r="I76"/>
      <c r="J76" s="75"/>
    </row>
    <row r="77" spans="1:17" ht="14.1" customHeight="1" x14ac:dyDescent="0.2">
      <c r="A77" s="181"/>
      <c r="B77" s="181"/>
      <c r="C77" s="181"/>
      <c r="D77" s="182"/>
      <c r="E77" s="182"/>
      <c r="F77" s="182"/>
      <c r="G77" s="182"/>
      <c r="H77" s="182"/>
      <c r="J77" s="75"/>
      <c r="K77" s="32"/>
      <c r="L77" s="32"/>
      <c r="M77" s="32"/>
      <c r="N77" s="32"/>
    </row>
    <row r="78" spans="1:17" ht="14.1" customHeight="1" x14ac:dyDescent="0.2">
      <c r="A78" s="181"/>
      <c r="B78" s="255" t="s">
        <v>183</v>
      </c>
      <c r="C78" s="256"/>
      <c r="D78" s="257"/>
      <c r="E78" s="183"/>
      <c r="F78" s="182"/>
      <c r="G78" s="182"/>
      <c r="H78" s="182"/>
      <c r="J78" s="75"/>
      <c r="K78" s="32"/>
      <c r="L78" s="32"/>
      <c r="M78" s="32"/>
      <c r="N78" s="32"/>
    </row>
    <row r="79" spans="1:17" ht="29.1" customHeight="1" x14ac:dyDescent="0.2">
      <c r="A79" s="181"/>
      <c r="B79" s="253" t="s">
        <v>184</v>
      </c>
      <c r="C79" s="254"/>
      <c r="D79" s="163" t="s">
        <v>185</v>
      </c>
      <c r="E79" s="183"/>
      <c r="F79" s="182"/>
      <c r="G79" s="182"/>
      <c r="H79" s="182"/>
      <c r="J79" s="75"/>
      <c r="K79" s="32"/>
      <c r="L79" s="32"/>
      <c r="M79" s="32"/>
      <c r="N79" s="32"/>
    </row>
    <row r="80" spans="1:17" ht="17.100000000000001" customHeight="1" x14ac:dyDescent="0.2">
      <c r="A80" s="181"/>
      <c r="B80" s="253" t="s">
        <v>186</v>
      </c>
      <c r="C80" s="254"/>
      <c r="D80" s="163" t="s">
        <v>185</v>
      </c>
      <c r="E80" s="183"/>
      <c r="F80" s="182"/>
      <c r="G80" s="182"/>
      <c r="H80" s="182"/>
      <c r="J80" s="75"/>
      <c r="K80" s="32"/>
      <c r="L80" s="32"/>
      <c r="M80" s="32"/>
      <c r="N80" s="32"/>
    </row>
    <row r="81" spans="1:14" ht="17.100000000000001" customHeight="1" x14ac:dyDescent="0.2">
      <c r="A81" s="181"/>
      <c r="B81" s="253" t="s">
        <v>187</v>
      </c>
      <c r="C81" s="254"/>
      <c r="D81" s="172" t="s">
        <v>153</v>
      </c>
      <c r="E81" s="183"/>
      <c r="F81" s="182"/>
      <c r="G81" s="182"/>
      <c r="H81" s="182"/>
      <c r="J81" s="75"/>
      <c r="K81" s="32"/>
      <c r="L81" s="32"/>
      <c r="M81" s="32"/>
      <c r="N81" s="32"/>
    </row>
    <row r="82" spans="1:14" x14ac:dyDescent="0.2">
      <c r="A82" s="185"/>
      <c r="B82" s="186" t="s">
        <v>153</v>
      </c>
      <c r="C82" s="186" t="s">
        <v>1088</v>
      </c>
      <c r="D82" s="186" t="s">
        <v>188</v>
      </c>
      <c r="E82" s="185"/>
      <c r="F82" s="185"/>
      <c r="G82" s="185"/>
      <c r="H82" s="185"/>
      <c r="I82"/>
      <c r="J82" s="75"/>
    </row>
    <row r="83" spans="1:14" x14ac:dyDescent="0.2">
      <c r="A83" s="185"/>
      <c r="B83" s="187" t="s">
        <v>189</v>
      </c>
      <c r="C83" s="186" t="s">
        <v>190</v>
      </c>
      <c r="D83" s="186" t="s">
        <v>191</v>
      </c>
      <c r="E83" s="185"/>
      <c r="F83" s="185"/>
      <c r="G83" s="185"/>
      <c r="H83" s="185"/>
      <c r="J83" s="75"/>
      <c r="K83" s="32"/>
      <c r="L83" s="32"/>
      <c r="M83" s="32"/>
      <c r="N83" s="32"/>
    </row>
    <row r="84" spans="1:14" ht="17.100000000000001" customHeight="1" x14ac:dyDescent="0.2">
      <c r="A84" s="185"/>
      <c r="B84" s="165" t="s">
        <v>192</v>
      </c>
      <c r="C84" s="188">
        <v>33.237000000000002</v>
      </c>
      <c r="D84" s="188">
        <v>31.891999999999999</v>
      </c>
      <c r="E84" s="185"/>
      <c r="F84" s="189"/>
      <c r="G84" s="190"/>
      <c r="H84" s="190"/>
      <c r="J84" s="75"/>
      <c r="K84" s="32"/>
      <c r="L84" s="32"/>
      <c r="M84" s="32"/>
      <c r="N84" s="32"/>
    </row>
    <row r="85" spans="1:14" ht="17.100000000000001" customHeight="1" x14ac:dyDescent="0.2">
      <c r="A85" s="185"/>
      <c r="B85" s="165" t="s">
        <v>1054</v>
      </c>
      <c r="C85" s="188">
        <v>29.558900000000001</v>
      </c>
      <c r="D85" s="188">
        <v>28.3627</v>
      </c>
      <c r="E85" s="185"/>
      <c r="F85" s="189"/>
      <c r="G85" s="190"/>
      <c r="H85" s="190"/>
      <c r="J85" s="75"/>
      <c r="K85" s="32"/>
      <c r="L85" s="32"/>
      <c r="M85" s="32"/>
      <c r="N85" s="32"/>
    </row>
    <row r="86" spans="1:14" ht="17.100000000000001" customHeight="1" x14ac:dyDescent="0.2">
      <c r="A86" s="185"/>
      <c r="B86" s="165" t="s">
        <v>193</v>
      </c>
      <c r="C86" s="188">
        <v>30.720400000000001</v>
      </c>
      <c r="D86" s="188">
        <v>29.451499999999999</v>
      </c>
      <c r="E86" s="185"/>
      <c r="F86" s="189"/>
      <c r="G86" s="190"/>
      <c r="H86" s="190"/>
      <c r="J86" s="75"/>
      <c r="K86" s="32"/>
      <c r="L86" s="32"/>
      <c r="M86" s="32"/>
      <c r="N86" s="32"/>
    </row>
    <row r="87" spans="1:14" ht="17.100000000000001" customHeight="1" x14ac:dyDescent="0.2">
      <c r="A87" s="185"/>
      <c r="B87" s="165" t="s">
        <v>1055</v>
      </c>
      <c r="C87" s="188">
        <v>26.3248</v>
      </c>
      <c r="D87" s="188">
        <v>25.237400000000001</v>
      </c>
      <c r="E87" s="185"/>
      <c r="F87" s="189"/>
      <c r="G87" s="190"/>
      <c r="H87" s="190"/>
      <c r="J87" s="75"/>
      <c r="K87" s="32"/>
      <c r="L87" s="32"/>
      <c r="M87" s="32"/>
      <c r="N87" s="32"/>
    </row>
    <row r="88" spans="1:14" ht="14.1" customHeight="1" x14ac:dyDescent="0.2">
      <c r="A88" s="185"/>
      <c r="B88" s="185"/>
      <c r="C88" s="185"/>
      <c r="D88" s="185"/>
      <c r="E88" s="185"/>
      <c r="F88" s="185"/>
      <c r="G88" s="185"/>
      <c r="H88" s="185"/>
      <c r="J88" s="75"/>
      <c r="K88" s="32"/>
      <c r="L88" s="32"/>
      <c r="M88" s="32"/>
      <c r="N88" s="32"/>
    </row>
    <row r="89" spans="1:14" ht="17.100000000000001" customHeight="1" x14ac:dyDescent="0.2">
      <c r="A89" s="185"/>
      <c r="B89" s="253" t="s">
        <v>1056</v>
      </c>
      <c r="C89" s="254"/>
      <c r="D89" s="163" t="s">
        <v>185</v>
      </c>
      <c r="E89" s="185"/>
      <c r="F89" s="185"/>
      <c r="G89" s="185"/>
      <c r="H89" s="185"/>
      <c r="J89" s="75"/>
      <c r="K89" s="32"/>
      <c r="L89" s="32"/>
      <c r="M89" s="32"/>
      <c r="N89" s="32"/>
    </row>
    <row r="90" spans="1:14" ht="14.1" customHeight="1" x14ac:dyDescent="0.2">
      <c r="A90" s="185"/>
      <c r="B90" s="189"/>
      <c r="C90" s="189"/>
      <c r="D90" s="185"/>
      <c r="E90" s="185"/>
      <c r="F90" s="185"/>
      <c r="G90" s="185"/>
      <c r="H90" s="185"/>
      <c r="J90" s="75"/>
      <c r="K90" s="32"/>
      <c r="L90" s="32"/>
      <c r="M90" s="32"/>
      <c r="N90" s="32"/>
    </row>
    <row r="91" spans="1:14" ht="29.1" customHeight="1" x14ac:dyDescent="0.2">
      <c r="A91" s="185"/>
      <c r="B91" s="253" t="s">
        <v>194</v>
      </c>
      <c r="C91" s="254"/>
      <c r="D91" s="163" t="s">
        <v>185</v>
      </c>
      <c r="E91" s="191"/>
      <c r="F91" s="185"/>
      <c r="G91" s="185"/>
      <c r="H91" s="185"/>
      <c r="J91" s="75"/>
      <c r="K91" s="32"/>
      <c r="L91" s="32"/>
      <c r="M91" s="32"/>
      <c r="N91" s="32"/>
    </row>
    <row r="92" spans="1:14" ht="29.1" customHeight="1" x14ac:dyDescent="0.2">
      <c r="A92" s="185"/>
      <c r="B92" s="253" t="s">
        <v>195</v>
      </c>
      <c r="C92" s="254"/>
      <c r="D92" s="184" t="s">
        <v>999</v>
      </c>
      <c r="E92" s="191"/>
      <c r="F92" s="185"/>
      <c r="G92" s="185"/>
      <c r="H92" s="185"/>
      <c r="J92" s="75"/>
      <c r="K92" s="32"/>
      <c r="L92" s="32"/>
      <c r="M92" s="32"/>
      <c r="N92" s="32"/>
    </row>
    <row r="93" spans="1:14" ht="17.100000000000001" customHeight="1" x14ac:dyDescent="0.2">
      <c r="A93" s="185"/>
      <c r="B93" s="253" t="s">
        <v>196</v>
      </c>
      <c r="C93" s="254"/>
      <c r="D93" s="163" t="s">
        <v>185</v>
      </c>
      <c r="E93" s="191"/>
      <c r="F93" s="185"/>
      <c r="G93" s="185"/>
      <c r="H93" s="185"/>
      <c r="J93" s="75"/>
    </row>
    <row r="94" spans="1:14" ht="17.100000000000001" customHeight="1" x14ac:dyDescent="0.2">
      <c r="A94" s="185"/>
      <c r="B94" s="253" t="s">
        <v>197</v>
      </c>
      <c r="C94" s="254"/>
      <c r="D94" s="192">
        <v>0</v>
      </c>
      <c r="E94" s="185"/>
      <c r="F94" s="189"/>
      <c r="G94" s="190"/>
      <c r="H94" s="190"/>
      <c r="J94" s="75"/>
    </row>
  </sheetData>
  <mergeCells count="17">
    <mergeCell ref="B94:C94"/>
    <mergeCell ref="B89:C89"/>
    <mergeCell ref="B91:C91"/>
    <mergeCell ref="B92:C92"/>
    <mergeCell ref="B93:C93"/>
    <mergeCell ref="A1:H1"/>
    <mergeCell ref="A2:H2"/>
    <mergeCell ref="A3:H3"/>
    <mergeCell ref="B80:C80"/>
    <mergeCell ref="B81:C81"/>
    <mergeCell ref="B78:D78"/>
    <mergeCell ref="B79:C79"/>
    <mergeCell ref="B76:H76"/>
    <mergeCell ref="B72:H72"/>
    <mergeCell ref="B73:H73"/>
    <mergeCell ref="B74:H74"/>
    <mergeCell ref="B75:H75"/>
  </mergeCells>
  <hyperlinks>
    <hyperlink ref="I1" location="Index!B3" display="Index" xr:uid="{E43CFBE3-F0C0-437F-B88A-664B27E70F7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68"/>
  <sheetViews>
    <sheetView showGridLines="0" workbookViewId="0">
      <selection activeCell="C85" sqref="C85"/>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11.42578125" bestFit="1" customWidth="1"/>
    <col min="6" max="6" width="10.42578125" bestFit="1" customWidth="1"/>
    <col min="7" max="7" width="14" bestFit="1" customWidth="1"/>
    <col min="8" max="8" width="8.42578125" bestFit="1" customWidth="1"/>
    <col min="9" max="9" width="5.42578125" bestFit="1" customWidth="1"/>
    <col min="10" max="10" width="50.7109375" style="76" customWidth="1"/>
  </cols>
  <sheetData>
    <row r="1" spans="1:16" ht="15" x14ac:dyDescent="0.2">
      <c r="A1" s="250" t="s">
        <v>0</v>
      </c>
      <c r="B1" s="250"/>
      <c r="C1" s="250"/>
      <c r="D1" s="250"/>
      <c r="E1" s="250"/>
      <c r="F1" s="250"/>
      <c r="G1" s="250"/>
      <c r="H1" s="250"/>
      <c r="I1" s="38" t="s">
        <v>888</v>
      </c>
      <c r="J1" s="75"/>
    </row>
    <row r="2" spans="1:16" ht="15" x14ac:dyDescent="0.2">
      <c r="A2" s="250" t="s">
        <v>201</v>
      </c>
      <c r="B2" s="250"/>
      <c r="C2" s="250"/>
      <c r="D2" s="250"/>
      <c r="E2" s="250"/>
      <c r="F2" s="250"/>
      <c r="G2" s="250"/>
      <c r="H2" s="250"/>
      <c r="J2" s="70" t="s">
        <v>889</v>
      </c>
      <c r="K2" s="67"/>
      <c r="L2" s="67"/>
      <c r="M2" s="67"/>
      <c r="N2" s="67"/>
    </row>
    <row r="3" spans="1:16" ht="15" x14ac:dyDescent="0.2">
      <c r="A3" s="250" t="s">
        <v>873</v>
      </c>
      <c r="B3" s="250"/>
      <c r="C3" s="250"/>
      <c r="D3" s="250"/>
      <c r="E3" s="250"/>
      <c r="F3" s="250"/>
      <c r="G3" s="250"/>
      <c r="H3" s="250"/>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81</v>
      </c>
      <c r="C7" s="165" t="s">
        <v>82</v>
      </c>
      <c r="D7" s="165" t="s">
        <v>36</v>
      </c>
      <c r="E7" s="166">
        <v>1245057</v>
      </c>
      <c r="F7" s="167">
        <v>40781.219506499998</v>
      </c>
      <c r="G7" s="168">
        <v>3.7999419999999999E-2</v>
      </c>
      <c r="H7" s="168"/>
      <c r="J7" s="75"/>
    </row>
    <row r="8" spans="1:16" ht="17.100000000000001" customHeight="1" x14ac:dyDescent="0.2">
      <c r="A8" s="164">
        <v>2</v>
      </c>
      <c r="B8" s="165" t="s">
        <v>202</v>
      </c>
      <c r="C8" s="165" t="s">
        <v>203</v>
      </c>
      <c r="D8" s="165" t="s">
        <v>39</v>
      </c>
      <c r="E8" s="166">
        <v>21270052</v>
      </c>
      <c r="F8" s="167">
        <v>34585.104551999997</v>
      </c>
      <c r="G8" s="168">
        <v>3.2225959999999998E-2</v>
      </c>
      <c r="H8" s="168"/>
      <c r="J8" s="75"/>
    </row>
    <row r="9" spans="1:16" ht="17.100000000000001" customHeight="1" x14ac:dyDescent="0.2">
      <c r="A9" s="164">
        <v>3</v>
      </c>
      <c r="B9" s="165" t="s">
        <v>204</v>
      </c>
      <c r="C9" s="165" t="s">
        <v>205</v>
      </c>
      <c r="D9" s="165" t="s">
        <v>75</v>
      </c>
      <c r="E9" s="166">
        <v>8339782</v>
      </c>
      <c r="F9" s="167">
        <v>34535.037261999998</v>
      </c>
      <c r="G9" s="168">
        <v>3.2179310000000003E-2</v>
      </c>
      <c r="H9" s="168"/>
      <c r="J9" s="75"/>
    </row>
    <row r="10" spans="1:16" ht="17.100000000000001" customHeight="1" x14ac:dyDescent="0.2">
      <c r="A10" s="164">
        <v>4</v>
      </c>
      <c r="B10" s="165" t="s">
        <v>206</v>
      </c>
      <c r="C10" s="165" t="s">
        <v>207</v>
      </c>
      <c r="D10" s="165" t="s">
        <v>104</v>
      </c>
      <c r="E10" s="166">
        <v>914499</v>
      </c>
      <c r="F10" s="167">
        <v>34226.039574000002</v>
      </c>
      <c r="G10" s="168">
        <v>3.1891389999999999E-2</v>
      </c>
      <c r="H10" s="168"/>
      <c r="J10" s="75"/>
    </row>
    <row r="11" spans="1:16" ht="17.100000000000001" customHeight="1" x14ac:dyDescent="0.2">
      <c r="A11" s="164">
        <v>5</v>
      </c>
      <c r="B11" s="165" t="s">
        <v>208</v>
      </c>
      <c r="C11" s="165" t="s">
        <v>209</v>
      </c>
      <c r="D11" s="165" t="s">
        <v>210</v>
      </c>
      <c r="E11" s="166">
        <v>772315</v>
      </c>
      <c r="F11" s="167">
        <v>34058.319185</v>
      </c>
      <c r="G11" s="168">
        <v>3.1735109999999997E-2</v>
      </c>
      <c r="H11" s="168"/>
      <c r="J11" s="75"/>
    </row>
    <row r="12" spans="1:16" ht="17.100000000000001" customHeight="1" x14ac:dyDescent="0.2">
      <c r="A12" s="164">
        <v>6</v>
      </c>
      <c r="B12" s="165" t="s">
        <v>125</v>
      </c>
      <c r="C12" s="165" t="s">
        <v>126</v>
      </c>
      <c r="D12" s="165" t="s">
        <v>53</v>
      </c>
      <c r="E12" s="166">
        <v>6878660</v>
      </c>
      <c r="F12" s="167">
        <v>30372.72323</v>
      </c>
      <c r="G12" s="168">
        <v>2.830092E-2</v>
      </c>
      <c r="H12" s="168"/>
      <c r="J12" s="71"/>
    </row>
    <row r="13" spans="1:16" ht="17.100000000000001" customHeight="1" x14ac:dyDescent="0.2">
      <c r="A13" s="164">
        <v>7</v>
      </c>
      <c r="B13" s="165" t="s">
        <v>211</v>
      </c>
      <c r="C13" s="165" t="s">
        <v>212</v>
      </c>
      <c r="D13" s="165" t="s">
        <v>213</v>
      </c>
      <c r="E13" s="166">
        <v>6031818</v>
      </c>
      <c r="F13" s="167">
        <v>26452.537839000001</v>
      </c>
      <c r="G13" s="168">
        <v>2.4648139999999999E-2</v>
      </c>
      <c r="H13" s="168"/>
      <c r="J13" s="75" t="s">
        <v>891</v>
      </c>
    </row>
    <row r="14" spans="1:16" ht="29.1" customHeight="1" x14ac:dyDescent="0.2">
      <c r="A14" s="164">
        <v>8</v>
      </c>
      <c r="B14" s="165" t="s">
        <v>214</v>
      </c>
      <c r="C14" s="165" t="s">
        <v>215</v>
      </c>
      <c r="D14" s="165" t="s">
        <v>216</v>
      </c>
      <c r="E14" s="166">
        <v>2401214</v>
      </c>
      <c r="F14" s="167">
        <v>22896.776097000002</v>
      </c>
      <c r="G14" s="168">
        <v>2.133492E-2</v>
      </c>
      <c r="H14" s="168"/>
      <c r="J14" s="75"/>
    </row>
    <row r="15" spans="1:16" ht="17.100000000000001" customHeight="1" x14ac:dyDescent="0.2">
      <c r="A15" s="164">
        <v>9</v>
      </c>
      <c r="B15" s="165" t="s">
        <v>217</v>
      </c>
      <c r="C15" s="165" t="s">
        <v>218</v>
      </c>
      <c r="D15" s="165" t="s">
        <v>39</v>
      </c>
      <c r="E15" s="166">
        <v>4021584</v>
      </c>
      <c r="F15" s="167">
        <v>22048.334279999999</v>
      </c>
      <c r="G15" s="168">
        <v>2.0544360000000001E-2</v>
      </c>
      <c r="H15" s="168"/>
      <c r="J15" s="75"/>
    </row>
    <row r="16" spans="1:16" ht="17.100000000000001" customHeight="1" x14ac:dyDescent="0.2">
      <c r="A16" s="164">
        <v>10</v>
      </c>
      <c r="B16" s="165" t="s">
        <v>51</v>
      </c>
      <c r="C16" s="165" t="s">
        <v>52</v>
      </c>
      <c r="D16" s="165" t="s">
        <v>53</v>
      </c>
      <c r="E16" s="166">
        <v>4320988</v>
      </c>
      <c r="F16" s="167">
        <v>21913.890641999998</v>
      </c>
      <c r="G16" s="168">
        <v>2.0419079999999999E-2</v>
      </c>
      <c r="H16" s="168"/>
      <c r="J16" s="75"/>
    </row>
    <row r="17" spans="1:10" ht="29.1" customHeight="1" x14ac:dyDescent="0.2">
      <c r="A17" s="164">
        <v>11</v>
      </c>
      <c r="B17" s="165" t="s">
        <v>219</v>
      </c>
      <c r="C17" s="165" t="s">
        <v>220</v>
      </c>
      <c r="D17" s="165" t="s">
        <v>221</v>
      </c>
      <c r="E17" s="166">
        <v>1777263</v>
      </c>
      <c r="F17" s="167">
        <v>21466.6711455</v>
      </c>
      <c r="G17" s="168">
        <v>2.0002369999999998E-2</v>
      </c>
      <c r="H17" s="168"/>
      <c r="J17" s="75"/>
    </row>
    <row r="18" spans="1:10" ht="17.100000000000001" customHeight="1" x14ac:dyDescent="0.2">
      <c r="A18" s="164">
        <v>12</v>
      </c>
      <c r="B18" s="165" t="s">
        <v>222</v>
      </c>
      <c r="C18" s="165" t="s">
        <v>223</v>
      </c>
      <c r="D18" s="165" t="s">
        <v>75</v>
      </c>
      <c r="E18" s="166">
        <v>1445958</v>
      </c>
      <c r="F18" s="167">
        <v>21324.265605000001</v>
      </c>
      <c r="G18" s="168">
        <v>1.9869680000000001E-2</v>
      </c>
      <c r="H18" s="168"/>
      <c r="J18" s="75"/>
    </row>
    <row r="19" spans="1:10" ht="29.1" customHeight="1" x14ac:dyDescent="0.2">
      <c r="A19" s="164">
        <v>13</v>
      </c>
      <c r="B19" s="165" t="s">
        <v>224</v>
      </c>
      <c r="C19" s="165" t="s">
        <v>225</v>
      </c>
      <c r="D19" s="165" t="s">
        <v>216</v>
      </c>
      <c r="E19" s="166">
        <v>1272514</v>
      </c>
      <c r="F19" s="167">
        <v>20944.307926000001</v>
      </c>
      <c r="G19" s="168">
        <v>1.9515640000000001E-2</v>
      </c>
      <c r="H19" s="168"/>
      <c r="J19" s="75"/>
    </row>
    <row r="20" spans="1:10" ht="17.100000000000001" customHeight="1" x14ac:dyDescent="0.2">
      <c r="A20" s="164">
        <v>14</v>
      </c>
      <c r="B20" s="165" t="s">
        <v>129</v>
      </c>
      <c r="C20" s="165" t="s">
        <v>130</v>
      </c>
      <c r="D20" s="165" t="s">
        <v>80</v>
      </c>
      <c r="E20" s="166">
        <v>1410000</v>
      </c>
      <c r="F20" s="167">
        <v>20915.235000000001</v>
      </c>
      <c r="G20" s="168">
        <v>1.948855E-2</v>
      </c>
      <c r="H20" s="168"/>
      <c r="J20" s="75"/>
    </row>
    <row r="21" spans="1:10" ht="17.100000000000001" customHeight="1" x14ac:dyDescent="0.2">
      <c r="A21" s="164">
        <v>15</v>
      </c>
      <c r="B21" s="165" t="s">
        <v>226</v>
      </c>
      <c r="C21" s="165" t="s">
        <v>227</v>
      </c>
      <c r="D21" s="165" t="s">
        <v>53</v>
      </c>
      <c r="E21" s="166">
        <v>811696</v>
      </c>
      <c r="F21" s="167">
        <v>20712.046832</v>
      </c>
      <c r="G21" s="168">
        <v>1.9299219999999999E-2</v>
      </c>
      <c r="H21" s="168"/>
      <c r="J21" s="75"/>
    </row>
    <row r="22" spans="1:10" ht="17.100000000000001" customHeight="1" x14ac:dyDescent="0.2">
      <c r="A22" s="164">
        <v>16</v>
      </c>
      <c r="B22" s="165" t="s">
        <v>228</v>
      </c>
      <c r="C22" s="165" t="s">
        <v>229</v>
      </c>
      <c r="D22" s="165" t="s">
        <v>22</v>
      </c>
      <c r="E22" s="166">
        <v>1341316</v>
      </c>
      <c r="F22" s="167">
        <v>20134.494476</v>
      </c>
      <c r="G22" s="168">
        <v>1.876106E-2</v>
      </c>
      <c r="H22" s="168"/>
      <c r="J22" s="71"/>
    </row>
    <row r="23" spans="1:10" x14ac:dyDescent="0.2">
      <c r="A23" s="164">
        <v>17</v>
      </c>
      <c r="B23" s="165" t="s">
        <v>26</v>
      </c>
      <c r="C23" s="165" t="s">
        <v>27</v>
      </c>
      <c r="D23" s="165" t="s">
        <v>28</v>
      </c>
      <c r="E23" s="166">
        <v>8345210</v>
      </c>
      <c r="F23" s="167">
        <v>19506.928375</v>
      </c>
      <c r="G23" s="168">
        <v>1.8176310000000001E-2</v>
      </c>
      <c r="H23" s="168"/>
      <c r="J23" s="75" t="s">
        <v>892</v>
      </c>
    </row>
    <row r="24" spans="1:10" ht="17.100000000000001" customHeight="1" x14ac:dyDescent="0.2">
      <c r="A24" s="164">
        <v>18</v>
      </c>
      <c r="B24" s="165" t="s">
        <v>230</v>
      </c>
      <c r="C24" s="165" t="s">
        <v>231</v>
      </c>
      <c r="D24" s="165" t="s">
        <v>232</v>
      </c>
      <c r="E24" s="166">
        <v>540000</v>
      </c>
      <c r="F24" s="167">
        <v>18190.439999999999</v>
      </c>
      <c r="G24" s="168">
        <v>1.6949619999999999E-2</v>
      </c>
      <c r="H24" s="168"/>
      <c r="J24" s="75"/>
    </row>
    <row r="25" spans="1:10" ht="17.100000000000001" customHeight="1" x14ac:dyDescent="0.2">
      <c r="A25" s="164">
        <v>19</v>
      </c>
      <c r="B25" s="165" t="s">
        <v>71</v>
      </c>
      <c r="C25" s="165" t="s">
        <v>72</v>
      </c>
      <c r="D25" s="165" t="s">
        <v>36</v>
      </c>
      <c r="E25" s="166">
        <v>841486</v>
      </c>
      <c r="F25" s="167">
        <v>17895.462018999999</v>
      </c>
      <c r="G25" s="168">
        <v>1.667476E-2</v>
      </c>
      <c r="H25" s="168"/>
      <c r="J25" s="75"/>
    </row>
    <row r="26" spans="1:10" ht="17.100000000000001" customHeight="1" x14ac:dyDescent="0.2">
      <c r="A26" s="164">
        <v>20</v>
      </c>
      <c r="B26" s="165" t="s">
        <v>233</v>
      </c>
      <c r="C26" s="165" t="s">
        <v>234</v>
      </c>
      <c r="D26" s="165" t="s">
        <v>235</v>
      </c>
      <c r="E26" s="166">
        <v>1601013</v>
      </c>
      <c r="F26" s="167">
        <v>16184.640417000001</v>
      </c>
      <c r="G26" s="168">
        <v>1.5080639999999999E-2</v>
      </c>
      <c r="H26" s="168"/>
      <c r="J26" s="75"/>
    </row>
    <row r="27" spans="1:10" ht="17.100000000000001" customHeight="1" x14ac:dyDescent="0.2">
      <c r="A27" s="164">
        <v>21</v>
      </c>
      <c r="B27" s="165" t="s">
        <v>236</v>
      </c>
      <c r="C27" s="165" t="s">
        <v>237</v>
      </c>
      <c r="D27" s="165" t="s">
        <v>36</v>
      </c>
      <c r="E27" s="166">
        <v>283370</v>
      </c>
      <c r="F27" s="167">
        <v>16057.302734999999</v>
      </c>
      <c r="G27" s="168">
        <v>1.496199E-2</v>
      </c>
      <c r="H27" s="168"/>
      <c r="J27" s="75"/>
    </row>
    <row r="28" spans="1:10" ht="17.100000000000001" customHeight="1" x14ac:dyDescent="0.2">
      <c r="A28" s="164">
        <v>22</v>
      </c>
      <c r="B28" s="165" t="s">
        <v>108</v>
      </c>
      <c r="C28" s="165" t="s">
        <v>109</v>
      </c>
      <c r="D28" s="165" t="s">
        <v>62</v>
      </c>
      <c r="E28" s="166">
        <v>3533497</v>
      </c>
      <c r="F28" s="167">
        <v>15865.401529999999</v>
      </c>
      <c r="G28" s="168">
        <v>1.478318E-2</v>
      </c>
      <c r="H28" s="168"/>
      <c r="J28" s="75"/>
    </row>
    <row r="29" spans="1:10" ht="17.100000000000001" customHeight="1" x14ac:dyDescent="0.2">
      <c r="A29" s="164">
        <v>23</v>
      </c>
      <c r="B29" s="165" t="s">
        <v>238</v>
      </c>
      <c r="C29" s="165" t="s">
        <v>239</v>
      </c>
      <c r="D29" s="165" t="s">
        <v>104</v>
      </c>
      <c r="E29" s="166">
        <v>180500</v>
      </c>
      <c r="F29" s="167">
        <v>15683.645</v>
      </c>
      <c r="G29" s="168">
        <v>1.461382E-2</v>
      </c>
      <c r="H29" s="168"/>
      <c r="J29" s="75"/>
    </row>
    <row r="30" spans="1:10" ht="17.100000000000001" customHeight="1" x14ac:dyDescent="0.2">
      <c r="A30" s="164">
        <v>24</v>
      </c>
      <c r="B30" s="165" t="s">
        <v>240</v>
      </c>
      <c r="C30" s="165" t="s">
        <v>241</v>
      </c>
      <c r="D30" s="165" t="s">
        <v>242</v>
      </c>
      <c r="E30" s="166">
        <v>1791031</v>
      </c>
      <c r="F30" s="167">
        <v>15490.627119000001</v>
      </c>
      <c r="G30" s="168">
        <v>1.4433970000000001E-2</v>
      </c>
      <c r="H30" s="168"/>
      <c r="J30" s="75"/>
    </row>
    <row r="31" spans="1:10" ht="29.1" customHeight="1" x14ac:dyDescent="0.2">
      <c r="A31" s="164">
        <v>25</v>
      </c>
      <c r="B31" s="165" t="s">
        <v>243</v>
      </c>
      <c r="C31" s="165" t="s">
        <v>244</v>
      </c>
      <c r="D31" s="165" t="s">
        <v>245</v>
      </c>
      <c r="E31" s="166">
        <v>1194285</v>
      </c>
      <c r="F31" s="167">
        <v>15106.510964999999</v>
      </c>
      <c r="G31" s="168">
        <v>1.407605E-2</v>
      </c>
      <c r="H31" s="168"/>
      <c r="J31" s="75"/>
    </row>
    <row r="32" spans="1:10" ht="29.1" customHeight="1" x14ac:dyDescent="0.2">
      <c r="A32" s="164">
        <v>26</v>
      </c>
      <c r="B32" s="165" t="s">
        <v>246</v>
      </c>
      <c r="C32" s="165" t="s">
        <v>247</v>
      </c>
      <c r="D32" s="165" t="s">
        <v>216</v>
      </c>
      <c r="E32" s="166">
        <v>306265</v>
      </c>
      <c r="F32" s="167">
        <v>14801.940582499999</v>
      </c>
      <c r="G32" s="168">
        <v>1.3792260000000001E-2</v>
      </c>
      <c r="H32" s="168"/>
      <c r="J32" s="75"/>
    </row>
    <row r="33" spans="1:10" ht="17.100000000000001" customHeight="1" x14ac:dyDescent="0.2">
      <c r="A33" s="164">
        <v>27</v>
      </c>
      <c r="B33" s="165" t="s">
        <v>248</v>
      </c>
      <c r="C33" s="165" t="s">
        <v>249</v>
      </c>
      <c r="D33" s="165" t="s">
        <v>39</v>
      </c>
      <c r="E33" s="166">
        <v>2332816</v>
      </c>
      <c r="F33" s="167">
        <v>14780.722175999999</v>
      </c>
      <c r="G33" s="168">
        <v>1.377249E-2</v>
      </c>
      <c r="H33" s="168"/>
      <c r="J33" s="75"/>
    </row>
    <row r="34" spans="1:10" ht="17.100000000000001" customHeight="1" x14ac:dyDescent="0.2">
      <c r="A34" s="164">
        <v>28</v>
      </c>
      <c r="B34" s="165" t="s">
        <v>250</v>
      </c>
      <c r="C34" s="165" t="s">
        <v>251</v>
      </c>
      <c r="D34" s="165" t="s">
        <v>16</v>
      </c>
      <c r="E34" s="166">
        <v>2958222</v>
      </c>
      <c r="F34" s="167">
        <v>14655.031788</v>
      </c>
      <c r="G34" s="168">
        <v>1.365537E-2</v>
      </c>
      <c r="H34" s="168"/>
      <c r="J34" s="75"/>
    </row>
    <row r="35" spans="1:10" ht="29.1" customHeight="1" x14ac:dyDescent="0.2">
      <c r="A35" s="164">
        <v>29</v>
      </c>
      <c r="B35" s="165" t="s">
        <v>141</v>
      </c>
      <c r="C35" s="165" t="s">
        <v>142</v>
      </c>
      <c r="D35" s="165" t="s">
        <v>25</v>
      </c>
      <c r="E35" s="166">
        <v>774401</v>
      </c>
      <c r="F35" s="167">
        <v>14234.651981499999</v>
      </c>
      <c r="G35" s="168">
        <v>1.326367E-2</v>
      </c>
      <c r="H35" s="168"/>
      <c r="J35" s="75"/>
    </row>
    <row r="36" spans="1:10" ht="17.100000000000001" customHeight="1" x14ac:dyDescent="0.2">
      <c r="A36" s="164">
        <v>30</v>
      </c>
      <c r="B36" s="165" t="s">
        <v>112</v>
      </c>
      <c r="C36" s="165" t="s">
        <v>113</v>
      </c>
      <c r="D36" s="165" t="s">
        <v>114</v>
      </c>
      <c r="E36" s="166">
        <v>1500000</v>
      </c>
      <c r="F36" s="167">
        <v>13944.75</v>
      </c>
      <c r="G36" s="168">
        <v>1.299354E-2</v>
      </c>
      <c r="H36" s="168"/>
      <c r="J36" s="75"/>
    </row>
    <row r="37" spans="1:10" ht="17.100000000000001" customHeight="1" x14ac:dyDescent="0.2">
      <c r="A37" s="164">
        <v>31</v>
      </c>
      <c r="B37" s="165" t="s">
        <v>60</v>
      </c>
      <c r="C37" s="165" t="s">
        <v>61</v>
      </c>
      <c r="D37" s="165" t="s">
        <v>62</v>
      </c>
      <c r="E37" s="166">
        <v>1346768</v>
      </c>
      <c r="F37" s="167">
        <v>13844.77504</v>
      </c>
      <c r="G37" s="168">
        <v>1.2900379999999999E-2</v>
      </c>
      <c r="H37" s="168"/>
      <c r="J37" s="75"/>
    </row>
    <row r="38" spans="1:10" ht="17.100000000000001" customHeight="1" x14ac:dyDescent="0.2">
      <c r="A38" s="164">
        <v>32</v>
      </c>
      <c r="B38" s="165" t="s">
        <v>252</v>
      </c>
      <c r="C38" s="165" t="s">
        <v>253</v>
      </c>
      <c r="D38" s="165" t="s">
        <v>213</v>
      </c>
      <c r="E38" s="166">
        <v>1603545</v>
      </c>
      <c r="F38" s="167">
        <v>13474.588635</v>
      </c>
      <c r="G38" s="168">
        <v>1.2555449999999999E-2</v>
      </c>
      <c r="H38" s="168"/>
      <c r="J38" s="75"/>
    </row>
    <row r="39" spans="1:10" ht="17.100000000000001" customHeight="1" x14ac:dyDescent="0.2">
      <c r="A39" s="164">
        <v>33</v>
      </c>
      <c r="B39" s="165" t="s">
        <v>102</v>
      </c>
      <c r="C39" s="165" t="s">
        <v>103</v>
      </c>
      <c r="D39" s="165" t="s">
        <v>104</v>
      </c>
      <c r="E39" s="166">
        <v>363672</v>
      </c>
      <c r="F39" s="167">
        <v>13418.951292</v>
      </c>
      <c r="G39" s="168">
        <v>1.250361E-2</v>
      </c>
      <c r="H39" s="168"/>
      <c r="J39" s="75"/>
    </row>
    <row r="40" spans="1:10" ht="17.100000000000001" customHeight="1" x14ac:dyDescent="0.2">
      <c r="A40" s="164">
        <v>34</v>
      </c>
      <c r="B40" s="165" t="s">
        <v>115</v>
      </c>
      <c r="C40" s="165" t="s">
        <v>116</v>
      </c>
      <c r="D40" s="165" t="s">
        <v>33</v>
      </c>
      <c r="E40" s="166">
        <v>4735879</v>
      </c>
      <c r="F40" s="167">
        <v>13340.971143000001</v>
      </c>
      <c r="G40" s="168">
        <v>1.243095E-2</v>
      </c>
      <c r="H40" s="168"/>
      <c r="J40" s="75"/>
    </row>
    <row r="41" spans="1:10" ht="17.100000000000001" customHeight="1" x14ac:dyDescent="0.2">
      <c r="A41" s="164">
        <v>35</v>
      </c>
      <c r="B41" s="165" t="s">
        <v>254</v>
      </c>
      <c r="C41" s="165" t="s">
        <v>255</v>
      </c>
      <c r="D41" s="165" t="s">
        <v>242</v>
      </c>
      <c r="E41" s="166">
        <v>2857330</v>
      </c>
      <c r="F41" s="167">
        <v>13235.15256</v>
      </c>
      <c r="G41" s="168">
        <v>1.2332350000000001E-2</v>
      </c>
      <c r="H41" s="168"/>
      <c r="J41" s="75"/>
    </row>
    <row r="42" spans="1:10" ht="17.100000000000001" customHeight="1" x14ac:dyDescent="0.2">
      <c r="A42" s="164">
        <v>36</v>
      </c>
      <c r="B42" s="165" t="s">
        <v>256</v>
      </c>
      <c r="C42" s="165" t="s">
        <v>257</v>
      </c>
      <c r="D42" s="165" t="s">
        <v>65</v>
      </c>
      <c r="E42" s="166">
        <v>4408122</v>
      </c>
      <c r="F42" s="167">
        <v>13048.04112</v>
      </c>
      <c r="G42" s="168">
        <v>1.2158E-2</v>
      </c>
      <c r="H42" s="168"/>
      <c r="J42" s="75"/>
    </row>
    <row r="43" spans="1:10" ht="17.100000000000001" customHeight="1" x14ac:dyDescent="0.2">
      <c r="A43" s="164">
        <v>37</v>
      </c>
      <c r="B43" s="165" t="s">
        <v>258</v>
      </c>
      <c r="C43" s="165" t="s">
        <v>259</v>
      </c>
      <c r="D43" s="165" t="s">
        <v>39</v>
      </c>
      <c r="E43" s="166">
        <v>8415503</v>
      </c>
      <c r="F43" s="167">
        <v>12976.705626000001</v>
      </c>
      <c r="G43" s="168">
        <v>1.209153E-2</v>
      </c>
      <c r="H43" s="168"/>
      <c r="J43" s="75"/>
    </row>
    <row r="44" spans="1:10" ht="17.100000000000001" customHeight="1" x14ac:dyDescent="0.2">
      <c r="A44" s="164">
        <v>38</v>
      </c>
      <c r="B44" s="165" t="s">
        <v>260</v>
      </c>
      <c r="C44" s="165" t="s">
        <v>261</v>
      </c>
      <c r="D44" s="165" t="s">
        <v>262</v>
      </c>
      <c r="E44" s="166">
        <v>403395</v>
      </c>
      <c r="F44" s="167">
        <v>12919.531665</v>
      </c>
      <c r="G44" s="168">
        <v>1.203825E-2</v>
      </c>
      <c r="H44" s="168"/>
      <c r="J44" s="75"/>
    </row>
    <row r="45" spans="1:10" ht="17.100000000000001" customHeight="1" x14ac:dyDescent="0.2">
      <c r="A45" s="164">
        <v>39</v>
      </c>
      <c r="B45" s="165" t="s">
        <v>263</v>
      </c>
      <c r="C45" s="165" t="s">
        <v>264</v>
      </c>
      <c r="D45" s="165" t="s">
        <v>210</v>
      </c>
      <c r="E45" s="166">
        <v>213372</v>
      </c>
      <c r="F45" s="167">
        <v>12917.007449999999</v>
      </c>
      <c r="G45" s="168">
        <v>1.20359E-2</v>
      </c>
      <c r="H45" s="168"/>
      <c r="J45" s="75"/>
    </row>
    <row r="46" spans="1:10" ht="29.1" customHeight="1" x14ac:dyDescent="0.2">
      <c r="A46" s="164">
        <v>40</v>
      </c>
      <c r="B46" s="165" t="s">
        <v>265</v>
      </c>
      <c r="C46" s="165" t="s">
        <v>266</v>
      </c>
      <c r="D46" s="165" t="s">
        <v>104</v>
      </c>
      <c r="E46" s="166">
        <v>91595</v>
      </c>
      <c r="F46" s="167">
        <v>12537.248815000001</v>
      </c>
      <c r="G46" s="168">
        <v>1.1682049999999999E-2</v>
      </c>
      <c r="H46" s="168"/>
      <c r="J46" s="75"/>
    </row>
    <row r="47" spans="1:10" ht="17.100000000000001" customHeight="1" x14ac:dyDescent="0.2">
      <c r="A47" s="164">
        <v>41</v>
      </c>
      <c r="B47" s="165" t="s">
        <v>267</v>
      </c>
      <c r="C47" s="165" t="s">
        <v>268</v>
      </c>
      <c r="D47" s="165" t="s">
        <v>232</v>
      </c>
      <c r="E47" s="166">
        <v>528688</v>
      </c>
      <c r="F47" s="167">
        <v>12238.334167999999</v>
      </c>
      <c r="G47" s="168">
        <v>1.140352E-2</v>
      </c>
      <c r="H47" s="168"/>
      <c r="J47" s="75"/>
    </row>
    <row r="48" spans="1:10" ht="17.100000000000001" customHeight="1" x14ac:dyDescent="0.2">
      <c r="A48" s="164">
        <v>42</v>
      </c>
      <c r="B48" s="165" t="s">
        <v>269</v>
      </c>
      <c r="C48" s="165" t="s">
        <v>270</v>
      </c>
      <c r="D48" s="165" t="s">
        <v>232</v>
      </c>
      <c r="E48" s="166">
        <v>235951</v>
      </c>
      <c r="F48" s="167">
        <v>12041.1694075</v>
      </c>
      <c r="G48" s="168">
        <v>1.121981E-2</v>
      </c>
      <c r="H48" s="168"/>
      <c r="J48" s="75"/>
    </row>
    <row r="49" spans="1:10" ht="17.100000000000001" customHeight="1" x14ac:dyDescent="0.2">
      <c r="A49" s="164">
        <v>43</v>
      </c>
      <c r="B49" s="165" t="s">
        <v>271</v>
      </c>
      <c r="C49" s="165" t="s">
        <v>272</v>
      </c>
      <c r="D49" s="165" t="s">
        <v>273</v>
      </c>
      <c r="E49" s="166">
        <v>577658</v>
      </c>
      <c r="F49" s="167">
        <v>11772.092382000001</v>
      </c>
      <c r="G49" s="168">
        <v>1.0969090000000001E-2</v>
      </c>
      <c r="H49" s="168"/>
      <c r="J49" s="75"/>
    </row>
    <row r="50" spans="1:10" ht="17.100000000000001" customHeight="1" x14ac:dyDescent="0.2">
      <c r="A50" s="164">
        <v>44</v>
      </c>
      <c r="B50" s="165" t="s">
        <v>274</v>
      </c>
      <c r="C50" s="165" t="s">
        <v>275</v>
      </c>
      <c r="D50" s="165" t="s">
        <v>276</v>
      </c>
      <c r="E50" s="166">
        <v>1001424</v>
      </c>
      <c r="F50" s="167">
        <v>11028.682511999999</v>
      </c>
      <c r="G50" s="168">
        <v>1.027639E-2</v>
      </c>
      <c r="H50" s="168"/>
      <c r="J50" s="75"/>
    </row>
    <row r="51" spans="1:10" ht="17.100000000000001" customHeight="1" x14ac:dyDescent="0.2">
      <c r="A51" s="164">
        <v>45</v>
      </c>
      <c r="B51" s="165" t="s">
        <v>277</v>
      </c>
      <c r="C51" s="165" t="s">
        <v>278</v>
      </c>
      <c r="D51" s="165" t="s">
        <v>36</v>
      </c>
      <c r="E51" s="166">
        <v>505581</v>
      </c>
      <c r="F51" s="167">
        <v>10708.711160999999</v>
      </c>
      <c r="G51" s="168">
        <v>9.9782399999999993E-3</v>
      </c>
      <c r="H51" s="168"/>
      <c r="J51" s="75"/>
    </row>
    <row r="52" spans="1:10" ht="29.1" customHeight="1" x14ac:dyDescent="0.2">
      <c r="A52" s="164">
        <v>46</v>
      </c>
      <c r="B52" s="165" t="s">
        <v>279</v>
      </c>
      <c r="C52" s="165" t="s">
        <v>280</v>
      </c>
      <c r="D52" s="165" t="s">
        <v>53</v>
      </c>
      <c r="E52" s="166">
        <v>897356</v>
      </c>
      <c r="F52" s="167">
        <v>10708.149148</v>
      </c>
      <c r="G52" s="168">
        <v>9.9777200000000007E-3</v>
      </c>
      <c r="H52" s="168"/>
      <c r="J52" s="75"/>
    </row>
    <row r="53" spans="1:10" ht="17.100000000000001" customHeight="1" x14ac:dyDescent="0.2">
      <c r="A53" s="164">
        <v>47</v>
      </c>
      <c r="B53" s="165" t="s">
        <v>281</v>
      </c>
      <c r="C53" s="165" t="s">
        <v>282</v>
      </c>
      <c r="D53" s="165" t="s">
        <v>53</v>
      </c>
      <c r="E53" s="166">
        <v>611549</v>
      </c>
      <c r="F53" s="167">
        <v>9932.1673090000004</v>
      </c>
      <c r="G53" s="168">
        <v>9.2546699999999996E-3</v>
      </c>
      <c r="H53" s="168"/>
      <c r="J53" s="75"/>
    </row>
    <row r="54" spans="1:10" ht="17.100000000000001" customHeight="1" x14ac:dyDescent="0.2">
      <c r="A54" s="164">
        <v>48</v>
      </c>
      <c r="B54" s="165" t="s">
        <v>283</v>
      </c>
      <c r="C54" s="165" t="s">
        <v>284</v>
      </c>
      <c r="D54" s="165" t="s">
        <v>285</v>
      </c>
      <c r="E54" s="166">
        <v>474240</v>
      </c>
      <c r="F54" s="167">
        <v>9769.3439999999991</v>
      </c>
      <c r="G54" s="168">
        <v>9.1029500000000003E-3</v>
      </c>
      <c r="H54" s="168"/>
      <c r="J54" s="75"/>
    </row>
    <row r="55" spans="1:10" ht="29.1" customHeight="1" x14ac:dyDescent="0.2">
      <c r="A55" s="164">
        <v>49</v>
      </c>
      <c r="B55" s="165" t="s">
        <v>286</v>
      </c>
      <c r="C55" s="165" t="s">
        <v>287</v>
      </c>
      <c r="D55" s="165" t="s">
        <v>216</v>
      </c>
      <c r="E55" s="166">
        <v>2119699</v>
      </c>
      <c r="F55" s="167">
        <v>9538.6455000000005</v>
      </c>
      <c r="G55" s="168">
        <v>8.8879900000000001E-3</v>
      </c>
      <c r="H55" s="168"/>
      <c r="J55" s="75"/>
    </row>
    <row r="56" spans="1:10" ht="29.1" customHeight="1" x14ac:dyDescent="0.2">
      <c r="A56" s="164">
        <v>50</v>
      </c>
      <c r="B56" s="165" t="s">
        <v>288</v>
      </c>
      <c r="C56" s="165" t="s">
        <v>289</v>
      </c>
      <c r="D56" s="165" t="s">
        <v>53</v>
      </c>
      <c r="E56" s="166">
        <v>3592394</v>
      </c>
      <c r="F56" s="167">
        <v>9381.5369310000005</v>
      </c>
      <c r="G56" s="168">
        <v>8.7416000000000004E-3</v>
      </c>
      <c r="H56" s="168"/>
      <c r="J56" s="75"/>
    </row>
    <row r="57" spans="1:10" ht="17.100000000000001" customHeight="1" x14ac:dyDescent="0.2">
      <c r="A57" s="164">
        <v>51</v>
      </c>
      <c r="B57" s="165" t="s">
        <v>290</v>
      </c>
      <c r="C57" s="165" t="s">
        <v>291</v>
      </c>
      <c r="D57" s="165" t="s">
        <v>36</v>
      </c>
      <c r="E57" s="166">
        <v>181135</v>
      </c>
      <c r="F57" s="167">
        <v>9169.2348349999993</v>
      </c>
      <c r="G57" s="168">
        <v>8.5437800000000008E-3</v>
      </c>
      <c r="H57" s="168"/>
      <c r="J57" s="75"/>
    </row>
    <row r="58" spans="1:10" ht="17.100000000000001" customHeight="1" x14ac:dyDescent="0.2">
      <c r="A58" s="164">
        <v>52</v>
      </c>
      <c r="B58" s="165" t="s">
        <v>292</v>
      </c>
      <c r="C58" s="165" t="s">
        <v>293</v>
      </c>
      <c r="D58" s="165" t="s">
        <v>33</v>
      </c>
      <c r="E58" s="166">
        <v>1622229</v>
      </c>
      <c r="F58" s="167">
        <v>8986.3375455000005</v>
      </c>
      <c r="G58" s="168">
        <v>8.3733499999999999E-3</v>
      </c>
      <c r="H58" s="168"/>
      <c r="J58" s="75"/>
    </row>
    <row r="59" spans="1:10" ht="17.100000000000001" customHeight="1" x14ac:dyDescent="0.2">
      <c r="A59" s="164">
        <v>53</v>
      </c>
      <c r="B59" s="165" t="s">
        <v>294</v>
      </c>
      <c r="C59" s="165" t="s">
        <v>295</v>
      </c>
      <c r="D59" s="165" t="s">
        <v>53</v>
      </c>
      <c r="E59" s="166">
        <v>803804</v>
      </c>
      <c r="F59" s="167">
        <v>8655.3614720000005</v>
      </c>
      <c r="G59" s="168">
        <v>8.0649599999999995E-3</v>
      </c>
      <c r="H59" s="168"/>
      <c r="J59" s="75"/>
    </row>
    <row r="60" spans="1:10" ht="17.100000000000001" customHeight="1" x14ac:dyDescent="0.2">
      <c r="A60" s="164">
        <v>54</v>
      </c>
      <c r="B60" s="165" t="s">
        <v>296</v>
      </c>
      <c r="C60" s="165" t="s">
        <v>297</v>
      </c>
      <c r="D60" s="165" t="s">
        <v>242</v>
      </c>
      <c r="E60" s="166">
        <v>5147346</v>
      </c>
      <c r="F60" s="167">
        <v>8562.6100709999992</v>
      </c>
      <c r="G60" s="168">
        <v>7.9785299999999993E-3</v>
      </c>
      <c r="H60" s="168"/>
      <c r="J60" s="75"/>
    </row>
    <row r="61" spans="1:10" ht="17.100000000000001" customHeight="1" x14ac:dyDescent="0.2">
      <c r="A61" s="164">
        <v>55</v>
      </c>
      <c r="B61" s="165" t="s">
        <v>298</v>
      </c>
      <c r="C61" s="165" t="s">
        <v>299</v>
      </c>
      <c r="D61" s="165" t="s">
        <v>104</v>
      </c>
      <c r="E61" s="166">
        <v>1118982</v>
      </c>
      <c r="F61" s="167">
        <v>8258.0871599999991</v>
      </c>
      <c r="G61" s="168">
        <v>7.69478E-3</v>
      </c>
      <c r="H61" s="168"/>
      <c r="J61" s="75"/>
    </row>
    <row r="62" spans="1:10" ht="29.1" customHeight="1" x14ac:dyDescent="0.2">
      <c r="A62" s="164">
        <v>56</v>
      </c>
      <c r="B62" s="165" t="s">
        <v>300</v>
      </c>
      <c r="C62" s="165" t="s">
        <v>301</v>
      </c>
      <c r="D62" s="165" t="s">
        <v>216</v>
      </c>
      <c r="E62" s="166">
        <v>2589693</v>
      </c>
      <c r="F62" s="167">
        <v>7731.5284515000003</v>
      </c>
      <c r="G62" s="168">
        <v>7.2041400000000004E-3</v>
      </c>
      <c r="H62" s="168"/>
      <c r="J62" s="75"/>
    </row>
    <row r="63" spans="1:10" ht="29.1" customHeight="1" x14ac:dyDescent="0.2">
      <c r="A63" s="164">
        <v>57</v>
      </c>
      <c r="B63" s="165" t="s">
        <v>123</v>
      </c>
      <c r="C63" s="165" t="s">
        <v>124</v>
      </c>
      <c r="D63" s="165" t="s">
        <v>25</v>
      </c>
      <c r="E63" s="166">
        <v>190932</v>
      </c>
      <c r="F63" s="167">
        <v>7636.3253400000003</v>
      </c>
      <c r="G63" s="168">
        <v>7.1154299999999998E-3</v>
      </c>
      <c r="H63" s="168"/>
      <c r="J63" s="75"/>
    </row>
    <row r="64" spans="1:10" ht="29.1" customHeight="1" x14ac:dyDescent="0.2">
      <c r="A64" s="164">
        <v>58</v>
      </c>
      <c r="B64" s="165" t="s">
        <v>302</v>
      </c>
      <c r="C64" s="165" t="s">
        <v>303</v>
      </c>
      <c r="D64" s="165" t="s">
        <v>221</v>
      </c>
      <c r="E64" s="166">
        <v>206644</v>
      </c>
      <c r="F64" s="167">
        <v>7550.9784040000004</v>
      </c>
      <c r="G64" s="168">
        <v>7.0359100000000003E-3</v>
      </c>
      <c r="H64" s="168"/>
      <c r="J64" s="75"/>
    </row>
    <row r="65" spans="1:10" ht="29.1" customHeight="1" x14ac:dyDescent="0.2">
      <c r="A65" s="164">
        <v>59</v>
      </c>
      <c r="B65" s="165" t="s">
        <v>304</v>
      </c>
      <c r="C65" s="165" t="s">
        <v>305</v>
      </c>
      <c r="D65" s="165" t="s">
        <v>242</v>
      </c>
      <c r="E65" s="166">
        <v>677549</v>
      </c>
      <c r="F65" s="167">
        <v>7038.0402375000003</v>
      </c>
      <c r="G65" s="168">
        <v>6.5579599999999998E-3</v>
      </c>
      <c r="H65" s="168"/>
      <c r="J65" s="75"/>
    </row>
    <row r="66" spans="1:10" ht="17.100000000000001" customHeight="1" x14ac:dyDescent="0.2">
      <c r="A66" s="164">
        <v>60</v>
      </c>
      <c r="B66" s="165" t="s">
        <v>306</v>
      </c>
      <c r="C66" s="165" t="s">
        <v>307</v>
      </c>
      <c r="D66" s="165" t="s">
        <v>75</v>
      </c>
      <c r="E66" s="166">
        <v>584012</v>
      </c>
      <c r="F66" s="167">
        <v>7034.1325340000003</v>
      </c>
      <c r="G66" s="168">
        <v>6.5543199999999998E-3</v>
      </c>
      <c r="H66" s="168"/>
      <c r="J66" s="75"/>
    </row>
    <row r="67" spans="1:10" ht="17.100000000000001" customHeight="1" x14ac:dyDescent="0.2">
      <c r="A67" s="164">
        <v>61</v>
      </c>
      <c r="B67" s="165" t="s">
        <v>143</v>
      </c>
      <c r="C67" s="165" t="s">
        <v>144</v>
      </c>
      <c r="D67" s="165" t="s">
        <v>104</v>
      </c>
      <c r="E67" s="166">
        <v>1024616</v>
      </c>
      <c r="F67" s="167">
        <v>6407.4361559999998</v>
      </c>
      <c r="G67" s="168">
        <v>5.97037E-3</v>
      </c>
      <c r="H67" s="168"/>
      <c r="J67" s="75"/>
    </row>
    <row r="68" spans="1:10" ht="17.100000000000001" customHeight="1" x14ac:dyDescent="0.2">
      <c r="A68" s="164">
        <v>62</v>
      </c>
      <c r="B68" s="165" t="s">
        <v>100</v>
      </c>
      <c r="C68" s="165" t="s">
        <v>101</v>
      </c>
      <c r="D68" s="165" t="s">
        <v>36</v>
      </c>
      <c r="E68" s="166">
        <v>404954</v>
      </c>
      <c r="F68" s="167">
        <v>6306.1461650000001</v>
      </c>
      <c r="G68" s="168">
        <v>5.8759900000000002E-3</v>
      </c>
      <c r="H68" s="168"/>
      <c r="J68" s="75"/>
    </row>
    <row r="69" spans="1:10" ht="17.100000000000001" customHeight="1" x14ac:dyDescent="0.2">
      <c r="A69" s="164">
        <v>63</v>
      </c>
      <c r="B69" s="165" t="s">
        <v>308</v>
      </c>
      <c r="C69" s="165" t="s">
        <v>309</v>
      </c>
      <c r="D69" s="165" t="s">
        <v>104</v>
      </c>
      <c r="E69" s="166">
        <v>1190000</v>
      </c>
      <c r="F69" s="167">
        <v>6070.19</v>
      </c>
      <c r="G69" s="168">
        <v>5.6561299999999997E-3</v>
      </c>
      <c r="H69" s="168"/>
      <c r="J69" s="75"/>
    </row>
    <row r="70" spans="1:10" ht="17.100000000000001" customHeight="1" x14ac:dyDescent="0.2">
      <c r="A70" s="164">
        <v>64</v>
      </c>
      <c r="B70" s="165" t="s">
        <v>310</v>
      </c>
      <c r="C70" s="165" t="s">
        <v>311</v>
      </c>
      <c r="D70" s="165" t="s">
        <v>75</v>
      </c>
      <c r="E70" s="166">
        <v>2130968</v>
      </c>
      <c r="F70" s="167">
        <v>5961.3829800000003</v>
      </c>
      <c r="G70" s="168">
        <v>5.5547399999999999E-3</v>
      </c>
      <c r="H70" s="168"/>
      <c r="J70" s="75"/>
    </row>
    <row r="71" spans="1:10" ht="29.1" customHeight="1" x14ac:dyDescent="0.2">
      <c r="A71" s="164">
        <v>65</v>
      </c>
      <c r="B71" s="165" t="s">
        <v>312</v>
      </c>
      <c r="C71" s="165" t="s">
        <v>313</v>
      </c>
      <c r="D71" s="165" t="s">
        <v>235</v>
      </c>
      <c r="E71" s="166">
        <v>1015903</v>
      </c>
      <c r="F71" s="167">
        <v>5806.9015479999998</v>
      </c>
      <c r="G71" s="168">
        <v>5.4108000000000003E-3</v>
      </c>
      <c r="H71" s="168"/>
      <c r="J71" s="75"/>
    </row>
    <row r="72" spans="1:10" ht="29.1" customHeight="1" x14ac:dyDescent="0.2">
      <c r="A72" s="164">
        <v>66</v>
      </c>
      <c r="B72" s="165" t="s">
        <v>314</v>
      </c>
      <c r="C72" s="165" t="s">
        <v>315</v>
      </c>
      <c r="D72" s="165" t="s">
        <v>316</v>
      </c>
      <c r="E72" s="166">
        <v>160000</v>
      </c>
      <c r="F72" s="167">
        <v>5470.8</v>
      </c>
      <c r="G72" s="168">
        <v>5.0976199999999998E-3</v>
      </c>
      <c r="H72" s="168"/>
      <c r="J72" s="75"/>
    </row>
    <row r="73" spans="1:10" ht="29.1" customHeight="1" x14ac:dyDescent="0.2">
      <c r="A73" s="164">
        <v>67</v>
      </c>
      <c r="B73" s="165" t="s">
        <v>317</v>
      </c>
      <c r="C73" s="165" t="s">
        <v>318</v>
      </c>
      <c r="D73" s="165" t="s">
        <v>216</v>
      </c>
      <c r="E73" s="166">
        <v>60062</v>
      </c>
      <c r="F73" s="167">
        <v>5000.491841</v>
      </c>
      <c r="G73" s="168">
        <v>4.6593900000000002E-3</v>
      </c>
      <c r="H73" s="168"/>
      <c r="J73" s="75"/>
    </row>
    <row r="74" spans="1:10" ht="17.100000000000001" customHeight="1" x14ac:dyDescent="0.2">
      <c r="A74" s="164">
        <v>68</v>
      </c>
      <c r="B74" s="165" t="s">
        <v>319</v>
      </c>
      <c r="C74" s="165" t="s">
        <v>320</v>
      </c>
      <c r="D74" s="165" t="s">
        <v>232</v>
      </c>
      <c r="E74" s="166">
        <v>63614</v>
      </c>
      <c r="F74" s="167">
        <v>4485.9956659999998</v>
      </c>
      <c r="G74" s="168">
        <v>4.1799899999999997E-3</v>
      </c>
      <c r="H74" s="168"/>
      <c r="J74" s="75"/>
    </row>
    <row r="75" spans="1:10" ht="17.100000000000001" customHeight="1" x14ac:dyDescent="0.2">
      <c r="A75" s="164">
        <v>69</v>
      </c>
      <c r="B75" s="165" t="s">
        <v>58</v>
      </c>
      <c r="C75" s="165" t="s">
        <v>59</v>
      </c>
      <c r="D75" s="165" t="s">
        <v>19</v>
      </c>
      <c r="E75" s="166">
        <v>365269</v>
      </c>
      <c r="F75" s="167">
        <v>3165.0558850000002</v>
      </c>
      <c r="G75" s="168">
        <v>2.9491600000000001E-3</v>
      </c>
      <c r="H75" s="168"/>
      <c r="J75" s="75"/>
    </row>
    <row r="76" spans="1:10" ht="17.100000000000001" customHeight="1" x14ac:dyDescent="0.2">
      <c r="A76" s="164">
        <v>70</v>
      </c>
      <c r="B76" s="165" t="s">
        <v>321</v>
      </c>
      <c r="C76" s="165" t="s">
        <v>322</v>
      </c>
      <c r="D76" s="165" t="s">
        <v>104</v>
      </c>
      <c r="E76" s="166">
        <v>86099</v>
      </c>
      <c r="F76" s="167">
        <v>2092.1196009999999</v>
      </c>
      <c r="G76" s="168">
        <v>1.9494099999999999E-3</v>
      </c>
      <c r="H76" s="168"/>
      <c r="J76" s="75"/>
    </row>
    <row r="77" spans="1:10" ht="17.100000000000001" customHeight="1" x14ac:dyDescent="0.2">
      <c r="A77" s="164">
        <v>71</v>
      </c>
      <c r="B77" s="165" t="s">
        <v>323</v>
      </c>
      <c r="C77" s="165" t="s">
        <v>324</v>
      </c>
      <c r="D77" s="165" t="s">
        <v>75</v>
      </c>
      <c r="E77" s="166">
        <v>140914</v>
      </c>
      <c r="F77" s="167">
        <v>1512.7117900000001</v>
      </c>
      <c r="G77" s="168">
        <v>1.40953E-3</v>
      </c>
      <c r="H77" s="168"/>
      <c r="J77" s="75"/>
    </row>
    <row r="78" spans="1:10" ht="17.100000000000001" customHeight="1" x14ac:dyDescent="0.2">
      <c r="A78" s="164">
        <v>72</v>
      </c>
      <c r="B78" s="165" t="s">
        <v>325</v>
      </c>
      <c r="C78" s="165" t="s">
        <v>326</v>
      </c>
      <c r="D78" s="165" t="s">
        <v>80</v>
      </c>
      <c r="E78" s="166">
        <v>84931</v>
      </c>
      <c r="F78" s="167">
        <v>1172.2601275</v>
      </c>
      <c r="G78" s="168">
        <v>1.0923E-3</v>
      </c>
      <c r="H78" s="168"/>
      <c r="J78" s="75"/>
    </row>
    <row r="79" spans="1:10" ht="29.1" customHeight="1" x14ac:dyDescent="0.2">
      <c r="A79" s="164">
        <v>73</v>
      </c>
      <c r="B79" s="165" t="s">
        <v>327</v>
      </c>
      <c r="C79" s="165" t="s">
        <v>328</v>
      </c>
      <c r="D79" s="165" t="s">
        <v>316</v>
      </c>
      <c r="E79" s="166">
        <v>14516</v>
      </c>
      <c r="F79" s="167">
        <v>352.81863800000002</v>
      </c>
      <c r="G79" s="168">
        <v>3.2874999999999999E-4</v>
      </c>
      <c r="H79" s="168"/>
      <c r="J79" s="75"/>
    </row>
    <row r="80" spans="1:10" ht="14.1" customHeight="1" x14ac:dyDescent="0.2">
      <c r="A80" s="162"/>
      <c r="B80" s="162"/>
      <c r="C80" s="163" t="s">
        <v>152</v>
      </c>
      <c r="D80" s="162"/>
      <c r="E80" s="162" t="s">
        <v>153</v>
      </c>
      <c r="F80" s="169">
        <v>1023023.8101525001</v>
      </c>
      <c r="G80" s="170">
        <v>0.95324059000000005</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154</v>
      </c>
      <c r="D82" s="162"/>
      <c r="E82" s="162"/>
      <c r="F82" s="162"/>
      <c r="G82" s="162"/>
      <c r="H82" s="16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156</v>
      </c>
      <c r="D85" s="162"/>
      <c r="E85" s="162"/>
      <c r="F85" s="162"/>
      <c r="G85" s="162"/>
      <c r="H85" s="162"/>
      <c r="J85" s="75"/>
    </row>
    <row r="86" spans="1:10" ht="14.1" customHeight="1" x14ac:dyDescent="0.2">
      <c r="A86" s="162"/>
      <c r="B86" s="162"/>
      <c r="C86" s="163" t="s">
        <v>152</v>
      </c>
      <c r="D86" s="162"/>
      <c r="E86" s="162" t="s">
        <v>153</v>
      </c>
      <c r="F86" s="173" t="s">
        <v>155</v>
      </c>
      <c r="G86" s="170">
        <v>0</v>
      </c>
      <c r="H86" s="170"/>
      <c r="J86" s="75"/>
    </row>
    <row r="87" spans="1:10" ht="14.1" customHeight="1" x14ac:dyDescent="0.2">
      <c r="A87" s="162"/>
      <c r="B87" s="162"/>
      <c r="C87" s="171"/>
      <c r="D87" s="162"/>
      <c r="E87" s="162"/>
      <c r="F87" s="172"/>
      <c r="G87" s="172"/>
      <c r="H87" s="172"/>
      <c r="J87" s="75"/>
    </row>
    <row r="88" spans="1:10" ht="14.1" customHeight="1" x14ac:dyDescent="0.2">
      <c r="A88" s="162"/>
      <c r="B88" s="162"/>
      <c r="C88" s="163" t="s">
        <v>157</v>
      </c>
      <c r="D88" s="162"/>
      <c r="E88" s="162"/>
      <c r="F88" s="162"/>
      <c r="G88" s="162"/>
      <c r="H88" s="162"/>
      <c r="J88" s="75"/>
    </row>
    <row r="89" spans="1:10" ht="29.1" customHeight="1" x14ac:dyDescent="0.2">
      <c r="A89" s="164">
        <v>1</v>
      </c>
      <c r="B89" s="165" t="s">
        <v>329</v>
      </c>
      <c r="C89" s="165" t="s">
        <v>1201</v>
      </c>
      <c r="D89" s="165" t="s">
        <v>36</v>
      </c>
      <c r="E89" s="166">
        <v>25352</v>
      </c>
      <c r="F89" s="167">
        <v>2.5360619679999998</v>
      </c>
      <c r="G89" s="168" t="s">
        <v>151</v>
      </c>
      <c r="H89" s="168"/>
      <c r="J89" s="75"/>
    </row>
    <row r="90" spans="1:10" ht="14.1" customHeight="1" x14ac:dyDescent="0.2">
      <c r="A90" s="162"/>
      <c r="B90" s="162"/>
      <c r="C90" s="163" t="s">
        <v>152</v>
      </c>
      <c r="D90" s="162"/>
      <c r="E90" s="162" t="s">
        <v>153</v>
      </c>
      <c r="F90" s="169">
        <v>2.5360619679999998</v>
      </c>
      <c r="G90" s="170">
        <v>2.3599999999999999E-6</v>
      </c>
      <c r="H90" s="170"/>
      <c r="J90" s="75"/>
    </row>
    <row r="91" spans="1:10" ht="14.1" customHeight="1" x14ac:dyDescent="0.2">
      <c r="A91" s="162"/>
      <c r="B91" s="162"/>
      <c r="C91" s="171"/>
      <c r="D91" s="162"/>
      <c r="E91" s="162"/>
      <c r="F91" s="172"/>
      <c r="G91" s="172"/>
      <c r="H91" s="172"/>
      <c r="J91" s="75"/>
    </row>
    <row r="92" spans="1:10" ht="14.1" customHeight="1" x14ac:dyDescent="0.2">
      <c r="A92" s="162"/>
      <c r="B92" s="162"/>
      <c r="C92" s="163" t="s">
        <v>158</v>
      </c>
      <c r="D92" s="162"/>
      <c r="E92" s="162"/>
      <c r="F92" s="172"/>
      <c r="G92" s="172"/>
      <c r="H92" s="172"/>
      <c r="J92" s="75"/>
    </row>
    <row r="93" spans="1:10" ht="14.1" customHeight="1" x14ac:dyDescent="0.2">
      <c r="A93" s="162"/>
      <c r="B93" s="162"/>
      <c r="C93" s="163" t="s">
        <v>152</v>
      </c>
      <c r="D93" s="162"/>
      <c r="E93" s="162" t="s">
        <v>153</v>
      </c>
      <c r="F93" s="173" t="s">
        <v>155</v>
      </c>
      <c r="G93" s="170">
        <v>0</v>
      </c>
      <c r="H93" s="170"/>
      <c r="J93" s="75"/>
    </row>
    <row r="94" spans="1:10" ht="14.1" customHeight="1" x14ac:dyDescent="0.2">
      <c r="A94" s="162"/>
      <c r="B94" s="162"/>
      <c r="C94" s="171"/>
      <c r="D94" s="162"/>
      <c r="E94" s="162"/>
      <c r="F94" s="172"/>
      <c r="G94" s="172"/>
      <c r="H94" s="172"/>
      <c r="J94" s="75"/>
    </row>
    <row r="95" spans="1:10" ht="14.1" customHeight="1" x14ac:dyDescent="0.2">
      <c r="A95" s="162"/>
      <c r="B95" s="162"/>
      <c r="C95" s="163" t="s">
        <v>159</v>
      </c>
      <c r="D95" s="162"/>
      <c r="E95" s="162"/>
      <c r="F95" s="172"/>
      <c r="G95" s="172"/>
      <c r="H95" s="172"/>
      <c r="J95" s="75"/>
    </row>
    <row r="96" spans="1:10" ht="14.1" customHeight="1" x14ac:dyDescent="0.2">
      <c r="A96" s="162"/>
      <c r="B96" s="162"/>
      <c r="C96" s="163" t="s">
        <v>152</v>
      </c>
      <c r="D96" s="162"/>
      <c r="E96" s="162" t="s">
        <v>153</v>
      </c>
      <c r="F96" s="173" t="s">
        <v>155</v>
      </c>
      <c r="G96" s="170">
        <v>0</v>
      </c>
      <c r="H96" s="170"/>
      <c r="J96" s="75"/>
    </row>
    <row r="97" spans="1:10" ht="14.1" customHeight="1" x14ac:dyDescent="0.2">
      <c r="A97" s="162"/>
      <c r="B97" s="162"/>
      <c r="C97" s="171"/>
      <c r="D97" s="162"/>
      <c r="E97" s="162"/>
      <c r="F97" s="172"/>
      <c r="G97" s="172"/>
      <c r="H97" s="172"/>
      <c r="J97" s="75"/>
    </row>
    <row r="98" spans="1:10" ht="18" customHeight="1" x14ac:dyDescent="0.2">
      <c r="A98" s="162"/>
      <c r="B98" s="162"/>
      <c r="C98" s="163" t="s">
        <v>160</v>
      </c>
      <c r="D98" s="162"/>
      <c r="E98" s="162"/>
      <c r="F98" s="169">
        <v>1023026.346214468</v>
      </c>
      <c r="G98" s="170">
        <v>0.95324295000000003</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161</v>
      </c>
      <c r="D100" s="162"/>
      <c r="E100" s="162"/>
      <c r="F100" s="172"/>
      <c r="G100" s="172"/>
      <c r="H100" s="172"/>
      <c r="J100" s="75"/>
    </row>
    <row r="101" spans="1:10" ht="24" customHeight="1" x14ac:dyDescent="0.2">
      <c r="A101" s="162"/>
      <c r="B101" s="162"/>
      <c r="C101" s="163" t="s">
        <v>10</v>
      </c>
      <c r="D101" s="162"/>
      <c r="E101" s="162"/>
      <c r="F101" s="172"/>
      <c r="G101" s="172"/>
      <c r="H101" s="172"/>
      <c r="J101" s="75"/>
    </row>
    <row r="102" spans="1:10" ht="14.1" customHeight="1" x14ac:dyDescent="0.2">
      <c r="A102" s="162"/>
      <c r="B102" s="162"/>
      <c r="C102" s="163" t="s">
        <v>152</v>
      </c>
      <c r="D102" s="162"/>
      <c r="E102" s="162" t="s">
        <v>153</v>
      </c>
      <c r="F102" s="173" t="s">
        <v>155</v>
      </c>
      <c r="G102" s="170">
        <v>0</v>
      </c>
      <c r="H102" s="170"/>
      <c r="J102" s="75"/>
    </row>
    <row r="103" spans="1:10" ht="14.1" customHeight="1" x14ac:dyDescent="0.2">
      <c r="A103" s="162"/>
      <c r="B103" s="162"/>
      <c r="C103" s="171"/>
      <c r="D103" s="162"/>
      <c r="E103" s="162"/>
      <c r="F103" s="172"/>
      <c r="G103" s="172"/>
      <c r="H103" s="172"/>
      <c r="J103" s="75"/>
    </row>
    <row r="104" spans="1:10" ht="14.1" customHeight="1" x14ac:dyDescent="0.2">
      <c r="A104" s="162"/>
      <c r="B104" s="162"/>
      <c r="C104" s="163" t="s">
        <v>162</v>
      </c>
      <c r="D104" s="162"/>
      <c r="E104" s="162"/>
      <c r="F104" s="162"/>
      <c r="G104" s="162"/>
      <c r="H104" s="162"/>
      <c r="J104" s="75"/>
    </row>
    <row r="105" spans="1:10" ht="14.1" customHeight="1" x14ac:dyDescent="0.2">
      <c r="A105" s="162"/>
      <c r="B105" s="162"/>
      <c r="C105" s="163" t="s">
        <v>152</v>
      </c>
      <c r="D105" s="162"/>
      <c r="E105" s="162" t="s">
        <v>153</v>
      </c>
      <c r="F105" s="173" t="s">
        <v>155</v>
      </c>
      <c r="G105" s="170">
        <v>0</v>
      </c>
      <c r="H105" s="170"/>
      <c r="J105" s="75"/>
    </row>
    <row r="106" spans="1:10" ht="14.1" customHeight="1" x14ac:dyDescent="0.2">
      <c r="A106" s="162"/>
      <c r="B106" s="162"/>
      <c r="C106" s="171"/>
      <c r="D106" s="162"/>
      <c r="E106" s="162"/>
      <c r="F106" s="172"/>
      <c r="G106" s="172"/>
      <c r="H106" s="172"/>
      <c r="J106" s="75"/>
    </row>
    <row r="107" spans="1:10" ht="14.1" customHeight="1" x14ac:dyDescent="0.2">
      <c r="A107" s="162"/>
      <c r="B107" s="162"/>
      <c r="C107" s="163" t="s">
        <v>163</v>
      </c>
      <c r="D107" s="162"/>
      <c r="E107" s="162"/>
      <c r="F107" s="162"/>
      <c r="G107" s="162"/>
      <c r="H107" s="162"/>
      <c r="J107" s="75"/>
    </row>
    <row r="108" spans="1:10" ht="14.1" customHeight="1" x14ac:dyDescent="0.2">
      <c r="A108" s="162"/>
      <c r="B108" s="162"/>
      <c r="C108" s="163" t="s">
        <v>152</v>
      </c>
      <c r="D108" s="162"/>
      <c r="E108" s="162" t="s">
        <v>153</v>
      </c>
      <c r="F108" s="173" t="s">
        <v>155</v>
      </c>
      <c r="G108" s="170">
        <v>0</v>
      </c>
      <c r="H108" s="170"/>
      <c r="J108" s="75"/>
    </row>
    <row r="109" spans="1:10" ht="14.1" customHeight="1" x14ac:dyDescent="0.2">
      <c r="A109" s="162"/>
      <c r="B109" s="162"/>
      <c r="C109" s="171"/>
      <c r="D109" s="162"/>
      <c r="E109" s="162"/>
      <c r="F109" s="172"/>
      <c r="G109" s="172"/>
      <c r="H109" s="172"/>
      <c r="J109" s="75"/>
    </row>
    <row r="110" spans="1:10" ht="14.1" customHeight="1" x14ac:dyDescent="0.2">
      <c r="A110" s="162"/>
      <c r="B110" s="162"/>
      <c r="C110" s="163" t="s">
        <v>164</v>
      </c>
      <c r="D110" s="162"/>
      <c r="E110" s="162"/>
      <c r="F110" s="172"/>
      <c r="G110" s="172"/>
      <c r="H110" s="17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2"/>
      <c r="C112" s="171"/>
      <c r="D112" s="162"/>
      <c r="E112" s="162"/>
      <c r="F112" s="172"/>
      <c r="G112" s="172"/>
      <c r="H112" s="172"/>
      <c r="J112" s="75"/>
    </row>
    <row r="113" spans="1:10" ht="14.1" customHeight="1" x14ac:dyDescent="0.2">
      <c r="A113" s="162"/>
      <c r="B113" s="162"/>
      <c r="C113" s="163" t="s">
        <v>165</v>
      </c>
      <c r="D113" s="162"/>
      <c r="E113" s="162"/>
      <c r="F113" s="169">
        <v>0</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166</v>
      </c>
      <c r="D115" s="162"/>
      <c r="E115" s="162"/>
      <c r="F115" s="172"/>
      <c r="G115" s="172"/>
      <c r="H115" s="172"/>
      <c r="J115" s="75"/>
    </row>
    <row r="116" spans="1:10" ht="14.1" customHeight="1" x14ac:dyDescent="0.2">
      <c r="A116" s="162"/>
      <c r="B116" s="162"/>
      <c r="C116" s="163" t="s">
        <v>167</v>
      </c>
      <c r="D116" s="162"/>
      <c r="E116" s="162"/>
      <c r="F116" s="172"/>
      <c r="G116" s="172"/>
      <c r="H116" s="172"/>
      <c r="J116" s="75"/>
    </row>
    <row r="117" spans="1:10" ht="14.1" customHeight="1" x14ac:dyDescent="0.2">
      <c r="A117" s="162"/>
      <c r="B117" s="162"/>
      <c r="C117" s="163" t="s">
        <v>152</v>
      </c>
      <c r="D117" s="162"/>
      <c r="E117" s="162" t="s">
        <v>153</v>
      </c>
      <c r="F117" s="173" t="s">
        <v>155</v>
      </c>
      <c r="G117" s="170">
        <v>0</v>
      </c>
      <c r="H117" s="170"/>
      <c r="J117" s="75"/>
    </row>
    <row r="118" spans="1:10" ht="14.1" customHeight="1" x14ac:dyDescent="0.2">
      <c r="A118" s="162"/>
      <c r="B118" s="162"/>
      <c r="C118" s="171"/>
      <c r="D118" s="162"/>
      <c r="E118" s="162"/>
      <c r="F118" s="172"/>
      <c r="G118" s="172"/>
      <c r="H118" s="172"/>
      <c r="J118" s="75"/>
    </row>
    <row r="119" spans="1:10" ht="14.1" customHeight="1" x14ac:dyDescent="0.2">
      <c r="A119" s="162"/>
      <c r="B119" s="162"/>
      <c r="C119" s="163" t="s">
        <v>168</v>
      </c>
      <c r="D119" s="162"/>
      <c r="E119" s="162"/>
      <c r="F119" s="172"/>
      <c r="G119" s="172"/>
      <c r="H119" s="172"/>
      <c r="J119" s="75"/>
    </row>
    <row r="120" spans="1:10" ht="14.1" customHeight="1" x14ac:dyDescent="0.2">
      <c r="A120" s="162"/>
      <c r="B120" s="162"/>
      <c r="C120" s="163" t="s">
        <v>152</v>
      </c>
      <c r="D120" s="162"/>
      <c r="E120" s="162" t="s">
        <v>153</v>
      </c>
      <c r="F120" s="173" t="s">
        <v>155</v>
      </c>
      <c r="G120" s="170">
        <v>0</v>
      </c>
      <c r="H120" s="170"/>
      <c r="J120" s="75"/>
    </row>
    <row r="121" spans="1:10" ht="14.1" customHeight="1" x14ac:dyDescent="0.2">
      <c r="A121" s="162"/>
      <c r="B121" s="162"/>
      <c r="C121" s="171"/>
      <c r="D121" s="162"/>
      <c r="E121" s="162"/>
      <c r="F121" s="172"/>
      <c r="G121" s="172"/>
      <c r="H121" s="172"/>
      <c r="J121" s="75"/>
    </row>
    <row r="122" spans="1:10" ht="14.1" customHeight="1" x14ac:dyDescent="0.2">
      <c r="A122" s="162"/>
      <c r="B122" s="162"/>
      <c r="C122" s="163" t="s">
        <v>169</v>
      </c>
      <c r="D122" s="162"/>
      <c r="E122" s="162"/>
      <c r="F122" s="172"/>
      <c r="G122" s="172"/>
      <c r="H122" s="172"/>
      <c r="J122" s="75"/>
    </row>
    <row r="123" spans="1:10" ht="14.1" customHeight="1" x14ac:dyDescent="0.2">
      <c r="A123" s="162"/>
      <c r="B123" s="162"/>
      <c r="C123" s="163" t="s">
        <v>152</v>
      </c>
      <c r="D123" s="162"/>
      <c r="E123" s="162" t="s">
        <v>153</v>
      </c>
      <c r="F123" s="173" t="s">
        <v>155</v>
      </c>
      <c r="G123" s="170">
        <v>0</v>
      </c>
      <c r="H123" s="170"/>
      <c r="J123" s="75"/>
    </row>
    <row r="124" spans="1:10" ht="14.1" customHeight="1" x14ac:dyDescent="0.2">
      <c r="A124" s="162"/>
      <c r="B124" s="162"/>
      <c r="C124" s="171"/>
      <c r="D124" s="162"/>
      <c r="E124" s="162"/>
      <c r="F124" s="172"/>
      <c r="G124" s="172"/>
      <c r="H124" s="172"/>
      <c r="J124" s="75"/>
    </row>
    <row r="125" spans="1:10" ht="14.1" customHeight="1" x14ac:dyDescent="0.2">
      <c r="A125" s="162"/>
      <c r="B125" s="162"/>
      <c r="C125" s="163" t="s">
        <v>170</v>
      </c>
      <c r="D125" s="162"/>
      <c r="E125" s="162"/>
      <c r="F125" s="172"/>
      <c r="G125" s="172"/>
      <c r="H125" s="172"/>
      <c r="J125" s="75"/>
    </row>
    <row r="126" spans="1:10" ht="17.100000000000001" customHeight="1" x14ac:dyDescent="0.2">
      <c r="A126" s="164">
        <v>1</v>
      </c>
      <c r="B126" s="165"/>
      <c r="C126" s="165" t="s">
        <v>171</v>
      </c>
      <c r="D126" s="165"/>
      <c r="E126" s="174"/>
      <c r="F126" s="167">
        <v>32761.00864847</v>
      </c>
      <c r="G126" s="168">
        <v>3.0526290000000001E-2</v>
      </c>
      <c r="H126" s="175">
        <v>6.66</v>
      </c>
      <c r="J126" s="75"/>
    </row>
    <row r="127" spans="1:10" ht="14.1" customHeight="1" x14ac:dyDescent="0.2">
      <c r="A127" s="162"/>
      <c r="B127" s="162"/>
      <c r="C127" s="163" t="s">
        <v>152</v>
      </c>
      <c r="D127" s="162"/>
      <c r="E127" s="162" t="s">
        <v>153</v>
      </c>
      <c r="F127" s="169">
        <v>32761.00864847</v>
      </c>
      <c r="G127" s="170">
        <v>3.0526290000000001E-2</v>
      </c>
      <c r="H127" s="170"/>
      <c r="J127" s="75"/>
    </row>
    <row r="128" spans="1:10" ht="14.1" customHeight="1" x14ac:dyDescent="0.2">
      <c r="A128" s="162"/>
      <c r="B128" s="162"/>
      <c r="C128" s="171"/>
      <c r="D128" s="162"/>
      <c r="E128" s="162"/>
      <c r="F128" s="172"/>
      <c r="G128" s="172"/>
      <c r="H128" s="172"/>
      <c r="J128" s="75"/>
    </row>
    <row r="129" spans="1:10" ht="14.1" customHeight="1" x14ac:dyDescent="0.2">
      <c r="A129" s="162"/>
      <c r="B129" s="162"/>
      <c r="C129" s="163" t="s">
        <v>172</v>
      </c>
      <c r="D129" s="162"/>
      <c r="E129" s="162"/>
      <c r="F129" s="169">
        <v>32761.00864847</v>
      </c>
      <c r="G129" s="170">
        <v>3.0526290000000001E-2</v>
      </c>
      <c r="H129" s="170"/>
      <c r="J129" s="75"/>
    </row>
    <row r="130" spans="1:10" ht="14.1" customHeight="1" x14ac:dyDescent="0.2">
      <c r="A130" s="162"/>
      <c r="B130" s="162"/>
      <c r="C130" s="172"/>
      <c r="D130" s="162"/>
      <c r="E130" s="162"/>
      <c r="F130" s="162"/>
      <c r="G130" s="162"/>
      <c r="H130" s="162"/>
      <c r="J130" s="75"/>
    </row>
    <row r="131" spans="1:10" ht="14.1" customHeight="1" x14ac:dyDescent="0.2">
      <c r="A131" s="162"/>
      <c r="B131" s="162"/>
      <c r="C131" s="163" t="s">
        <v>173</v>
      </c>
      <c r="D131" s="162"/>
      <c r="E131" s="162"/>
      <c r="F131" s="162"/>
      <c r="G131" s="162"/>
      <c r="H131" s="162"/>
      <c r="J131" s="75"/>
    </row>
    <row r="132" spans="1:10" ht="14.1" customHeight="1" x14ac:dyDescent="0.2">
      <c r="A132" s="162"/>
      <c r="B132" s="162"/>
      <c r="C132" s="163" t="s">
        <v>174</v>
      </c>
      <c r="D132" s="162"/>
      <c r="E132" s="162"/>
      <c r="F132" s="162"/>
      <c r="G132" s="162"/>
      <c r="H132" s="162"/>
      <c r="J132" s="75"/>
    </row>
    <row r="133" spans="1:10" ht="17.100000000000001" customHeight="1" x14ac:dyDescent="0.2">
      <c r="A133" s="164">
        <v>1</v>
      </c>
      <c r="B133" s="165" t="s">
        <v>175</v>
      </c>
      <c r="C133" s="165" t="s">
        <v>176</v>
      </c>
      <c r="D133" s="165"/>
      <c r="E133" s="176">
        <v>932318.58700000006</v>
      </c>
      <c r="F133" s="167">
        <v>20006.036265405</v>
      </c>
      <c r="G133" s="168">
        <v>1.8641370000000001E-2</v>
      </c>
      <c r="H133" s="168"/>
      <c r="J133" s="75"/>
    </row>
    <row r="134" spans="1:10" ht="14.1" customHeight="1" x14ac:dyDescent="0.2">
      <c r="A134" s="162"/>
      <c r="B134" s="162"/>
      <c r="C134" s="163" t="s">
        <v>152</v>
      </c>
      <c r="D134" s="162"/>
      <c r="E134" s="162" t="s">
        <v>153</v>
      </c>
      <c r="F134" s="169">
        <v>20006.036265405</v>
      </c>
      <c r="G134" s="170">
        <v>1.8641370000000001E-2</v>
      </c>
      <c r="H134" s="170"/>
      <c r="J134" s="75"/>
    </row>
    <row r="135" spans="1:10" ht="14.1" customHeight="1" x14ac:dyDescent="0.2">
      <c r="A135" s="162"/>
      <c r="B135" s="162"/>
      <c r="C135" s="171"/>
      <c r="D135" s="162"/>
      <c r="E135" s="162"/>
      <c r="F135" s="172"/>
      <c r="G135" s="172"/>
      <c r="H135" s="172"/>
      <c r="J135" s="75"/>
    </row>
    <row r="136" spans="1:10" ht="14.1" customHeight="1" x14ac:dyDescent="0.2">
      <c r="A136" s="162"/>
      <c r="B136" s="162"/>
      <c r="C136" s="163" t="s">
        <v>177</v>
      </c>
      <c r="D136" s="162"/>
      <c r="E136" s="162"/>
      <c r="F136" s="162"/>
      <c r="G136" s="162"/>
      <c r="H136" s="162"/>
      <c r="J136" s="75"/>
    </row>
    <row r="137" spans="1:10" ht="14.1" customHeight="1" x14ac:dyDescent="0.2">
      <c r="A137" s="162"/>
      <c r="B137" s="162"/>
      <c r="C137" s="163" t="s">
        <v>178</v>
      </c>
      <c r="D137" s="162"/>
      <c r="E137" s="162"/>
      <c r="F137" s="162"/>
      <c r="G137" s="162"/>
      <c r="H137" s="162"/>
      <c r="J137" s="75"/>
    </row>
    <row r="138" spans="1:10" ht="14.1" customHeight="1" x14ac:dyDescent="0.2">
      <c r="A138" s="162"/>
      <c r="B138" s="162"/>
      <c r="C138" s="163" t="s">
        <v>152</v>
      </c>
      <c r="D138" s="162"/>
      <c r="E138" s="162" t="s">
        <v>153</v>
      </c>
      <c r="F138" s="173" t="s">
        <v>155</v>
      </c>
      <c r="G138" s="170">
        <v>0</v>
      </c>
      <c r="H138" s="170"/>
      <c r="J138" s="75"/>
    </row>
    <row r="139" spans="1:10" ht="14.1" customHeight="1" x14ac:dyDescent="0.2">
      <c r="A139" s="162"/>
      <c r="B139" s="162"/>
      <c r="C139" s="171"/>
      <c r="D139" s="162"/>
      <c r="E139" s="162"/>
      <c r="F139" s="172"/>
      <c r="G139" s="172"/>
      <c r="H139" s="172"/>
      <c r="J139" s="75"/>
    </row>
    <row r="140" spans="1:10" ht="24" customHeight="1" x14ac:dyDescent="0.2">
      <c r="A140" s="162"/>
      <c r="B140" s="162"/>
      <c r="C140" s="163" t="s">
        <v>179</v>
      </c>
      <c r="D140" s="162"/>
      <c r="E140" s="162"/>
      <c r="F140" s="172"/>
      <c r="G140" s="172"/>
      <c r="H140" s="172"/>
      <c r="J140" s="75"/>
    </row>
    <row r="141" spans="1:10" ht="14.1" customHeight="1" x14ac:dyDescent="0.2">
      <c r="A141" s="162"/>
      <c r="B141" s="162"/>
      <c r="C141" s="163" t="s">
        <v>152</v>
      </c>
      <c r="D141" s="162"/>
      <c r="E141" s="162" t="s">
        <v>153</v>
      </c>
      <c r="F141" s="173" t="s">
        <v>155</v>
      </c>
      <c r="G141" s="170">
        <v>0</v>
      </c>
      <c r="H141" s="170"/>
      <c r="J141" s="75"/>
    </row>
    <row r="142" spans="1:10" ht="14.1" customHeight="1" x14ac:dyDescent="0.2">
      <c r="A142" s="162"/>
      <c r="B142" s="165"/>
      <c r="C142" s="165"/>
      <c r="D142" s="163"/>
      <c r="E142" s="162"/>
      <c r="F142" s="165"/>
      <c r="G142" s="174"/>
      <c r="H142" s="174"/>
      <c r="J142" s="75"/>
    </row>
    <row r="143" spans="1:10" ht="18" customHeight="1" x14ac:dyDescent="0.2">
      <c r="A143" s="174"/>
      <c r="B143" s="165"/>
      <c r="C143" s="165" t="s">
        <v>180</v>
      </c>
      <c r="D143" s="165"/>
      <c r="E143" s="174"/>
      <c r="F143" s="167">
        <v>-2586.9692513999998</v>
      </c>
      <c r="G143" s="168">
        <v>-2.4105099999999998E-3</v>
      </c>
      <c r="H143" s="168"/>
      <c r="J143" s="75"/>
    </row>
    <row r="144" spans="1:10" ht="14.1" customHeight="1" x14ac:dyDescent="0.2">
      <c r="A144" s="171"/>
      <c r="B144" s="171"/>
      <c r="C144" s="163" t="s">
        <v>181</v>
      </c>
      <c r="D144" s="172"/>
      <c r="E144" s="172"/>
      <c r="F144" s="169">
        <v>1073206.421876943</v>
      </c>
      <c r="G144" s="177">
        <v>1.0000001000000001</v>
      </c>
      <c r="H144" s="177"/>
      <c r="J144" s="75"/>
    </row>
    <row r="145" spans="1:17" ht="14.1" customHeight="1" x14ac:dyDescent="0.2">
      <c r="A145" s="178"/>
      <c r="B145" s="178"/>
      <c r="C145" s="178"/>
      <c r="D145" s="179"/>
      <c r="E145" s="179"/>
      <c r="F145" s="179"/>
      <c r="G145" s="179"/>
      <c r="H145" s="179"/>
      <c r="J145" s="75"/>
    </row>
    <row r="146" spans="1:17" ht="12.75" customHeight="1" x14ac:dyDescent="0.2">
      <c r="A146" s="180"/>
      <c r="B146" s="258" t="s">
        <v>882</v>
      </c>
      <c r="C146" s="258"/>
      <c r="D146" s="258"/>
      <c r="E146" s="258"/>
      <c r="F146" s="258"/>
      <c r="G146" s="258"/>
      <c r="H146" s="258"/>
      <c r="J146" s="75"/>
    </row>
    <row r="147" spans="1:17" ht="14.1" customHeight="1" x14ac:dyDescent="0.2">
      <c r="A147" s="180"/>
      <c r="B147" s="258" t="s">
        <v>883</v>
      </c>
      <c r="C147" s="258"/>
      <c r="D147" s="258"/>
      <c r="E147" s="258"/>
      <c r="F147" s="258"/>
      <c r="G147" s="258"/>
      <c r="H147" s="258"/>
      <c r="J147" s="75"/>
    </row>
    <row r="148" spans="1:17" ht="17.100000000000001" customHeight="1" x14ac:dyDescent="0.2">
      <c r="A148" s="180"/>
      <c r="B148" s="258" t="s">
        <v>884</v>
      </c>
      <c r="C148" s="258"/>
      <c r="D148" s="258"/>
      <c r="E148" s="258"/>
      <c r="F148" s="258"/>
      <c r="G148" s="258"/>
      <c r="H148" s="258"/>
      <c r="J148" s="75"/>
    </row>
    <row r="149" spans="1:17" s="34" customFormat="1" ht="62.25" customHeight="1" x14ac:dyDescent="0.25">
      <c r="A149" s="33"/>
      <c r="B149" s="259" t="s">
        <v>885</v>
      </c>
      <c r="C149" s="259"/>
      <c r="D149" s="259"/>
      <c r="E149" s="259"/>
      <c r="F149" s="259"/>
      <c r="G149" s="259"/>
      <c r="H149" s="259"/>
      <c r="I149"/>
      <c r="J149" s="75"/>
      <c r="K149"/>
      <c r="L149"/>
      <c r="M149"/>
      <c r="N149"/>
      <c r="O149"/>
      <c r="P149"/>
      <c r="Q149"/>
    </row>
    <row r="150" spans="1:17" ht="12.75" customHeight="1" x14ac:dyDescent="0.2">
      <c r="A150" s="180"/>
      <c r="B150" s="258" t="s">
        <v>886</v>
      </c>
      <c r="C150" s="258"/>
      <c r="D150" s="258"/>
      <c r="E150" s="258"/>
      <c r="F150" s="258"/>
      <c r="G150" s="258"/>
      <c r="H150" s="258"/>
      <c r="J150" s="75"/>
    </row>
    <row r="151" spans="1:17" ht="14.1" customHeight="1" x14ac:dyDescent="0.2">
      <c r="A151" s="181"/>
      <c r="B151" s="181"/>
      <c r="C151" s="181"/>
      <c r="D151" s="182"/>
      <c r="E151" s="182"/>
      <c r="F151" s="182"/>
      <c r="G151" s="182"/>
      <c r="H151" s="182"/>
      <c r="J151" s="75"/>
    </row>
    <row r="152" spans="1:17" ht="14.1" customHeight="1" x14ac:dyDescent="0.2">
      <c r="A152" s="181"/>
      <c r="B152" s="255" t="s">
        <v>183</v>
      </c>
      <c r="C152" s="256"/>
      <c r="D152" s="257"/>
      <c r="E152" s="183"/>
      <c r="F152" s="182"/>
      <c r="G152" s="182"/>
      <c r="H152" s="182"/>
      <c r="J152" s="75"/>
    </row>
    <row r="153" spans="1:17" ht="29.1" customHeight="1" x14ac:dyDescent="0.2">
      <c r="A153" s="181"/>
      <c r="B153" s="253" t="s">
        <v>184</v>
      </c>
      <c r="C153" s="254"/>
      <c r="D153" s="163" t="s">
        <v>185</v>
      </c>
      <c r="E153" s="183"/>
      <c r="F153" s="182"/>
      <c r="G153" s="182"/>
      <c r="H153" s="182"/>
      <c r="J153" s="75"/>
    </row>
    <row r="154" spans="1:17" ht="17.100000000000001" customHeight="1" x14ac:dyDescent="0.2">
      <c r="A154" s="181"/>
      <c r="B154" s="251" t="s">
        <v>898</v>
      </c>
      <c r="C154" s="252"/>
      <c r="D154" s="163" t="s">
        <v>893</v>
      </c>
      <c r="E154" s="183"/>
      <c r="F154" s="182"/>
      <c r="G154" s="182"/>
      <c r="H154" s="182"/>
      <c r="J154" s="75"/>
    </row>
    <row r="155" spans="1:17" ht="17.100000000000001" customHeight="1" x14ac:dyDescent="0.2">
      <c r="A155" s="181"/>
      <c r="B155" s="253" t="s">
        <v>187</v>
      </c>
      <c r="C155" s="254"/>
      <c r="D155" s="172" t="s">
        <v>153</v>
      </c>
      <c r="E155" s="183"/>
      <c r="F155" s="182"/>
      <c r="G155" s="182"/>
      <c r="H155" s="182"/>
      <c r="J155" s="75"/>
    </row>
    <row r="156" spans="1:17" x14ac:dyDescent="0.2">
      <c r="A156" s="185"/>
      <c r="B156" s="186" t="s">
        <v>153</v>
      </c>
      <c r="C156" s="186" t="s">
        <v>1088</v>
      </c>
      <c r="D156" s="186" t="s">
        <v>188</v>
      </c>
      <c r="E156" s="185"/>
      <c r="F156" s="185"/>
      <c r="G156" s="185"/>
      <c r="H156" s="185"/>
      <c r="J156" s="75"/>
    </row>
    <row r="157" spans="1:17" x14ac:dyDescent="0.2">
      <c r="A157" s="185"/>
      <c r="B157" s="187" t="s">
        <v>189</v>
      </c>
      <c r="C157" s="186" t="s">
        <v>190</v>
      </c>
      <c r="D157" s="186" t="s">
        <v>191</v>
      </c>
      <c r="E157" s="185"/>
      <c r="F157" s="185"/>
      <c r="G157" s="185"/>
      <c r="H157" s="185"/>
      <c r="J157" s="75"/>
    </row>
    <row r="158" spans="1:17" ht="17.100000000000001" customHeight="1" x14ac:dyDescent="0.2">
      <c r="A158" s="185"/>
      <c r="B158" s="165" t="s">
        <v>192</v>
      </c>
      <c r="C158" s="188">
        <v>1186.6234999999999</v>
      </c>
      <c r="D158" s="188">
        <v>1245.8501000000001</v>
      </c>
      <c r="E158" s="185"/>
      <c r="F158" s="189"/>
      <c r="G158" s="190"/>
      <c r="H158" s="190"/>
      <c r="J158" s="75"/>
    </row>
    <row r="159" spans="1:17" ht="17.100000000000001" customHeight="1" x14ac:dyDescent="0.2">
      <c r="A159" s="185"/>
      <c r="B159" s="165" t="s">
        <v>1054</v>
      </c>
      <c r="C159" s="188">
        <v>64.388000000000005</v>
      </c>
      <c r="D159" s="188">
        <v>67.601500000000001</v>
      </c>
      <c r="E159" s="185"/>
      <c r="F159" s="189"/>
      <c r="G159" s="190"/>
      <c r="H159" s="190"/>
      <c r="J159" s="75"/>
    </row>
    <row r="160" spans="1:17" ht="17.100000000000001" customHeight="1" x14ac:dyDescent="0.2">
      <c r="A160" s="185"/>
      <c r="B160" s="165" t="s">
        <v>193</v>
      </c>
      <c r="C160" s="188">
        <v>1098.6799000000001</v>
      </c>
      <c r="D160" s="188">
        <v>1152.6613</v>
      </c>
      <c r="E160" s="185"/>
      <c r="F160" s="189"/>
      <c r="G160" s="190"/>
      <c r="H160" s="190"/>
      <c r="J160" s="75"/>
    </row>
    <row r="161" spans="1:10" ht="17.100000000000001" customHeight="1" x14ac:dyDescent="0.2">
      <c r="A161" s="185"/>
      <c r="B161" s="165" t="s">
        <v>1055</v>
      </c>
      <c r="C161" s="188">
        <v>58.782800000000002</v>
      </c>
      <c r="D161" s="188">
        <v>61.670699999999997</v>
      </c>
      <c r="E161" s="185"/>
      <c r="F161" s="189"/>
      <c r="G161" s="190"/>
      <c r="H161" s="190"/>
      <c r="J161" s="75"/>
    </row>
    <row r="162" spans="1:10" ht="14.1" customHeight="1" x14ac:dyDescent="0.2">
      <c r="A162" s="185"/>
      <c r="B162" s="185"/>
      <c r="C162" s="185"/>
      <c r="D162" s="185"/>
      <c r="E162" s="185"/>
      <c r="F162" s="185"/>
      <c r="G162" s="185"/>
      <c r="H162" s="185"/>
      <c r="J162" s="75"/>
    </row>
    <row r="163" spans="1:10" ht="17.100000000000001" customHeight="1" x14ac:dyDescent="0.2">
      <c r="A163" s="185"/>
      <c r="B163" s="253" t="s">
        <v>1056</v>
      </c>
      <c r="C163" s="254"/>
      <c r="D163" s="163" t="s">
        <v>185</v>
      </c>
      <c r="E163" s="185"/>
      <c r="F163" s="185"/>
      <c r="G163" s="185"/>
      <c r="H163" s="185"/>
      <c r="J163" s="75"/>
    </row>
    <row r="164" spans="1:10" ht="14.1" customHeight="1" x14ac:dyDescent="0.2">
      <c r="A164" s="185"/>
      <c r="B164" s="189"/>
      <c r="C164" s="189"/>
      <c r="D164" s="185"/>
      <c r="E164" s="185"/>
      <c r="F164" s="185"/>
      <c r="G164" s="185"/>
      <c r="H164" s="185"/>
      <c r="J164" s="75"/>
    </row>
    <row r="165" spans="1:10" ht="29.1" customHeight="1" x14ac:dyDescent="0.2">
      <c r="A165" s="185"/>
      <c r="B165" s="253" t="s">
        <v>194</v>
      </c>
      <c r="C165" s="254"/>
      <c r="D165" s="163" t="s">
        <v>185</v>
      </c>
      <c r="E165" s="191"/>
      <c r="F165" s="185"/>
      <c r="G165" s="185"/>
      <c r="H165" s="185"/>
      <c r="J165" s="75"/>
    </row>
    <row r="166" spans="1:10" ht="29.1" customHeight="1" x14ac:dyDescent="0.2">
      <c r="A166" s="185"/>
      <c r="B166" s="253" t="s">
        <v>195</v>
      </c>
      <c r="C166" s="254"/>
      <c r="D166" s="163" t="s">
        <v>185</v>
      </c>
      <c r="E166" s="191"/>
      <c r="F166" s="185"/>
      <c r="G166" s="185"/>
      <c r="H166" s="185"/>
      <c r="J166" s="75"/>
    </row>
    <row r="167" spans="1:10" ht="17.100000000000001" customHeight="1" x14ac:dyDescent="0.2">
      <c r="A167" s="185"/>
      <c r="B167" s="253" t="s">
        <v>196</v>
      </c>
      <c r="C167" s="254"/>
      <c r="D167" s="163" t="s">
        <v>185</v>
      </c>
      <c r="E167" s="191"/>
      <c r="F167" s="185"/>
      <c r="G167" s="185"/>
      <c r="H167" s="185"/>
      <c r="J167" s="75"/>
    </row>
    <row r="168" spans="1:10" ht="17.100000000000001" customHeight="1" x14ac:dyDescent="0.2">
      <c r="A168" s="185"/>
      <c r="B168" s="253" t="s">
        <v>197</v>
      </c>
      <c r="C168" s="254"/>
      <c r="D168" s="192">
        <v>0.43283394850748297</v>
      </c>
      <c r="E168" s="185"/>
      <c r="F168" s="189"/>
      <c r="G168" s="190"/>
      <c r="H168" s="190"/>
      <c r="J168" s="75"/>
    </row>
  </sheetData>
  <mergeCells count="17">
    <mergeCell ref="B168:C168"/>
    <mergeCell ref="B163:C163"/>
    <mergeCell ref="B165:C165"/>
    <mergeCell ref="B166:C166"/>
    <mergeCell ref="B167:C167"/>
    <mergeCell ref="A1:H1"/>
    <mergeCell ref="A2:H2"/>
    <mergeCell ref="A3:H3"/>
    <mergeCell ref="B154:C154"/>
    <mergeCell ref="B155:C155"/>
    <mergeCell ref="B152:D152"/>
    <mergeCell ref="B153:C153"/>
    <mergeCell ref="B150:H150"/>
    <mergeCell ref="B146:H146"/>
    <mergeCell ref="B147:H147"/>
    <mergeCell ref="B148:H148"/>
    <mergeCell ref="B149:H149"/>
  </mergeCells>
  <hyperlinks>
    <hyperlink ref="I1" location="Index!B4" display="Index" xr:uid="{6BA5BFF3-62A5-4D1A-BF5F-CD849C5479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75"/>
  <sheetViews>
    <sheetView showGridLines="0" workbookViewId="0">
      <selection activeCell="C112" sqref="C112"/>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330</v>
      </c>
      <c r="B2" s="250"/>
      <c r="C2" s="250"/>
      <c r="D2" s="250"/>
      <c r="E2" s="250"/>
      <c r="F2" s="250"/>
      <c r="G2" s="250"/>
      <c r="H2" s="250"/>
      <c r="J2" s="70" t="s">
        <v>889</v>
      </c>
      <c r="K2" s="67"/>
      <c r="L2" s="67"/>
      <c r="M2" s="67"/>
      <c r="N2" s="67"/>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O4"/>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331</v>
      </c>
      <c r="C7" s="165" t="s">
        <v>332</v>
      </c>
      <c r="D7" s="165" t="s">
        <v>39</v>
      </c>
      <c r="E7" s="166">
        <v>1960000</v>
      </c>
      <c r="F7" s="167">
        <v>29793.96</v>
      </c>
      <c r="G7" s="168">
        <v>4.6642889999999999E-2</v>
      </c>
      <c r="H7" s="168"/>
      <c r="J7" s="75"/>
    </row>
    <row r="8" spans="1:17" ht="17.100000000000001" customHeight="1" x14ac:dyDescent="0.2">
      <c r="A8" s="164">
        <v>2</v>
      </c>
      <c r="B8" s="165" t="s">
        <v>37</v>
      </c>
      <c r="C8" s="165" t="s">
        <v>38</v>
      </c>
      <c r="D8" s="165" t="s">
        <v>39</v>
      </c>
      <c r="E8" s="166">
        <v>2400000</v>
      </c>
      <c r="F8" s="167">
        <v>27609.599999999999</v>
      </c>
      <c r="G8" s="168">
        <v>4.3223249999999998E-2</v>
      </c>
      <c r="H8" s="168"/>
      <c r="J8" s="75"/>
    </row>
    <row r="9" spans="1:17" ht="17.100000000000001" customHeight="1" x14ac:dyDescent="0.2">
      <c r="A9" s="164">
        <v>3</v>
      </c>
      <c r="B9" s="165" t="s">
        <v>14</v>
      </c>
      <c r="C9" s="165" t="s">
        <v>15</v>
      </c>
      <c r="D9" s="165" t="s">
        <v>16</v>
      </c>
      <c r="E9" s="166">
        <v>870000</v>
      </c>
      <c r="F9" s="167">
        <v>25525.8</v>
      </c>
      <c r="G9" s="168">
        <v>3.9961030000000002E-2</v>
      </c>
      <c r="H9" s="168"/>
      <c r="J9" s="75"/>
    </row>
    <row r="10" spans="1:17" ht="17.100000000000001" customHeight="1" x14ac:dyDescent="0.2">
      <c r="A10" s="164">
        <v>4</v>
      </c>
      <c r="B10" s="165" t="s">
        <v>54</v>
      </c>
      <c r="C10" s="165" t="s">
        <v>55</v>
      </c>
      <c r="D10" s="165" t="s">
        <v>39</v>
      </c>
      <c r="E10" s="166">
        <v>2300000</v>
      </c>
      <c r="F10" s="167">
        <v>19003.75</v>
      </c>
      <c r="G10" s="168">
        <v>2.9750660000000002E-2</v>
      </c>
      <c r="H10" s="168"/>
      <c r="J10" s="75"/>
    </row>
    <row r="11" spans="1:17" ht="17.100000000000001" customHeight="1" x14ac:dyDescent="0.2">
      <c r="A11" s="164">
        <v>5</v>
      </c>
      <c r="B11" s="165" t="s">
        <v>11</v>
      </c>
      <c r="C11" s="165" t="s">
        <v>12</v>
      </c>
      <c r="D11" s="165" t="s">
        <v>13</v>
      </c>
      <c r="E11" s="166">
        <v>440000</v>
      </c>
      <c r="F11" s="167">
        <v>15814.92</v>
      </c>
      <c r="G11" s="168">
        <v>2.4758499999999999E-2</v>
      </c>
      <c r="H11" s="168"/>
      <c r="J11" s="75"/>
    </row>
    <row r="12" spans="1:17" ht="17.100000000000001" customHeight="1" x14ac:dyDescent="0.2">
      <c r="A12" s="164">
        <v>6</v>
      </c>
      <c r="B12" s="165" t="s">
        <v>333</v>
      </c>
      <c r="C12" s="165" t="s">
        <v>334</v>
      </c>
      <c r="D12" s="165" t="s">
        <v>210</v>
      </c>
      <c r="E12" s="166">
        <v>6943496</v>
      </c>
      <c r="F12" s="167">
        <v>13411.362524</v>
      </c>
      <c r="G12" s="168">
        <v>2.0995690000000001E-2</v>
      </c>
      <c r="H12" s="168"/>
      <c r="J12" s="71"/>
    </row>
    <row r="13" spans="1:17" ht="27.75" customHeight="1" x14ac:dyDescent="0.2">
      <c r="A13" s="164">
        <v>7</v>
      </c>
      <c r="B13" s="165" t="s">
        <v>335</v>
      </c>
      <c r="C13" s="165" t="s">
        <v>336</v>
      </c>
      <c r="D13" s="165" t="s">
        <v>39</v>
      </c>
      <c r="E13" s="166">
        <v>1100000</v>
      </c>
      <c r="F13" s="167">
        <v>12824.9</v>
      </c>
      <c r="G13" s="168">
        <v>2.0077580000000001E-2</v>
      </c>
      <c r="H13" s="168"/>
      <c r="J13" s="75" t="s">
        <v>894</v>
      </c>
    </row>
    <row r="14" spans="1:17" ht="17.100000000000001" customHeight="1" x14ac:dyDescent="0.2">
      <c r="A14" s="164">
        <v>8</v>
      </c>
      <c r="B14" s="165" t="s">
        <v>337</v>
      </c>
      <c r="C14" s="165" t="s">
        <v>338</v>
      </c>
      <c r="D14" s="165" t="s">
        <v>232</v>
      </c>
      <c r="E14" s="166">
        <v>850000</v>
      </c>
      <c r="F14" s="167">
        <v>12074.674999999999</v>
      </c>
      <c r="G14" s="168">
        <v>1.8903090000000001E-2</v>
      </c>
      <c r="H14" s="168"/>
      <c r="J14" s="75"/>
    </row>
    <row r="15" spans="1:17" ht="17.100000000000001" customHeight="1" x14ac:dyDescent="0.2">
      <c r="A15" s="164">
        <v>9</v>
      </c>
      <c r="B15" s="165" t="s">
        <v>17</v>
      </c>
      <c r="C15" s="165" t="s">
        <v>18</v>
      </c>
      <c r="D15" s="165" t="s">
        <v>19</v>
      </c>
      <c r="E15" s="166">
        <v>900000</v>
      </c>
      <c r="F15" s="167">
        <v>11900.7</v>
      </c>
      <c r="G15" s="168">
        <v>1.8630730000000002E-2</v>
      </c>
      <c r="H15" s="168"/>
      <c r="J15" s="75"/>
    </row>
    <row r="16" spans="1:17" ht="17.100000000000001" customHeight="1" x14ac:dyDescent="0.2">
      <c r="A16" s="164">
        <v>10</v>
      </c>
      <c r="B16" s="165" t="s">
        <v>60</v>
      </c>
      <c r="C16" s="165" t="s">
        <v>61</v>
      </c>
      <c r="D16" s="165" t="s">
        <v>62</v>
      </c>
      <c r="E16" s="166">
        <v>1105000</v>
      </c>
      <c r="F16" s="167">
        <v>11359.4</v>
      </c>
      <c r="G16" s="168">
        <v>1.778331E-2</v>
      </c>
      <c r="H16" s="168"/>
      <c r="J16" s="75"/>
    </row>
    <row r="17" spans="1:10" ht="17.100000000000001" customHeight="1" x14ac:dyDescent="0.2">
      <c r="A17" s="164">
        <v>11</v>
      </c>
      <c r="B17" s="165" t="s">
        <v>339</v>
      </c>
      <c r="C17" s="165" t="s">
        <v>340</v>
      </c>
      <c r="D17" s="165" t="s">
        <v>232</v>
      </c>
      <c r="E17" s="166">
        <v>278000</v>
      </c>
      <c r="F17" s="167">
        <v>10621.406999999999</v>
      </c>
      <c r="G17" s="168">
        <v>1.6627969999999999E-2</v>
      </c>
      <c r="H17" s="168"/>
      <c r="J17" s="75"/>
    </row>
    <row r="18" spans="1:10" ht="17.100000000000001" customHeight="1" x14ac:dyDescent="0.2">
      <c r="A18" s="164">
        <v>12</v>
      </c>
      <c r="B18" s="165" t="s">
        <v>125</v>
      </c>
      <c r="C18" s="165" t="s">
        <v>126</v>
      </c>
      <c r="D18" s="165" t="s">
        <v>53</v>
      </c>
      <c r="E18" s="166">
        <v>2400000</v>
      </c>
      <c r="F18" s="167">
        <v>10597.2</v>
      </c>
      <c r="G18" s="168">
        <v>1.659008E-2</v>
      </c>
      <c r="H18" s="168"/>
      <c r="J18" s="75"/>
    </row>
    <row r="19" spans="1:10" ht="17.100000000000001" customHeight="1" x14ac:dyDescent="0.2">
      <c r="A19" s="164">
        <v>13</v>
      </c>
      <c r="B19" s="165" t="s">
        <v>20</v>
      </c>
      <c r="C19" s="165" t="s">
        <v>21</v>
      </c>
      <c r="D19" s="165" t="s">
        <v>22</v>
      </c>
      <c r="E19" s="166">
        <v>2775000</v>
      </c>
      <c r="F19" s="167">
        <v>10078.799999999999</v>
      </c>
      <c r="G19" s="168">
        <v>1.5778509999999999E-2</v>
      </c>
      <c r="H19" s="168"/>
      <c r="J19" s="75"/>
    </row>
    <row r="20" spans="1:10" ht="17.100000000000001" customHeight="1" x14ac:dyDescent="0.2">
      <c r="A20" s="164">
        <v>14</v>
      </c>
      <c r="B20" s="165" t="s">
        <v>129</v>
      </c>
      <c r="C20" s="165" t="s">
        <v>130</v>
      </c>
      <c r="D20" s="165" t="s">
        <v>80</v>
      </c>
      <c r="E20" s="166">
        <v>675000</v>
      </c>
      <c r="F20" s="167">
        <v>10012.612499999999</v>
      </c>
      <c r="G20" s="168">
        <v>1.5674899999999999E-2</v>
      </c>
      <c r="H20" s="168"/>
      <c r="J20" s="75"/>
    </row>
    <row r="21" spans="1:10" ht="17.100000000000001" customHeight="1" x14ac:dyDescent="0.2">
      <c r="A21" s="164">
        <v>15</v>
      </c>
      <c r="B21" s="165" t="s">
        <v>341</v>
      </c>
      <c r="C21" s="165" t="s">
        <v>342</v>
      </c>
      <c r="D21" s="165" t="s">
        <v>273</v>
      </c>
      <c r="E21" s="166">
        <v>675000</v>
      </c>
      <c r="F21" s="167">
        <v>9986.2875000000004</v>
      </c>
      <c r="G21" s="168">
        <v>1.563368E-2</v>
      </c>
      <c r="H21" s="168"/>
      <c r="J21" s="75"/>
    </row>
    <row r="22" spans="1:10" ht="17.100000000000001" customHeight="1" x14ac:dyDescent="0.2">
      <c r="A22" s="164">
        <v>16</v>
      </c>
      <c r="B22" s="165" t="s">
        <v>343</v>
      </c>
      <c r="C22" s="165" t="s">
        <v>344</v>
      </c>
      <c r="D22" s="165" t="s">
        <v>345</v>
      </c>
      <c r="E22" s="166">
        <v>1499310</v>
      </c>
      <c r="F22" s="167">
        <v>9661.5536400000001</v>
      </c>
      <c r="G22" s="168">
        <v>1.5125309999999999E-2</v>
      </c>
      <c r="H22" s="168"/>
      <c r="J22" s="71"/>
    </row>
    <row r="23" spans="1:10" ht="29.1" customHeight="1" x14ac:dyDescent="0.2">
      <c r="A23" s="164">
        <v>17</v>
      </c>
      <c r="B23" s="165" t="s">
        <v>346</v>
      </c>
      <c r="C23" s="165" t="s">
        <v>347</v>
      </c>
      <c r="D23" s="165" t="s">
        <v>216</v>
      </c>
      <c r="E23" s="166">
        <v>625000</v>
      </c>
      <c r="F23" s="167">
        <v>9388.125</v>
      </c>
      <c r="G23" s="168">
        <v>1.469725E-2</v>
      </c>
      <c r="H23" s="168"/>
      <c r="J23" s="75" t="s">
        <v>895</v>
      </c>
    </row>
    <row r="24" spans="1:10" ht="17.100000000000001" customHeight="1" x14ac:dyDescent="0.2">
      <c r="A24" s="164">
        <v>18</v>
      </c>
      <c r="B24" s="165" t="s">
        <v>73</v>
      </c>
      <c r="C24" s="165" t="s">
        <v>74</v>
      </c>
      <c r="D24" s="165" t="s">
        <v>75</v>
      </c>
      <c r="E24" s="166">
        <v>110000</v>
      </c>
      <c r="F24" s="167">
        <v>9175.9249999999993</v>
      </c>
      <c r="G24" s="168">
        <v>1.4365050000000001E-2</v>
      </c>
      <c r="H24" s="168"/>
      <c r="J24" s="75"/>
    </row>
    <row r="25" spans="1:10" ht="17.100000000000001" customHeight="1" x14ac:dyDescent="0.2">
      <c r="A25" s="164">
        <v>19</v>
      </c>
      <c r="B25" s="165" t="s">
        <v>348</v>
      </c>
      <c r="C25" s="165" t="s">
        <v>349</v>
      </c>
      <c r="D25" s="165" t="s">
        <v>285</v>
      </c>
      <c r="E25" s="166">
        <v>900000</v>
      </c>
      <c r="F25" s="167">
        <v>9071.1</v>
      </c>
      <c r="G25" s="168">
        <v>1.420094E-2</v>
      </c>
      <c r="H25" s="168"/>
      <c r="J25" s="75"/>
    </row>
    <row r="26" spans="1:10" ht="17.100000000000001" customHeight="1" x14ac:dyDescent="0.2">
      <c r="A26" s="164">
        <v>20</v>
      </c>
      <c r="B26" s="165" t="s">
        <v>298</v>
      </c>
      <c r="C26" s="165" t="s">
        <v>299</v>
      </c>
      <c r="D26" s="165" t="s">
        <v>104</v>
      </c>
      <c r="E26" s="166">
        <v>1220000</v>
      </c>
      <c r="F26" s="167">
        <v>9003.6</v>
      </c>
      <c r="G26" s="168">
        <v>1.409527E-2</v>
      </c>
      <c r="H26" s="168"/>
      <c r="J26" s="75"/>
    </row>
    <row r="27" spans="1:10" ht="29.1" customHeight="1" x14ac:dyDescent="0.2">
      <c r="A27" s="164">
        <v>21</v>
      </c>
      <c r="B27" s="165" t="s">
        <v>224</v>
      </c>
      <c r="C27" s="165" t="s">
        <v>225</v>
      </c>
      <c r="D27" s="165" t="s">
        <v>216</v>
      </c>
      <c r="E27" s="166">
        <v>540541</v>
      </c>
      <c r="F27" s="167">
        <v>8896.7643189999999</v>
      </c>
      <c r="G27" s="168">
        <v>1.3928019999999999E-2</v>
      </c>
      <c r="H27" s="168"/>
      <c r="J27" s="75"/>
    </row>
    <row r="28" spans="1:10" ht="17.100000000000001" customHeight="1" x14ac:dyDescent="0.2">
      <c r="A28" s="164">
        <v>22</v>
      </c>
      <c r="B28" s="165" t="s">
        <v>31</v>
      </c>
      <c r="C28" s="165" t="s">
        <v>32</v>
      </c>
      <c r="D28" s="165" t="s">
        <v>33</v>
      </c>
      <c r="E28" s="166">
        <v>135000</v>
      </c>
      <c r="F28" s="167">
        <v>8830.0125000000007</v>
      </c>
      <c r="G28" s="168">
        <v>1.3823520000000001E-2</v>
      </c>
      <c r="H28" s="168"/>
      <c r="J28" s="75"/>
    </row>
    <row r="29" spans="1:10" ht="17.100000000000001" customHeight="1" x14ac:dyDescent="0.2">
      <c r="A29" s="164">
        <v>23</v>
      </c>
      <c r="B29" s="165" t="s">
        <v>271</v>
      </c>
      <c r="C29" s="165" t="s">
        <v>272</v>
      </c>
      <c r="D29" s="165" t="s">
        <v>273</v>
      </c>
      <c r="E29" s="166">
        <v>427342</v>
      </c>
      <c r="F29" s="167">
        <v>8708.8026179999997</v>
      </c>
      <c r="G29" s="168">
        <v>1.363376E-2</v>
      </c>
      <c r="H29" s="168"/>
      <c r="J29" s="75"/>
    </row>
    <row r="30" spans="1:10" ht="17.100000000000001" customHeight="1" x14ac:dyDescent="0.2">
      <c r="A30" s="164">
        <v>24</v>
      </c>
      <c r="B30" s="165" t="s">
        <v>350</v>
      </c>
      <c r="C30" s="165" t="s">
        <v>351</v>
      </c>
      <c r="D30" s="165" t="s">
        <v>262</v>
      </c>
      <c r="E30" s="166">
        <v>210000</v>
      </c>
      <c r="F30" s="167">
        <v>8628.9</v>
      </c>
      <c r="G30" s="168">
        <v>1.350867E-2</v>
      </c>
      <c r="H30" s="168"/>
      <c r="J30" s="75"/>
    </row>
    <row r="31" spans="1:10" ht="17.100000000000001" customHeight="1" x14ac:dyDescent="0.2">
      <c r="A31" s="164">
        <v>25</v>
      </c>
      <c r="B31" s="165" t="s">
        <v>263</v>
      </c>
      <c r="C31" s="165" t="s">
        <v>264</v>
      </c>
      <c r="D31" s="165" t="s">
        <v>210</v>
      </c>
      <c r="E31" s="166">
        <v>140000</v>
      </c>
      <c r="F31" s="167">
        <v>8475.25</v>
      </c>
      <c r="G31" s="168">
        <v>1.326813E-2</v>
      </c>
      <c r="H31" s="168"/>
      <c r="J31" s="75"/>
    </row>
    <row r="32" spans="1:10" ht="17.100000000000001" customHeight="1" x14ac:dyDescent="0.2">
      <c r="A32" s="164">
        <v>26</v>
      </c>
      <c r="B32" s="165" t="s">
        <v>115</v>
      </c>
      <c r="C32" s="165" t="s">
        <v>116</v>
      </c>
      <c r="D32" s="165" t="s">
        <v>33</v>
      </c>
      <c r="E32" s="166">
        <v>2800000</v>
      </c>
      <c r="F32" s="167">
        <v>7887.6</v>
      </c>
      <c r="G32" s="168">
        <v>1.234816E-2</v>
      </c>
      <c r="H32" s="168"/>
      <c r="J32" s="75"/>
    </row>
    <row r="33" spans="1:10" ht="17.100000000000001" customHeight="1" x14ac:dyDescent="0.2">
      <c r="A33" s="164">
        <v>27</v>
      </c>
      <c r="B33" s="165" t="s">
        <v>81</v>
      </c>
      <c r="C33" s="165" t="s">
        <v>82</v>
      </c>
      <c r="D33" s="165" t="s">
        <v>36</v>
      </c>
      <c r="E33" s="166">
        <v>231328</v>
      </c>
      <c r="F33" s="167">
        <v>7577.0329760000004</v>
      </c>
      <c r="G33" s="168">
        <v>1.186196E-2</v>
      </c>
      <c r="H33" s="168"/>
      <c r="J33" s="75"/>
    </row>
    <row r="34" spans="1:10" ht="29.1" customHeight="1" x14ac:dyDescent="0.2">
      <c r="A34" s="164">
        <v>28</v>
      </c>
      <c r="B34" s="165" t="s">
        <v>23</v>
      </c>
      <c r="C34" s="165" t="s">
        <v>24</v>
      </c>
      <c r="D34" s="165" t="s">
        <v>25</v>
      </c>
      <c r="E34" s="166">
        <v>75000</v>
      </c>
      <c r="F34" s="167">
        <v>7478.8874999999998</v>
      </c>
      <c r="G34" s="168">
        <v>1.170831E-2</v>
      </c>
      <c r="H34" s="168"/>
      <c r="J34" s="75"/>
    </row>
    <row r="35" spans="1:10" ht="17.100000000000001" customHeight="1" x14ac:dyDescent="0.2">
      <c r="A35" s="164">
        <v>29</v>
      </c>
      <c r="B35" s="165" t="s">
        <v>352</v>
      </c>
      <c r="C35" s="165" t="s">
        <v>353</v>
      </c>
      <c r="D35" s="165" t="s">
        <v>39</v>
      </c>
      <c r="E35" s="166">
        <v>1200000</v>
      </c>
      <c r="F35" s="167">
        <v>7463.4</v>
      </c>
      <c r="G35" s="168">
        <v>1.168407E-2</v>
      </c>
      <c r="H35" s="168"/>
      <c r="J35" s="75"/>
    </row>
    <row r="36" spans="1:10" ht="17.100000000000001" customHeight="1" x14ac:dyDescent="0.2">
      <c r="A36" s="164">
        <v>30</v>
      </c>
      <c r="B36" s="165" t="s">
        <v>236</v>
      </c>
      <c r="C36" s="165" t="s">
        <v>237</v>
      </c>
      <c r="D36" s="165" t="s">
        <v>36</v>
      </c>
      <c r="E36" s="166">
        <v>130000</v>
      </c>
      <c r="F36" s="167">
        <v>7366.5150000000003</v>
      </c>
      <c r="G36" s="168">
        <v>1.153239E-2</v>
      </c>
      <c r="H36" s="168"/>
      <c r="J36" s="75"/>
    </row>
    <row r="37" spans="1:10" ht="17.100000000000001" customHeight="1" x14ac:dyDescent="0.2">
      <c r="A37" s="164">
        <v>31</v>
      </c>
      <c r="B37" s="165" t="s">
        <v>252</v>
      </c>
      <c r="C37" s="165" t="s">
        <v>253</v>
      </c>
      <c r="D37" s="165" t="s">
        <v>213</v>
      </c>
      <c r="E37" s="166">
        <v>850000</v>
      </c>
      <c r="F37" s="167">
        <v>7142.55</v>
      </c>
      <c r="G37" s="168">
        <v>1.1181770000000001E-2</v>
      </c>
      <c r="H37" s="168"/>
      <c r="J37" s="75"/>
    </row>
    <row r="38" spans="1:10" ht="29.1" customHeight="1" x14ac:dyDescent="0.2">
      <c r="A38" s="164">
        <v>32</v>
      </c>
      <c r="B38" s="165" t="s">
        <v>354</v>
      </c>
      <c r="C38" s="165" t="s">
        <v>355</v>
      </c>
      <c r="D38" s="165" t="s">
        <v>216</v>
      </c>
      <c r="E38" s="166">
        <v>115000</v>
      </c>
      <c r="F38" s="167">
        <v>7134.9449999999997</v>
      </c>
      <c r="G38" s="168">
        <v>1.116986E-2</v>
      </c>
      <c r="H38" s="168"/>
      <c r="J38" s="75"/>
    </row>
    <row r="39" spans="1:10" ht="17.100000000000001" customHeight="1" x14ac:dyDescent="0.2">
      <c r="A39" s="164">
        <v>33</v>
      </c>
      <c r="B39" s="165" t="s">
        <v>230</v>
      </c>
      <c r="C39" s="165" t="s">
        <v>231</v>
      </c>
      <c r="D39" s="165" t="s">
        <v>232</v>
      </c>
      <c r="E39" s="166">
        <v>207000</v>
      </c>
      <c r="F39" s="167">
        <v>6973.0020000000004</v>
      </c>
      <c r="G39" s="168">
        <v>1.091634E-2</v>
      </c>
      <c r="H39" s="168"/>
      <c r="J39" s="75"/>
    </row>
    <row r="40" spans="1:10" ht="29.1" customHeight="1" x14ac:dyDescent="0.2">
      <c r="A40" s="164">
        <v>34</v>
      </c>
      <c r="B40" s="165" t="s">
        <v>356</v>
      </c>
      <c r="C40" s="165" t="s">
        <v>357</v>
      </c>
      <c r="D40" s="165" t="s">
        <v>216</v>
      </c>
      <c r="E40" s="166">
        <v>600000</v>
      </c>
      <c r="F40" s="167">
        <v>6921</v>
      </c>
      <c r="G40" s="168">
        <v>1.083493E-2</v>
      </c>
      <c r="H40" s="168"/>
      <c r="J40" s="75"/>
    </row>
    <row r="41" spans="1:10" ht="17.100000000000001" customHeight="1" x14ac:dyDescent="0.2">
      <c r="A41" s="164">
        <v>35</v>
      </c>
      <c r="B41" s="165" t="s">
        <v>358</v>
      </c>
      <c r="C41" s="165" t="s">
        <v>359</v>
      </c>
      <c r="D41" s="165" t="s">
        <v>242</v>
      </c>
      <c r="E41" s="166">
        <v>1200000</v>
      </c>
      <c r="F41" s="167">
        <v>6921</v>
      </c>
      <c r="G41" s="168">
        <v>1.083493E-2</v>
      </c>
      <c r="H41" s="168"/>
      <c r="J41" s="75"/>
    </row>
    <row r="42" spans="1:10" ht="17.100000000000001" customHeight="1" x14ac:dyDescent="0.2">
      <c r="A42" s="164">
        <v>36</v>
      </c>
      <c r="B42" s="165" t="s">
        <v>202</v>
      </c>
      <c r="C42" s="165" t="s">
        <v>203</v>
      </c>
      <c r="D42" s="165" t="s">
        <v>39</v>
      </c>
      <c r="E42" s="166">
        <v>4200000</v>
      </c>
      <c r="F42" s="167">
        <v>6829.2</v>
      </c>
      <c r="G42" s="168">
        <v>1.069122E-2</v>
      </c>
      <c r="H42" s="168"/>
      <c r="J42" s="75"/>
    </row>
    <row r="43" spans="1:10" ht="17.100000000000001" customHeight="1" x14ac:dyDescent="0.2">
      <c r="A43" s="164">
        <v>37</v>
      </c>
      <c r="B43" s="165" t="s">
        <v>267</v>
      </c>
      <c r="C43" s="165" t="s">
        <v>268</v>
      </c>
      <c r="D43" s="165" t="s">
        <v>232</v>
      </c>
      <c r="E43" s="166">
        <v>295000</v>
      </c>
      <c r="F43" s="167">
        <v>6828.8074999999999</v>
      </c>
      <c r="G43" s="168">
        <v>1.06906E-2</v>
      </c>
      <c r="H43" s="168"/>
      <c r="J43" s="75"/>
    </row>
    <row r="44" spans="1:10" ht="17.100000000000001" customHeight="1" x14ac:dyDescent="0.2">
      <c r="A44" s="164">
        <v>38</v>
      </c>
      <c r="B44" s="165" t="s">
        <v>360</v>
      </c>
      <c r="C44" s="165" t="s">
        <v>361</v>
      </c>
      <c r="D44" s="165" t="s">
        <v>39</v>
      </c>
      <c r="E44" s="166">
        <v>450000</v>
      </c>
      <c r="F44" s="167">
        <v>6820.65</v>
      </c>
      <c r="G44" s="168">
        <v>1.0677829999999999E-2</v>
      </c>
      <c r="H44" s="168"/>
      <c r="J44" s="75"/>
    </row>
    <row r="45" spans="1:10" ht="17.100000000000001" customHeight="1" x14ac:dyDescent="0.2">
      <c r="A45" s="164">
        <v>39</v>
      </c>
      <c r="B45" s="165" t="s">
        <v>362</v>
      </c>
      <c r="C45" s="165" t="s">
        <v>363</v>
      </c>
      <c r="D45" s="165" t="s">
        <v>364</v>
      </c>
      <c r="E45" s="166">
        <v>1545000</v>
      </c>
      <c r="F45" s="167">
        <v>6730.7924999999996</v>
      </c>
      <c r="G45" s="168">
        <v>1.053716E-2</v>
      </c>
      <c r="H45" s="168"/>
      <c r="J45" s="75"/>
    </row>
    <row r="46" spans="1:10" ht="17.100000000000001" customHeight="1" x14ac:dyDescent="0.2">
      <c r="A46" s="164">
        <v>40</v>
      </c>
      <c r="B46" s="165" t="s">
        <v>365</v>
      </c>
      <c r="C46" s="165" t="s">
        <v>366</v>
      </c>
      <c r="D46" s="165" t="s">
        <v>114</v>
      </c>
      <c r="E46" s="166">
        <v>4000000</v>
      </c>
      <c r="F46" s="167">
        <v>6600</v>
      </c>
      <c r="G46" s="168">
        <v>1.03324E-2</v>
      </c>
      <c r="H46" s="168"/>
      <c r="J46" s="75"/>
    </row>
    <row r="47" spans="1:10" ht="29.1" customHeight="1" x14ac:dyDescent="0.2">
      <c r="A47" s="164">
        <v>41</v>
      </c>
      <c r="B47" s="165" t="s">
        <v>279</v>
      </c>
      <c r="C47" s="165" t="s">
        <v>280</v>
      </c>
      <c r="D47" s="165" t="s">
        <v>53</v>
      </c>
      <c r="E47" s="166">
        <v>550000</v>
      </c>
      <c r="F47" s="167">
        <v>6563.15</v>
      </c>
      <c r="G47" s="168">
        <v>1.0274709999999999E-2</v>
      </c>
      <c r="H47" s="168"/>
      <c r="J47" s="75"/>
    </row>
    <row r="48" spans="1:10" ht="17.100000000000001" customHeight="1" x14ac:dyDescent="0.2">
      <c r="A48" s="164">
        <v>42</v>
      </c>
      <c r="B48" s="165" t="s">
        <v>102</v>
      </c>
      <c r="C48" s="165" t="s">
        <v>103</v>
      </c>
      <c r="D48" s="165" t="s">
        <v>104</v>
      </c>
      <c r="E48" s="166">
        <v>176000</v>
      </c>
      <c r="F48" s="167">
        <v>6494.1360000000004</v>
      </c>
      <c r="G48" s="168">
        <v>1.0166669999999999E-2</v>
      </c>
      <c r="H48" s="168"/>
      <c r="J48" s="75"/>
    </row>
    <row r="49" spans="1:10" ht="17.100000000000001" customHeight="1" x14ac:dyDescent="0.2">
      <c r="A49" s="164">
        <v>43</v>
      </c>
      <c r="B49" s="165" t="s">
        <v>143</v>
      </c>
      <c r="C49" s="165" t="s">
        <v>144</v>
      </c>
      <c r="D49" s="165" t="s">
        <v>104</v>
      </c>
      <c r="E49" s="166">
        <v>1030000</v>
      </c>
      <c r="F49" s="167">
        <v>6441.1049999999996</v>
      </c>
      <c r="G49" s="168">
        <v>1.008365E-2</v>
      </c>
      <c r="H49" s="168"/>
      <c r="J49" s="75"/>
    </row>
    <row r="50" spans="1:10" ht="29.1" customHeight="1" x14ac:dyDescent="0.2">
      <c r="A50" s="164">
        <v>44</v>
      </c>
      <c r="B50" s="165" t="s">
        <v>302</v>
      </c>
      <c r="C50" s="165" t="s">
        <v>303</v>
      </c>
      <c r="D50" s="165" t="s">
        <v>221</v>
      </c>
      <c r="E50" s="166">
        <v>174000</v>
      </c>
      <c r="F50" s="167">
        <v>6358.134</v>
      </c>
      <c r="G50" s="168">
        <v>9.9537600000000007E-3</v>
      </c>
      <c r="H50" s="168"/>
      <c r="J50" s="75"/>
    </row>
    <row r="51" spans="1:10" ht="17.100000000000001" customHeight="1" x14ac:dyDescent="0.2">
      <c r="A51" s="164">
        <v>45</v>
      </c>
      <c r="B51" s="165" t="s">
        <v>206</v>
      </c>
      <c r="C51" s="165" t="s">
        <v>207</v>
      </c>
      <c r="D51" s="165" t="s">
        <v>104</v>
      </c>
      <c r="E51" s="166">
        <v>169137</v>
      </c>
      <c r="F51" s="167">
        <v>6330.1213619999999</v>
      </c>
      <c r="G51" s="168">
        <v>9.9098999999999993E-3</v>
      </c>
      <c r="H51" s="168"/>
      <c r="J51" s="75"/>
    </row>
    <row r="52" spans="1:10" ht="17.100000000000001" customHeight="1" x14ac:dyDescent="0.2">
      <c r="A52" s="164">
        <v>46</v>
      </c>
      <c r="B52" s="165" t="s">
        <v>367</v>
      </c>
      <c r="C52" s="165" t="s">
        <v>368</v>
      </c>
      <c r="D52" s="165" t="s">
        <v>36</v>
      </c>
      <c r="E52" s="166">
        <v>710928</v>
      </c>
      <c r="F52" s="167">
        <v>6121.0900799999999</v>
      </c>
      <c r="G52" s="168">
        <v>9.5826599999999998E-3</v>
      </c>
      <c r="H52" s="168"/>
      <c r="J52" s="75"/>
    </row>
    <row r="53" spans="1:10" ht="17.100000000000001" customHeight="1" x14ac:dyDescent="0.2">
      <c r="A53" s="164">
        <v>47</v>
      </c>
      <c r="B53" s="165" t="s">
        <v>369</v>
      </c>
      <c r="C53" s="165" t="s">
        <v>370</v>
      </c>
      <c r="D53" s="165" t="s">
        <v>285</v>
      </c>
      <c r="E53" s="166">
        <v>130000</v>
      </c>
      <c r="F53" s="167">
        <v>5905.9650000000001</v>
      </c>
      <c r="G53" s="168">
        <v>9.2458799999999997E-3</v>
      </c>
      <c r="H53" s="168"/>
      <c r="J53" s="75"/>
    </row>
    <row r="54" spans="1:10" ht="17.100000000000001" customHeight="1" x14ac:dyDescent="0.2">
      <c r="A54" s="164">
        <v>48</v>
      </c>
      <c r="B54" s="165" t="s">
        <v>371</v>
      </c>
      <c r="C54" s="165" t="s">
        <v>372</v>
      </c>
      <c r="D54" s="165" t="s">
        <v>373</v>
      </c>
      <c r="E54" s="166">
        <v>320000</v>
      </c>
      <c r="F54" s="167">
        <v>5884.64</v>
      </c>
      <c r="G54" s="168">
        <v>9.2124900000000003E-3</v>
      </c>
      <c r="H54" s="168"/>
      <c r="J54" s="75"/>
    </row>
    <row r="55" spans="1:10" ht="17.100000000000001" customHeight="1" x14ac:dyDescent="0.2">
      <c r="A55" s="164">
        <v>49</v>
      </c>
      <c r="B55" s="165" t="s">
        <v>277</v>
      </c>
      <c r="C55" s="165" t="s">
        <v>278</v>
      </c>
      <c r="D55" s="165" t="s">
        <v>36</v>
      </c>
      <c r="E55" s="166">
        <v>275000</v>
      </c>
      <c r="F55" s="167">
        <v>5824.7749999999996</v>
      </c>
      <c r="G55" s="168">
        <v>9.11877E-3</v>
      </c>
      <c r="H55" s="168"/>
      <c r="J55" s="75"/>
    </row>
    <row r="56" spans="1:10" ht="17.100000000000001" customHeight="1" x14ac:dyDescent="0.2">
      <c r="A56" s="164">
        <v>50</v>
      </c>
      <c r="B56" s="165" t="s">
        <v>211</v>
      </c>
      <c r="C56" s="165" t="s">
        <v>212</v>
      </c>
      <c r="D56" s="165" t="s">
        <v>213</v>
      </c>
      <c r="E56" s="166">
        <v>1300000</v>
      </c>
      <c r="F56" s="167">
        <v>5701.15</v>
      </c>
      <c r="G56" s="168">
        <v>8.9252399999999992E-3</v>
      </c>
      <c r="H56" s="168"/>
      <c r="J56" s="75"/>
    </row>
    <row r="57" spans="1:10" ht="17.100000000000001" customHeight="1" x14ac:dyDescent="0.2">
      <c r="A57" s="164">
        <v>51</v>
      </c>
      <c r="B57" s="165" t="s">
        <v>250</v>
      </c>
      <c r="C57" s="165" t="s">
        <v>251</v>
      </c>
      <c r="D57" s="165" t="s">
        <v>16</v>
      </c>
      <c r="E57" s="166">
        <v>1150000</v>
      </c>
      <c r="F57" s="167">
        <v>5697.1</v>
      </c>
      <c r="G57" s="168">
        <v>8.9189000000000004E-3</v>
      </c>
      <c r="H57" s="168"/>
      <c r="J57" s="75"/>
    </row>
    <row r="58" spans="1:10" ht="17.100000000000001" customHeight="1" x14ac:dyDescent="0.2">
      <c r="A58" s="164">
        <v>52</v>
      </c>
      <c r="B58" s="165" t="s">
        <v>374</v>
      </c>
      <c r="C58" s="165" t="s">
        <v>375</v>
      </c>
      <c r="D58" s="165" t="s">
        <v>210</v>
      </c>
      <c r="E58" s="166">
        <v>123000</v>
      </c>
      <c r="F58" s="167">
        <v>5662.674</v>
      </c>
      <c r="G58" s="168">
        <v>8.8649999999999996E-3</v>
      </c>
      <c r="H58" s="168"/>
      <c r="J58" s="75"/>
    </row>
    <row r="59" spans="1:10" ht="17.100000000000001" customHeight="1" x14ac:dyDescent="0.2">
      <c r="A59" s="164">
        <v>53</v>
      </c>
      <c r="B59" s="165" t="s">
        <v>83</v>
      </c>
      <c r="C59" s="165" t="s">
        <v>84</v>
      </c>
      <c r="D59" s="165" t="s">
        <v>36</v>
      </c>
      <c r="E59" s="166">
        <v>550300</v>
      </c>
      <c r="F59" s="167">
        <v>5625.9920499999998</v>
      </c>
      <c r="G59" s="168">
        <v>8.8075800000000006E-3</v>
      </c>
      <c r="H59" s="168"/>
      <c r="J59" s="75"/>
    </row>
    <row r="60" spans="1:10" ht="17.100000000000001" customHeight="1" x14ac:dyDescent="0.2">
      <c r="A60" s="164">
        <v>54</v>
      </c>
      <c r="B60" s="165" t="s">
        <v>108</v>
      </c>
      <c r="C60" s="165" t="s">
        <v>109</v>
      </c>
      <c r="D60" s="165" t="s">
        <v>62</v>
      </c>
      <c r="E60" s="166">
        <v>1250000</v>
      </c>
      <c r="F60" s="167">
        <v>5612.5</v>
      </c>
      <c r="G60" s="168">
        <v>8.7864499999999995E-3</v>
      </c>
      <c r="H60" s="168"/>
      <c r="J60" s="75"/>
    </row>
    <row r="61" spans="1:10" ht="17.100000000000001" customHeight="1" x14ac:dyDescent="0.2">
      <c r="A61" s="164">
        <v>55</v>
      </c>
      <c r="B61" s="165" t="s">
        <v>51</v>
      </c>
      <c r="C61" s="165" t="s">
        <v>52</v>
      </c>
      <c r="D61" s="165" t="s">
        <v>53</v>
      </c>
      <c r="E61" s="166">
        <v>1100000</v>
      </c>
      <c r="F61" s="167">
        <v>5578.65</v>
      </c>
      <c r="G61" s="168">
        <v>8.7334600000000002E-3</v>
      </c>
      <c r="H61" s="168"/>
      <c r="J61" s="75"/>
    </row>
    <row r="62" spans="1:10" ht="17.100000000000001" customHeight="1" x14ac:dyDescent="0.2">
      <c r="A62" s="164">
        <v>56</v>
      </c>
      <c r="B62" s="165" t="s">
        <v>376</v>
      </c>
      <c r="C62" s="165" t="s">
        <v>377</v>
      </c>
      <c r="D62" s="165" t="s">
        <v>364</v>
      </c>
      <c r="E62" s="166">
        <v>250000</v>
      </c>
      <c r="F62" s="167">
        <v>5576.125</v>
      </c>
      <c r="G62" s="168">
        <v>8.7295099999999994E-3</v>
      </c>
      <c r="H62" s="168"/>
      <c r="J62" s="75"/>
    </row>
    <row r="63" spans="1:10" ht="17.100000000000001" customHeight="1" x14ac:dyDescent="0.2">
      <c r="A63" s="164">
        <v>57</v>
      </c>
      <c r="B63" s="165" t="s">
        <v>378</v>
      </c>
      <c r="C63" s="165" t="s">
        <v>379</v>
      </c>
      <c r="D63" s="165" t="s">
        <v>39</v>
      </c>
      <c r="E63" s="166">
        <v>3540000</v>
      </c>
      <c r="F63" s="167">
        <v>5490.54</v>
      </c>
      <c r="G63" s="168">
        <v>8.5955200000000006E-3</v>
      </c>
      <c r="H63" s="168"/>
      <c r="J63" s="75"/>
    </row>
    <row r="64" spans="1:10" ht="17.100000000000001" customHeight="1" x14ac:dyDescent="0.2">
      <c r="A64" s="164">
        <v>58</v>
      </c>
      <c r="B64" s="165" t="s">
        <v>323</v>
      </c>
      <c r="C64" s="165" t="s">
        <v>324</v>
      </c>
      <c r="D64" s="165" t="s">
        <v>75</v>
      </c>
      <c r="E64" s="166">
        <v>509000</v>
      </c>
      <c r="F64" s="167">
        <v>5464.1149999999998</v>
      </c>
      <c r="G64" s="168">
        <v>8.5541599999999999E-3</v>
      </c>
      <c r="H64" s="168"/>
      <c r="J64" s="75"/>
    </row>
    <row r="65" spans="1:10" ht="29.1" customHeight="1" x14ac:dyDescent="0.2">
      <c r="A65" s="164">
        <v>59</v>
      </c>
      <c r="B65" s="165" t="s">
        <v>380</v>
      </c>
      <c r="C65" s="165" t="s">
        <v>381</v>
      </c>
      <c r="D65" s="165" t="s">
        <v>216</v>
      </c>
      <c r="E65" s="166">
        <v>135000</v>
      </c>
      <c r="F65" s="167">
        <v>5403.24</v>
      </c>
      <c r="G65" s="168">
        <v>8.4588500000000004E-3</v>
      </c>
      <c r="H65" s="168"/>
      <c r="J65" s="75"/>
    </row>
    <row r="66" spans="1:10" ht="17.100000000000001" customHeight="1" x14ac:dyDescent="0.2">
      <c r="A66" s="164">
        <v>60</v>
      </c>
      <c r="B66" s="165" t="s">
        <v>382</v>
      </c>
      <c r="C66" s="165" t="s">
        <v>383</v>
      </c>
      <c r="D66" s="165" t="s">
        <v>75</v>
      </c>
      <c r="E66" s="166">
        <v>146498</v>
      </c>
      <c r="F66" s="167">
        <v>5258.1794650000002</v>
      </c>
      <c r="G66" s="168">
        <v>8.2317599999999994E-3</v>
      </c>
      <c r="H66" s="168"/>
      <c r="J66" s="75"/>
    </row>
    <row r="67" spans="1:10" ht="17.100000000000001" customHeight="1" x14ac:dyDescent="0.2">
      <c r="A67" s="164">
        <v>61</v>
      </c>
      <c r="B67" s="165" t="s">
        <v>58</v>
      </c>
      <c r="C67" s="165" t="s">
        <v>59</v>
      </c>
      <c r="D67" s="165" t="s">
        <v>19</v>
      </c>
      <c r="E67" s="166">
        <v>600000</v>
      </c>
      <c r="F67" s="167">
        <v>5199</v>
      </c>
      <c r="G67" s="168">
        <v>8.1391099999999997E-3</v>
      </c>
      <c r="H67" s="168"/>
      <c r="J67" s="75"/>
    </row>
    <row r="68" spans="1:10" ht="17.100000000000001" customHeight="1" x14ac:dyDescent="0.2">
      <c r="A68" s="164">
        <v>62</v>
      </c>
      <c r="B68" s="165" t="s">
        <v>233</v>
      </c>
      <c r="C68" s="165" t="s">
        <v>234</v>
      </c>
      <c r="D68" s="165" t="s">
        <v>235</v>
      </c>
      <c r="E68" s="166">
        <v>501344</v>
      </c>
      <c r="F68" s="167">
        <v>5068.0864959999999</v>
      </c>
      <c r="G68" s="168">
        <v>7.9341700000000008E-3</v>
      </c>
      <c r="H68" s="168"/>
      <c r="J68" s="75"/>
    </row>
    <row r="69" spans="1:10" ht="17.100000000000001" customHeight="1" x14ac:dyDescent="0.2">
      <c r="A69" s="164">
        <v>63</v>
      </c>
      <c r="B69" s="165" t="s">
        <v>95</v>
      </c>
      <c r="C69" s="165" t="s">
        <v>96</v>
      </c>
      <c r="D69" s="165" t="s">
        <v>33</v>
      </c>
      <c r="E69" s="166">
        <v>881341</v>
      </c>
      <c r="F69" s="167">
        <v>4737.6485455000002</v>
      </c>
      <c r="G69" s="168">
        <v>7.4168599999999999E-3</v>
      </c>
      <c r="H69" s="168"/>
      <c r="J69" s="75"/>
    </row>
    <row r="70" spans="1:10" ht="17.100000000000001" customHeight="1" x14ac:dyDescent="0.2">
      <c r="A70" s="164">
        <v>64</v>
      </c>
      <c r="B70" s="165" t="s">
        <v>384</v>
      </c>
      <c r="C70" s="165" t="s">
        <v>385</v>
      </c>
      <c r="D70" s="165" t="s">
        <v>104</v>
      </c>
      <c r="E70" s="166">
        <v>370000</v>
      </c>
      <c r="F70" s="167">
        <v>4703.4399999999996</v>
      </c>
      <c r="G70" s="168">
        <v>7.3633099999999996E-3</v>
      </c>
      <c r="H70" s="168"/>
      <c r="J70" s="75"/>
    </row>
    <row r="71" spans="1:10" ht="29.1" customHeight="1" x14ac:dyDescent="0.2">
      <c r="A71" s="164">
        <v>65</v>
      </c>
      <c r="B71" s="165" t="s">
        <v>141</v>
      </c>
      <c r="C71" s="165" t="s">
        <v>142</v>
      </c>
      <c r="D71" s="165" t="s">
        <v>25</v>
      </c>
      <c r="E71" s="166">
        <v>250000</v>
      </c>
      <c r="F71" s="167">
        <v>4595.375</v>
      </c>
      <c r="G71" s="168">
        <v>7.19413E-3</v>
      </c>
      <c r="H71" s="168"/>
      <c r="J71" s="75"/>
    </row>
    <row r="72" spans="1:10" ht="29.1" customHeight="1" x14ac:dyDescent="0.2">
      <c r="A72" s="164">
        <v>66</v>
      </c>
      <c r="B72" s="165" t="s">
        <v>246</v>
      </c>
      <c r="C72" s="165" t="s">
        <v>247</v>
      </c>
      <c r="D72" s="165" t="s">
        <v>216</v>
      </c>
      <c r="E72" s="166">
        <v>90000</v>
      </c>
      <c r="F72" s="167">
        <v>4349.7449999999999</v>
      </c>
      <c r="G72" s="168">
        <v>6.8095899999999999E-3</v>
      </c>
      <c r="H72" s="168"/>
      <c r="J72" s="75"/>
    </row>
    <row r="73" spans="1:10" ht="29.1" customHeight="1" x14ac:dyDescent="0.2">
      <c r="A73" s="164">
        <v>67</v>
      </c>
      <c r="B73" s="165" t="s">
        <v>145</v>
      </c>
      <c r="C73" s="165" t="s">
        <v>146</v>
      </c>
      <c r="D73" s="165" t="s">
        <v>99</v>
      </c>
      <c r="E73" s="166">
        <v>1700000</v>
      </c>
      <c r="F73" s="167">
        <v>4250</v>
      </c>
      <c r="G73" s="168">
        <v>6.65344E-3</v>
      </c>
      <c r="H73" s="168"/>
      <c r="J73" s="75"/>
    </row>
    <row r="74" spans="1:10" ht="17.100000000000001" customHeight="1" x14ac:dyDescent="0.2">
      <c r="A74" s="164">
        <v>68</v>
      </c>
      <c r="B74" s="165" t="s">
        <v>306</v>
      </c>
      <c r="C74" s="165" t="s">
        <v>307</v>
      </c>
      <c r="D74" s="165" t="s">
        <v>75</v>
      </c>
      <c r="E74" s="166">
        <v>346000</v>
      </c>
      <c r="F74" s="167">
        <v>4167.3969999999999</v>
      </c>
      <c r="G74" s="168">
        <v>6.5241199999999996E-3</v>
      </c>
      <c r="H74" s="168"/>
      <c r="J74" s="75"/>
    </row>
    <row r="75" spans="1:10" ht="53.1" customHeight="1" x14ac:dyDescent="0.2">
      <c r="A75" s="164">
        <v>69</v>
      </c>
      <c r="B75" s="165" t="s">
        <v>386</v>
      </c>
      <c r="C75" s="165" t="s">
        <v>387</v>
      </c>
      <c r="D75" s="165" t="s">
        <v>388</v>
      </c>
      <c r="E75" s="166">
        <v>2100000</v>
      </c>
      <c r="F75" s="167">
        <v>4045.65</v>
      </c>
      <c r="G75" s="168">
        <v>6.3335300000000004E-3</v>
      </c>
      <c r="H75" s="168"/>
      <c r="J75" s="75"/>
    </row>
    <row r="76" spans="1:10" ht="17.100000000000001" customHeight="1" x14ac:dyDescent="0.2">
      <c r="A76" s="164">
        <v>70</v>
      </c>
      <c r="B76" s="165" t="s">
        <v>389</v>
      </c>
      <c r="C76" s="165" t="s">
        <v>390</v>
      </c>
      <c r="D76" s="165" t="s">
        <v>53</v>
      </c>
      <c r="E76" s="166">
        <v>57000</v>
      </c>
      <c r="F76" s="167">
        <v>3946.4234999999999</v>
      </c>
      <c r="G76" s="168">
        <v>6.1781900000000001E-3</v>
      </c>
      <c r="H76" s="168"/>
      <c r="J76" s="75"/>
    </row>
    <row r="77" spans="1:10" ht="29.1" customHeight="1" x14ac:dyDescent="0.2">
      <c r="A77" s="164">
        <v>71</v>
      </c>
      <c r="B77" s="165" t="s">
        <v>42</v>
      </c>
      <c r="C77" s="165" t="s">
        <v>43</v>
      </c>
      <c r="D77" s="165" t="s">
        <v>28</v>
      </c>
      <c r="E77" s="166">
        <v>100000</v>
      </c>
      <c r="F77" s="167">
        <v>3939.35</v>
      </c>
      <c r="G77" s="168">
        <v>6.16711E-3</v>
      </c>
      <c r="H77" s="168"/>
      <c r="J77" s="75"/>
    </row>
    <row r="78" spans="1:10" ht="17.100000000000001" customHeight="1" x14ac:dyDescent="0.2">
      <c r="A78" s="164">
        <v>72</v>
      </c>
      <c r="B78" s="165" t="s">
        <v>391</v>
      </c>
      <c r="C78" s="165" t="s">
        <v>392</v>
      </c>
      <c r="D78" s="165" t="s">
        <v>393</v>
      </c>
      <c r="E78" s="166">
        <v>11000</v>
      </c>
      <c r="F78" s="167">
        <v>3826.2455</v>
      </c>
      <c r="G78" s="168">
        <v>5.9900500000000002E-3</v>
      </c>
      <c r="H78" s="168"/>
      <c r="J78" s="75"/>
    </row>
    <row r="79" spans="1:10" ht="17.100000000000001" customHeight="1" x14ac:dyDescent="0.2">
      <c r="A79" s="164">
        <v>73</v>
      </c>
      <c r="B79" s="165" t="s">
        <v>394</v>
      </c>
      <c r="C79" s="165" t="s">
        <v>395</v>
      </c>
      <c r="D79" s="165" t="s">
        <v>104</v>
      </c>
      <c r="E79" s="166">
        <v>328185</v>
      </c>
      <c r="F79" s="167">
        <v>3665.6623574999999</v>
      </c>
      <c r="G79" s="168">
        <v>5.7386499999999997E-3</v>
      </c>
      <c r="H79" s="168"/>
      <c r="J79" s="75"/>
    </row>
    <row r="80" spans="1:10" ht="17.100000000000001" customHeight="1" x14ac:dyDescent="0.2">
      <c r="A80" s="164">
        <v>74</v>
      </c>
      <c r="B80" s="165" t="s">
        <v>396</v>
      </c>
      <c r="C80" s="165" t="s">
        <v>397</v>
      </c>
      <c r="D80" s="165" t="s">
        <v>53</v>
      </c>
      <c r="E80" s="166">
        <v>220000</v>
      </c>
      <c r="F80" s="167">
        <v>3553</v>
      </c>
      <c r="G80" s="168">
        <v>5.5622800000000002E-3</v>
      </c>
      <c r="H80" s="168"/>
      <c r="J80" s="75"/>
    </row>
    <row r="81" spans="1:10" ht="17.100000000000001" customHeight="1" x14ac:dyDescent="0.2">
      <c r="A81" s="164">
        <v>75</v>
      </c>
      <c r="B81" s="165" t="s">
        <v>228</v>
      </c>
      <c r="C81" s="165" t="s">
        <v>229</v>
      </c>
      <c r="D81" s="165" t="s">
        <v>22</v>
      </c>
      <c r="E81" s="166">
        <v>235000</v>
      </c>
      <c r="F81" s="167">
        <v>3527.585</v>
      </c>
      <c r="G81" s="168">
        <v>5.5224899999999997E-3</v>
      </c>
      <c r="H81" s="168"/>
      <c r="J81" s="75"/>
    </row>
    <row r="82" spans="1:10" ht="17.100000000000001" customHeight="1" x14ac:dyDescent="0.2">
      <c r="A82" s="164">
        <v>76</v>
      </c>
      <c r="B82" s="165" t="s">
        <v>258</v>
      </c>
      <c r="C82" s="165" t="s">
        <v>259</v>
      </c>
      <c r="D82" s="165" t="s">
        <v>39</v>
      </c>
      <c r="E82" s="166">
        <v>2200000</v>
      </c>
      <c r="F82" s="167">
        <v>3392.4</v>
      </c>
      <c r="G82" s="168">
        <v>5.3108499999999998E-3</v>
      </c>
      <c r="H82" s="168"/>
      <c r="J82" s="75"/>
    </row>
    <row r="83" spans="1:10" ht="17.100000000000001" customHeight="1" x14ac:dyDescent="0.2">
      <c r="A83" s="164">
        <v>77</v>
      </c>
      <c r="B83" s="165" t="s">
        <v>398</v>
      </c>
      <c r="C83" s="165" t="s">
        <v>399</v>
      </c>
      <c r="D83" s="165" t="s">
        <v>62</v>
      </c>
      <c r="E83" s="166">
        <v>320375</v>
      </c>
      <c r="F83" s="167">
        <v>3310.2746874999998</v>
      </c>
      <c r="G83" s="168">
        <v>5.18229E-3</v>
      </c>
      <c r="H83" s="168"/>
      <c r="J83" s="75"/>
    </row>
    <row r="84" spans="1:10" ht="17.100000000000001" customHeight="1" x14ac:dyDescent="0.2">
      <c r="A84" s="164">
        <v>78</v>
      </c>
      <c r="B84" s="165" t="s">
        <v>47</v>
      </c>
      <c r="C84" s="165" t="s">
        <v>48</v>
      </c>
      <c r="D84" s="165" t="s">
        <v>22</v>
      </c>
      <c r="E84" s="166">
        <v>650000</v>
      </c>
      <c r="F84" s="167">
        <v>2920.125</v>
      </c>
      <c r="G84" s="168">
        <v>4.5715E-3</v>
      </c>
      <c r="H84" s="168"/>
      <c r="J84" s="75"/>
    </row>
    <row r="85" spans="1:10" ht="17.100000000000001" customHeight="1" x14ac:dyDescent="0.2">
      <c r="A85" s="164">
        <v>79</v>
      </c>
      <c r="B85" s="165" t="s">
        <v>321</v>
      </c>
      <c r="C85" s="165" t="s">
        <v>322</v>
      </c>
      <c r="D85" s="165" t="s">
        <v>104</v>
      </c>
      <c r="E85" s="166">
        <v>120000</v>
      </c>
      <c r="F85" s="167">
        <v>2915.88</v>
      </c>
      <c r="G85" s="168">
        <v>4.5648499999999996E-3</v>
      </c>
      <c r="H85" s="168"/>
      <c r="J85" s="75"/>
    </row>
    <row r="86" spans="1:10" ht="17.100000000000001" customHeight="1" x14ac:dyDescent="0.2">
      <c r="A86" s="164">
        <v>80</v>
      </c>
      <c r="B86" s="165" t="s">
        <v>400</v>
      </c>
      <c r="C86" s="165" t="s">
        <v>401</v>
      </c>
      <c r="D86" s="165" t="s">
        <v>75</v>
      </c>
      <c r="E86" s="166">
        <v>348399</v>
      </c>
      <c r="F86" s="167">
        <v>2906.692857</v>
      </c>
      <c r="G86" s="168">
        <v>4.55047E-3</v>
      </c>
      <c r="H86" s="168"/>
      <c r="J86" s="75"/>
    </row>
    <row r="87" spans="1:10" ht="29.1" customHeight="1" x14ac:dyDescent="0.2">
      <c r="A87" s="164">
        <v>81</v>
      </c>
      <c r="B87" s="165" t="s">
        <v>402</v>
      </c>
      <c r="C87" s="165" t="s">
        <v>403</v>
      </c>
      <c r="D87" s="165" t="s">
        <v>216</v>
      </c>
      <c r="E87" s="166">
        <v>110000</v>
      </c>
      <c r="F87" s="167">
        <v>2600.84</v>
      </c>
      <c r="G87" s="168">
        <v>4.0716499999999996E-3</v>
      </c>
      <c r="H87" s="168"/>
      <c r="J87" s="75"/>
    </row>
    <row r="88" spans="1:10" ht="17.100000000000001" customHeight="1" x14ac:dyDescent="0.2">
      <c r="A88" s="164">
        <v>82</v>
      </c>
      <c r="B88" s="165" t="s">
        <v>105</v>
      </c>
      <c r="C88" s="165" t="s">
        <v>106</v>
      </c>
      <c r="D88" s="165" t="s">
        <v>107</v>
      </c>
      <c r="E88" s="166">
        <v>500000</v>
      </c>
      <c r="F88" s="167">
        <v>2271.5</v>
      </c>
      <c r="G88" s="168">
        <v>3.5560700000000002E-3</v>
      </c>
      <c r="H88" s="168"/>
      <c r="J88" s="75"/>
    </row>
    <row r="89" spans="1:10" ht="14.1" customHeight="1" x14ac:dyDescent="0.2">
      <c r="A89" s="162"/>
      <c r="B89" s="162"/>
      <c r="C89" s="163" t="s">
        <v>152</v>
      </c>
      <c r="D89" s="162"/>
      <c r="E89" s="162" t="s">
        <v>153</v>
      </c>
      <c r="F89" s="169">
        <v>628016.49297749996</v>
      </c>
      <c r="G89" s="170">
        <v>0.98316935000000005</v>
      </c>
      <c r="H89" s="170"/>
      <c r="J89" s="75"/>
    </row>
    <row r="90" spans="1:10" ht="14.1" customHeight="1" x14ac:dyDescent="0.2">
      <c r="A90" s="162"/>
      <c r="B90" s="162"/>
      <c r="C90" s="171"/>
      <c r="D90" s="162"/>
      <c r="E90" s="162"/>
      <c r="F90" s="172"/>
      <c r="G90" s="172"/>
      <c r="H90" s="172"/>
      <c r="J90" s="75"/>
    </row>
    <row r="91" spans="1:10" ht="14.1" customHeight="1" x14ac:dyDescent="0.2">
      <c r="A91" s="162"/>
      <c r="B91" s="162"/>
      <c r="C91" s="163" t="s">
        <v>154</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156</v>
      </c>
      <c r="D94" s="162"/>
      <c r="E94" s="162"/>
      <c r="F94" s="162"/>
      <c r="G94" s="162"/>
      <c r="H94" s="16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157</v>
      </c>
      <c r="D97" s="162"/>
      <c r="E97" s="162"/>
      <c r="F97" s="162"/>
      <c r="G97" s="162"/>
      <c r="H97" s="162"/>
      <c r="J97" s="75"/>
    </row>
    <row r="98" spans="1:10" ht="14.1" customHeight="1" x14ac:dyDescent="0.2">
      <c r="A98" s="162"/>
      <c r="B98" s="162"/>
      <c r="C98" s="163" t="s">
        <v>152</v>
      </c>
      <c r="D98" s="162"/>
      <c r="E98" s="162" t="s">
        <v>153</v>
      </c>
      <c r="F98" s="173" t="s">
        <v>155</v>
      </c>
      <c r="G98" s="170">
        <v>0</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158</v>
      </c>
      <c r="D100" s="162"/>
      <c r="E100" s="162"/>
      <c r="F100" s="172"/>
      <c r="G100" s="172"/>
      <c r="H100" s="172"/>
      <c r="J100" s="75"/>
    </row>
    <row r="101" spans="1:10" ht="14.1" customHeight="1" x14ac:dyDescent="0.2">
      <c r="A101" s="162"/>
      <c r="B101" s="162"/>
      <c r="C101" s="163" t="s">
        <v>152</v>
      </c>
      <c r="D101" s="162"/>
      <c r="E101" s="162" t="s">
        <v>153</v>
      </c>
      <c r="F101" s="173" t="s">
        <v>155</v>
      </c>
      <c r="G101" s="170">
        <v>0</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159</v>
      </c>
      <c r="D103" s="162"/>
      <c r="E103" s="162"/>
      <c r="F103" s="172"/>
      <c r="G103" s="172"/>
      <c r="H103" s="172"/>
      <c r="J103" s="75"/>
    </row>
    <row r="104" spans="1:10" ht="14.1" customHeight="1" x14ac:dyDescent="0.2">
      <c r="A104" s="162"/>
      <c r="B104" s="162"/>
      <c r="C104" s="163" t="s">
        <v>152</v>
      </c>
      <c r="D104" s="162"/>
      <c r="E104" s="162" t="s">
        <v>153</v>
      </c>
      <c r="F104" s="173" t="s">
        <v>155</v>
      </c>
      <c r="G104" s="170">
        <v>0</v>
      </c>
      <c r="H104" s="170"/>
      <c r="J104" s="75"/>
    </row>
    <row r="105" spans="1:10" ht="14.1" customHeight="1" x14ac:dyDescent="0.2">
      <c r="A105" s="162"/>
      <c r="B105" s="162"/>
      <c r="C105" s="171"/>
      <c r="D105" s="162"/>
      <c r="E105" s="162"/>
      <c r="F105" s="172"/>
      <c r="G105" s="172"/>
      <c r="H105" s="172"/>
      <c r="J105" s="75"/>
    </row>
    <row r="106" spans="1:10" ht="18" customHeight="1" x14ac:dyDescent="0.2">
      <c r="A106" s="162"/>
      <c r="B106" s="162"/>
      <c r="C106" s="163" t="s">
        <v>160</v>
      </c>
      <c r="D106" s="162"/>
      <c r="E106" s="162"/>
      <c r="F106" s="169">
        <v>628016.49297749996</v>
      </c>
      <c r="G106" s="170">
        <v>0.98316935000000005</v>
      </c>
      <c r="H106" s="170"/>
      <c r="J106" s="75"/>
    </row>
    <row r="107" spans="1:10" ht="14.1" customHeight="1" x14ac:dyDescent="0.2">
      <c r="A107" s="162"/>
      <c r="B107" s="162"/>
      <c r="C107" s="171"/>
      <c r="D107" s="162"/>
      <c r="E107" s="162"/>
      <c r="F107" s="172"/>
      <c r="G107" s="172"/>
      <c r="H107" s="172"/>
      <c r="J107" s="75"/>
    </row>
    <row r="108" spans="1:10" ht="14.1" customHeight="1" x14ac:dyDescent="0.2">
      <c r="A108" s="162"/>
      <c r="B108" s="162"/>
      <c r="C108" s="163" t="s">
        <v>161</v>
      </c>
      <c r="D108" s="162"/>
      <c r="E108" s="162"/>
      <c r="F108" s="172"/>
      <c r="G108" s="172"/>
      <c r="H108" s="172"/>
      <c r="J108" s="75"/>
    </row>
    <row r="109" spans="1:10" ht="24" customHeight="1" x14ac:dyDescent="0.2">
      <c r="A109" s="162"/>
      <c r="B109" s="162"/>
      <c r="C109" s="163" t="s">
        <v>10</v>
      </c>
      <c r="D109" s="162"/>
      <c r="E109" s="162"/>
      <c r="F109" s="172"/>
      <c r="G109" s="172"/>
      <c r="H109" s="172"/>
      <c r="J109" s="75"/>
    </row>
    <row r="110" spans="1:10" ht="14.1" customHeight="1" x14ac:dyDescent="0.2">
      <c r="A110" s="162"/>
      <c r="B110" s="162"/>
      <c r="C110" s="163" t="s">
        <v>152</v>
      </c>
      <c r="D110" s="162"/>
      <c r="E110" s="162" t="s">
        <v>153</v>
      </c>
      <c r="F110" s="173" t="s">
        <v>155</v>
      </c>
      <c r="G110" s="170">
        <v>0</v>
      </c>
      <c r="H110" s="170"/>
      <c r="J110" s="75"/>
    </row>
    <row r="111" spans="1:10" ht="14.1" customHeight="1" x14ac:dyDescent="0.2">
      <c r="A111" s="162"/>
      <c r="B111" s="162"/>
      <c r="C111" s="171"/>
      <c r="D111" s="162"/>
      <c r="E111" s="162"/>
      <c r="F111" s="172"/>
      <c r="G111" s="172"/>
      <c r="H111" s="172"/>
      <c r="J111" s="75"/>
    </row>
    <row r="112" spans="1:10" ht="14.1" customHeight="1" x14ac:dyDescent="0.2">
      <c r="A112" s="162"/>
      <c r="B112" s="162"/>
      <c r="C112" s="163" t="s">
        <v>162</v>
      </c>
      <c r="D112" s="162"/>
      <c r="E112" s="162"/>
      <c r="F112" s="162"/>
      <c r="G112" s="162"/>
      <c r="H112" s="162"/>
      <c r="J112" s="75"/>
    </row>
    <row r="113" spans="1:10" ht="14.1" customHeight="1" x14ac:dyDescent="0.2">
      <c r="A113" s="162"/>
      <c r="B113" s="162"/>
      <c r="C113" s="163" t="s">
        <v>152</v>
      </c>
      <c r="D113" s="162"/>
      <c r="E113" s="162" t="s">
        <v>153</v>
      </c>
      <c r="F113" s="173" t="s">
        <v>155</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163</v>
      </c>
      <c r="D115" s="162"/>
      <c r="E115" s="162"/>
      <c r="F115" s="162"/>
      <c r="G115" s="162"/>
      <c r="H115" s="162"/>
      <c r="J115" s="75"/>
    </row>
    <row r="116" spans="1:10" ht="14.1" customHeight="1" x14ac:dyDescent="0.2">
      <c r="A116" s="162"/>
      <c r="B116" s="162"/>
      <c r="C116" s="163" t="s">
        <v>152</v>
      </c>
      <c r="D116" s="162"/>
      <c r="E116" s="162" t="s">
        <v>153</v>
      </c>
      <c r="F116" s="173" t="s">
        <v>155</v>
      </c>
      <c r="G116" s="170">
        <v>0</v>
      </c>
      <c r="H116" s="170"/>
      <c r="J116" s="75"/>
    </row>
    <row r="117" spans="1:10" ht="14.1" customHeight="1" x14ac:dyDescent="0.2">
      <c r="A117" s="162"/>
      <c r="B117" s="162"/>
      <c r="C117" s="171"/>
      <c r="D117" s="162"/>
      <c r="E117" s="162"/>
      <c r="F117" s="172"/>
      <c r="G117" s="172"/>
      <c r="H117" s="172"/>
      <c r="J117" s="75"/>
    </row>
    <row r="118" spans="1:10" ht="14.1" customHeight="1" x14ac:dyDescent="0.2">
      <c r="A118" s="162"/>
      <c r="B118" s="162"/>
      <c r="C118" s="163" t="s">
        <v>164</v>
      </c>
      <c r="D118" s="162"/>
      <c r="E118" s="162"/>
      <c r="F118" s="172"/>
      <c r="G118" s="172"/>
      <c r="H118" s="172"/>
      <c r="J118" s="75"/>
    </row>
    <row r="119" spans="1:10" ht="14.1" customHeight="1" x14ac:dyDescent="0.2">
      <c r="A119" s="162"/>
      <c r="B119" s="162"/>
      <c r="C119" s="163" t="s">
        <v>152</v>
      </c>
      <c r="D119" s="162"/>
      <c r="E119" s="162" t="s">
        <v>153</v>
      </c>
      <c r="F119" s="173" t="s">
        <v>155</v>
      </c>
      <c r="G119" s="170">
        <v>0</v>
      </c>
      <c r="H119" s="170"/>
      <c r="J119" s="75"/>
    </row>
    <row r="120" spans="1:10" ht="14.1" customHeight="1" x14ac:dyDescent="0.2">
      <c r="A120" s="162"/>
      <c r="B120" s="162"/>
      <c r="C120" s="171"/>
      <c r="D120" s="162"/>
      <c r="E120" s="162"/>
      <c r="F120" s="172"/>
      <c r="G120" s="172"/>
      <c r="H120" s="172"/>
      <c r="J120" s="75"/>
    </row>
    <row r="121" spans="1:10" ht="14.1" customHeight="1" x14ac:dyDescent="0.2">
      <c r="A121" s="162"/>
      <c r="B121" s="162"/>
      <c r="C121" s="163" t="s">
        <v>165</v>
      </c>
      <c r="D121" s="162"/>
      <c r="E121" s="162"/>
      <c r="F121" s="169">
        <v>0</v>
      </c>
      <c r="G121" s="170">
        <v>0</v>
      </c>
      <c r="H121" s="170"/>
      <c r="J121" s="75"/>
    </row>
    <row r="122" spans="1:10" ht="14.1" customHeight="1" x14ac:dyDescent="0.2">
      <c r="A122" s="162"/>
      <c r="B122" s="162"/>
      <c r="C122" s="171"/>
      <c r="D122" s="162"/>
      <c r="E122" s="162"/>
      <c r="F122" s="172"/>
      <c r="G122" s="172"/>
      <c r="H122" s="172"/>
      <c r="J122" s="75"/>
    </row>
    <row r="123" spans="1:10" ht="14.1" customHeight="1" x14ac:dyDescent="0.2">
      <c r="A123" s="162"/>
      <c r="B123" s="162"/>
      <c r="C123" s="163" t="s">
        <v>166</v>
      </c>
      <c r="D123" s="162"/>
      <c r="E123" s="162"/>
      <c r="F123" s="172"/>
      <c r="G123" s="172"/>
      <c r="H123" s="172"/>
      <c r="J123" s="75"/>
    </row>
    <row r="124" spans="1:10" ht="14.1" customHeight="1" x14ac:dyDescent="0.2">
      <c r="A124" s="162"/>
      <c r="B124" s="162"/>
      <c r="C124" s="163" t="s">
        <v>167</v>
      </c>
      <c r="D124" s="162"/>
      <c r="E124" s="162"/>
      <c r="F124" s="172"/>
      <c r="G124" s="172"/>
      <c r="H124" s="172"/>
      <c r="J124" s="75"/>
    </row>
    <row r="125" spans="1:10" ht="14.1" customHeight="1" x14ac:dyDescent="0.2">
      <c r="A125" s="162"/>
      <c r="B125" s="162"/>
      <c r="C125" s="163" t="s">
        <v>152</v>
      </c>
      <c r="D125" s="162"/>
      <c r="E125" s="162" t="s">
        <v>153</v>
      </c>
      <c r="F125" s="173" t="s">
        <v>155</v>
      </c>
      <c r="G125" s="170">
        <v>0</v>
      </c>
      <c r="H125" s="170"/>
      <c r="J125" s="75"/>
    </row>
    <row r="126" spans="1:10" ht="14.1" customHeight="1" x14ac:dyDescent="0.2">
      <c r="A126" s="162"/>
      <c r="B126" s="162"/>
      <c r="C126" s="171"/>
      <c r="D126" s="162"/>
      <c r="E126" s="162"/>
      <c r="F126" s="172"/>
      <c r="G126" s="172"/>
      <c r="H126" s="172"/>
      <c r="J126" s="75"/>
    </row>
    <row r="127" spans="1:10" ht="14.1" customHeight="1" x14ac:dyDescent="0.2">
      <c r="A127" s="162"/>
      <c r="B127" s="162"/>
      <c r="C127" s="163" t="s">
        <v>168</v>
      </c>
      <c r="D127" s="162"/>
      <c r="E127" s="162"/>
      <c r="F127" s="172"/>
      <c r="G127" s="172"/>
      <c r="H127" s="172"/>
      <c r="J127" s="75"/>
    </row>
    <row r="128" spans="1:10" ht="14.1" customHeight="1" x14ac:dyDescent="0.2">
      <c r="A128" s="162"/>
      <c r="B128" s="162"/>
      <c r="C128" s="163" t="s">
        <v>152</v>
      </c>
      <c r="D128" s="162"/>
      <c r="E128" s="162" t="s">
        <v>153</v>
      </c>
      <c r="F128" s="173" t="s">
        <v>155</v>
      </c>
      <c r="G128" s="170">
        <v>0</v>
      </c>
      <c r="H128" s="170"/>
      <c r="J128" s="75"/>
    </row>
    <row r="129" spans="1:14" ht="14.1" customHeight="1" x14ac:dyDescent="0.2">
      <c r="A129" s="162"/>
      <c r="B129" s="162"/>
      <c r="C129" s="171"/>
      <c r="D129" s="162"/>
      <c r="E129" s="162"/>
      <c r="F129" s="172"/>
      <c r="G129" s="172"/>
      <c r="H129" s="172"/>
      <c r="J129" s="75"/>
    </row>
    <row r="130" spans="1:14" ht="14.1" customHeight="1" x14ac:dyDescent="0.2">
      <c r="A130" s="162"/>
      <c r="B130" s="162"/>
      <c r="C130" s="163" t="s">
        <v>169</v>
      </c>
      <c r="D130" s="162"/>
      <c r="E130" s="162"/>
      <c r="F130" s="172"/>
      <c r="G130" s="172"/>
      <c r="H130" s="172"/>
      <c r="J130" s="75"/>
    </row>
    <row r="131" spans="1:14" ht="14.1" customHeight="1" x14ac:dyDescent="0.2">
      <c r="A131" s="162"/>
      <c r="B131" s="162"/>
      <c r="C131" s="163" t="s">
        <v>152</v>
      </c>
      <c r="D131" s="162"/>
      <c r="E131" s="162" t="s">
        <v>153</v>
      </c>
      <c r="F131" s="173" t="s">
        <v>155</v>
      </c>
      <c r="G131" s="170">
        <v>0</v>
      </c>
      <c r="H131" s="170"/>
      <c r="J131" s="75"/>
    </row>
    <row r="132" spans="1:14" ht="14.1" customHeight="1" x14ac:dyDescent="0.2">
      <c r="A132" s="162"/>
      <c r="B132" s="162"/>
      <c r="C132" s="171"/>
      <c r="D132" s="162"/>
      <c r="E132" s="162"/>
      <c r="F132" s="172"/>
      <c r="G132" s="172"/>
      <c r="H132" s="172"/>
      <c r="J132" s="75"/>
    </row>
    <row r="133" spans="1:14" ht="14.1" customHeight="1" x14ac:dyDescent="0.2">
      <c r="A133" s="162"/>
      <c r="B133" s="162"/>
      <c r="C133" s="163" t="s">
        <v>170</v>
      </c>
      <c r="D133" s="162"/>
      <c r="E133" s="162"/>
      <c r="F133" s="172"/>
      <c r="G133" s="172"/>
      <c r="H133" s="172"/>
      <c r="J133" s="75"/>
    </row>
    <row r="134" spans="1:14" ht="17.100000000000001" customHeight="1" x14ac:dyDescent="0.2">
      <c r="A134" s="164">
        <v>1</v>
      </c>
      <c r="B134" s="165"/>
      <c r="C134" s="165" t="s">
        <v>171</v>
      </c>
      <c r="D134" s="165"/>
      <c r="E134" s="174"/>
      <c r="F134" s="167">
        <v>11760.464948789</v>
      </c>
      <c r="G134" s="168">
        <v>1.8411190000000001E-2</v>
      </c>
      <c r="H134" s="175">
        <v>6.66</v>
      </c>
      <c r="J134" s="75"/>
    </row>
    <row r="135" spans="1:14" ht="14.1" customHeight="1" x14ac:dyDescent="0.2">
      <c r="A135" s="162"/>
      <c r="B135" s="162"/>
      <c r="C135" s="163" t="s">
        <v>152</v>
      </c>
      <c r="D135" s="162"/>
      <c r="E135" s="162" t="s">
        <v>153</v>
      </c>
      <c r="F135" s="169">
        <v>11760.464948789</v>
      </c>
      <c r="G135" s="170">
        <v>1.8411190000000001E-2</v>
      </c>
      <c r="H135" s="170"/>
      <c r="J135" s="75"/>
    </row>
    <row r="136" spans="1:14" ht="14.1" customHeight="1" x14ac:dyDescent="0.2">
      <c r="A136" s="162"/>
      <c r="B136" s="162"/>
      <c r="C136" s="171"/>
      <c r="D136" s="162"/>
      <c r="E136" s="162"/>
      <c r="F136" s="172"/>
      <c r="G136" s="172"/>
      <c r="H136" s="172"/>
      <c r="J136" s="75"/>
    </row>
    <row r="137" spans="1:14" ht="14.1" customHeight="1" x14ac:dyDescent="0.2">
      <c r="A137" s="162"/>
      <c r="B137" s="162"/>
      <c r="C137" s="163" t="s">
        <v>172</v>
      </c>
      <c r="D137" s="162"/>
      <c r="E137" s="162"/>
      <c r="F137" s="169">
        <v>11760.464948789</v>
      </c>
      <c r="G137" s="170">
        <v>1.8411190000000001E-2</v>
      </c>
      <c r="H137" s="170"/>
      <c r="J137" s="75"/>
      <c r="K137" s="39"/>
      <c r="L137" s="39"/>
      <c r="M137" s="39"/>
      <c r="N137" s="39"/>
    </row>
    <row r="138" spans="1:14" ht="14.1" customHeight="1" x14ac:dyDescent="0.2">
      <c r="A138" s="162"/>
      <c r="B138" s="162"/>
      <c r="C138" s="172"/>
      <c r="D138" s="162"/>
      <c r="E138" s="162"/>
      <c r="F138" s="162"/>
      <c r="G138" s="162"/>
      <c r="H138" s="162"/>
      <c r="J138" s="75"/>
    </row>
    <row r="139" spans="1:14" ht="14.1" customHeight="1" x14ac:dyDescent="0.2">
      <c r="A139" s="162"/>
      <c r="B139" s="162"/>
      <c r="C139" s="163" t="s">
        <v>173</v>
      </c>
      <c r="D139" s="162"/>
      <c r="E139" s="162"/>
      <c r="F139" s="162"/>
      <c r="G139" s="162"/>
      <c r="H139" s="162"/>
      <c r="J139" s="75"/>
    </row>
    <row r="140" spans="1:14" ht="14.1" customHeight="1" x14ac:dyDescent="0.2">
      <c r="A140" s="162"/>
      <c r="B140" s="162"/>
      <c r="C140" s="163" t="s">
        <v>174</v>
      </c>
      <c r="D140" s="162"/>
      <c r="E140" s="162"/>
      <c r="F140" s="162"/>
      <c r="G140" s="162"/>
      <c r="H140" s="162"/>
      <c r="J140" s="75"/>
    </row>
    <row r="141" spans="1:14" ht="14.1" customHeight="1" x14ac:dyDescent="0.2">
      <c r="A141" s="162"/>
      <c r="B141" s="162"/>
      <c r="C141" s="163" t="s">
        <v>152</v>
      </c>
      <c r="D141" s="162"/>
      <c r="E141" s="162" t="s">
        <v>153</v>
      </c>
      <c r="F141" s="173" t="s">
        <v>155</v>
      </c>
      <c r="G141" s="170">
        <v>0</v>
      </c>
      <c r="H141" s="170"/>
      <c r="J141" s="75"/>
    </row>
    <row r="142" spans="1:14" ht="14.1" customHeight="1" x14ac:dyDescent="0.2">
      <c r="A142" s="162"/>
      <c r="B142" s="162"/>
      <c r="C142" s="171"/>
      <c r="D142" s="162"/>
      <c r="E142" s="162"/>
      <c r="F142" s="172"/>
      <c r="G142" s="172"/>
      <c r="H142" s="172"/>
      <c r="J142" s="75"/>
    </row>
    <row r="143" spans="1:14" ht="14.1" customHeight="1" x14ac:dyDescent="0.2">
      <c r="A143" s="162"/>
      <c r="B143" s="162"/>
      <c r="C143" s="163" t="s">
        <v>177</v>
      </c>
      <c r="D143" s="162"/>
      <c r="E143" s="162"/>
      <c r="F143" s="162"/>
      <c r="G143" s="162"/>
      <c r="H143" s="162"/>
      <c r="J143" s="75"/>
    </row>
    <row r="144" spans="1:14" ht="14.1" customHeight="1" x14ac:dyDescent="0.2">
      <c r="A144" s="162"/>
      <c r="B144" s="162"/>
      <c r="C144" s="163" t="s">
        <v>178</v>
      </c>
      <c r="D144" s="162"/>
      <c r="E144" s="162"/>
      <c r="F144" s="162"/>
      <c r="G144" s="162"/>
      <c r="H144" s="162"/>
      <c r="J144" s="75"/>
    </row>
    <row r="145" spans="1:17" ht="14.1" customHeight="1" x14ac:dyDescent="0.2">
      <c r="A145" s="162"/>
      <c r="B145" s="162"/>
      <c r="C145" s="163" t="s">
        <v>152</v>
      </c>
      <c r="D145" s="162"/>
      <c r="E145" s="162" t="s">
        <v>153</v>
      </c>
      <c r="F145" s="173" t="s">
        <v>155</v>
      </c>
      <c r="G145" s="170">
        <v>0</v>
      </c>
      <c r="H145" s="170"/>
      <c r="J145" s="75"/>
    </row>
    <row r="146" spans="1:17" ht="14.1" customHeight="1" x14ac:dyDescent="0.2">
      <c r="A146" s="162"/>
      <c r="B146" s="162"/>
      <c r="C146" s="171"/>
      <c r="D146" s="162"/>
      <c r="E146" s="162"/>
      <c r="F146" s="172"/>
      <c r="G146" s="172"/>
      <c r="H146" s="172"/>
      <c r="J146" s="75"/>
    </row>
    <row r="147" spans="1:17" ht="24" customHeight="1" x14ac:dyDescent="0.2">
      <c r="A147" s="162"/>
      <c r="B147" s="162"/>
      <c r="C147" s="163" t="s">
        <v>179</v>
      </c>
      <c r="D147" s="162"/>
      <c r="E147" s="162"/>
      <c r="F147" s="172"/>
      <c r="G147" s="172"/>
      <c r="H147" s="172"/>
      <c r="J147" s="75"/>
    </row>
    <row r="148" spans="1:17" ht="14.1" customHeight="1" x14ac:dyDescent="0.2">
      <c r="A148" s="162"/>
      <c r="B148" s="162"/>
      <c r="C148" s="163" t="s">
        <v>152</v>
      </c>
      <c r="D148" s="162"/>
      <c r="E148" s="162" t="s">
        <v>153</v>
      </c>
      <c r="F148" s="173" t="s">
        <v>155</v>
      </c>
      <c r="G148" s="170">
        <v>0</v>
      </c>
      <c r="H148" s="170"/>
      <c r="J148" s="75"/>
    </row>
    <row r="149" spans="1:17" ht="14.1" customHeight="1" x14ac:dyDescent="0.2">
      <c r="A149" s="162"/>
      <c r="B149" s="165"/>
      <c r="C149" s="165"/>
      <c r="D149" s="163"/>
      <c r="E149" s="162"/>
      <c r="F149" s="165"/>
      <c r="G149" s="174"/>
      <c r="H149" s="174"/>
      <c r="J149" s="75"/>
    </row>
    <row r="150" spans="1:17" ht="18" customHeight="1" x14ac:dyDescent="0.2">
      <c r="A150" s="174"/>
      <c r="B150" s="165"/>
      <c r="C150" s="165" t="s">
        <v>180</v>
      </c>
      <c r="D150" s="165"/>
      <c r="E150" s="174"/>
      <c r="F150" s="167">
        <v>-1009.56698489</v>
      </c>
      <c r="G150" s="168">
        <v>-1.5804899999999999E-3</v>
      </c>
      <c r="H150" s="168"/>
      <c r="J150" s="75"/>
    </row>
    <row r="151" spans="1:17" ht="14.1" customHeight="1" x14ac:dyDescent="0.2">
      <c r="A151" s="171"/>
      <c r="B151" s="171"/>
      <c r="C151" s="163" t="s">
        <v>181</v>
      </c>
      <c r="D151" s="172"/>
      <c r="E151" s="172"/>
      <c r="F151" s="169">
        <v>638767.39094139903</v>
      </c>
      <c r="G151" s="177">
        <v>1.0000000499999999</v>
      </c>
      <c r="H151" s="177"/>
      <c r="J151" s="75"/>
    </row>
    <row r="152" spans="1:17" ht="14.1" customHeight="1" x14ac:dyDescent="0.2">
      <c r="A152" s="178"/>
      <c r="B152" s="178"/>
      <c r="C152" s="178"/>
      <c r="D152" s="179"/>
      <c r="E152" s="179"/>
      <c r="F152" s="179"/>
      <c r="G152" s="179"/>
      <c r="H152" s="179"/>
      <c r="J152" s="75"/>
    </row>
    <row r="153" spans="1:17" ht="12.75" customHeight="1" x14ac:dyDescent="0.2">
      <c r="A153" s="180"/>
      <c r="B153" s="258" t="s">
        <v>882</v>
      </c>
      <c r="C153" s="258"/>
      <c r="D153" s="258"/>
      <c r="E153" s="258"/>
      <c r="F153" s="258"/>
      <c r="G153" s="258"/>
      <c r="H153" s="258"/>
      <c r="J153" s="75"/>
    </row>
    <row r="154" spans="1:17" ht="14.1" customHeight="1" x14ac:dyDescent="0.2">
      <c r="A154" s="180"/>
      <c r="B154" s="258" t="s">
        <v>883</v>
      </c>
      <c r="C154" s="258"/>
      <c r="D154" s="258"/>
      <c r="E154" s="258"/>
      <c r="F154" s="258"/>
      <c r="G154" s="258"/>
      <c r="H154" s="258"/>
      <c r="J154" s="75"/>
    </row>
    <row r="155" spans="1:17" ht="17.100000000000001" customHeight="1" x14ac:dyDescent="0.2">
      <c r="A155" s="180"/>
      <c r="B155" s="258" t="s">
        <v>884</v>
      </c>
      <c r="C155" s="258"/>
      <c r="D155" s="258"/>
      <c r="E155" s="258"/>
      <c r="F155" s="258"/>
      <c r="G155" s="258"/>
      <c r="H155" s="258"/>
      <c r="J155" s="75"/>
    </row>
    <row r="156" spans="1:17" s="34" customFormat="1" ht="62.25" customHeight="1" x14ac:dyDescent="0.25">
      <c r="A156" s="33"/>
      <c r="B156" s="259" t="s">
        <v>885</v>
      </c>
      <c r="C156" s="259"/>
      <c r="D156" s="259"/>
      <c r="E156" s="259"/>
      <c r="F156" s="259"/>
      <c r="G156" s="259"/>
      <c r="H156" s="259"/>
      <c r="I156"/>
      <c r="J156" s="75"/>
      <c r="K156"/>
      <c r="L156"/>
      <c r="M156"/>
      <c r="N156"/>
      <c r="O156"/>
      <c r="P156"/>
      <c r="Q156"/>
    </row>
    <row r="157" spans="1:17" ht="12.75" customHeight="1" x14ac:dyDescent="0.2">
      <c r="A157" s="180"/>
      <c r="B157" s="258" t="s">
        <v>886</v>
      </c>
      <c r="C157" s="258"/>
      <c r="D157" s="258"/>
      <c r="E157" s="258"/>
      <c r="F157" s="258"/>
      <c r="G157" s="258"/>
      <c r="H157" s="258"/>
      <c r="J157" s="75"/>
    </row>
    <row r="158" spans="1:17" ht="14.1" customHeight="1" x14ac:dyDescent="0.2">
      <c r="A158" s="181"/>
      <c r="B158" s="181"/>
      <c r="C158" s="181"/>
      <c r="D158" s="182"/>
      <c r="E158" s="182"/>
      <c r="F158" s="182"/>
      <c r="G158" s="182"/>
      <c r="H158" s="182"/>
      <c r="J158" s="75"/>
    </row>
    <row r="159" spans="1:17" ht="14.1" customHeight="1" x14ac:dyDescent="0.2">
      <c r="A159" s="181"/>
      <c r="B159" s="255" t="s">
        <v>183</v>
      </c>
      <c r="C159" s="256"/>
      <c r="D159" s="257"/>
      <c r="E159" s="183"/>
      <c r="F159" s="182"/>
      <c r="G159" s="182"/>
      <c r="H159" s="182"/>
      <c r="J159" s="75"/>
    </row>
    <row r="160" spans="1:17" ht="29.1" customHeight="1" x14ac:dyDescent="0.2">
      <c r="A160" s="181"/>
      <c r="B160" s="253" t="s">
        <v>184</v>
      </c>
      <c r="C160" s="254"/>
      <c r="D160" s="163" t="s">
        <v>185</v>
      </c>
      <c r="E160" s="183"/>
      <c r="F160" s="182"/>
      <c r="G160" s="182"/>
      <c r="H160" s="182"/>
      <c r="J160" s="75"/>
    </row>
    <row r="161" spans="1:10" ht="17.100000000000001" customHeight="1" x14ac:dyDescent="0.2">
      <c r="A161" s="181"/>
      <c r="B161" s="253" t="s">
        <v>186</v>
      </c>
      <c r="C161" s="254"/>
      <c r="D161" s="163" t="s">
        <v>185</v>
      </c>
      <c r="E161" s="183"/>
      <c r="F161" s="182"/>
      <c r="G161" s="182"/>
      <c r="H161" s="182"/>
      <c r="J161" s="75"/>
    </row>
    <row r="162" spans="1:10" ht="17.100000000000001" customHeight="1" x14ac:dyDescent="0.2">
      <c r="A162" s="181"/>
      <c r="B162" s="253" t="s">
        <v>187</v>
      </c>
      <c r="C162" s="254"/>
      <c r="D162" s="172" t="s">
        <v>153</v>
      </c>
      <c r="E162" s="183"/>
      <c r="F162" s="182"/>
      <c r="G162" s="182"/>
      <c r="H162" s="182"/>
      <c r="J162" s="75"/>
    </row>
    <row r="163" spans="1:10" x14ac:dyDescent="0.2">
      <c r="A163" s="185"/>
      <c r="B163" s="186" t="s">
        <v>153</v>
      </c>
      <c r="C163" s="186" t="s">
        <v>1088</v>
      </c>
      <c r="D163" s="186" t="s">
        <v>188</v>
      </c>
      <c r="E163" s="185"/>
      <c r="F163" s="185"/>
      <c r="G163" s="185"/>
      <c r="H163" s="185"/>
      <c r="J163" s="75"/>
    </row>
    <row r="164" spans="1:10" x14ac:dyDescent="0.2">
      <c r="A164" s="185"/>
      <c r="B164" s="187" t="s">
        <v>189</v>
      </c>
      <c r="C164" s="186" t="s">
        <v>190</v>
      </c>
      <c r="D164" s="186" t="s">
        <v>191</v>
      </c>
      <c r="E164" s="185"/>
      <c r="F164" s="185"/>
      <c r="G164" s="185"/>
      <c r="H164" s="185"/>
      <c r="J164" s="75"/>
    </row>
    <row r="165" spans="1:10" ht="17.100000000000001" customHeight="1" x14ac:dyDescent="0.2">
      <c r="A165" s="185"/>
      <c r="B165" s="165" t="s">
        <v>192</v>
      </c>
      <c r="C165" s="188">
        <v>80.857799999999997</v>
      </c>
      <c r="D165" s="188">
        <v>84.284999999999997</v>
      </c>
      <c r="E165" s="185"/>
      <c r="F165" s="189"/>
      <c r="G165" s="190"/>
      <c r="H165" s="190"/>
      <c r="J165" s="75"/>
    </row>
    <row r="166" spans="1:10" ht="17.100000000000001" customHeight="1" x14ac:dyDescent="0.2">
      <c r="A166" s="185"/>
      <c r="B166" s="165" t="s">
        <v>1054</v>
      </c>
      <c r="C166" s="188">
        <v>32.291800000000002</v>
      </c>
      <c r="D166" s="188">
        <v>33.660400000000003</v>
      </c>
      <c r="E166" s="185"/>
      <c r="F166" s="189"/>
      <c r="G166" s="190"/>
      <c r="H166" s="190"/>
      <c r="J166" s="75"/>
    </row>
    <row r="167" spans="1:10" ht="17.100000000000001" customHeight="1" x14ac:dyDescent="0.2">
      <c r="A167" s="185"/>
      <c r="B167" s="165" t="s">
        <v>193</v>
      </c>
      <c r="C167" s="188">
        <v>72.882400000000004</v>
      </c>
      <c r="D167" s="188">
        <v>75.902500000000003</v>
      </c>
      <c r="E167" s="185"/>
      <c r="F167" s="189"/>
      <c r="G167" s="190"/>
      <c r="H167" s="190"/>
      <c r="J167" s="75"/>
    </row>
    <row r="168" spans="1:10" ht="17.100000000000001" customHeight="1" x14ac:dyDescent="0.2">
      <c r="A168" s="185"/>
      <c r="B168" s="165" t="s">
        <v>1055</v>
      </c>
      <c r="C168" s="188">
        <v>28.492699999999999</v>
      </c>
      <c r="D168" s="188">
        <v>29.673300000000001</v>
      </c>
      <c r="E168" s="185"/>
      <c r="F168" s="189"/>
      <c r="G168" s="190"/>
      <c r="H168" s="190"/>
      <c r="J168" s="75"/>
    </row>
    <row r="169" spans="1:10" ht="14.1" customHeight="1" x14ac:dyDescent="0.2">
      <c r="A169" s="185"/>
      <c r="B169" s="185"/>
      <c r="C169" s="185"/>
      <c r="D169" s="185"/>
      <c r="E169" s="185"/>
      <c r="F169" s="185"/>
      <c r="G169" s="185"/>
      <c r="H169" s="185"/>
      <c r="J169" s="75"/>
    </row>
    <row r="170" spans="1:10" ht="17.100000000000001" customHeight="1" x14ac:dyDescent="0.2">
      <c r="A170" s="185"/>
      <c r="B170" s="253" t="s">
        <v>1056</v>
      </c>
      <c r="C170" s="254"/>
      <c r="D170" s="163" t="s">
        <v>185</v>
      </c>
      <c r="E170" s="185"/>
      <c r="F170" s="185"/>
      <c r="G170" s="185"/>
      <c r="H170" s="185"/>
      <c r="J170" s="75"/>
    </row>
    <row r="171" spans="1:10" ht="14.1" customHeight="1" x14ac:dyDescent="0.2">
      <c r="A171" s="185"/>
      <c r="B171" s="189"/>
      <c r="C171" s="189"/>
      <c r="D171" s="185"/>
      <c r="E171" s="185"/>
      <c r="F171" s="185"/>
      <c r="G171" s="185"/>
      <c r="H171" s="185"/>
      <c r="J171" s="75"/>
    </row>
    <row r="172" spans="1:10" ht="29.1" customHeight="1" x14ac:dyDescent="0.2">
      <c r="A172" s="185"/>
      <c r="B172" s="253" t="s">
        <v>194</v>
      </c>
      <c r="C172" s="254"/>
      <c r="D172" s="163" t="s">
        <v>185</v>
      </c>
      <c r="E172" s="191"/>
      <c r="F172" s="185"/>
      <c r="G172" s="185"/>
      <c r="H172" s="185"/>
      <c r="J172" s="75"/>
    </row>
    <row r="173" spans="1:10" ht="29.1" customHeight="1" x14ac:dyDescent="0.2">
      <c r="A173" s="185"/>
      <c r="B173" s="253" t="s">
        <v>195</v>
      </c>
      <c r="C173" s="254"/>
      <c r="D173" s="163" t="s">
        <v>185</v>
      </c>
      <c r="E173" s="191"/>
      <c r="F173" s="185"/>
      <c r="G173" s="185"/>
      <c r="H173" s="185"/>
      <c r="J173" s="75"/>
    </row>
    <row r="174" spans="1:10" ht="17.100000000000001" customHeight="1" x14ac:dyDescent="0.2">
      <c r="A174" s="185"/>
      <c r="B174" s="253" t="s">
        <v>196</v>
      </c>
      <c r="C174" s="254"/>
      <c r="D174" s="163" t="s">
        <v>185</v>
      </c>
      <c r="E174" s="191"/>
      <c r="F174" s="185"/>
      <c r="G174" s="185"/>
      <c r="H174" s="185"/>
      <c r="J174" s="75"/>
    </row>
    <row r="175" spans="1:10" ht="17.100000000000001" customHeight="1" x14ac:dyDescent="0.2">
      <c r="A175" s="185"/>
      <c r="B175" s="253" t="s">
        <v>197</v>
      </c>
      <c r="C175" s="254"/>
      <c r="D175" s="192">
        <v>0.2978125258004819</v>
      </c>
      <c r="E175" s="185"/>
      <c r="F175" s="189"/>
      <c r="G175" s="190"/>
      <c r="H175" s="190"/>
      <c r="J175" s="75"/>
    </row>
  </sheetData>
  <mergeCells count="17">
    <mergeCell ref="B175:C175"/>
    <mergeCell ref="B170:C170"/>
    <mergeCell ref="B172:C172"/>
    <mergeCell ref="B173:C173"/>
    <mergeCell ref="B174:C174"/>
    <mergeCell ref="A1:H1"/>
    <mergeCell ref="A2:H2"/>
    <mergeCell ref="A3:H3"/>
    <mergeCell ref="B161:C161"/>
    <mergeCell ref="B162:C162"/>
    <mergeCell ref="B159:D159"/>
    <mergeCell ref="B160:C160"/>
    <mergeCell ref="B157:H157"/>
    <mergeCell ref="B153:H153"/>
    <mergeCell ref="B154:H154"/>
    <mergeCell ref="B155:H155"/>
    <mergeCell ref="B156:H156"/>
  </mergeCells>
  <hyperlinks>
    <hyperlink ref="I1" location="Index!B5" display="Index" xr:uid="{DDDA90AD-FC4C-4E83-B626-674B42BA434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60"/>
  <sheetViews>
    <sheetView showGridLines="0" workbookViewId="0">
      <selection activeCell="C59" sqref="C59"/>
    </sheetView>
  </sheetViews>
  <sheetFormatPr defaultRowHeight="12.75" x14ac:dyDescent="0.2"/>
  <cols>
    <col min="1" max="1" width="5.85546875" bestFit="1" customWidth="1"/>
    <col min="2" max="2" width="18.425781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459</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350</v>
      </c>
      <c r="C7" s="165" t="s">
        <v>351</v>
      </c>
      <c r="D7" s="165" t="s">
        <v>262</v>
      </c>
      <c r="E7" s="166">
        <v>4353</v>
      </c>
      <c r="F7" s="167">
        <v>178.86476999999999</v>
      </c>
      <c r="G7" s="168">
        <v>4.9646389999999999E-2</v>
      </c>
      <c r="H7" s="168"/>
      <c r="J7" s="75"/>
    </row>
    <row r="8" spans="1:17" ht="17.100000000000001" customHeight="1" x14ac:dyDescent="0.2">
      <c r="A8" s="164">
        <v>2</v>
      </c>
      <c r="B8" s="165" t="s">
        <v>34</v>
      </c>
      <c r="C8" s="165" t="s">
        <v>35</v>
      </c>
      <c r="D8" s="165" t="s">
        <v>36</v>
      </c>
      <c r="E8" s="166">
        <v>3708</v>
      </c>
      <c r="F8" s="167">
        <v>167.30495999999999</v>
      </c>
      <c r="G8" s="168">
        <v>4.6437800000000001E-2</v>
      </c>
      <c r="H8" s="168"/>
      <c r="J8" s="75"/>
    </row>
    <row r="9" spans="1:17" ht="17.100000000000001" customHeight="1" x14ac:dyDescent="0.2">
      <c r="A9" s="164">
        <v>3</v>
      </c>
      <c r="B9" s="165" t="s">
        <v>93</v>
      </c>
      <c r="C9" s="165" t="s">
        <v>94</v>
      </c>
      <c r="D9" s="165" t="s">
        <v>36</v>
      </c>
      <c r="E9" s="166">
        <v>4013</v>
      </c>
      <c r="F9" s="167">
        <v>160.34342799999999</v>
      </c>
      <c r="G9" s="168">
        <v>4.4505530000000001E-2</v>
      </c>
      <c r="H9" s="168"/>
      <c r="J9" s="75"/>
    </row>
    <row r="10" spans="1:17" ht="17.100000000000001" customHeight="1" x14ac:dyDescent="0.2">
      <c r="A10" s="164">
        <v>4</v>
      </c>
      <c r="B10" s="165" t="s">
        <v>460</v>
      </c>
      <c r="C10" s="165" t="s">
        <v>461</v>
      </c>
      <c r="D10" s="165" t="s">
        <v>75</v>
      </c>
      <c r="E10" s="166">
        <v>7210</v>
      </c>
      <c r="F10" s="167">
        <v>152.386955</v>
      </c>
      <c r="G10" s="168">
        <v>4.2297109999999999E-2</v>
      </c>
      <c r="H10" s="168"/>
      <c r="J10" s="75"/>
    </row>
    <row r="11" spans="1:17" ht="17.100000000000001" customHeight="1" x14ac:dyDescent="0.2">
      <c r="A11" s="164">
        <v>5</v>
      </c>
      <c r="B11" s="165" t="s">
        <v>462</v>
      </c>
      <c r="C11" s="165" t="s">
        <v>463</v>
      </c>
      <c r="D11" s="165" t="s">
        <v>39</v>
      </c>
      <c r="E11" s="166">
        <v>149355</v>
      </c>
      <c r="F11" s="167">
        <v>144.9490275</v>
      </c>
      <c r="G11" s="168">
        <v>4.0232610000000002E-2</v>
      </c>
      <c r="H11" s="168"/>
      <c r="J11" s="75"/>
    </row>
    <row r="12" spans="1:17" ht="17.100000000000001" customHeight="1" x14ac:dyDescent="0.2">
      <c r="A12" s="164">
        <v>6</v>
      </c>
      <c r="B12" s="165" t="s">
        <v>464</v>
      </c>
      <c r="C12" s="165" t="s">
        <v>465</v>
      </c>
      <c r="D12" s="165" t="s">
        <v>13</v>
      </c>
      <c r="E12" s="166">
        <v>70325</v>
      </c>
      <c r="F12" s="167">
        <v>122.9281</v>
      </c>
      <c r="G12" s="168">
        <v>3.412039E-2</v>
      </c>
      <c r="H12" s="168"/>
      <c r="J12" s="71"/>
    </row>
    <row r="13" spans="1:17" ht="17.100000000000001" customHeight="1" x14ac:dyDescent="0.2">
      <c r="A13" s="164">
        <v>7</v>
      </c>
      <c r="B13" s="165" t="s">
        <v>466</v>
      </c>
      <c r="C13" s="165" t="s">
        <v>467</v>
      </c>
      <c r="D13" s="165" t="s">
        <v>36</v>
      </c>
      <c r="E13" s="166">
        <v>8019</v>
      </c>
      <c r="F13" s="167">
        <v>119.23852050000001</v>
      </c>
      <c r="G13" s="168">
        <v>3.3096300000000002E-2</v>
      </c>
      <c r="H13" s="168"/>
      <c r="J13" s="75" t="s">
        <v>1071</v>
      </c>
    </row>
    <row r="14" spans="1:17" ht="17.100000000000001" customHeight="1" x14ac:dyDescent="0.2">
      <c r="A14" s="164">
        <v>8</v>
      </c>
      <c r="B14" s="165" t="s">
        <v>147</v>
      </c>
      <c r="C14" s="165" t="s">
        <v>148</v>
      </c>
      <c r="D14" s="165" t="s">
        <v>75</v>
      </c>
      <c r="E14" s="166">
        <v>37034</v>
      </c>
      <c r="F14" s="167">
        <v>116.953372</v>
      </c>
      <c r="G14" s="168">
        <v>3.2462020000000001E-2</v>
      </c>
      <c r="H14" s="168"/>
      <c r="J14" s="75"/>
    </row>
    <row r="15" spans="1:17" ht="17.100000000000001" customHeight="1" x14ac:dyDescent="0.2">
      <c r="A15" s="164">
        <v>9</v>
      </c>
      <c r="B15" s="165" t="s">
        <v>468</v>
      </c>
      <c r="C15" s="165" t="s">
        <v>469</v>
      </c>
      <c r="D15" s="165" t="s">
        <v>53</v>
      </c>
      <c r="E15" s="166">
        <v>19855</v>
      </c>
      <c r="F15" s="167">
        <v>114.0570475</v>
      </c>
      <c r="G15" s="168">
        <v>3.1658110000000003E-2</v>
      </c>
      <c r="H15" s="168"/>
      <c r="J15" s="75"/>
    </row>
    <row r="16" spans="1:17" ht="17.100000000000001" customHeight="1" x14ac:dyDescent="0.2">
      <c r="A16" s="164">
        <v>10</v>
      </c>
      <c r="B16" s="165" t="s">
        <v>470</v>
      </c>
      <c r="C16" s="165" t="s">
        <v>471</v>
      </c>
      <c r="D16" s="165" t="s">
        <v>262</v>
      </c>
      <c r="E16" s="166">
        <v>3672</v>
      </c>
      <c r="F16" s="167">
        <v>102.32395200000001</v>
      </c>
      <c r="G16" s="168">
        <v>2.8401429999999998E-2</v>
      </c>
      <c r="H16" s="168"/>
      <c r="J16" s="75"/>
    </row>
    <row r="17" spans="1:10" ht="29.1" customHeight="1" x14ac:dyDescent="0.2">
      <c r="A17" s="164">
        <v>11</v>
      </c>
      <c r="B17" s="165" t="s">
        <v>472</v>
      </c>
      <c r="C17" s="165" t="s">
        <v>473</v>
      </c>
      <c r="D17" s="165" t="s">
        <v>216</v>
      </c>
      <c r="E17" s="166">
        <v>5362</v>
      </c>
      <c r="F17" s="167">
        <v>102.159505</v>
      </c>
      <c r="G17" s="168">
        <v>2.8355780000000001E-2</v>
      </c>
      <c r="H17" s="168"/>
      <c r="J17" s="75"/>
    </row>
    <row r="18" spans="1:10" ht="17.100000000000001" customHeight="1" x14ac:dyDescent="0.2">
      <c r="A18" s="164">
        <v>12</v>
      </c>
      <c r="B18" s="165" t="s">
        <v>238</v>
      </c>
      <c r="C18" s="165" t="s">
        <v>239</v>
      </c>
      <c r="D18" s="165" t="s">
        <v>104</v>
      </c>
      <c r="E18" s="166">
        <v>1151</v>
      </c>
      <c r="F18" s="167">
        <v>100.01039</v>
      </c>
      <c r="G18" s="168">
        <v>2.7759269999999999E-2</v>
      </c>
      <c r="H18" s="168"/>
      <c r="J18" s="75"/>
    </row>
    <row r="19" spans="1:10" ht="17.100000000000001" customHeight="1" x14ac:dyDescent="0.2">
      <c r="A19" s="164">
        <v>13</v>
      </c>
      <c r="B19" s="165" t="s">
        <v>474</v>
      </c>
      <c r="C19" s="165" t="s">
        <v>475</v>
      </c>
      <c r="D19" s="165" t="s">
        <v>276</v>
      </c>
      <c r="E19" s="166">
        <v>28888</v>
      </c>
      <c r="F19" s="167">
        <v>96.052599999999998</v>
      </c>
      <c r="G19" s="168">
        <v>2.6660730000000001E-2</v>
      </c>
      <c r="H19" s="168"/>
      <c r="J19" s="75"/>
    </row>
    <row r="20" spans="1:10" ht="17.100000000000001" customHeight="1" x14ac:dyDescent="0.2">
      <c r="A20" s="164">
        <v>14</v>
      </c>
      <c r="B20" s="165" t="s">
        <v>476</v>
      </c>
      <c r="C20" s="165" t="s">
        <v>477</v>
      </c>
      <c r="D20" s="165" t="s">
        <v>213</v>
      </c>
      <c r="E20" s="166">
        <v>24416</v>
      </c>
      <c r="F20" s="167">
        <v>89.374768000000003</v>
      </c>
      <c r="G20" s="168">
        <v>2.4807200000000001E-2</v>
      </c>
      <c r="H20" s="168"/>
      <c r="J20" s="75"/>
    </row>
    <row r="21" spans="1:10" ht="17.100000000000001" customHeight="1" x14ac:dyDescent="0.2">
      <c r="A21" s="164">
        <v>15</v>
      </c>
      <c r="B21" s="165" t="s">
        <v>478</v>
      </c>
      <c r="C21" s="165" t="s">
        <v>479</v>
      </c>
      <c r="D21" s="165" t="s">
        <v>53</v>
      </c>
      <c r="E21" s="166">
        <v>11094</v>
      </c>
      <c r="F21" s="167">
        <v>84.608390999999997</v>
      </c>
      <c r="G21" s="168">
        <v>2.3484229999999998E-2</v>
      </c>
      <c r="H21" s="168"/>
      <c r="J21" s="75"/>
    </row>
    <row r="22" spans="1:10" ht="17.100000000000001" customHeight="1" x14ac:dyDescent="0.2">
      <c r="A22" s="164">
        <v>16</v>
      </c>
      <c r="B22" s="165" t="s">
        <v>480</v>
      </c>
      <c r="C22" s="165" t="s">
        <v>481</v>
      </c>
      <c r="D22" s="165" t="s">
        <v>417</v>
      </c>
      <c r="E22" s="166">
        <v>6041</v>
      </c>
      <c r="F22" s="167">
        <v>82.227071499999994</v>
      </c>
      <c r="G22" s="168">
        <v>2.2823260000000001E-2</v>
      </c>
      <c r="H22" s="168"/>
      <c r="J22" s="71"/>
    </row>
    <row r="23" spans="1:10" ht="17.100000000000001" customHeight="1" x14ac:dyDescent="0.2">
      <c r="A23" s="164">
        <v>17</v>
      </c>
      <c r="B23" s="165" t="s">
        <v>482</v>
      </c>
      <c r="C23" s="165" t="s">
        <v>483</v>
      </c>
      <c r="D23" s="165" t="s">
        <v>242</v>
      </c>
      <c r="E23" s="166">
        <v>5630</v>
      </c>
      <c r="F23" s="167">
        <v>80.103639999999999</v>
      </c>
      <c r="G23" s="168">
        <v>2.2233869999999999E-2</v>
      </c>
      <c r="H23" s="168"/>
      <c r="J23" s="75"/>
    </row>
    <row r="24" spans="1:10" ht="17.100000000000001" customHeight="1" x14ac:dyDescent="0.2">
      <c r="A24" s="164">
        <v>18</v>
      </c>
      <c r="B24" s="165" t="s">
        <v>78</v>
      </c>
      <c r="C24" s="165" t="s">
        <v>79</v>
      </c>
      <c r="D24" s="165" t="s">
        <v>80</v>
      </c>
      <c r="E24" s="166">
        <v>7207</v>
      </c>
      <c r="F24" s="167">
        <v>74.441102999999998</v>
      </c>
      <c r="G24" s="168">
        <v>2.0662159999999999E-2</v>
      </c>
      <c r="H24" s="168"/>
      <c r="J24" s="75"/>
    </row>
    <row r="25" spans="1:10" ht="29.1" customHeight="1" x14ac:dyDescent="0.2">
      <c r="A25" s="164">
        <v>19</v>
      </c>
      <c r="B25" s="165" t="s">
        <v>286</v>
      </c>
      <c r="C25" s="165" t="s">
        <v>287</v>
      </c>
      <c r="D25" s="165" t="s">
        <v>216</v>
      </c>
      <c r="E25" s="166">
        <v>16491</v>
      </c>
      <c r="F25" s="167">
        <v>74.209500000000006</v>
      </c>
      <c r="G25" s="168">
        <v>2.0597870000000001E-2</v>
      </c>
      <c r="H25" s="168"/>
      <c r="J25" s="75"/>
    </row>
    <row r="26" spans="1:10" ht="17.100000000000001" customHeight="1" x14ac:dyDescent="0.2">
      <c r="A26" s="164">
        <v>20</v>
      </c>
      <c r="B26" s="165" t="s">
        <v>484</v>
      </c>
      <c r="C26" s="165" t="s">
        <v>485</v>
      </c>
      <c r="D26" s="165" t="s">
        <v>53</v>
      </c>
      <c r="E26" s="166">
        <v>59081</v>
      </c>
      <c r="F26" s="167">
        <v>71.901577000000003</v>
      </c>
      <c r="G26" s="168">
        <v>1.9957280000000001E-2</v>
      </c>
      <c r="H26" s="168"/>
      <c r="J26" s="75"/>
    </row>
    <row r="27" spans="1:10" ht="17.100000000000001" customHeight="1" x14ac:dyDescent="0.2">
      <c r="A27" s="164">
        <v>21</v>
      </c>
      <c r="B27" s="165" t="s">
        <v>486</v>
      </c>
      <c r="C27" s="165" t="s">
        <v>487</v>
      </c>
      <c r="D27" s="165" t="s">
        <v>53</v>
      </c>
      <c r="E27" s="166">
        <v>4638</v>
      </c>
      <c r="F27" s="167">
        <v>69.961911000000001</v>
      </c>
      <c r="G27" s="168">
        <v>1.9418899999999999E-2</v>
      </c>
      <c r="H27" s="168"/>
      <c r="J27" s="75"/>
    </row>
    <row r="28" spans="1:10" ht="29.1" customHeight="1" x14ac:dyDescent="0.2">
      <c r="A28" s="164">
        <v>22</v>
      </c>
      <c r="B28" s="165" t="s">
        <v>123</v>
      </c>
      <c r="C28" s="165" t="s">
        <v>124</v>
      </c>
      <c r="D28" s="165" t="s">
        <v>25</v>
      </c>
      <c r="E28" s="166">
        <v>1736</v>
      </c>
      <c r="F28" s="167">
        <v>69.431319999999999</v>
      </c>
      <c r="G28" s="168">
        <v>1.927162E-2</v>
      </c>
      <c r="H28" s="168"/>
      <c r="J28" s="75"/>
    </row>
    <row r="29" spans="1:10" ht="17.100000000000001" customHeight="1" x14ac:dyDescent="0.2">
      <c r="A29" s="164">
        <v>23</v>
      </c>
      <c r="B29" s="165" t="s">
        <v>488</v>
      </c>
      <c r="C29" s="165" t="s">
        <v>489</v>
      </c>
      <c r="D29" s="165" t="s">
        <v>242</v>
      </c>
      <c r="E29" s="166">
        <v>8151</v>
      </c>
      <c r="F29" s="167">
        <v>69.120480000000001</v>
      </c>
      <c r="G29" s="168">
        <v>1.9185339999999999E-2</v>
      </c>
      <c r="H29" s="168"/>
      <c r="J29" s="75"/>
    </row>
    <row r="30" spans="1:10" ht="29.1" customHeight="1" x14ac:dyDescent="0.2">
      <c r="A30" s="164">
        <v>24</v>
      </c>
      <c r="B30" s="165" t="s">
        <v>314</v>
      </c>
      <c r="C30" s="165" t="s">
        <v>315</v>
      </c>
      <c r="D30" s="165" t="s">
        <v>316</v>
      </c>
      <c r="E30" s="166">
        <v>1842</v>
      </c>
      <c r="F30" s="167">
        <v>62.982585</v>
      </c>
      <c r="G30" s="168">
        <v>1.7481690000000001E-2</v>
      </c>
      <c r="H30" s="168"/>
      <c r="J30" s="75"/>
    </row>
    <row r="31" spans="1:10" ht="17.100000000000001" customHeight="1" x14ac:dyDescent="0.2">
      <c r="A31" s="164">
        <v>25</v>
      </c>
      <c r="B31" s="165" t="s">
        <v>490</v>
      </c>
      <c r="C31" s="165" t="s">
        <v>491</v>
      </c>
      <c r="D31" s="165" t="s">
        <v>80</v>
      </c>
      <c r="E31" s="166">
        <v>1936</v>
      </c>
      <c r="F31" s="167">
        <v>61.015943999999998</v>
      </c>
      <c r="G31" s="168">
        <v>1.6935820000000001E-2</v>
      </c>
      <c r="H31" s="168"/>
      <c r="J31" s="75"/>
    </row>
    <row r="32" spans="1:10" ht="29.1" customHeight="1" x14ac:dyDescent="0.2">
      <c r="A32" s="164">
        <v>26</v>
      </c>
      <c r="B32" s="165" t="s">
        <v>492</v>
      </c>
      <c r="C32" s="165" t="s">
        <v>493</v>
      </c>
      <c r="D32" s="165" t="s">
        <v>70</v>
      </c>
      <c r="E32" s="166">
        <v>2187</v>
      </c>
      <c r="F32" s="167">
        <v>54.9122895</v>
      </c>
      <c r="G32" s="168">
        <v>1.5241670000000001E-2</v>
      </c>
      <c r="H32" s="168"/>
      <c r="J32" s="75"/>
    </row>
    <row r="33" spans="1:10" ht="17.100000000000001" customHeight="1" x14ac:dyDescent="0.2">
      <c r="A33" s="164">
        <v>27</v>
      </c>
      <c r="B33" s="165" t="s">
        <v>494</v>
      </c>
      <c r="C33" s="165" t="s">
        <v>495</v>
      </c>
      <c r="D33" s="165" t="s">
        <v>496</v>
      </c>
      <c r="E33" s="166">
        <v>4857</v>
      </c>
      <c r="F33" s="167">
        <v>54.398400000000002</v>
      </c>
      <c r="G33" s="168">
        <v>1.5099029999999999E-2</v>
      </c>
      <c r="H33" s="168"/>
      <c r="J33" s="75"/>
    </row>
    <row r="34" spans="1:10" ht="17.100000000000001" customHeight="1" x14ac:dyDescent="0.2">
      <c r="A34" s="164">
        <v>28</v>
      </c>
      <c r="B34" s="165" t="s">
        <v>497</v>
      </c>
      <c r="C34" s="165" t="s">
        <v>498</v>
      </c>
      <c r="D34" s="165" t="s">
        <v>75</v>
      </c>
      <c r="E34" s="166">
        <v>8402</v>
      </c>
      <c r="F34" s="167">
        <v>53.550147000000003</v>
      </c>
      <c r="G34" s="168">
        <v>1.486358E-2</v>
      </c>
      <c r="H34" s="168"/>
      <c r="J34" s="75"/>
    </row>
    <row r="35" spans="1:10" ht="17.100000000000001" customHeight="1" x14ac:dyDescent="0.2">
      <c r="A35" s="164">
        <v>29</v>
      </c>
      <c r="B35" s="165" t="s">
        <v>499</v>
      </c>
      <c r="C35" s="165" t="s">
        <v>500</v>
      </c>
      <c r="D35" s="165" t="s">
        <v>75</v>
      </c>
      <c r="E35" s="166">
        <v>6126</v>
      </c>
      <c r="F35" s="167">
        <v>51.348132</v>
      </c>
      <c r="G35" s="168">
        <v>1.425238E-2</v>
      </c>
      <c r="H35" s="168"/>
      <c r="J35" s="75"/>
    </row>
    <row r="36" spans="1:10" ht="29.1" customHeight="1" x14ac:dyDescent="0.2">
      <c r="A36" s="164">
        <v>30</v>
      </c>
      <c r="B36" s="165" t="s">
        <v>501</v>
      </c>
      <c r="C36" s="165" t="s">
        <v>502</v>
      </c>
      <c r="D36" s="165" t="s">
        <v>221</v>
      </c>
      <c r="E36" s="166">
        <v>8191</v>
      </c>
      <c r="F36" s="167">
        <v>50.661335000000001</v>
      </c>
      <c r="G36" s="168">
        <v>1.406175E-2</v>
      </c>
      <c r="H36" s="168"/>
      <c r="J36" s="75"/>
    </row>
    <row r="37" spans="1:10" ht="17.100000000000001" customHeight="1" x14ac:dyDescent="0.2">
      <c r="A37" s="164">
        <v>31</v>
      </c>
      <c r="B37" s="165" t="s">
        <v>71</v>
      </c>
      <c r="C37" s="165" t="s">
        <v>72</v>
      </c>
      <c r="D37" s="165" t="s">
        <v>36</v>
      </c>
      <c r="E37" s="166">
        <v>2356</v>
      </c>
      <c r="F37" s="167">
        <v>50.103873999999998</v>
      </c>
      <c r="G37" s="168">
        <v>1.3907020000000001E-2</v>
      </c>
      <c r="H37" s="168"/>
      <c r="J37" s="75"/>
    </row>
    <row r="38" spans="1:10" ht="17.100000000000001" customHeight="1" x14ac:dyDescent="0.2">
      <c r="A38" s="164">
        <v>32</v>
      </c>
      <c r="B38" s="165" t="s">
        <v>365</v>
      </c>
      <c r="C38" s="165" t="s">
        <v>366</v>
      </c>
      <c r="D38" s="165" t="s">
        <v>114</v>
      </c>
      <c r="E38" s="166">
        <v>27808</v>
      </c>
      <c r="F38" s="167">
        <v>45.883200000000002</v>
      </c>
      <c r="G38" s="168">
        <v>1.273552E-2</v>
      </c>
      <c r="H38" s="168"/>
      <c r="J38" s="75"/>
    </row>
    <row r="39" spans="1:10" ht="17.100000000000001" customHeight="1" x14ac:dyDescent="0.2">
      <c r="A39" s="164">
        <v>33</v>
      </c>
      <c r="B39" s="165" t="s">
        <v>503</v>
      </c>
      <c r="C39" s="165" t="s">
        <v>504</v>
      </c>
      <c r="D39" s="165" t="s">
        <v>36</v>
      </c>
      <c r="E39" s="166">
        <v>3042</v>
      </c>
      <c r="F39" s="167">
        <v>43.266365999999998</v>
      </c>
      <c r="G39" s="168">
        <v>1.200918E-2</v>
      </c>
      <c r="H39" s="168"/>
      <c r="J39" s="75"/>
    </row>
    <row r="40" spans="1:10" ht="17.100000000000001" customHeight="1" x14ac:dyDescent="0.2">
      <c r="A40" s="164">
        <v>34</v>
      </c>
      <c r="B40" s="165" t="s">
        <v>505</v>
      </c>
      <c r="C40" s="165" t="s">
        <v>506</v>
      </c>
      <c r="D40" s="165" t="s">
        <v>53</v>
      </c>
      <c r="E40" s="166">
        <v>4394</v>
      </c>
      <c r="F40" s="167">
        <v>40.097447000000003</v>
      </c>
      <c r="G40" s="168">
        <v>1.11296E-2</v>
      </c>
      <c r="H40" s="168"/>
      <c r="J40" s="75"/>
    </row>
    <row r="41" spans="1:10" ht="17.100000000000001" customHeight="1" x14ac:dyDescent="0.2">
      <c r="A41" s="164">
        <v>35</v>
      </c>
      <c r="B41" s="165" t="s">
        <v>294</v>
      </c>
      <c r="C41" s="165" t="s">
        <v>295</v>
      </c>
      <c r="D41" s="165" t="s">
        <v>53</v>
      </c>
      <c r="E41" s="166">
        <v>3675</v>
      </c>
      <c r="F41" s="167">
        <v>39.572400000000002</v>
      </c>
      <c r="G41" s="168">
        <v>1.098387E-2</v>
      </c>
      <c r="H41" s="168"/>
      <c r="J41" s="75"/>
    </row>
    <row r="42" spans="1:10" ht="17.100000000000001" customHeight="1" x14ac:dyDescent="0.2">
      <c r="A42" s="164">
        <v>36</v>
      </c>
      <c r="B42" s="165" t="s">
        <v>507</v>
      </c>
      <c r="C42" s="165" t="s">
        <v>508</v>
      </c>
      <c r="D42" s="165" t="s">
        <v>62</v>
      </c>
      <c r="E42" s="166">
        <v>4036</v>
      </c>
      <c r="F42" s="167">
        <v>35.407828000000002</v>
      </c>
      <c r="G42" s="168">
        <v>9.8279300000000003E-3</v>
      </c>
      <c r="H42" s="168"/>
      <c r="J42" s="75"/>
    </row>
    <row r="43" spans="1:10" ht="17.100000000000001" customHeight="1" x14ac:dyDescent="0.2">
      <c r="A43" s="164">
        <v>37</v>
      </c>
      <c r="B43" s="165" t="s">
        <v>509</v>
      </c>
      <c r="C43" s="165" t="s">
        <v>510</v>
      </c>
      <c r="D43" s="165" t="s">
        <v>75</v>
      </c>
      <c r="E43" s="166">
        <v>7524</v>
      </c>
      <c r="F43" s="167">
        <v>34.215389999999999</v>
      </c>
      <c r="G43" s="168">
        <v>9.4969500000000005E-3</v>
      </c>
      <c r="H43" s="168"/>
      <c r="J43" s="75"/>
    </row>
    <row r="44" spans="1:10" ht="29.1" customHeight="1" x14ac:dyDescent="0.2">
      <c r="A44" s="164">
        <v>38</v>
      </c>
      <c r="B44" s="165" t="s">
        <v>511</v>
      </c>
      <c r="C44" s="165" t="s">
        <v>512</v>
      </c>
      <c r="D44" s="165" t="s">
        <v>216</v>
      </c>
      <c r="E44" s="166">
        <v>596</v>
      </c>
      <c r="F44" s="167">
        <v>29.262408000000001</v>
      </c>
      <c r="G44" s="168">
        <v>8.1221899999999996E-3</v>
      </c>
      <c r="H44" s="168"/>
      <c r="J44" s="75"/>
    </row>
    <row r="45" spans="1:10" ht="17.100000000000001" customHeight="1" x14ac:dyDescent="0.2">
      <c r="A45" s="164">
        <v>39</v>
      </c>
      <c r="B45" s="165" t="s">
        <v>139</v>
      </c>
      <c r="C45" s="165" t="s">
        <v>140</v>
      </c>
      <c r="D45" s="165" t="s">
        <v>36</v>
      </c>
      <c r="E45" s="166">
        <v>4198</v>
      </c>
      <c r="F45" s="167">
        <v>27.297495000000001</v>
      </c>
      <c r="G45" s="168">
        <v>7.5767999999999999E-3</v>
      </c>
      <c r="H45" s="168"/>
      <c r="J45" s="75"/>
    </row>
    <row r="46" spans="1:10" ht="17.100000000000001" customHeight="1" x14ac:dyDescent="0.2">
      <c r="A46" s="164">
        <v>40</v>
      </c>
      <c r="B46" s="165" t="s">
        <v>513</v>
      </c>
      <c r="C46" s="165" t="s">
        <v>514</v>
      </c>
      <c r="D46" s="165" t="s">
        <v>393</v>
      </c>
      <c r="E46" s="166">
        <v>2536</v>
      </c>
      <c r="F46" s="167">
        <v>24.748823999999999</v>
      </c>
      <c r="G46" s="168">
        <v>6.8693799999999996E-3</v>
      </c>
      <c r="H46" s="168"/>
      <c r="J46" s="75"/>
    </row>
    <row r="47" spans="1:10" ht="17.100000000000001" customHeight="1" x14ac:dyDescent="0.2">
      <c r="A47" s="164">
        <v>41</v>
      </c>
      <c r="B47" s="165" t="s">
        <v>515</v>
      </c>
      <c r="C47" s="165" t="s">
        <v>516</v>
      </c>
      <c r="D47" s="165" t="s">
        <v>104</v>
      </c>
      <c r="E47" s="166">
        <v>2107</v>
      </c>
      <c r="F47" s="167">
        <v>24.2568375</v>
      </c>
      <c r="G47" s="168">
        <v>6.7328199999999996E-3</v>
      </c>
      <c r="H47" s="168"/>
      <c r="J47" s="75"/>
    </row>
    <row r="48" spans="1:10" ht="17.100000000000001" customHeight="1" x14ac:dyDescent="0.2">
      <c r="A48" s="164">
        <v>42</v>
      </c>
      <c r="B48" s="165" t="s">
        <v>517</v>
      </c>
      <c r="C48" s="165" t="s">
        <v>518</v>
      </c>
      <c r="D48" s="165" t="s">
        <v>36</v>
      </c>
      <c r="E48" s="166">
        <v>1151</v>
      </c>
      <c r="F48" s="167">
        <v>19.054229500000002</v>
      </c>
      <c r="G48" s="168">
        <v>5.2887699999999999E-3</v>
      </c>
      <c r="H48" s="168"/>
      <c r="J48" s="75"/>
    </row>
    <row r="49" spans="1:10" ht="17.100000000000001" customHeight="1" x14ac:dyDescent="0.2">
      <c r="A49" s="164">
        <v>43</v>
      </c>
      <c r="B49" s="165" t="s">
        <v>519</v>
      </c>
      <c r="C49" s="165" t="s">
        <v>520</v>
      </c>
      <c r="D49" s="165" t="s">
        <v>242</v>
      </c>
      <c r="E49" s="166">
        <v>4790</v>
      </c>
      <c r="F49" s="167">
        <v>17.890650000000001</v>
      </c>
      <c r="G49" s="168">
        <v>4.9658000000000002E-3</v>
      </c>
      <c r="H49" s="168"/>
      <c r="J49" s="75"/>
    </row>
    <row r="50" spans="1:10" ht="29.1" customHeight="1" x14ac:dyDescent="0.2">
      <c r="A50" s="164">
        <v>44</v>
      </c>
      <c r="B50" s="165" t="s">
        <v>521</v>
      </c>
      <c r="C50" s="165" t="s">
        <v>522</v>
      </c>
      <c r="D50" s="165" t="s">
        <v>75</v>
      </c>
      <c r="E50" s="166">
        <v>5400</v>
      </c>
      <c r="F50" s="167">
        <v>17.1936</v>
      </c>
      <c r="G50" s="168">
        <v>4.77232E-3</v>
      </c>
      <c r="H50" s="168"/>
      <c r="J50" s="75"/>
    </row>
    <row r="51" spans="1:10" ht="29.1" customHeight="1" x14ac:dyDescent="0.2">
      <c r="A51" s="164">
        <v>45</v>
      </c>
      <c r="B51" s="165" t="s">
        <v>523</v>
      </c>
      <c r="C51" s="165" t="s">
        <v>524</v>
      </c>
      <c r="D51" s="165" t="s">
        <v>216</v>
      </c>
      <c r="E51" s="166">
        <v>4669</v>
      </c>
      <c r="F51" s="167">
        <v>15.265295500000001</v>
      </c>
      <c r="G51" s="168">
        <v>4.2370899999999998E-3</v>
      </c>
      <c r="H51" s="168"/>
      <c r="J51" s="75"/>
    </row>
    <row r="52" spans="1:10" ht="29.1" customHeight="1" x14ac:dyDescent="0.2">
      <c r="A52" s="164">
        <v>46</v>
      </c>
      <c r="B52" s="165" t="s">
        <v>525</v>
      </c>
      <c r="C52" s="165" t="s">
        <v>526</v>
      </c>
      <c r="D52" s="165" t="s">
        <v>527</v>
      </c>
      <c r="E52" s="166">
        <v>9332</v>
      </c>
      <c r="F52" s="167">
        <v>13.727372000000001</v>
      </c>
      <c r="G52" s="168">
        <v>3.81022E-3</v>
      </c>
      <c r="H52" s="168"/>
      <c r="J52" s="75"/>
    </row>
    <row r="53" spans="1:10" ht="17.100000000000001" customHeight="1" x14ac:dyDescent="0.2">
      <c r="A53" s="164">
        <v>47</v>
      </c>
      <c r="B53" s="165" t="s">
        <v>528</v>
      </c>
      <c r="C53" s="165" t="s">
        <v>529</v>
      </c>
      <c r="D53" s="165" t="s">
        <v>39</v>
      </c>
      <c r="E53" s="166">
        <v>2318</v>
      </c>
      <c r="F53" s="167">
        <v>8.6426630000000007</v>
      </c>
      <c r="G53" s="168">
        <v>2.3988899999999999E-3</v>
      </c>
      <c r="H53" s="168"/>
      <c r="J53" s="75"/>
    </row>
    <row r="54" spans="1:10" ht="14.1" customHeight="1" x14ac:dyDescent="0.2">
      <c r="A54" s="162"/>
      <c r="B54" s="162"/>
      <c r="C54" s="163" t="s">
        <v>152</v>
      </c>
      <c r="D54" s="162"/>
      <c r="E54" s="162" t="s">
        <v>153</v>
      </c>
      <c r="F54" s="169">
        <v>3317.707101</v>
      </c>
      <c r="G54" s="170">
        <v>0.92087547000000003</v>
      </c>
      <c r="H54" s="170"/>
      <c r="J54" s="75"/>
    </row>
    <row r="55" spans="1:10" ht="14.1" customHeight="1" x14ac:dyDescent="0.2">
      <c r="A55" s="162"/>
      <c r="B55" s="162"/>
      <c r="C55" s="171"/>
      <c r="D55" s="162"/>
      <c r="E55" s="162"/>
      <c r="F55" s="172"/>
      <c r="G55" s="172"/>
      <c r="H55" s="172"/>
      <c r="J55" s="75"/>
    </row>
    <row r="56" spans="1:10" ht="14.1" customHeight="1" x14ac:dyDescent="0.2">
      <c r="A56" s="162"/>
      <c r="B56" s="162"/>
      <c r="C56" s="163" t="s">
        <v>154</v>
      </c>
      <c r="D56" s="162"/>
      <c r="E56" s="162"/>
      <c r="F56" s="162"/>
      <c r="G56" s="162"/>
      <c r="H56" s="16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156</v>
      </c>
      <c r="D59" s="162"/>
      <c r="E59" s="162"/>
      <c r="F59" s="162"/>
      <c r="G59" s="162"/>
      <c r="H59" s="16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157</v>
      </c>
      <c r="D62" s="162"/>
      <c r="E62" s="162"/>
      <c r="F62" s="162"/>
      <c r="G62" s="162"/>
      <c r="H62" s="162"/>
      <c r="J62" s="75"/>
    </row>
    <row r="63" spans="1:10" ht="29.1" customHeight="1" x14ac:dyDescent="0.2">
      <c r="A63" s="164">
        <v>1</v>
      </c>
      <c r="B63" s="165" t="s">
        <v>329</v>
      </c>
      <c r="C63" s="165" t="s">
        <v>1202</v>
      </c>
      <c r="D63" s="165" t="s">
        <v>36</v>
      </c>
      <c r="E63" s="166">
        <v>133</v>
      </c>
      <c r="F63" s="167">
        <v>1.3304521999999999E-2</v>
      </c>
      <c r="G63" s="168" t="s">
        <v>151</v>
      </c>
      <c r="H63" s="168"/>
      <c r="J63" s="75"/>
    </row>
    <row r="64" spans="1:10" ht="14.1" customHeight="1" x14ac:dyDescent="0.2">
      <c r="A64" s="162"/>
      <c r="B64" s="162"/>
      <c r="C64" s="163" t="s">
        <v>152</v>
      </c>
      <c r="D64" s="162"/>
      <c r="E64" s="162" t="s">
        <v>153</v>
      </c>
      <c r="F64" s="169">
        <v>1.3304521999999999E-2</v>
      </c>
      <c r="G64" s="170">
        <v>3.6899999999999998E-6</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158</v>
      </c>
      <c r="D66" s="162"/>
      <c r="E66" s="162"/>
      <c r="F66" s="172"/>
      <c r="G66" s="172"/>
      <c r="H66" s="17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159</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x14ac:dyDescent="0.2">
      <c r="A72" s="162"/>
      <c r="B72" s="162"/>
      <c r="C72" s="163" t="s">
        <v>160</v>
      </c>
      <c r="D72" s="162"/>
      <c r="E72" s="162"/>
      <c r="F72" s="169">
        <v>3317.720405522</v>
      </c>
      <c r="G72" s="170">
        <v>0.92087916000000003</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161</v>
      </c>
      <c r="D74" s="162"/>
      <c r="E74" s="162"/>
      <c r="F74" s="172"/>
      <c r="G74" s="172"/>
      <c r="H74" s="172"/>
      <c r="J74" s="75"/>
    </row>
    <row r="75" spans="1:10" x14ac:dyDescent="0.2">
      <c r="A75" s="162"/>
      <c r="B75" s="162"/>
      <c r="C75" s="163" t="s">
        <v>10</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162</v>
      </c>
      <c r="D78" s="162"/>
      <c r="E78" s="162"/>
      <c r="F78" s="162"/>
      <c r="G78" s="162"/>
      <c r="H78" s="16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163</v>
      </c>
      <c r="D81" s="162"/>
      <c r="E81" s="162"/>
      <c r="F81" s="162"/>
      <c r="G81" s="162"/>
      <c r="H81" s="16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164</v>
      </c>
      <c r="D84" s="162"/>
      <c r="E84" s="162"/>
      <c r="F84" s="172"/>
      <c r="G84" s="172"/>
      <c r="H84" s="172"/>
      <c r="J84" s="75"/>
    </row>
    <row r="85" spans="1:10" ht="14.1" customHeight="1" x14ac:dyDescent="0.2">
      <c r="A85" s="162"/>
      <c r="B85" s="162"/>
      <c r="C85" s="163" t="s">
        <v>152</v>
      </c>
      <c r="D85" s="162"/>
      <c r="E85" s="162" t="s">
        <v>153</v>
      </c>
      <c r="F85" s="173" t="s">
        <v>155</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165</v>
      </c>
      <c r="D87" s="162"/>
      <c r="E87" s="162"/>
      <c r="F87" s="169">
        <v>0</v>
      </c>
      <c r="G87" s="170">
        <v>0</v>
      </c>
      <c r="H87" s="170"/>
      <c r="J87" s="75"/>
    </row>
    <row r="88" spans="1:10" ht="14.1" customHeight="1" x14ac:dyDescent="0.2">
      <c r="A88" s="162"/>
      <c r="B88" s="162"/>
      <c r="C88" s="171"/>
      <c r="D88" s="162"/>
      <c r="E88" s="162"/>
      <c r="F88" s="172"/>
      <c r="G88" s="172"/>
      <c r="H88" s="172"/>
      <c r="J88" s="75"/>
    </row>
    <row r="89" spans="1:10" ht="14.1" customHeight="1" x14ac:dyDescent="0.2">
      <c r="A89" s="162"/>
      <c r="B89" s="162"/>
      <c r="C89" s="163" t="s">
        <v>166</v>
      </c>
      <c r="D89" s="162"/>
      <c r="E89" s="162"/>
      <c r="F89" s="172"/>
      <c r="G89" s="172"/>
      <c r="H89" s="172"/>
      <c r="J89" s="75"/>
    </row>
    <row r="90" spans="1:10" ht="14.1" customHeight="1" x14ac:dyDescent="0.2">
      <c r="A90" s="162"/>
      <c r="B90" s="162"/>
      <c r="C90" s="163" t="s">
        <v>167</v>
      </c>
      <c r="D90" s="162"/>
      <c r="E90" s="162"/>
      <c r="F90" s="172"/>
      <c r="G90" s="172"/>
      <c r="H90" s="17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168</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169</v>
      </c>
      <c r="D96" s="162"/>
      <c r="E96" s="162"/>
      <c r="F96" s="172"/>
      <c r="G96" s="172"/>
      <c r="H96" s="172"/>
      <c r="J96" s="75"/>
    </row>
    <row r="97" spans="1:10" ht="14.1" customHeight="1" x14ac:dyDescent="0.2">
      <c r="A97" s="162"/>
      <c r="B97" s="162"/>
      <c r="C97" s="163" t="s">
        <v>152</v>
      </c>
      <c r="D97" s="162"/>
      <c r="E97" s="162" t="s">
        <v>153</v>
      </c>
      <c r="F97" s="173" t="s">
        <v>155</v>
      </c>
      <c r="G97" s="170">
        <v>0</v>
      </c>
      <c r="H97" s="170"/>
      <c r="J97" s="75"/>
    </row>
    <row r="98" spans="1:10" ht="14.1" customHeight="1" x14ac:dyDescent="0.2">
      <c r="A98" s="162"/>
      <c r="B98" s="162"/>
      <c r="C98" s="171"/>
      <c r="D98" s="162"/>
      <c r="E98" s="162"/>
      <c r="F98" s="172"/>
      <c r="G98" s="172"/>
      <c r="H98" s="172"/>
      <c r="J98" s="75"/>
    </row>
    <row r="99" spans="1:10" ht="14.1" customHeight="1" x14ac:dyDescent="0.2">
      <c r="A99" s="162"/>
      <c r="B99" s="162"/>
      <c r="C99" s="163" t="s">
        <v>170</v>
      </c>
      <c r="D99" s="162"/>
      <c r="E99" s="162"/>
      <c r="F99" s="172"/>
      <c r="G99" s="172"/>
      <c r="H99" s="172"/>
      <c r="J99" s="75"/>
    </row>
    <row r="100" spans="1:10" ht="17.100000000000001" customHeight="1" x14ac:dyDescent="0.2">
      <c r="A100" s="164">
        <v>1</v>
      </c>
      <c r="B100" s="165"/>
      <c r="C100" s="165" t="s">
        <v>171</v>
      </c>
      <c r="D100" s="165"/>
      <c r="E100" s="174"/>
      <c r="F100" s="167">
        <v>278.45631460099997</v>
      </c>
      <c r="G100" s="168">
        <v>7.7289399999999994E-2</v>
      </c>
      <c r="H100" s="175">
        <v>6.66</v>
      </c>
      <c r="J100" s="75"/>
    </row>
    <row r="101" spans="1:10" ht="14.1" customHeight="1" x14ac:dyDescent="0.2">
      <c r="A101" s="162"/>
      <c r="B101" s="162"/>
      <c r="C101" s="163" t="s">
        <v>152</v>
      </c>
      <c r="D101" s="162"/>
      <c r="E101" s="162" t="s">
        <v>153</v>
      </c>
      <c r="F101" s="169">
        <v>278.45631460099997</v>
      </c>
      <c r="G101" s="170">
        <v>7.7289399999999994E-2</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172</v>
      </c>
      <c r="D103" s="162"/>
      <c r="E103" s="162"/>
      <c r="F103" s="169">
        <v>278.45631460099997</v>
      </c>
      <c r="G103" s="170">
        <v>7.7289399999999994E-2</v>
      </c>
      <c r="H103" s="170"/>
      <c r="J103" s="75"/>
    </row>
    <row r="104" spans="1:10" ht="14.1" customHeight="1" x14ac:dyDescent="0.2">
      <c r="A104" s="162"/>
      <c r="B104" s="162"/>
      <c r="C104" s="172"/>
      <c r="D104" s="162"/>
      <c r="E104" s="162"/>
      <c r="F104" s="162"/>
      <c r="G104" s="162"/>
      <c r="H104" s="162"/>
      <c r="J104" s="75"/>
    </row>
    <row r="105" spans="1:10" ht="14.1" customHeight="1" x14ac:dyDescent="0.2">
      <c r="A105" s="162"/>
      <c r="B105" s="162"/>
      <c r="C105" s="163" t="s">
        <v>173</v>
      </c>
      <c r="D105" s="162"/>
      <c r="E105" s="162"/>
      <c r="F105" s="162"/>
      <c r="G105" s="162"/>
      <c r="H105" s="162"/>
      <c r="J105" s="75"/>
    </row>
    <row r="106" spans="1:10" ht="14.1" customHeight="1" x14ac:dyDescent="0.2">
      <c r="A106" s="162"/>
      <c r="B106" s="162"/>
      <c r="C106" s="163" t="s">
        <v>174</v>
      </c>
      <c r="D106" s="162"/>
      <c r="E106" s="162"/>
      <c r="F106" s="162"/>
      <c r="G106" s="162"/>
      <c r="H106" s="16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177</v>
      </c>
      <c r="D109" s="162"/>
      <c r="E109" s="162"/>
      <c r="F109" s="162"/>
      <c r="G109" s="162"/>
      <c r="H109" s="162"/>
      <c r="J109" s="75"/>
    </row>
    <row r="110" spans="1:10" ht="14.1" customHeight="1" x14ac:dyDescent="0.2">
      <c r="A110" s="162"/>
      <c r="B110" s="162"/>
      <c r="C110" s="163" t="s">
        <v>178</v>
      </c>
      <c r="D110" s="162"/>
      <c r="E110" s="162"/>
      <c r="F110" s="162"/>
      <c r="G110" s="162"/>
      <c r="H110" s="16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2"/>
      <c r="C112" s="171"/>
      <c r="D112" s="162"/>
      <c r="E112" s="162"/>
      <c r="F112" s="172"/>
      <c r="G112" s="172"/>
      <c r="H112" s="172"/>
      <c r="J112" s="75"/>
    </row>
    <row r="113" spans="1:17" x14ac:dyDescent="0.2">
      <c r="A113" s="162"/>
      <c r="B113" s="162"/>
      <c r="C113" s="163" t="s">
        <v>179</v>
      </c>
      <c r="D113" s="162"/>
      <c r="E113" s="162"/>
      <c r="F113" s="172"/>
      <c r="G113" s="172"/>
      <c r="H113" s="172"/>
      <c r="J113" s="75"/>
    </row>
    <row r="114" spans="1:17" ht="14.1" customHeight="1" x14ac:dyDescent="0.2">
      <c r="A114" s="162"/>
      <c r="B114" s="162"/>
      <c r="C114" s="163" t="s">
        <v>152</v>
      </c>
      <c r="D114" s="162"/>
      <c r="E114" s="162" t="s">
        <v>153</v>
      </c>
      <c r="F114" s="173" t="s">
        <v>155</v>
      </c>
      <c r="G114" s="170">
        <v>0</v>
      </c>
      <c r="H114" s="170"/>
      <c r="J114" s="75"/>
    </row>
    <row r="115" spans="1:17" ht="14.1" customHeight="1" x14ac:dyDescent="0.2">
      <c r="A115" s="162"/>
      <c r="B115" s="165"/>
      <c r="C115" s="165"/>
      <c r="D115" s="163"/>
      <c r="E115" s="162"/>
      <c r="F115" s="165"/>
      <c r="G115" s="174"/>
      <c r="H115" s="174"/>
      <c r="J115" s="75"/>
    </row>
    <row r="116" spans="1:17" ht="18" customHeight="1" x14ac:dyDescent="0.2">
      <c r="A116" s="174"/>
      <c r="B116" s="165"/>
      <c r="C116" s="165" t="s">
        <v>180</v>
      </c>
      <c r="D116" s="165"/>
      <c r="E116" s="174"/>
      <c r="F116" s="167">
        <v>6.5983818599999999</v>
      </c>
      <c r="G116" s="168">
        <v>1.83147E-3</v>
      </c>
      <c r="H116" s="168"/>
      <c r="J116" s="75"/>
    </row>
    <row r="117" spans="1:17" ht="14.1" customHeight="1" x14ac:dyDescent="0.2">
      <c r="A117" s="171"/>
      <c r="B117" s="171"/>
      <c r="C117" s="163" t="s">
        <v>181</v>
      </c>
      <c r="D117" s="172"/>
      <c r="E117" s="172"/>
      <c r="F117" s="169">
        <v>3602.7751019829998</v>
      </c>
      <c r="G117" s="177">
        <v>1.00000003</v>
      </c>
      <c r="H117" s="177"/>
      <c r="J117" s="75"/>
    </row>
    <row r="118" spans="1:17" ht="14.1" customHeight="1" x14ac:dyDescent="0.2">
      <c r="A118" s="178"/>
      <c r="B118" s="178"/>
      <c r="C118" s="178"/>
      <c r="D118" s="179"/>
      <c r="E118" s="179"/>
      <c r="F118" s="179"/>
      <c r="G118" s="179"/>
      <c r="H118" s="179"/>
      <c r="J118" s="75"/>
    </row>
    <row r="119" spans="1:17" ht="12.75" customHeight="1" x14ac:dyDescent="0.2">
      <c r="A119" s="180"/>
      <c r="B119" s="258" t="s">
        <v>882</v>
      </c>
      <c r="C119" s="258"/>
      <c r="D119" s="258"/>
      <c r="E119" s="258"/>
      <c r="F119" s="258"/>
      <c r="G119" s="258"/>
      <c r="H119" s="258"/>
      <c r="J119" s="75"/>
    </row>
    <row r="120" spans="1:17" ht="14.1" customHeight="1" x14ac:dyDescent="0.2">
      <c r="A120" s="180"/>
      <c r="B120" s="258" t="s">
        <v>883</v>
      </c>
      <c r="C120" s="258"/>
      <c r="D120" s="258"/>
      <c r="E120" s="258"/>
      <c r="F120" s="258"/>
      <c r="G120" s="258"/>
      <c r="H120" s="258"/>
      <c r="J120" s="75"/>
    </row>
    <row r="121" spans="1:17" ht="17.100000000000001" customHeight="1" x14ac:dyDescent="0.2">
      <c r="A121" s="180"/>
      <c r="B121" s="258" t="s">
        <v>884</v>
      </c>
      <c r="C121" s="258"/>
      <c r="D121" s="258"/>
      <c r="E121" s="258"/>
      <c r="F121" s="258"/>
      <c r="G121" s="258"/>
      <c r="H121" s="258"/>
      <c r="J121" s="75"/>
    </row>
    <row r="122" spans="1:17" s="34" customFormat="1" ht="62.25" customHeight="1" x14ac:dyDescent="0.25">
      <c r="A122" s="33"/>
      <c r="B122" s="259" t="s">
        <v>885</v>
      </c>
      <c r="C122" s="259"/>
      <c r="D122" s="259"/>
      <c r="E122" s="259"/>
      <c r="F122" s="259"/>
      <c r="G122" s="259"/>
      <c r="H122" s="259"/>
      <c r="I122"/>
      <c r="J122" s="75"/>
      <c r="K122"/>
      <c r="L122"/>
      <c r="M122"/>
      <c r="N122"/>
      <c r="O122"/>
      <c r="P122"/>
      <c r="Q122"/>
    </row>
    <row r="123" spans="1:17" ht="12.75" customHeight="1" x14ac:dyDescent="0.2">
      <c r="A123" s="180"/>
      <c r="B123" s="258" t="s">
        <v>886</v>
      </c>
      <c r="C123" s="258"/>
      <c r="D123" s="258"/>
      <c r="E123" s="258"/>
      <c r="F123" s="258"/>
      <c r="G123" s="258"/>
      <c r="H123" s="258"/>
      <c r="J123" s="75"/>
    </row>
    <row r="124" spans="1:17" ht="14.1" customHeight="1" x14ac:dyDescent="0.2">
      <c r="A124" s="181"/>
      <c r="B124" s="181"/>
      <c r="C124" s="181"/>
      <c r="D124" s="182"/>
      <c r="E124" s="182"/>
      <c r="F124" s="182"/>
      <c r="G124" s="182"/>
      <c r="H124" s="182"/>
      <c r="J124" s="75"/>
    </row>
    <row r="125" spans="1:17" ht="14.1" customHeight="1" x14ac:dyDescent="0.2">
      <c r="A125" s="181"/>
      <c r="B125" s="255" t="s">
        <v>183</v>
      </c>
      <c r="C125" s="256"/>
      <c r="D125" s="257"/>
      <c r="E125" s="183"/>
      <c r="F125" s="182"/>
      <c r="G125" s="182"/>
      <c r="H125" s="182"/>
      <c r="J125" s="75"/>
    </row>
    <row r="126" spans="1:17" ht="29.1" customHeight="1" x14ac:dyDescent="0.2">
      <c r="A126" s="181"/>
      <c r="B126" s="253" t="s">
        <v>184</v>
      </c>
      <c r="C126" s="254"/>
      <c r="D126" s="163" t="s">
        <v>185</v>
      </c>
      <c r="E126" s="183"/>
      <c r="F126" s="182"/>
      <c r="G126" s="182"/>
      <c r="H126" s="182"/>
      <c r="J126" s="75"/>
    </row>
    <row r="127" spans="1:17" ht="17.100000000000001" customHeight="1" x14ac:dyDescent="0.2">
      <c r="A127" s="181"/>
      <c r="B127" s="251" t="s">
        <v>898</v>
      </c>
      <c r="C127" s="252"/>
      <c r="D127" s="54" t="s">
        <v>896</v>
      </c>
      <c r="E127" s="183"/>
      <c r="F127" s="182"/>
      <c r="G127" s="182"/>
      <c r="H127" s="182"/>
      <c r="J127" s="75"/>
    </row>
    <row r="128" spans="1:17" ht="17.100000000000001" customHeight="1" x14ac:dyDescent="0.2">
      <c r="A128" s="181"/>
      <c r="B128" s="253" t="s">
        <v>187</v>
      </c>
      <c r="C128" s="254"/>
      <c r="D128" s="172" t="s">
        <v>153</v>
      </c>
      <c r="E128" s="183"/>
      <c r="F128" s="182"/>
      <c r="G128" s="182"/>
      <c r="H128" s="182"/>
      <c r="J128" s="75"/>
    </row>
    <row r="129" spans="1:10" x14ac:dyDescent="0.2">
      <c r="A129" s="185"/>
      <c r="B129" s="186" t="s">
        <v>153</v>
      </c>
      <c r="C129" s="186" t="s">
        <v>1088</v>
      </c>
      <c r="D129" s="186" t="s">
        <v>188</v>
      </c>
      <c r="E129" s="185"/>
      <c r="F129" s="185"/>
      <c r="G129" s="185"/>
      <c r="H129" s="185"/>
      <c r="J129" s="75"/>
    </row>
    <row r="130" spans="1:10" x14ac:dyDescent="0.2">
      <c r="A130" s="185"/>
      <c r="B130" s="187" t="s">
        <v>189</v>
      </c>
      <c r="C130" s="186" t="s">
        <v>190</v>
      </c>
      <c r="D130" s="186" t="s">
        <v>191</v>
      </c>
      <c r="E130" s="185"/>
      <c r="F130" s="185"/>
      <c r="G130" s="185"/>
      <c r="H130" s="185"/>
      <c r="J130" s="75"/>
    </row>
    <row r="131" spans="1:10" ht="17.100000000000001" customHeight="1" x14ac:dyDescent="0.2">
      <c r="A131" s="185"/>
      <c r="B131" s="165" t="s">
        <v>192</v>
      </c>
      <c r="C131" s="188">
        <v>24.247399999999999</v>
      </c>
      <c r="D131" s="188">
        <v>26.180700000000002</v>
      </c>
      <c r="E131" s="185"/>
      <c r="F131" s="189"/>
      <c r="G131" s="190"/>
      <c r="H131" s="190"/>
      <c r="J131" s="75"/>
    </row>
    <row r="132" spans="1:10" ht="17.100000000000001" customHeight="1" x14ac:dyDescent="0.2">
      <c r="A132" s="185"/>
      <c r="B132" s="165" t="s">
        <v>1054</v>
      </c>
      <c r="C132" s="188">
        <v>23.083500000000001</v>
      </c>
      <c r="D132" s="188">
        <v>24.923999999999999</v>
      </c>
      <c r="E132" s="185"/>
      <c r="F132" s="189"/>
      <c r="G132" s="190"/>
      <c r="H132" s="190"/>
      <c r="J132" s="75"/>
    </row>
    <row r="133" spans="1:10" ht="17.100000000000001" customHeight="1" x14ac:dyDescent="0.2">
      <c r="A133" s="185"/>
      <c r="B133" s="165" t="s">
        <v>193</v>
      </c>
      <c r="C133" s="188">
        <v>23.558299999999999</v>
      </c>
      <c r="D133" s="188">
        <v>25.433499999999999</v>
      </c>
      <c r="E133" s="185"/>
      <c r="F133" s="189"/>
      <c r="G133" s="190"/>
      <c r="H133" s="190"/>
      <c r="J133" s="75"/>
    </row>
    <row r="134" spans="1:10" ht="17.100000000000001" customHeight="1" x14ac:dyDescent="0.2">
      <c r="A134" s="185"/>
      <c r="B134" s="165" t="s">
        <v>1055</v>
      </c>
      <c r="C134" s="188">
        <v>22.395299999999999</v>
      </c>
      <c r="D134" s="188">
        <v>24.178000000000001</v>
      </c>
      <c r="E134" s="185"/>
      <c r="F134" s="189"/>
      <c r="G134" s="190"/>
      <c r="H134" s="190"/>
      <c r="J134" s="75"/>
    </row>
    <row r="135" spans="1:10" ht="14.1" customHeight="1" x14ac:dyDescent="0.2">
      <c r="A135" s="185"/>
      <c r="B135" s="185"/>
      <c r="C135" s="185"/>
      <c r="D135" s="185"/>
      <c r="E135" s="185"/>
      <c r="F135" s="185"/>
      <c r="G135" s="185"/>
      <c r="H135" s="185"/>
      <c r="J135" s="75"/>
    </row>
    <row r="136" spans="1:10" ht="17.100000000000001" customHeight="1" x14ac:dyDescent="0.2">
      <c r="A136" s="185"/>
      <c r="B136" s="253" t="s">
        <v>1056</v>
      </c>
      <c r="C136" s="254"/>
      <c r="D136" s="163" t="s">
        <v>185</v>
      </c>
      <c r="E136" s="185"/>
      <c r="F136" s="185"/>
      <c r="G136" s="185"/>
      <c r="H136" s="185"/>
      <c r="J136" s="75"/>
    </row>
    <row r="137" spans="1:10" ht="14.1" customHeight="1" x14ac:dyDescent="0.2">
      <c r="A137" s="185"/>
      <c r="B137" s="189"/>
      <c r="C137" s="189"/>
      <c r="D137" s="185"/>
      <c r="E137" s="185"/>
      <c r="F137" s="185"/>
      <c r="G137" s="185"/>
      <c r="H137" s="185"/>
      <c r="J137" s="75"/>
    </row>
    <row r="138" spans="1:10" ht="29.1" customHeight="1" x14ac:dyDescent="0.2">
      <c r="A138" s="185"/>
      <c r="B138" s="253" t="s">
        <v>194</v>
      </c>
      <c r="C138" s="254"/>
      <c r="D138" s="163" t="s">
        <v>185</v>
      </c>
      <c r="E138" s="191"/>
      <c r="F138" s="185"/>
      <c r="G138" s="185"/>
      <c r="H138" s="185"/>
      <c r="J138" s="75"/>
    </row>
    <row r="139" spans="1:10" ht="29.1" customHeight="1" x14ac:dyDescent="0.2">
      <c r="A139" s="185"/>
      <c r="B139" s="253" t="s">
        <v>195</v>
      </c>
      <c r="C139" s="254"/>
      <c r="D139" s="163" t="s">
        <v>185</v>
      </c>
      <c r="E139" s="191"/>
      <c r="F139" s="185"/>
      <c r="G139" s="185"/>
      <c r="H139" s="185"/>
      <c r="J139" s="75"/>
    </row>
    <row r="140" spans="1:10" ht="17.100000000000001" customHeight="1" x14ac:dyDescent="0.2">
      <c r="A140" s="185"/>
      <c r="B140" s="253" t="s">
        <v>196</v>
      </c>
      <c r="C140" s="254"/>
      <c r="D140" s="163" t="s">
        <v>185</v>
      </c>
      <c r="E140" s="191"/>
      <c r="F140" s="185"/>
      <c r="G140" s="185"/>
      <c r="H140" s="185"/>
      <c r="J140" s="75"/>
    </row>
    <row r="141" spans="1:10" ht="17.100000000000001" customHeight="1" x14ac:dyDescent="0.2">
      <c r="A141" s="185"/>
      <c r="B141" s="253" t="s">
        <v>197</v>
      </c>
      <c r="C141" s="254"/>
      <c r="D141" s="192">
        <v>6.8181000000000005E-2</v>
      </c>
      <c r="E141" s="185"/>
      <c r="F141" s="189"/>
      <c r="G141" s="190"/>
      <c r="H141" s="190"/>
      <c r="J141" s="75"/>
    </row>
    <row r="160" spans="11:14" x14ac:dyDescent="0.2">
      <c r="K160" s="39"/>
      <c r="L160" s="39"/>
      <c r="M160" s="39"/>
      <c r="N160" s="39"/>
    </row>
  </sheetData>
  <mergeCells count="17">
    <mergeCell ref="B141:C141"/>
    <mergeCell ref="B136:C136"/>
    <mergeCell ref="B138:C138"/>
    <mergeCell ref="B139:C139"/>
    <mergeCell ref="B140:C140"/>
    <mergeCell ref="A1:H1"/>
    <mergeCell ref="A2:H2"/>
    <mergeCell ref="A3:H3"/>
    <mergeCell ref="B127:C127"/>
    <mergeCell ref="B128:C128"/>
    <mergeCell ref="B125:D125"/>
    <mergeCell ref="B126:C126"/>
    <mergeCell ref="B123:H123"/>
    <mergeCell ref="B119:H119"/>
    <mergeCell ref="B120:H120"/>
    <mergeCell ref="B121:H121"/>
    <mergeCell ref="B122:H122"/>
  </mergeCells>
  <hyperlinks>
    <hyperlink ref="I1" location="Index!B6" display="Index" xr:uid="{E8140CE1-5632-485E-929C-BECEC080E38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141"/>
  <sheetViews>
    <sheetView showGridLines="0" workbookViewId="0">
      <selection activeCell="G63" sqref="G63"/>
    </sheetView>
  </sheetViews>
  <sheetFormatPr defaultRowHeight="12.75" x14ac:dyDescent="0.2"/>
  <cols>
    <col min="1" max="1" width="5.85546875" bestFit="1" customWidth="1"/>
    <col min="2" max="2" width="18.425781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530</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93</v>
      </c>
      <c r="C7" s="165" t="s">
        <v>94</v>
      </c>
      <c r="D7" s="165" t="s">
        <v>36</v>
      </c>
      <c r="E7" s="166">
        <v>3247</v>
      </c>
      <c r="F7" s="167">
        <v>129.737132</v>
      </c>
      <c r="G7" s="168">
        <v>5.3204220000000003E-2</v>
      </c>
      <c r="H7" s="168"/>
      <c r="J7" s="75"/>
    </row>
    <row r="8" spans="1:17" ht="17.100000000000001" customHeight="1" x14ac:dyDescent="0.2">
      <c r="A8" s="164">
        <v>2</v>
      </c>
      <c r="B8" s="165" t="s">
        <v>34</v>
      </c>
      <c r="C8" s="165" t="s">
        <v>35</v>
      </c>
      <c r="D8" s="165" t="s">
        <v>36</v>
      </c>
      <c r="E8" s="166">
        <v>2712</v>
      </c>
      <c r="F8" s="167">
        <v>122.36544000000001</v>
      </c>
      <c r="G8" s="168">
        <v>5.0181139999999999E-2</v>
      </c>
      <c r="H8" s="168"/>
      <c r="J8" s="75"/>
    </row>
    <row r="9" spans="1:17" ht="17.100000000000001" customHeight="1" x14ac:dyDescent="0.2">
      <c r="A9" s="164">
        <v>3</v>
      </c>
      <c r="B9" s="165" t="s">
        <v>460</v>
      </c>
      <c r="C9" s="165" t="s">
        <v>461</v>
      </c>
      <c r="D9" s="165" t="s">
        <v>75</v>
      </c>
      <c r="E9" s="166">
        <v>5638</v>
      </c>
      <c r="F9" s="167">
        <v>119.16194900000001</v>
      </c>
      <c r="G9" s="168">
        <v>4.886741E-2</v>
      </c>
      <c r="H9" s="168"/>
      <c r="J9" s="75"/>
    </row>
    <row r="10" spans="1:17" ht="17.100000000000001" customHeight="1" x14ac:dyDescent="0.2">
      <c r="A10" s="164">
        <v>4</v>
      </c>
      <c r="B10" s="165" t="s">
        <v>350</v>
      </c>
      <c r="C10" s="165" t="s">
        <v>351</v>
      </c>
      <c r="D10" s="165" t="s">
        <v>262</v>
      </c>
      <c r="E10" s="166">
        <v>2806</v>
      </c>
      <c r="F10" s="167">
        <v>115.29854</v>
      </c>
      <c r="G10" s="168">
        <v>4.7283060000000002E-2</v>
      </c>
      <c r="H10" s="168"/>
      <c r="J10" s="75"/>
    </row>
    <row r="11" spans="1:17" ht="17.100000000000001" customHeight="1" x14ac:dyDescent="0.2">
      <c r="A11" s="164">
        <v>5</v>
      </c>
      <c r="B11" s="165" t="s">
        <v>462</v>
      </c>
      <c r="C11" s="165" t="s">
        <v>463</v>
      </c>
      <c r="D11" s="165" t="s">
        <v>39</v>
      </c>
      <c r="E11" s="166">
        <v>101192</v>
      </c>
      <c r="F11" s="167">
        <v>98.206835999999996</v>
      </c>
      <c r="G11" s="168">
        <v>4.0273879999999998E-2</v>
      </c>
      <c r="H11" s="168"/>
      <c r="J11" s="75"/>
    </row>
    <row r="12" spans="1:17" ht="17.100000000000001" customHeight="1" x14ac:dyDescent="0.2">
      <c r="A12" s="164">
        <v>6</v>
      </c>
      <c r="B12" s="165" t="s">
        <v>466</v>
      </c>
      <c r="C12" s="165" t="s">
        <v>467</v>
      </c>
      <c r="D12" s="165" t="s">
        <v>36</v>
      </c>
      <c r="E12" s="166">
        <v>5262</v>
      </c>
      <c r="F12" s="167">
        <v>78.243308999999996</v>
      </c>
      <c r="G12" s="168">
        <v>3.2086990000000003E-2</v>
      </c>
      <c r="H12" s="168"/>
      <c r="J12" s="71"/>
    </row>
    <row r="13" spans="1:17" ht="17.100000000000001" customHeight="1" x14ac:dyDescent="0.2">
      <c r="A13" s="164">
        <v>7</v>
      </c>
      <c r="B13" s="165" t="s">
        <v>468</v>
      </c>
      <c r="C13" s="165" t="s">
        <v>469</v>
      </c>
      <c r="D13" s="165" t="s">
        <v>53</v>
      </c>
      <c r="E13" s="166">
        <v>13203</v>
      </c>
      <c r="F13" s="167">
        <v>75.8446335</v>
      </c>
      <c r="G13" s="168">
        <v>3.1103309999999999E-2</v>
      </c>
      <c r="H13" s="168"/>
      <c r="J13" s="75"/>
    </row>
    <row r="14" spans="1:17" ht="17.100000000000001" customHeight="1" x14ac:dyDescent="0.2">
      <c r="A14" s="164">
        <v>8</v>
      </c>
      <c r="B14" s="165" t="s">
        <v>147</v>
      </c>
      <c r="C14" s="165" t="s">
        <v>148</v>
      </c>
      <c r="D14" s="165" t="s">
        <v>75</v>
      </c>
      <c r="E14" s="166">
        <v>23786</v>
      </c>
      <c r="F14" s="167">
        <v>75.116187999999994</v>
      </c>
      <c r="G14" s="168">
        <v>3.0804580000000002E-2</v>
      </c>
      <c r="H14" s="168"/>
      <c r="J14" s="75" t="s">
        <v>897</v>
      </c>
    </row>
    <row r="15" spans="1:17" ht="17.100000000000001" customHeight="1" x14ac:dyDescent="0.2">
      <c r="A15" s="164">
        <v>9</v>
      </c>
      <c r="B15" s="165" t="s">
        <v>464</v>
      </c>
      <c r="C15" s="165" t="s">
        <v>465</v>
      </c>
      <c r="D15" s="165" t="s">
        <v>13</v>
      </c>
      <c r="E15" s="166">
        <v>40346</v>
      </c>
      <c r="F15" s="167">
        <v>70.524807999999993</v>
      </c>
      <c r="G15" s="168">
        <v>2.892169E-2</v>
      </c>
      <c r="H15" s="168"/>
      <c r="J15" s="75"/>
    </row>
    <row r="16" spans="1:17" ht="29.1" customHeight="1" x14ac:dyDescent="0.2">
      <c r="A16" s="164">
        <v>10</v>
      </c>
      <c r="B16" s="165" t="s">
        <v>472</v>
      </c>
      <c r="C16" s="165" t="s">
        <v>473</v>
      </c>
      <c r="D16" s="165" t="s">
        <v>216</v>
      </c>
      <c r="E16" s="166">
        <v>3630</v>
      </c>
      <c r="F16" s="167">
        <v>69.160574999999994</v>
      </c>
      <c r="G16" s="168">
        <v>2.8362229999999999E-2</v>
      </c>
      <c r="H16" s="168"/>
      <c r="J16" s="75"/>
    </row>
    <row r="17" spans="1:10" ht="17.100000000000001" customHeight="1" x14ac:dyDescent="0.2">
      <c r="A17" s="164">
        <v>11</v>
      </c>
      <c r="B17" s="165" t="s">
        <v>470</v>
      </c>
      <c r="C17" s="165" t="s">
        <v>471</v>
      </c>
      <c r="D17" s="165" t="s">
        <v>262</v>
      </c>
      <c r="E17" s="166">
        <v>2367</v>
      </c>
      <c r="F17" s="167">
        <v>65.958821999999998</v>
      </c>
      <c r="G17" s="168">
        <v>2.7049210000000001E-2</v>
      </c>
      <c r="H17" s="168"/>
      <c r="J17" s="75"/>
    </row>
    <row r="18" spans="1:10" ht="17.100000000000001" customHeight="1" x14ac:dyDescent="0.2">
      <c r="A18" s="164">
        <v>12</v>
      </c>
      <c r="B18" s="165" t="s">
        <v>474</v>
      </c>
      <c r="C18" s="165" t="s">
        <v>475</v>
      </c>
      <c r="D18" s="165" t="s">
        <v>276</v>
      </c>
      <c r="E18" s="166">
        <v>19328</v>
      </c>
      <c r="F18" s="167">
        <v>64.265600000000006</v>
      </c>
      <c r="G18" s="168">
        <v>2.6354840000000001E-2</v>
      </c>
      <c r="H18" s="168"/>
      <c r="J18" s="75"/>
    </row>
    <row r="19" spans="1:10" ht="17.100000000000001" customHeight="1" x14ac:dyDescent="0.2">
      <c r="A19" s="164">
        <v>13</v>
      </c>
      <c r="B19" s="165" t="s">
        <v>78</v>
      </c>
      <c r="C19" s="165" t="s">
        <v>79</v>
      </c>
      <c r="D19" s="165" t="s">
        <v>80</v>
      </c>
      <c r="E19" s="166">
        <v>5911</v>
      </c>
      <c r="F19" s="167">
        <v>61.054718999999999</v>
      </c>
      <c r="G19" s="168">
        <v>2.5038080000000001E-2</v>
      </c>
      <c r="H19" s="168"/>
      <c r="J19" s="75"/>
    </row>
    <row r="20" spans="1:10" ht="17.100000000000001" customHeight="1" x14ac:dyDescent="0.2">
      <c r="A20" s="164">
        <v>14</v>
      </c>
      <c r="B20" s="165" t="s">
        <v>238</v>
      </c>
      <c r="C20" s="165" t="s">
        <v>239</v>
      </c>
      <c r="D20" s="165" t="s">
        <v>104</v>
      </c>
      <c r="E20" s="166">
        <v>700</v>
      </c>
      <c r="F20" s="167">
        <v>60.823</v>
      </c>
      <c r="G20" s="168">
        <v>2.4943050000000001E-2</v>
      </c>
      <c r="H20" s="168"/>
      <c r="J20" s="75"/>
    </row>
    <row r="21" spans="1:10" ht="17.100000000000001" customHeight="1" x14ac:dyDescent="0.2">
      <c r="A21" s="164">
        <v>15</v>
      </c>
      <c r="B21" s="165" t="s">
        <v>476</v>
      </c>
      <c r="C21" s="165" t="s">
        <v>477</v>
      </c>
      <c r="D21" s="165" t="s">
        <v>213</v>
      </c>
      <c r="E21" s="166">
        <v>15930</v>
      </c>
      <c r="F21" s="167">
        <v>58.311765000000001</v>
      </c>
      <c r="G21" s="168">
        <v>2.3913210000000001E-2</v>
      </c>
      <c r="H21" s="168"/>
      <c r="J21" s="75"/>
    </row>
    <row r="22" spans="1:10" ht="17.100000000000001" customHeight="1" x14ac:dyDescent="0.2">
      <c r="A22" s="164">
        <v>16</v>
      </c>
      <c r="B22" s="165" t="s">
        <v>482</v>
      </c>
      <c r="C22" s="165" t="s">
        <v>483</v>
      </c>
      <c r="D22" s="165" t="s">
        <v>242</v>
      </c>
      <c r="E22" s="166">
        <v>3795</v>
      </c>
      <c r="F22" s="167">
        <v>53.995260000000002</v>
      </c>
      <c r="G22" s="168">
        <v>2.2143050000000001E-2</v>
      </c>
      <c r="H22" s="168"/>
      <c r="J22" s="71"/>
    </row>
    <row r="23" spans="1:10" ht="17.100000000000001" customHeight="1" x14ac:dyDescent="0.2">
      <c r="A23" s="164">
        <v>17</v>
      </c>
      <c r="B23" s="165" t="s">
        <v>480</v>
      </c>
      <c r="C23" s="165" t="s">
        <v>481</v>
      </c>
      <c r="D23" s="165" t="s">
        <v>417</v>
      </c>
      <c r="E23" s="166">
        <v>3916</v>
      </c>
      <c r="F23" s="167">
        <v>53.302633999999998</v>
      </c>
      <c r="G23" s="168">
        <v>2.1859010000000002E-2</v>
      </c>
      <c r="H23" s="168"/>
      <c r="J23" s="75"/>
    </row>
    <row r="24" spans="1:10" ht="17.100000000000001" customHeight="1" x14ac:dyDescent="0.2">
      <c r="A24" s="164">
        <v>18</v>
      </c>
      <c r="B24" s="165" t="s">
        <v>478</v>
      </c>
      <c r="C24" s="165" t="s">
        <v>479</v>
      </c>
      <c r="D24" s="165" t="s">
        <v>53</v>
      </c>
      <c r="E24" s="166">
        <v>6934</v>
      </c>
      <c r="F24" s="167">
        <v>52.882151</v>
      </c>
      <c r="G24" s="168">
        <v>2.1686569999999999E-2</v>
      </c>
      <c r="H24" s="168"/>
      <c r="J24" s="75"/>
    </row>
    <row r="25" spans="1:10" ht="17.100000000000001" customHeight="1" x14ac:dyDescent="0.2">
      <c r="A25" s="164">
        <v>19</v>
      </c>
      <c r="B25" s="165" t="s">
        <v>486</v>
      </c>
      <c r="C25" s="165" t="s">
        <v>487</v>
      </c>
      <c r="D25" s="165" t="s">
        <v>53</v>
      </c>
      <c r="E25" s="166">
        <v>3328</v>
      </c>
      <c r="F25" s="167">
        <v>50.201216000000002</v>
      </c>
      <c r="G25" s="168">
        <v>2.058714E-2</v>
      </c>
      <c r="H25" s="168"/>
      <c r="J25" s="75"/>
    </row>
    <row r="26" spans="1:10" ht="29.1" customHeight="1" x14ac:dyDescent="0.2">
      <c r="A26" s="164">
        <v>20</v>
      </c>
      <c r="B26" s="165" t="s">
        <v>123</v>
      </c>
      <c r="C26" s="165" t="s">
        <v>124</v>
      </c>
      <c r="D26" s="165" t="s">
        <v>25</v>
      </c>
      <c r="E26" s="166">
        <v>1193</v>
      </c>
      <c r="F26" s="167">
        <v>47.714035000000003</v>
      </c>
      <c r="G26" s="168">
        <v>1.956716E-2</v>
      </c>
      <c r="H26" s="168"/>
      <c r="J26" s="75"/>
    </row>
    <row r="27" spans="1:10" ht="17.100000000000001" customHeight="1" x14ac:dyDescent="0.2">
      <c r="A27" s="164">
        <v>21</v>
      </c>
      <c r="B27" s="165" t="s">
        <v>484</v>
      </c>
      <c r="C27" s="165" t="s">
        <v>485</v>
      </c>
      <c r="D27" s="165" t="s">
        <v>53</v>
      </c>
      <c r="E27" s="166">
        <v>38221</v>
      </c>
      <c r="F27" s="167">
        <v>46.514957000000003</v>
      </c>
      <c r="G27" s="168">
        <v>1.9075430000000001E-2</v>
      </c>
      <c r="H27" s="168"/>
      <c r="J27" s="75"/>
    </row>
    <row r="28" spans="1:10" ht="17.100000000000001" customHeight="1" x14ac:dyDescent="0.2">
      <c r="A28" s="164">
        <v>22</v>
      </c>
      <c r="B28" s="165" t="s">
        <v>497</v>
      </c>
      <c r="C28" s="165" t="s">
        <v>498</v>
      </c>
      <c r="D28" s="165" t="s">
        <v>75</v>
      </c>
      <c r="E28" s="166">
        <v>6854</v>
      </c>
      <c r="F28" s="167">
        <v>43.683968999999998</v>
      </c>
      <c r="G28" s="168">
        <v>1.7914469999999998E-2</v>
      </c>
      <c r="H28" s="168"/>
      <c r="J28" s="75"/>
    </row>
    <row r="29" spans="1:10" ht="17.100000000000001" customHeight="1" x14ac:dyDescent="0.2">
      <c r="A29" s="164">
        <v>23</v>
      </c>
      <c r="B29" s="165" t="s">
        <v>488</v>
      </c>
      <c r="C29" s="165" t="s">
        <v>489</v>
      </c>
      <c r="D29" s="165" t="s">
        <v>242</v>
      </c>
      <c r="E29" s="166">
        <v>5099</v>
      </c>
      <c r="F29" s="167">
        <v>43.239519999999999</v>
      </c>
      <c r="G29" s="168">
        <v>1.77322E-2</v>
      </c>
      <c r="H29" s="168"/>
      <c r="J29" s="75"/>
    </row>
    <row r="30" spans="1:10" ht="29.1" customHeight="1" x14ac:dyDescent="0.2">
      <c r="A30" s="164">
        <v>24</v>
      </c>
      <c r="B30" s="165" t="s">
        <v>314</v>
      </c>
      <c r="C30" s="165" t="s">
        <v>315</v>
      </c>
      <c r="D30" s="165" t="s">
        <v>316</v>
      </c>
      <c r="E30" s="166">
        <v>1246</v>
      </c>
      <c r="F30" s="167">
        <v>42.603855000000003</v>
      </c>
      <c r="G30" s="168">
        <v>1.7471520000000001E-2</v>
      </c>
      <c r="H30" s="168"/>
      <c r="J30" s="75"/>
    </row>
    <row r="31" spans="1:10" ht="29.1" customHeight="1" x14ac:dyDescent="0.2">
      <c r="A31" s="164">
        <v>25</v>
      </c>
      <c r="B31" s="165" t="s">
        <v>286</v>
      </c>
      <c r="C31" s="165" t="s">
        <v>287</v>
      </c>
      <c r="D31" s="165" t="s">
        <v>216</v>
      </c>
      <c r="E31" s="166">
        <v>9440</v>
      </c>
      <c r="F31" s="167">
        <v>42.48</v>
      </c>
      <c r="G31" s="168">
        <v>1.7420729999999999E-2</v>
      </c>
      <c r="H31" s="168"/>
      <c r="J31" s="75"/>
    </row>
    <row r="32" spans="1:10" ht="17.100000000000001" customHeight="1" x14ac:dyDescent="0.2">
      <c r="A32" s="164">
        <v>26</v>
      </c>
      <c r="B32" s="165" t="s">
        <v>71</v>
      </c>
      <c r="C32" s="165" t="s">
        <v>72</v>
      </c>
      <c r="D32" s="165" t="s">
        <v>36</v>
      </c>
      <c r="E32" s="166">
        <v>1906</v>
      </c>
      <c r="F32" s="167">
        <v>40.533949</v>
      </c>
      <c r="G32" s="168">
        <v>1.6622669999999999E-2</v>
      </c>
      <c r="H32" s="168"/>
      <c r="J32" s="75"/>
    </row>
    <row r="33" spans="1:10" ht="17.100000000000001" customHeight="1" x14ac:dyDescent="0.2">
      <c r="A33" s="164">
        <v>27</v>
      </c>
      <c r="B33" s="165" t="s">
        <v>490</v>
      </c>
      <c r="C33" s="165" t="s">
        <v>491</v>
      </c>
      <c r="D33" s="165" t="s">
        <v>80</v>
      </c>
      <c r="E33" s="166">
        <v>1242</v>
      </c>
      <c r="F33" s="167">
        <v>39.143492999999999</v>
      </c>
      <c r="G33" s="168">
        <v>1.6052449999999999E-2</v>
      </c>
      <c r="H33" s="168"/>
      <c r="J33" s="75"/>
    </row>
    <row r="34" spans="1:10" ht="17.100000000000001" customHeight="1" x14ac:dyDescent="0.2">
      <c r="A34" s="164">
        <v>28</v>
      </c>
      <c r="B34" s="165" t="s">
        <v>494</v>
      </c>
      <c r="C34" s="165" t="s">
        <v>495</v>
      </c>
      <c r="D34" s="165" t="s">
        <v>496</v>
      </c>
      <c r="E34" s="166">
        <v>3437</v>
      </c>
      <c r="F34" s="167">
        <v>38.494399999999999</v>
      </c>
      <c r="G34" s="168">
        <v>1.578626E-2</v>
      </c>
      <c r="H34" s="168"/>
      <c r="J34" s="75"/>
    </row>
    <row r="35" spans="1:10" ht="29.1" customHeight="1" x14ac:dyDescent="0.2">
      <c r="A35" s="164">
        <v>29</v>
      </c>
      <c r="B35" s="165" t="s">
        <v>492</v>
      </c>
      <c r="C35" s="165" t="s">
        <v>493</v>
      </c>
      <c r="D35" s="165" t="s">
        <v>70</v>
      </c>
      <c r="E35" s="166">
        <v>1417</v>
      </c>
      <c r="F35" s="167">
        <v>35.578744499999999</v>
      </c>
      <c r="G35" s="168">
        <v>1.4590570000000001E-2</v>
      </c>
      <c r="H35" s="168"/>
      <c r="J35" s="75"/>
    </row>
    <row r="36" spans="1:10" ht="17.100000000000001" customHeight="1" x14ac:dyDescent="0.2">
      <c r="A36" s="164">
        <v>30</v>
      </c>
      <c r="B36" s="165" t="s">
        <v>499</v>
      </c>
      <c r="C36" s="165" t="s">
        <v>500</v>
      </c>
      <c r="D36" s="165" t="s">
        <v>75</v>
      </c>
      <c r="E36" s="166">
        <v>4055</v>
      </c>
      <c r="F36" s="167">
        <v>33.98901</v>
      </c>
      <c r="G36" s="168">
        <v>1.393864E-2</v>
      </c>
      <c r="H36" s="168"/>
      <c r="J36" s="75"/>
    </row>
    <row r="37" spans="1:10" ht="17.100000000000001" customHeight="1" x14ac:dyDescent="0.2">
      <c r="A37" s="164">
        <v>31</v>
      </c>
      <c r="B37" s="165" t="s">
        <v>503</v>
      </c>
      <c r="C37" s="165" t="s">
        <v>504</v>
      </c>
      <c r="D37" s="165" t="s">
        <v>36</v>
      </c>
      <c r="E37" s="166">
        <v>2300</v>
      </c>
      <c r="F37" s="167">
        <v>32.712899999999998</v>
      </c>
      <c r="G37" s="168">
        <v>1.341531E-2</v>
      </c>
      <c r="H37" s="168"/>
      <c r="J37" s="75"/>
    </row>
    <row r="38" spans="1:10" ht="17.100000000000001" customHeight="1" x14ac:dyDescent="0.2">
      <c r="A38" s="164">
        <v>32</v>
      </c>
      <c r="B38" s="165" t="s">
        <v>365</v>
      </c>
      <c r="C38" s="165" t="s">
        <v>366</v>
      </c>
      <c r="D38" s="165" t="s">
        <v>114</v>
      </c>
      <c r="E38" s="166">
        <v>18454</v>
      </c>
      <c r="F38" s="167">
        <v>30.449100000000001</v>
      </c>
      <c r="G38" s="168">
        <v>1.248695E-2</v>
      </c>
      <c r="H38" s="168"/>
      <c r="J38" s="75"/>
    </row>
    <row r="39" spans="1:10" ht="17.100000000000001" customHeight="1" x14ac:dyDescent="0.2">
      <c r="A39" s="164">
        <v>33</v>
      </c>
      <c r="B39" s="165" t="s">
        <v>294</v>
      </c>
      <c r="C39" s="165" t="s">
        <v>295</v>
      </c>
      <c r="D39" s="165" t="s">
        <v>53</v>
      </c>
      <c r="E39" s="166">
        <v>2453</v>
      </c>
      <c r="F39" s="167">
        <v>26.413903999999999</v>
      </c>
      <c r="G39" s="168">
        <v>1.0832140000000001E-2</v>
      </c>
      <c r="H39" s="168"/>
      <c r="J39" s="75"/>
    </row>
    <row r="40" spans="1:10" ht="17.100000000000001" customHeight="1" x14ac:dyDescent="0.2">
      <c r="A40" s="164">
        <v>34</v>
      </c>
      <c r="B40" s="165" t="s">
        <v>505</v>
      </c>
      <c r="C40" s="165" t="s">
        <v>506</v>
      </c>
      <c r="D40" s="165" t="s">
        <v>53</v>
      </c>
      <c r="E40" s="166">
        <v>2752</v>
      </c>
      <c r="F40" s="167">
        <v>25.113375999999999</v>
      </c>
      <c r="G40" s="168">
        <v>1.029881E-2</v>
      </c>
      <c r="H40" s="168"/>
      <c r="J40" s="75"/>
    </row>
    <row r="41" spans="1:10" ht="29.1" customHeight="1" x14ac:dyDescent="0.2">
      <c r="A41" s="164">
        <v>35</v>
      </c>
      <c r="B41" s="165" t="s">
        <v>511</v>
      </c>
      <c r="C41" s="165" t="s">
        <v>512</v>
      </c>
      <c r="D41" s="165" t="s">
        <v>216</v>
      </c>
      <c r="E41" s="166">
        <v>472</v>
      </c>
      <c r="F41" s="167">
        <v>23.174256</v>
      </c>
      <c r="G41" s="168">
        <v>9.5035899999999993E-3</v>
      </c>
      <c r="H41" s="168"/>
      <c r="J41" s="75"/>
    </row>
    <row r="42" spans="1:10" ht="17.100000000000001" customHeight="1" x14ac:dyDescent="0.2">
      <c r="A42" s="164">
        <v>36</v>
      </c>
      <c r="B42" s="165" t="s">
        <v>507</v>
      </c>
      <c r="C42" s="165" t="s">
        <v>508</v>
      </c>
      <c r="D42" s="165" t="s">
        <v>62</v>
      </c>
      <c r="E42" s="166">
        <v>2557</v>
      </c>
      <c r="F42" s="167">
        <v>22.432561</v>
      </c>
      <c r="G42" s="168">
        <v>9.1994199999999998E-3</v>
      </c>
      <c r="H42" s="168"/>
      <c r="J42" s="75"/>
    </row>
    <row r="43" spans="1:10" ht="29.1" customHeight="1" x14ac:dyDescent="0.2">
      <c r="A43" s="164">
        <v>37</v>
      </c>
      <c r="B43" s="165" t="s">
        <v>501</v>
      </c>
      <c r="C43" s="165" t="s">
        <v>502</v>
      </c>
      <c r="D43" s="165" t="s">
        <v>221</v>
      </c>
      <c r="E43" s="166">
        <v>3485</v>
      </c>
      <c r="F43" s="167">
        <v>21.554725000000001</v>
      </c>
      <c r="G43" s="168">
        <v>8.8394300000000006E-3</v>
      </c>
      <c r="H43" s="168"/>
      <c r="J43" s="75"/>
    </row>
    <row r="44" spans="1:10" ht="17.100000000000001" customHeight="1" x14ac:dyDescent="0.2">
      <c r="A44" s="164">
        <v>38</v>
      </c>
      <c r="B44" s="165" t="s">
        <v>509</v>
      </c>
      <c r="C44" s="165" t="s">
        <v>510</v>
      </c>
      <c r="D44" s="165" t="s">
        <v>75</v>
      </c>
      <c r="E44" s="166">
        <v>4498</v>
      </c>
      <c r="F44" s="167">
        <v>20.454654999999999</v>
      </c>
      <c r="G44" s="168">
        <v>8.3882999999999996E-3</v>
      </c>
      <c r="H44" s="168"/>
      <c r="J44" s="75"/>
    </row>
    <row r="45" spans="1:10" ht="17.100000000000001" customHeight="1" x14ac:dyDescent="0.2">
      <c r="A45" s="164">
        <v>39</v>
      </c>
      <c r="B45" s="165" t="s">
        <v>519</v>
      </c>
      <c r="C45" s="165" t="s">
        <v>520</v>
      </c>
      <c r="D45" s="165" t="s">
        <v>242</v>
      </c>
      <c r="E45" s="166">
        <v>5355</v>
      </c>
      <c r="F45" s="167">
        <v>20.000924999999999</v>
      </c>
      <c r="G45" s="168">
        <v>8.2022299999999996E-3</v>
      </c>
      <c r="H45" s="168"/>
      <c r="J45" s="75"/>
    </row>
    <row r="46" spans="1:10" ht="17.100000000000001" customHeight="1" x14ac:dyDescent="0.2">
      <c r="A46" s="164">
        <v>40</v>
      </c>
      <c r="B46" s="165" t="s">
        <v>139</v>
      </c>
      <c r="C46" s="165" t="s">
        <v>140</v>
      </c>
      <c r="D46" s="165" t="s">
        <v>36</v>
      </c>
      <c r="E46" s="166">
        <v>2747</v>
      </c>
      <c r="F46" s="167">
        <v>17.862367500000001</v>
      </c>
      <c r="G46" s="168">
        <v>7.3252200000000003E-3</v>
      </c>
      <c r="H46" s="168"/>
      <c r="J46" s="75"/>
    </row>
    <row r="47" spans="1:10" ht="17.100000000000001" customHeight="1" x14ac:dyDescent="0.2">
      <c r="A47" s="164">
        <v>41</v>
      </c>
      <c r="B47" s="165" t="s">
        <v>513</v>
      </c>
      <c r="C47" s="165" t="s">
        <v>514</v>
      </c>
      <c r="D47" s="165" t="s">
        <v>393</v>
      </c>
      <c r="E47" s="166">
        <v>1559</v>
      </c>
      <c r="F47" s="167">
        <v>15.214281</v>
      </c>
      <c r="G47" s="168">
        <v>6.2392599999999999E-3</v>
      </c>
      <c r="H47" s="168"/>
      <c r="J47" s="75"/>
    </row>
    <row r="48" spans="1:10" ht="17.100000000000001" customHeight="1" x14ac:dyDescent="0.2">
      <c r="A48" s="164">
        <v>42</v>
      </c>
      <c r="B48" s="165" t="s">
        <v>515</v>
      </c>
      <c r="C48" s="165" t="s">
        <v>516</v>
      </c>
      <c r="D48" s="165" t="s">
        <v>104</v>
      </c>
      <c r="E48" s="166">
        <v>1303</v>
      </c>
      <c r="F48" s="167">
        <v>15.000787499999999</v>
      </c>
      <c r="G48" s="168">
        <v>6.1517100000000003E-3</v>
      </c>
      <c r="H48" s="168"/>
      <c r="J48" s="75"/>
    </row>
    <row r="49" spans="1:10" ht="17.100000000000001" customHeight="1" x14ac:dyDescent="0.2">
      <c r="A49" s="164">
        <v>43</v>
      </c>
      <c r="B49" s="165" t="s">
        <v>517</v>
      </c>
      <c r="C49" s="165" t="s">
        <v>518</v>
      </c>
      <c r="D49" s="165" t="s">
        <v>36</v>
      </c>
      <c r="E49" s="166">
        <v>700</v>
      </c>
      <c r="F49" s="167">
        <v>11.588150000000001</v>
      </c>
      <c r="G49" s="168">
        <v>4.7522099999999998E-3</v>
      </c>
      <c r="H49" s="168"/>
      <c r="J49" s="75"/>
    </row>
    <row r="50" spans="1:10" ht="29.1" customHeight="1" x14ac:dyDescent="0.2">
      <c r="A50" s="164">
        <v>44</v>
      </c>
      <c r="B50" s="165" t="s">
        <v>525</v>
      </c>
      <c r="C50" s="165" t="s">
        <v>526</v>
      </c>
      <c r="D50" s="165" t="s">
        <v>527</v>
      </c>
      <c r="E50" s="166">
        <v>7691</v>
      </c>
      <c r="F50" s="167">
        <v>11.313461</v>
      </c>
      <c r="G50" s="168">
        <v>4.63957E-3</v>
      </c>
      <c r="H50" s="168"/>
      <c r="J50" s="75"/>
    </row>
    <row r="51" spans="1:10" ht="29.1" customHeight="1" x14ac:dyDescent="0.2">
      <c r="A51" s="164">
        <v>45</v>
      </c>
      <c r="B51" s="165" t="s">
        <v>521</v>
      </c>
      <c r="C51" s="165" t="s">
        <v>522</v>
      </c>
      <c r="D51" s="165" t="s">
        <v>75</v>
      </c>
      <c r="E51" s="166">
        <v>2931</v>
      </c>
      <c r="F51" s="167">
        <v>9.3323040000000006</v>
      </c>
      <c r="G51" s="168">
        <v>3.8271099999999999E-3</v>
      </c>
      <c r="H51" s="168"/>
      <c r="J51" s="75"/>
    </row>
    <row r="52" spans="1:10" ht="29.1" customHeight="1" x14ac:dyDescent="0.2">
      <c r="A52" s="164">
        <v>46</v>
      </c>
      <c r="B52" s="165" t="s">
        <v>523</v>
      </c>
      <c r="C52" s="165" t="s">
        <v>524</v>
      </c>
      <c r="D52" s="165" t="s">
        <v>216</v>
      </c>
      <c r="E52" s="166">
        <v>2513</v>
      </c>
      <c r="F52" s="167">
        <v>8.2162535000000005</v>
      </c>
      <c r="G52" s="168">
        <v>3.3694200000000001E-3</v>
      </c>
      <c r="H52" s="168"/>
      <c r="J52" s="75"/>
    </row>
    <row r="53" spans="1:10" ht="17.100000000000001" customHeight="1" x14ac:dyDescent="0.2">
      <c r="A53" s="164">
        <v>47</v>
      </c>
      <c r="B53" s="165" t="s">
        <v>528</v>
      </c>
      <c r="C53" s="165" t="s">
        <v>529</v>
      </c>
      <c r="D53" s="165" t="s">
        <v>39</v>
      </c>
      <c r="E53" s="166">
        <v>1611</v>
      </c>
      <c r="F53" s="167">
        <v>6.0066135000000003</v>
      </c>
      <c r="G53" s="168">
        <v>2.46327E-3</v>
      </c>
      <c r="H53" s="168"/>
      <c r="J53" s="75"/>
    </row>
    <row r="54" spans="1:10" ht="14.1" customHeight="1" x14ac:dyDescent="0.2">
      <c r="A54" s="162"/>
      <c r="B54" s="162"/>
      <c r="C54" s="163" t="s">
        <v>152</v>
      </c>
      <c r="D54" s="162"/>
      <c r="E54" s="162" t="s">
        <v>153</v>
      </c>
      <c r="F54" s="169">
        <v>2245.2711300000001</v>
      </c>
      <c r="G54" s="170">
        <v>0.92076871999999998</v>
      </c>
      <c r="H54" s="170"/>
      <c r="J54" s="75"/>
    </row>
    <row r="55" spans="1:10" ht="14.1" customHeight="1" x14ac:dyDescent="0.2">
      <c r="A55" s="162"/>
      <c r="B55" s="162"/>
      <c r="C55" s="171"/>
      <c r="D55" s="162"/>
      <c r="E55" s="162"/>
      <c r="F55" s="172"/>
      <c r="G55" s="172"/>
      <c r="H55" s="172"/>
      <c r="J55" s="75"/>
    </row>
    <row r="56" spans="1:10" ht="14.1" customHeight="1" x14ac:dyDescent="0.2">
      <c r="A56" s="162"/>
      <c r="B56" s="162"/>
      <c r="C56" s="163" t="s">
        <v>154</v>
      </c>
      <c r="D56" s="162"/>
      <c r="E56" s="162"/>
      <c r="F56" s="162"/>
      <c r="G56" s="162"/>
      <c r="H56" s="16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156</v>
      </c>
      <c r="D59" s="162"/>
      <c r="E59" s="162"/>
      <c r="F59" s="162"/>
      <c r="G59" s="162"/>
      <c r="H59" s="16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157</v>
      </c>
      <c r="D62" s="162"/>
      <c r="E62" s="162"/>
      <c r="F62" s="162"/>
      <c r="G62" s="162"/>
      <c r="H62" s="162"/>
      <c r="J62" s="75"/>
    </row>
    <row r="63" spans="1:10" ht="29.1" customHeight="1" x14ac:dyDescent="0.2">
      <c r="A63" s="164">
        <v>1</v>
      </c>
      <c r="B63" s="165" t="s">
        <v>329</v>
      </c>
      <c r="C63" s="165" t="s">
        <v>1202</v>
      </c>
      <c r="D63" s="165" t="s">
        <v>36</v>
      </c>
      <c r="E63" s="166">
        <v>81</v>
      </c>
      <c r="F63" s="167">
        <v>8.1027540000000002E-3</v>
      </c>
      <c r="G63" s="168" t="s">
        <v>151</v>
      </c>
      <c r="H63" s="168"/>
      <c r="J63" s="75"/>
    </row>
    <row r="64" spans="1:10" ht="14.1" customHeight="1" x14ac:dyDescent="0.2">
      <c r="A64" s="162"/>
      <c r="B64" s="162"/>
      <c r="C64" s="163" t="s">
        <v>152</v>
      </c>
      <c r="D64" s="162"/>
      <c r="E64" s="162" t="s">
        <v>153</v>
      </c>
      <c r="F64" s="169">
        <v>8.1027540000000002E-3</v>
      </c>
      <c r="G64" s="170">
        <v>3.32E-6</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158</v>
      </c>
      <c r="D66" s="162"/>
      <c r="E66" s="162"/>
      <c r="F66" s="172"/>
      <c r="G66" s="172"/>
      <c r="H66" s="17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159</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ht="18" customHeight="1" x14ac:dyDescent="0.2">
      <c r="A72" s="162"/>
      <c r="B72" s="162"/>
      <c r="C72" s="163" t="s">
        <v>160</v>
      </c>
      <c r="D72" s="162"/>
      <c r="E72" s="162"/>
      <c r="F72" s="169">
        <v>2245.2792327540001</v>
      </c>
      <c r="G72" s="170">
        <v>0.92077204000000001</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161</v>
      </c>
      <c r="D74" s="162"/>
      <c r="E74" s="162"/>
      <c r="F74" s="172"/>
      <c r="G74" s="172"/>
      <c r="H74" s="172"/>
      <c r="J74" s="75"/>
    </row>
    <row r="75" spans="1:10" ht="24" customHeight="1" x14ac:dyDescent="0.2">
      <c r="A75" s="162"/>
      <c r="B75" s="162"/>
      <c r="C75" s="163" t="s">
        <v>10</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162</v>
      </c>
      <c r="D78" s="162"/>
      <c r="E78" s="162"/>
      <c r="F78" s="162"/>
      <c r="G78" s="162"/>
      <c r="H78" s="16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163</v>
      </c>
      <c r="D81" s="162"/>
      <c r="E81" s="162"/>
      <c r="F81" s="162"/>
      <c r="G81" s="162"/>
      <c r="H81" s="16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164</v>
      </c>
      <c r="D84" s="162"/>
      <c r="E84" s="162"/>
      <c r="F84" s="172"/>
      <c r="G84" s="172"/>
      <c r="H84" s="172"/>
      <c r="J84" s="75"/>
    </row>
    <row r="85" spans="1:10" ht="14.1" customHeight="1" x14ac:dyDescent="0.2">
      <c r="A85" s="162"/>
      <c r="B85" s="162"/>
      <c r="C85" s="163" t="s">
        <v>152</v>
      </c>
      <c r="D85" s="162"/>
      <c r="E85" s="162" t="s">
        <v>153</v>
      </c>
      <c r="F85" s="173" t="s">
        <v>155</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165</v>
      </c>
      <c r="D87" s="162"/>
      <c r="E87" s="162"/>
      <c r="F87" s="169">
        <v>0</v>
      </c>
      <c r="G87" s="170">
        <v>0</v>
      </c>
      <c r="H87" s="170"/>
      <c r="J87" s="75"/>
    </row>
    <row r="88" spans="1:10" ht="14.1" customHeight="1" x14ac:dyDescent="0.2">
      <c r="A88" s="162"/>
      <c r="B88" s="162"/>
      <c r="C88" s="171"/>
      <c r="D88" s="162"/>
      <c r="E88" s="162"/>
      <c r="F88" s="172"/>
      <c r="G88" s="172"/>
      <c r="H88" s="172"/>
      <c r="J88" s="75"/>
    </row>
    <row r="89" spans="1:10" ht="14.1" customHeight="1" x14ac:dyDescent="0.2">
      <c r="A89" s="162"/>
      <c r="B89" s="162"/>
      <c r="C89" s="163" t="s">
        <v>166</v>
      </c>
      <c r="D89" s="162"/>
      <c r="E89" s="162"/>
      <c r="F89" s="172"/>
      <c r="G89" s="172"/>
      <c r="H89" s="172"/>
      <c r="J89" s="75"/>
    </row>
    <row r="90" spans="1:10" ht="14.1" customHeight="1" x14ac:dyDescent="0.2">
      <c r="A90" s="162"/>
      <c r="B90" s="162"/>
      <c r="C90" s="163" t="s">
        <v>167</v>
      </c>
      <c r="D90" s="162"/>
      <c r="E90" s="162"/>
      <c r="F90" s="172"/>
      <c r="G90" s="172"/>
      <c r="H90" s="17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168</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169</v>
      </c>
      <c r="D96" s="162"/>
      <c r="E96" s="162"/>
      <c r="F96" s="172"/>
      <c r="G96" s="172"/>
      <c r="H96" s="172"/>
      <c r="J96" s="75"/>
    </row>
    <row r="97" spans="1:10" ht="14.1" customHeight="1" x14ac:dyDescent="0.2">
      <c r="A97" s="162"/>
      <c r="B97" s="162"/>
      <c r="C97" s="163" t="s">
        <v>152</v>
      </c>
      <c r="D97" s="162"/>
      <c r="E97" s="162" t="s">
        <v>153</v>
      </c>
      <c r="F97" s="173" t="s">
        <v>155</v>
      </c>
      <c r="G97" s="170">
        <v>0</v>
      </c>
      <c r="H97" s="170"/>
      <c r="J97" s="75"/>
    </row>
    <row r="98" spans="1:10" ht="14.1" customHeight="1" x14ac:dyDescent="0.2">
      <c r="A98" s="162"/>
      <c r="B98" s="162"/>
      <c r="C98" s="171"/>
      <c r="D98" s="162"/>
      <c r="E98" s="162"/>
      <c r="F98" s="172"/>
      <c r="G98" s="172"/>
      <c r="H98" s="172"/>
      <c r="J98" s="75"/>
    </row>
    <row r="99" spans="1:10" ht="14.1" customHeight="1" x14ac:dyDescent="0.2">
      <c r="A99" s="162"/>
      <c r="B99" s="162"/>
      <c r="C99" s="163" t="s">
        <v>170</v>
      </c>
      <c r="D99" s="162"/>
      <c r="E99" s="162"/>
      <c r="F99" s="172"/>
      <c r="G99" s="172"/>
      <c r="H99" s="172"/>
      <c r="J99" s="75"/>
    </row>
    <row r="100" spans="1:10" ht="17.100000000000001" customHeight="1" x14ac:dyDescent="0.2">
      <c r="A100" s="164">
        <v>1</v>
      </c>
      <c r="B100" s="165"/>
      <c r="C100" s="165" t="s">
        <v>171</v>
      </c>
      <c r="D100" s="165"/>
      <c r="E100" s="174"/>
      <c r="F100" s="167">
        <v>188.165562701</v>
      </c>
      <c r="G100" s="168">
        <v>7.7165269999999994E-2</v>
      </c>
      <c r="H100" s="175">
        <v>6.66</v>
      </c>
      <c r="J100" s="75"/>
    </row>
    <row r="101" spans="1:10" ht="14.1" customHeight="1" x14ac:dyDescent="0.2">
      <c r="A101" s="162"/>
      <c r="B101" s="162"/>
      <c r="C101" s="163" t="s">
        <v>152</v>
      </c>
      <c r="D101" s="162"/>
      <c r="E101" s="162" t="s">
        <v>153</v>
      </c>
      <c r="F101" s="169">
        <v>188.165562701</v>
      </c>
      <c r="G101" s="170">
        <v>7.7165269999999994E-2</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172</v>
      </c>
      <c r="D103" s="162"/>
      <c r="E103" s="162"/>
      <c r="F103" s="169">
        <v>188.165562701</v>
      </c>
      <c r="G103" s="170">
        <v>7.7165269999999994E-2</v>
      </c>
      <c r="H103" s="170"/>
      <c r="J103" s="75"/>
    </row>
    <row r="104" spans="1:10" ht="14.1" customHeight="1" x14ac:dyDescent="0.2">
      <c r="A104" s="162"/>
      <c r="B104" s="162"/>
      <c r="C104" s="172"/>
      <c r="D104" s="162"/>
      <c r="E104" s="162"/>
      <c r="F104" s="162"/>
      <c r="G104" s="162"/>
      <c r="H104" s="162"/>
      <c r="J104" s="75"/>
    </row>
    <row r="105" spans="1:10" ht="14.1" customHeight="1" x14ac:dyDescent="0.2">
      <c r="A105" s="162"/>
      <c r="B105" s="162"/>
      <c r="C105" s="163" t="s">
        <v>173</v>
      </c>
      <c r="D105" s="162"/>
      <c r="E105" s="162"/>
      <c r="F105" s="162"/>
      <c r="G105" s="162"/>
      <c r="H105" s="162"/>
      <c r="J105" s="75"/>
    </row>
    <row r="106" spans="1:10" ht="14.1" customHeight="1" x14ac:dyDescent="0.2">
      <c r="A106" s="162"/>
      <c r="B106" s="162"/>
      <c r="C106" s="163" t="s">
        <v>174</v>
      </c>
      <c r="D106" s="162"/>
      <c r="E106" s="162"/>
      <c r="F106" s="162"/>
      <c r="G106" s="162"/>
      <c r="H106" s="16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177</v>
      </c>
      <c r="D109" s="162"/>
      <c r="E109" s="162"/>
      <c r="F109" s="162"/>
      <c r="G109" s="162"/>
      <c r="H109" s="162"/>
      <c r="J109" s="75"/>
    </row>
    <row r="110" spans="1:10" ht="14.1" customHeight="1" x14ac:dyDescent="0.2">
      <c r="A110" s="162"/>
      <c r="B110" s="162"/>
      <c r="C110" s="163" t="s">
        <v>178</v>
      </c>
      <c r="D110" s="162"/>
      <c r="E110" s="162"/>
      <c r="F110" s="162"/>
      <c r="G110" s="162"/>
      <c r="H110" s="16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2"/>
      <c r="C112" s="171"/>
      <c r="D112" s="162"/>
      <c r="E112" s="162"/>
      <c r="F112" s="172"/>
      <c r="G112" s="172"/>
      <c r="H112" s="172"/>
      <c r="J112" s="75"/>
    </row>
    <row r="113" spans="1:17" ht="24" customHeight="1" x14ac:dyDescent="0.2">
      <c r="A113" s="162"/>
      <c r="B113" s="162"/>
      <c r="C113" s="163" t="s">
        <v>179</v>
      </c>
      <c r="D113" s="162"/>
      <c r="E113" s="162"/>
      <c r="F113" s="172"/>
      <c r="G113" s="172"/>
      <c r="H113" s="172"/>
      <c r="J113" s="75"/>
    </row>
    <row r="114" spans="1:17" ht="14.1" customHeight="1" x14ac:dyDescent="0.2">
      <c r="A114" s="162"/>
      <c r="B114" s="162"/>
      <c r="C114" s="163" t="s">
        <v>152</v>
      </c>
      <c r="D114" s="162"/>
      <c r="E114" s="162" t="s">
        <v>153</v>
      </c>
      <c r="F114" s="173" t="s">
        <v>155</v>
      </c>
      <c r="G114" s="170">
        <v>0</v>
      </c>
      <c r="H114" s="170"/>
      <c r="J114" s="75"/>
    </row>
    <row r="115" spans="1:17" ht="14.1" customHeight="1" x14ac:dyDescent="0.2">
      <c r="A115" s="162"/>
      <c r="B115" s="165"/>
      <c r="C115" s="165"/>
      <c r="D115" s="163"/>
      <c r="E115" s="162"/>
      <c r="F115" s="165"/>
      <c r="G115" s="174"/>
      <c r="H115" s="174"/>
      <c r="J115" s="75"/>
    </row>
    <row r="116" spans="1:17" ht="18" customHeight="1" x14ac:dyDescent="0.2">
      <c r="A116" s="174"/>
      <c r="B116" s="165"/>
      <c r="C116" s="165" t="s">
        <v>180</v>
      </c>
      <c r="D116" s="165"/>
      <c r="E116" s="174"/>
      <c r="F116" s="167">
        <v>5.02988459</v>
      </c>
      <c r="G116" s="168">
        <v>2.0627200000000001E-3</v>
      </c>
      <c r="H116" s="168"/>
      <c r="J116" s="75"/>
    </row>
    <row r="117" spans="1:17" ht="14.1" customHeight="1" x14ac:dyDescent="0.2">
      <c r="A117" s="171"/>
      <c r="B117" s="171"/>
      <c r="C117" s="163" t="s">
        <v>181</v>
      </c>
      <c r="D117" s="172"/>
      <c r="E117" s="172"/>
      <c r="F117" s="169">
        <v>2438.4746800449998</v>
      </c>
      <c r="G117" s="177">
        <v>1.00000003</v>
      </c>
      <c r="H117" s="177"/>
      <c r="J117" s="75"/>
    </row>
    <row r="118" spans="1:17" ht="14.1" customHeight="1" x14ac:dyDescent="0.2">
      <c r="A118" s="178"/>
      <c r="B118" s="178"/>
      <c r="C118" s="178"/>
      <c r="D118" s="179"/>
      <c r="E118" s="179"/>
      <c r="F118" s="179"/>
      <c r="G118" s="179"/>
      <c r="H118" s="179"/>
      <c r="J118" s="75"/>
    </row>
    <row r="119" spans="1:17" ht="12.75" customHeight="1" x14ac:dyDescent="0.2">
      <c r="A119" s="180"/>
      <c r="B119" s="258" t="s">
        <v>882</v>
      </c>
      <c r="C119" s="258"/>
      <c r="D119" s="258"/>
      <c r="E119" s="258"/>
      <c r="F119" s="258"/>
      <c r="G119" s="258"/>
      <c r="H119" s="258"/>
      <c r="J119" s="75"/>
    </row>
    <row r="120" spans="1:17" ht="14.1" customHeight="1" x14ac:dyDescent="0.2">
      <c r="A120" s="180"/>
      <c r="B120" s="258" t="s">
        <v>883</v>
      </c>
      <c r="C120" s="258"/>
      <c r="D120" s="258"/>
      <c r="E120" s="258"/>
      <c r="F120" s="258"/>
      <c r="G120" s="258"/>
      <c r="H120" s="258"/>
      <c r="J120" s="75"/>
    </row>
    <row r="121" spans="1:17" ht="17.100000000000001" customHeight="1" x14ac:dyDescent="0.2">
      <c r="A121" s="180"/>
      <c r="B121" s="258" t="s">
        <v>884</v>
      </c>
      <c r="C121" s="258"/>
      <c r="D121" s="258"/>
      <c r="E121" s="258"/>
      <c r="F121" s="258"/>
      <c r="G121" s="258"/>
      <c r="H121" s="258"/>
      <c r="J121" s="75"/>
    </row>
    <row r="122" spans="1:17" s="34" customFormat="1" ht="62.25" customHeight="1" x14ac:dyDescent="0.25">
      <c r="A122" s="33"/>
      <c r="B122" s="259" t="s">
        <v>885</v>
      </c>
      <c r="C122" s="259"/>
      <c r="D122" s="259"/>
      <c r="E122" s="259"/>
      <c r="F122" s="259"/>
      <c r="G122" s="259"/>
      <c r="H122" s="259"/>
      <c r="I122"/>
      <c r="J122" s="75"/>
      <c r="K122"/>
      <c r="L122"/>
      <c r="M122"/>
      <c r="N122"/>
      <c r="O122"/>
      <c r="P122"/>
      <c r="Q122"/>
    </row>
    <row r="123" spans="1:17" ht="12.75" customHeight="1" x14ac:dyDescent="0.2">
      <c r="A123" s="180"/>
      <c r="B123" s="258" t="s">
        <v>886</v>
      </c>
      <c r="C123" s="258"/>
      <c r="D123" s="258"/>
      <c r="E123" s="258"/>
      <c r="F123" s="258"/>
      <c r="G123" s="258"/>
      <c r="H123" s="258"/>
      <c r="J123" s="75"/>
    </row>
    <row r="124" spans="1:17" ht="14.1" customHeight="1" x14ac:dyDescent="0.2">
      <c r="A124" s="181"/>
      <c r="B124" s="181"/>
      <c r="C124" s="181"/>
      <c r="D124" s="182"/>
      <c r="E124" s="182"/>
      <c r="F124" s="182"/>
      <c r="G124" s="182"/>
      <c r="H124" s="182"/>
      <c r="J124" s="75"/>
    </row>
    <row r="125" spans="1:17" ht="14.1" customHeight="1" x14ac:dyDescent="0.2">
      <c r="A125" s="181"/>
      <c r="B125" s="255" t="s">
        <v>183</v>
      </c>
      <c r="C125" s="256"/>
      <c r="D125" s="257"/>
      <c r="E125" s="183"/>
      <c r="F125" s="182"/>
      <c r="G125" s="182"/>
      <c r="H125" s="182"/>
      <c r="J125" s="75"/>
    </row>
    <row r="126" spans="1:17" ht="29.1" customHeight="1" x14ac:dyDescent="0.2">
      <c r="A126" s="181"/>
      <c r="B126" s="253" t="s">
        <v>184</v>
      </c>
      <c r="C126" s="254"/>
      <c r="D126" s="163" t="s">
        <v>185</v>
      </c>
      <c r="E126" s="183"/>
      <c r="F126" s="182"/>
      <c r="G126" s="182"/>
      <c r="H126" s="182"/>
      <c r="J126" s="75"/>
    </row>
    <row r="127" spans="1:17" ht="17.100000000000001" customHeight="1" x14ac:dyDescent="0.2">
      <c r="A127" s="181"/>
      <c r="B127" s="251" t="s">
        <v>898</v>
      </c>
      <c r="C127" s="252"/>
      <c r="D127" s="184" t="s">
        <v>896</v>
      </c>
      <c r="E127" s="183"/>
      <c r="F127" s="182"/>
      <c r="G127" s="182"/>
      <c r="H127" s="182"/>
      <c r="J127" s="75"/>
    </row>
    <row r="128" spans="1:17" ht="17.100000000000001" customHeight="1" x14ac:dyDescent="0.2">
      <c r="A128" s="181"/>
      <c r="B128" s="253" t="s">
        <v>187</v>
      </c>
      <c r="C128" s="254"/>
      <c r="D128" s="172" t="s">
        <v>153</v>
      </c>
      <c r="E128" s="183"/>
      <c r="F128" s="182"/>
      <c r="G128" s="182"/>
      <c r="H128" s="182"/>
      <c r="J128" s="75"/>
    </row>
    <row r="129" spans="1:10" x14ac:dyDescent="0.2">
      <c r="A129" s="185"/>
      <c r="B129" s="186" t="s">
        <v>153</v>
      </c>
      <c r="C129" s="186" t="s">
        <v>1088</v>
      </c>
      <c r="D129" s="186" t="s">
        <v>188</v>
      </c>
      <c r="E129" s="185"/>
      <c r="F129" s="185"/>
      <c r="G129" s="185"/>
      <c r="H129" s="185"/>
      <c r="J129" s="75"/>
    </row>
    <row r="130" spans="1:10" x14ac:dyDescent="0.2">
      <c r="A130" s="185"/>
      <c r="B130" s="199" t="s">
        <v>189</v>
      </c>
      <c r="C130" s="186" t="s">
        <v>190</v>
      </c>
      <c r="D130" s="186" t="s">
        <v>191</v>
      </c>
      <c r="E130" s="185"/>
      <c r="F130" s="185"/>
      <c r="G130" s="185"/>
      <c r="H130" s="185"/>
      <c r="J130" s="75"/>
    </row>
    <row r="131" spans="1:10" ht="17.100000000000001" customHeight="1" x14ac:dyDescent="0.2">
      <c r="A131" s="185"/>
      <c r="B131" s="165" t="s">
        <v>192</v>
      </c>
      <c r="C131" s="188">
        <v>27.722100000000001</v>
      </c>
      <c r="D131" s="188">
        <v>29.9529</v>
      </c>
      <c r="E131" s="185"/>
      <c r="F131" s="189"/>
      <c r="G131" s="190"/>
      <c r="H131" s="190"/>
      <c r="J131" s="75"/>
    </row>
    <row r="132" spans="1:10" ht="17.100000000000001" customHeight="1" x14ac:dyDescent="0.2">
      <c r="A132" s="185"/>
      <c r="B132" s="165" t="s">
        <v>1054</v>
      </c>
      <c r="C132" s="188">
        <v>25.470500000000001</v>
      </c>
      <c r="D132" s="188">
        <v>27.520099999999999</v>
      </c>
      <c r="E132" s="185"/>
      <c r="F132" s="189"/>
      <c r="G132" s="190"/>
      <c r="H132" s="190"/>
      <c r="J132" s="75"/>
    </row>
    <row r="133" spans="1:10" ht="17.100000000000001" customHeight="1" x14ac:dyDescent="0.2">
      <c r="A133" s="185"/>
      <c r="B133" s="165" t="s">
        <v>193</v>
      </c>
      <c r="C133" s="188">
        <v>27.257400000000001</v>
      </c>
      <c r="D133" s="188">
        <v>29.4468</v>
      </c>
      <c r="E133" s="185"/>
      <c r="F133" s="189"/>
      <c r="G133" s="190"/>
      <c r="H133" s="190"/>
      <c r="J133" s="75"/>
    </row>
    <row r="134" spans="1:10" ht="17.100000000000001" customHeight="1" x14ac:dyDescent="0.2">
      <c r="A134" s="185"/>
      <c r="B134" s="165" t="s">
        <v>1055</v>
      </c>
      <c r="C134" s="188">
        <v>25.013000000000002</v>
      </c>
      <c r="D134" s="188">
        <v>27.022099999999998</v>
      </c>
      <c r="E134" s="185"/>
      <c r="F134" s="189"/>
      <c r="G134" s="190"/>
      <c r="H134" s="190"/>
      <c r="J134" s="75"/>
    </row>
    <row r="135" spans="1:10" ht="14.1" customHeight="1" x14ac:dyDescent="0.2">
      <c r="A135" s="185"/>
      <c r="B135" s="185"/>
      <c r="C135" s="185"/>
      <c r="D135" s="185"/>
      <c r="E135" s="185"/>
      <c r="F135" s="185"/>
      <c r="G135" s="185"/>
      <c r="H135" s="185"/>
      <c r="J135" s="75"/>
    </row>
    <row r="136" spans="1:10" ht="17.100000000000001" customHeight="1" x14ac:dyDescent="0.2">
      <c r="A136" s="185"/>
      <c r="B136" s="253" t="s">
        <v>1056</v>
      </c>
      <c r="C136" s="254"/>
      <c r="D136" s="163" t="s">
        <v>185</v>
      </c>
      <c r="E136" s="185"/>
      <c r="F136" s="185"/>
      <c r="G136" s="185"/>
      <c r="H136" s="185"/>
      <c r="J136" s="75"/>
    </row>
    <row r="137" spans="1:10" ht="14.1" customHeight="1" x14ac:dyDescent="0.2">
      <c r="A137" s="185"/>
      <c r="B137" s="189"/>
      <c r="C137" s="189"/>
      <c r="E137" s="185"/>
      <c r="F137" s="185"/>
      <c r="G137" s="185"/>
      <c r="H137" s="185"/>
      <c r="J137" s="75"/>
    </row>
    <row r="138" spans="1:10" ht="29.1" customHeight="1" x14ac:dyDescent="0.2">
      <c r="A138" s="185"/>
      <c r="B138" s="253" t="s">
        <v>194</v>
      </c>
      <c r="C138" s="254"/>
      <c r="D138" s="163" t="s">
        <v>185</v>
      </c>
      <c r="E138" s="191"/>
      <c r="F138" s="185"/>
      <c r="G138" s="185"/>
      <c r="H138" s="185"/>
      <c r="J138" s="75"/>
    </row>
    <row r="139" spans="1:10" ht="29.1" customHeight="1" x14ac:dyDescent="0.2">
      <c r="A139" s="185"/>
      <c r="B139" s="253" t="s">
        <v>195</v>
      </c>
      <c r="C139" s="254"/>
      <c r="D139" s="163" t="s">
        <v>185</v>
      </c>
      <c r="E139" s="191"/>
      <c r="F139" s="185"/>
      <c r="G139" s="185"/>
      <c r="H139" s="185"/>
      <c r="J139" s="75"/>
    </row>
    <row r="140" spans="1:10" ht="17.100000000000001" customHeight="1" x14ac:dyDescent="0.2">
      <c r="A140" s="185"/>
      <c r="B140" s="253" t="s">
        <v>196</v>
      </c>
      <c r="C140" s="254"/>
      <c r="D140" s="163" t="s">
        <v>185</v>
      </c>
      <c r="E140" s="191"/>
      <c r="F140" s="185"/>
      <c r="G140" s="185"/>
      <c r="H140" s="185"/>
      <c r="J140" s="75"/>
    </row>
    <row r="141" spans="1:10" ht="17.100000000000001" customHeight="1" x14ac:dyDescent="0.2">
      <c r="A141" s="185"/>
      <c r="B141" s="253" t="s">
        <v>197</v>
      </c>
      <c r="C141" s="254"/>
      <c r="D141" s="192">
        <v>6.7825999999999997E-2</v>
      </c>
      <c r="E141" s="185"/>
      <c r="F141" s="189"/>
      <c r="G141" s="190"/>
      <c r="H141" s="190"/>
      <c r="J141" s="75"/>
    </row>
  </sheetData>
  <mergeCells count="17">
    <mergeCell ref="B141:C141"/>
    <mergeCell ref="B136:C136"/>
    <mergeCell ref="B138:C138"/>
    <mergeCell ref="B139:C139"/>
    <mergeCell ref="B140:C140"/>
    <mergeCell ref="A1:H1"/>
    <mergeCell ref="A2:H2"/>
    <mergeCell ref="A3:H3"/>
    <mergeCell ref="B127:C127"/>
    <mergeCell ref="B128:C128"/>
    <mergeCell ref="B125:D125"/>
    <mergeCell ref="B126:C126"/>
    <mergeCell ref="B123:H123"/>
    <mergeCell ref="B119:H119"/>
    <mergeCell ref="B120:H120"/>
    <mergeCell ref="B121:H121"/>
    <mergeCell ref="B122:H122"/>
  </mergeCells>
  <hyperlinks>
    <hyperlink ref="I1" location="Index!B7" display="Index" xr:uid="{9391CA9B-FBB1-4FB4-9EEF-F32C8899AF6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25"/>
  <sheetViews>
    <sheetView showGridLines="0" workbookViewId="0">
      <selection activeCell="G100" sqref="G100"/>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531</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37</v>
      </c>
      <c r="C7" s="165" t="s">
        <v>38</v>
      </c>
      <c r="D7" s="165" t="s">
        <v>39</v>
      </c>
      <c r="E7" s="166">
        <v>16013</v>
      </c>
      <c r="F7" s="167">
        <v>184.21355199999999</v>
      </c>
      <c r="G7" s="168">
        <v>9.2996469999999998E-2</v>
      </c>
      <c r="H7" s="168"/>
      <c r="J7" s="75"/>
    </row>
    <row r="8" spans="1:17" ht="17.100000000000001" customHeight="1" x14ac:dyDescent="0.2">
      <c r="A8" s="164">
        <v>2</v>
      </c>
      <c r="B8" s="165" t="s">
        <v>14</v>
      </c>
      <c r="C8" s="165" t="s">
        <v>15</v>
      </c>
      <c r="D8" s="165" t="s">
        <v>16</v>
      </c>
      <c r="E8" s="166">
        <v>5610</v>
      </c>
      <c r="F8" s="167">
        <v>164.59739999999999</v>
      </c>
      <c r="G8" s="168">
        <v>8.309366E-2</v>
      </c>
      <c r="H8" s="168"/>
      <c r="J8" s="75"/>
    </row>
    <row r="9" spans="1:17" ht="17.100000000000001" customHeight="1" x14ac:dyDescent="0.2">
      <c r="A9" s="164">
        <v>3</v>
      </c>
      <c r="B9" s="165" t="s">
        <v>331</v>
      </c>
      <c r="C9" s="165" t="s">
        <v>332</v>
      </c>
      <c r="D9" s="165" t="s">
        <v>39</v>
      </c>
      <c r="E9" s="166">
        <v>10200</v>
      </c>
      <c r="F9" s="167">
        <v>155.05019999999999</v>
      </c>
      <c r="G9" s="168">
        <v>7.8273949999999995E-2</v>
      </c>
      <c r="H9" s="168"/>
      <c r="J9" s="75"/>
    </row>
    <row r="10" spans="1:17" ht="17.100000000000001" customHeight="1" x14ac:dyDescent="0.2">
      <c r="A10" s="164">
        <v>4</v>
      </c>
      <c r="B10" s="165" t="s">
        <v>54</v>
      </c>
      <c r="C10" s="165" t="s">
        <v>55</v>
      </c>
      <c r="D10" s="165" t="s">
        <v>39</v>
      </c>
      <c r="E10" s="166">
        <v>14847</v>
      </c>
      <c r="F10" s="167">
        <v>122.6733375</v>
      </c>
      <c r="G10" s="168">
        <v>6.1929150000000002E-2</v>
      </c>
      <c r="H10" s="168"/>
      <c r="J10" s="75"/>
    </row>
    <row r="11" spans="1:17" ht="17.100000000000001" customHeight="1" x14ac:dyDescent="0.2">
      <c r="A11" s="164">
        <v>5</v>
      </c>
      <c r="B11" s="165" t="s">
        <v>337</v>
      </c>
      <c r="C11" s="165" t="s">
        <v>338</v>
      </c>
      <c r="D11" s="165" t="s">
        <v>232</v>
      </c>
      <c r="E11" s="166">
        <v>8300</v>
      </c>
      <c r="F11" s="167">
        <v>117.90564999999999</v>
      </c>
      <c r="G11" s="168">
        <v>5.9522279999999997E-2</v>
      </c>
      <c r="H11" s="168"/>
      <c r="J11" s="75"/>
    </row>
    <row r="12" spans="1:17" ht="17.100000000000001" customHeight="1" x14ac:dyDescent="0.2">
      <c r="A12" s="164">
        <v>6</v>
      </c>
      <c r="B12" s="165" t="s">
        <v>17</v>
      </c>
      <c r="C12" s="165" t="s">
        <v>18</v>
      </c>
      <c r="D12" s="165" t="s">
        <v>19</v>
      </c>
      <c r="E12" s="166">
        <v>6757</v>
      </c>
      <c r="F12" s="167">
        <v>89.347810999999993</v>
      </c>
      <c r="G12" s="168">
        <v>4.5105430000000002E-2</v>
      </c>
      <c r="H12" s="168"/>
      <c r="J12" s="71"/>
    </row>
    <row r="13" spans="1:17" ht="17.100000000000001" customHeight="1" x14ac:dyDescent="0.2">
      <c r="A13" s="164">
        <v>7</v>
      </c>
      <c r="B13" s="165" t="s">
        <v>11</v>
      </c>
      <c r="C13" s="165" t="s">
        <v>12</v>
      </c>
      <c r="D13" s="165" t="s">
        <v>13</v>
      </c>
      <c r="E13" s="166">
        <v>2429</v>
      </c>
      <c r="F13" s="167">
        <v>87.305547000000004</v>
      </c>
      <c r="G13" s="168">
        <v>4.4074429999999998E-2</v>
      </c>
      <c r="H13" s="168"/>
      <c r="J13" s="75" t="s">
        <v>1071</v>
      </c>
    </row>
    <row r="14" spans="1:17" ht="17.100000000000001" customHeight="1" x14ac:dyDescent="0.2">
      <c r="A14" s="164">
        <v>8</v>
      </c>
      <c r="B14" s="165" t="s">
        <v>335</v>
      </c>
      <c r="C14" s="165" t="s">
        <v>336</v>
      </c>
      <c r="D14" s="165" t="s">
        <v>39</v>
      </c>
      <c r="E14" s="166">
        <v>6081</v>
      </c>
      <c r="F14" s="167">
        <v>70.898379000000006</v>
      </c>
      <c r="G14" s="168">
        <v>3.5791610000000001E-2</v>
      </c>
      <c r="H14" s="168"/>
      <c r="J14" s="75"/>
    </row>
    <row r="15" spans="1:17" ht="17.100000000000001" customHeight="1" x14ac:dyDescent="0.2">
      <c r="A15" s="164">
        <v>9</v>
      </c>
      <c r="B15" s="165" t="s">
        <v>532</v>
      </c>
      <c r="C15" s="200" t="s">
        <v>1053</v>
      </c>
      <c r="D15" s="165" t="s">
        <v>285</v>
      </c>
      <c r="E15" s="166">
        <v>9900</v>
      </c>
      <c r="F15" s="167">
        <v>67.542749999999998</v>
      </c>
      <c r="G15" s="168">
        <v>3.4097589999999997E-2</v>
      </c>
      <c r="H15" s="168"/>
      <c r="J15" s="75"/>
    </row>
    <row r="16" spans="1:17" ht="29.1" customHeight="1" x14ac:dyDescent="0.2">
      <c r="A16" s="164">
        <v>10</v>
      </c>
      <c r="B16" s="165" t="s">
        <v>23</v>
      </c>
      <c r="C16" s="165" t="s">
        <v>24</v>
      </c>
      <c r="D16" s="165" t="s">
        <v>25</v>
      </c>
      <c r="E16" s="166">
        <v>651</v>
      </c>
      <c r="F16" s="167">
        <v>64.916743499999995</v>
      </c>
      <c r="G16" s="168">
        <v>3.27719E-2</v>
      </c>
      <c r="H16" s="168"/>
      <c r="J16" s="75"/>
    </row>
    <row r="17" spans="1:10" ht="17.100000000000001" customHeight="1" x14ac:dyDescent="0.2">
      <c r="A17" s="164">
        <v>11</v>
      </c>
      <c r="B17" s="165" t="s">
        <v>112</v>
      </c>
      <c r="C17" s="165" t="s">
        <v>113</v>
      </c>
      <c r="D17" s="165" t="s">
        <v>114</v>
      </c>
      <c r="E17" s="166">
        <v>6000</v>
      </c>
      <c r="F17" s="167">
        <v>55.779000000000003</v>
      </c>
      <c r="G17" s="168">
        <v>2.8158900000000001E-2</v>
      </c>
      <c r="H17" s="168"/>
      <c r="J17" s="75"/>
    </row>
    <row r="18" spans="1:10" ht="17.100000000000001" customHeight="1" x14ac:dyDescent="0.2">
      <c r="A18" s="164">
        <v>12</v>
      </c>
      <c r="B18" s="165" t="s">
        <v>382</v>
      </c>
      <c r="C18" s="165" t="s">
        <v>383</v>
      </c>
      <c r="D18" s="165" t="s">
        <v>75</v>
      </c>
      <c r="E18" s="166">
        <v>1421</v>
      </c>
      <c r="F18" s="167">
        <v>51.003242499999999</v>
      </c>
      <c r="G18" s="168">
        <v>2.5747949999999999E-2</v>
      </c>
      <c r="H18" s="168"/>
      <c r="J18" s="75"/>
    </row>
    <row r="19" spans="1:10" ht="17.100000000000001" customHeight="1" x14ac:dyDescent="0.2">
      <c r="A19" s="164">
        <v>13</v>
      </c>
      <c r="B19" s="165" t="s">
        <v>533</v>
      </c>
      <c r="C19" s="165" t="s">
        <v>534</v>
      </c>
      <c r="D19" s="165" t="s">
        <v>39</v>
      </c>
      <c r="E19" s="166">
        <v>17989</v>
      </c>
      <c r="F19" s="167">
        <v>50.639035</v>
      </c>
      <c r="G19" s="168">
        <v>2.5564090000000001E-2</v>
      </c>
      <c r="H19" s="168"/>
      <c r="J19" s="75"/>
    </row>
    <row r="20" spans="1:10" ht="17.100000000000001" customHeight="1" x14ac:dyDescent="0.2">
      <c r="A20" s="164">
        <v>14</v>
      </c>
      <c r="B20" s="165" t="s">
        <v>476</v>
      </c>
      <c r="C20" s="165" t="s">
        <v>477</v>
      </c>
      <c r="D20" s="165" t="s">
        <v>213</v>
      </c>
      <c r="E20" s="166">
        <v>13359</v>
      </c>
      <c r="F20" s="167">
        <v>48.900619499999998</v>
      </c>
      <c r="G20" s="168">
        <v>2.4686489999999998E-2</v>
      </c>
      <c r="H20" s="168"/>
      <c r="J20" s="75"/>
    </row>
    <row r="21" spans="1:10" ht="29.1" customHeight="1" x14ac:dyDescent="0.2">
      <c r="A21" s="164">
        <v>15</v>
      </c>
      <c r="B21" s="165" t="s">
        <v>219</v>
      </c>
      <c r="C21" s="165" t="s">
        <v>220</v>
      </c>
      <c r="D21" s="165" t="s">
        <v>221</v>
      </c>
      <c r="E21" s="166">
        <v>4000</v>
      </c>
      <c r="F21" s="167">
        <v>48.314</v>
      </c>
      <c r="G21" s="168">
        <v>2.439034E-2</v>
      </c>
      <c r="H21" s="168"/>
      <c r="J21" s="75"/>
    </row>
    <row r="22" spans="1:10" ht="17.100000000000001" customHeight="1" x14ac:dyDescent="0.2">
      <c r="A22" s="164">
        <v>16</v>
      </c>
      <c r="B22" s="165" t="s">
        <v>535</v>
      </c>
      <c r="C22" s="165" t="s">
        <v>536</v>
      </c>
      <c r="D22" s="165" t="s">
        <v>235</v>
      </c>
      <c r="E22" s="166">
        <v>3200</v>
      </c>
      <c r="F22" s="167">
        <v>45.9696</v>
      </c>
      <c r="G22" s="168">
        <v>2.320682E-2</v>
      </c>
      <c r="H22" s="168"/>
      <c r="J22" s="71"/>
    </row>
    <row r="23" spans="1:10" ht="17.100000000000001" customHeight="1" x14ac:dyDescent="0.2">
      <c r="A23" s="164">
        <v>17</v>
      </c>
      <c r="B23" s="165" t="s">
        <v>102</v>
      </c>
      <c r="C23" s="165" t="s">
        <v>103</v>
      </c>
      <c r="D23" s="165" t="s">
        <v>104</v>
      </c>
      <c r="E23" s="166">
        <v>1240</v>
      </c>
      <c r="F23" s="167">
        <v>45.75414</v>
      </c>
      <c r="G23" s="168">
        <v>2.3098049999999998E-2</v>
      </c>
      <c r="H23" s="168"/>
      <c r="J23" s="75"/>
    </row>
    <row r="24" spans="1:10" ht="17.100000000000001" customHeight="1" x14ac:dyDescent="0.2">
      <c r="A24" s="164">
        <v>18</v>
      </c>
      <c r="B24" s="165" t="s">
        <v>362</v>
      </c>
      <c r="C24" s="165" t="s">
        <v>363</v>
      </c>
      <c r="D24" s="165" t="s">
        <v>364</v>
      </c>
      <c r="E24" s="166">
        <v>10141</v>
      </c>
      <c r="F24" s="167">
        <v>44.179266499999997</v>
      </c>
      <c r="G24" s="168">
        <v>2.2303010000000002E-2</v>
      </c>
      <c r="H24" s="168"/>
      <c r="J24" s="75"/>
    </row>
    <row r="25" spans="1:10" ht="29.1" customHeight="1" x14ac:dyDescent="0.2">
      <c r="A25" s="164">
        <v>19</v>
      </c>
      <c r="B25" s="165" t="s">
        <v>314</v>
      </c>
      <c r="C25" s="165" t="s">
        <v>315</v>
      </c>
      <c r="D25" s="165" t="s">
        <v>316</v>
      </c>
      <c r="E25" s="166">
        <v>1204</v>
      </c>
      <c r="F25" s="167">
        <v>41.167769999999997</v>
      </c>
      <c r="G25" s="168">
        <v>2.0782709999999999E-2</v>
      </c>
      <c r="H25" s="168"/>
      <c r="J25" s="75"/>
    </row>
    <row r="26" spans="1:10" ht="29.1" customHeight="1" x14ac:dyDescent="0.2">
      <c r="A26" s="164">
        <v>20</v>
      </c>
      <c r="B26" s="165" t="s">
        <v>346</v>
      </c>
      <c r="C26" s="165" t="s">
        <v>347</v>
      </c>
      <c r="D26" s="165" t="s">
        <v>216</v>
      </c>
      <c r="E26" s="166">
        <v>2650</v>
      </c>
      <c r="F26" s="167">
        <v>39.80565</v>
      </c>
      <c r="G26" s="168">
        <v>2.0095080000000001E-2</v>
      </c>
      <c r="H26" s="168"/>
      <c r="J26" s="75"/>
    </row>
    <row r="27" spans="1:10" ht="17.100000000000001" customHeight="1" x14ac:dyDescent="0.2">
      <c r="A27" s="164">
        <v>21</v>
      </c>
      <c r="B27" s="165" t="s">
        <v>250</v>
      </c>
      <c r="C27" s="165" t="s">
        <v>251</v>
      </c>
      <c r="D27" s="165" t="s">
        <v>16</v>
      </c>
      <c r="E27" s="166">
        <v>7501</v>
      </c>
      <c r="F27" s="167">
        <v>37.159953999999999</v>
      </c>
      <c r="G27" s="168">
        <v>1.875945E-2</v>
      </c>
      <c r="H27" s="168"/>
      <c r="J27" s="75"/>
    </row>
    <row r="28" spans="1:10" ht="17.100000000000001" customHeight="1" x14ac:dyDescent="0.2">
      <c r="A28" s="164">
        <v>22</v>
      </c>
      <c r="B28" s="165" t="s">
        <v>127</v>
      </c>
      <c r="C28" s="165" t="s">
        <v>128</v>
      </c>
      <c r="D28" s="165" t="s">
        <v>16</v>
      </c>
      <c r="E28" s="166">
        <v>5912</v>
      </c>
      <c r="F28" s="167">
        <v>35.906531999999999</v>
      </c>
      <c r="G28" s="168">
        <v>1.8126679999999999E-2</v>
      </c>
      <c r="H28" s="168"/>
      <c r="J28" s="75"/>
    </row>
    <row r="29" spans="1:10" ht="17.100000000000001" customHeight="1" x14ac:dyDescent="0.2">
      <c r="A29" s="164">
        <v>23</v>
      </c>
      <c r="B29" s="165" t="s">
        <v>339</v>
      </c>
      <c r="C29" s="165" t="s">
        <v>340</v>
      </c>
      <c r="D29" s="165" t="s">
        <v>232</v>
      </c>
      <c r="E29" s="166">
        <v>937</v>
      </c>
      <c r="F29" s="167">
        <v>35.799490499999997</v>
      </c>
      <c r="G29" s="168">
        <v>1.8072649999999999E-2</v>
      </c>
      <c r="H29" s="168"/>
      <c r="J29" s="75"/>
    </row>
    <row r="30" spans="1:10" ht="17.100000000000001" customHeight="1" x14ac:dyDescent="0.2">
      <c r="A30" s="164">
        <v>24</v>
      </c>
      <c r="B30" s="165" t="s">
        <v>537</v>
      </c>
      <c r="C30" s="165" t="s">
        <v>538</v>
      </c>
      <c r="D30" s="165" t="s">
        <v>232</v>
      </c>
      <c r="E30" s="166">
        <v>2560</v>
      </c>
      <c r="F30" s="167">
        <v>34.984960000000001</v>
      </c>
      <c r="G30" s="168">
        <v>1.7661449999999999E-2</v>
      </c>
      <c r="H30" s="168"/>
      <c r="J30" s="75"/>
    </row>
    <row r="31" spans="1:10" ht="29.1" customHeight="1" x14ac:dyDescent="0.2">
      <c r="A31" s="164">
        <v>25</v>
      </c>
      <c r="B31" s="165" t="s">
        <v>135</v>
      </c>
      <c r="C31" s="165" t="s">
        <v>136</v>
      </c>
      <c r="D31" s="165" t="s">
        <v>25</v>
      </c>
      <c r="E31" s="166">
        <v>1871</v>
      </c>
      <c r="F31" s="167">
        <v>26.982626499999999</v>
      </c>
      <c r="G31" s="168">
        <v>1.3621629999999999E-2</v>
      </c>
      <c r="H31" s="168"/>
      <c r="J31" s="75"/>
    </row>
    <row r="32" spans="1:10" ht="29.1" customHeight="1" x14ac:dyDescent="0.2">
      <c r="A32" s="164">
        <v>26</v>
      </c>
      <c r="B32" s="165" t="s">
        <v>539</v>
      </c>
      <c r="C32" s="165" t="s">
        <v>540</v>
      </c>
      <c r="D32" s="165" t="s">
        <v>216</v>
      </c>
      <c r="E32" s="166">
        <v>1814</v>
      </c>
      <c r="F32" s="167">
        <v>25.396000000000001</v>
      </c>
      <c r="G32" s="168">
        <v>1.2820659999999999E-2</v>
      </c>
      <c r="H32" s="168"/>
      <c r="J32" s="75"/>
    </row>
    <row r="33" spans="1:10" ht="17.100000000000001" customHeight="1" x14ac:dyDescent="0.2">
      <c r="A33" s="164">
        <v>27</v>
      </c>
      <c r="B33" s="165" t="s">
        <v>60</v>
      </c>
      <c r="C33" s="165" t="s">
        <v>61</v>
      </c>
      <c r="D33" s="165" t="s">
        <v>62</v>
      </c>
      <c r="E33" s="166">
        <v>2464</v>
      </c>
      <c r="F33" s="167">
        <v>25.329920000000001</v>
      </c>
      <c r="G33" s="168">
        <v>1.27873E-2</v>
      </c>
      <c r="H33" s="168"/>
      <c r="J33" s="75"/>
    </row>
    <row r="34" spans="1:10" ht="29.1" customHeight="1" x14ac:dyDescent="0.2">
      <c r="A34" s="164">
        <v>28</v>
      </c>
      <c r="B34" s="165" t="s">
        <v>541</v>
      </c>
      <c r="C34" s="165" t="s">
        <v>542</v>
      </c>
      <c r="D34" s="165" t="s">
        <v>414</v>
      </c>
      <c r="E34" s="166">
        <v>2272</v>
      </c>
      <c r="F34" s="167">
        <v>25.181712000000001</v>
      </c>
      <c r="G34" s="168">
        <v>1.271248E-2</v>
      </c>
      <c r="H34" s="168"/>
      <c r="J34" s="75"/>
    </row>
    <row r="35" spans="1:10" ht="17.100000000000001" customHeight="1" x14ac:dyDescent="0.2">
      <c r="A35" s="164">
        <v>29</v>
      </c>
      <c r="B35" s="165" t="s">
        <v>360</v>
      </c>
      <c r="C35" s="165" t="s">
        <v>361</v>
      </c>
      <c r="D35" s="165" t="s">
        <v>39</v>
      </c>
      <c r="E35" s="166">
        <v>1250</v>
      </c>
      <c r="F35" s="167">
        <v>18.946249999999999</v>
      </c>
      <c r="G35" s="168">
        <v>9.5646299999999993E-3</v>
      </c>
      <c r="H35" s="168"/>
      <c r="J35" s="75"/>
    </row>
    <row r="36" spans="1:10" ht="17.100000000000001" customHeight="1" x14ac:dyDescent="0.2">
      <c r="A36" s="164">
        <v>30</v>
      </c>
      <c r="B36" s="165" t="s">
        <v>376</v>
      </c>
      <c r="C36" s="165" t="s">
        <v>377</v>
      </c>
      <c r="D36" s="165" t="s">
        <v>364</v>
      </c>
      <c r="E36" s="166">
        <v>788</v>
      </c>
      <c r="F36" s="167">
        <v>17.575945999999998</v>
      </c>
      <c r="G36" s="168">
        <v>8.8728599999999998E-3</v>
      </c>
      <c r="H36" s="168"/>
      <c r="J36" s="75"/>
    </row>
    <row r="37" spans="1:10" ht="17.100000000000001" customHeight="1" x14ac:dyDescent="0.2">
      <c r="A37" s="164">
        <v>31</v>
      </c>
      <c r="B37" s="165" t="s">
        <v>343</v>
      </c>
      <c r="C37" s="165" t="s">
        <v>344</v>
      </c>
      <c r="D37" s="165" t="s">
        <v>345</v>
      </c>
      <c r="E37" s="166">
        <v>2289</v>
      </c>
      <c r="F37" s="167">
        <v>14.750316</v>
      </c>
      <c r="G37" s="168">
        <v>7.4463999999999997E-3</v>
      </c>
      <c r="H37" s="168"/>
      <c r="J37" s="75"/>
    </row>
    <row r="38" spans="1:10" ht="17.100000000000001" customHeight="1" x14ac:dyDescent="0.2">
      <c r="A38" s="164">
        <v>32</v>
      </c>
      <c r="B38" s="165" t="s">
        <v>543</v>
      </c>
      <c r="C38" s="165" t="s">
        <v>1085</v>
      </c>
      <c r="D38" s="165" t="s">
        <v>19</v>
      </c>
      <c r="E38" s="166">
        <v>482</v>
      </c>
      <c r="F38" s="167">
        <v>4.5136890000000003</v>
      </c>
      <c r="G38" s="168">
        <v>2.2786400000000002E-3</v>
      </c>
      <c r="H38" s="168"/>
      <c r="J38" s="75"/>
    </row>
    <row r="39" spans="1:10" ht="14.1" customHeight="1" x14ac:dyDescent="0.2">
      <c r="A39" s="162"/>
      <c r="B39" s="162"/>
      <c r="C39" s="163" t="s">
        <v>152</v>
      </c>
      <c r="D39" s="162"/>
      <c r="E39" s="162" t="s">
        <v>153</v>
      </c>
      <c r="F39" s="169">
        <v>1898.4910894999998</v>
      </c>
      <c r="G39" s="170">
        <v>0.95841473999999993</v>
      </c>
      <c r="H39" s="170"/>
      <c r="J39" s="75"/>
    </row>
    <row r="40" spans="1:10" ht="14.1" customHeight="1" x14ac:dyDescent="0.2">
      <c r="A40" s="162"/>
      <c r="B40" s="162"/>
      <c r="C40" s="171"/>
      <c r="D40" s="162"/>
      <c r="E40" s="162"/>
      <c r="F40" s="172"/>
      <c r="G40" s="172"/>
      <c r="H40" s="172"/>
      <c r="J40" s="75"/>
    </row>
    <row r="41" spans="1:10" ht="14.1" customHeight="1" x14ac:dyDescent="0.2">
      <c r="A41" s="162"/>
      <c r="B41" s="162"/>
      <c r="C41" s="163" t="s">
        <v>154</v>
      </c>
      <c r="D41" s="162"/>
      <c r="E41" s="162"/>
      <c r="F41" s="162"/>
      <c r="G41" s="162"/>
      <c r="H41" s="162"/>
      <c r="J41" s="75"/>
    </row>
    <row r="42" spans="1:10" ht="14.1" customHeight="1" x14ac:dyDescent="0.2">
      <c r="A42" s="162"/>
      <c r="B42" s="162"/>
      <c r="C42" s="163" t="s">
        <v>152</v>
      </c>
      <c r="D42" s="162"/>
      <c r="E42" s="162" t="s">
        <v>153</v>
      </c>
      <c r="F42" s="173" t="s">
        <v>155</v>
      </c>
      <c r="G42" s="170">
        <v>0</v>
      </c>
      <c r="H42" s="170"/>
      <c r="J42" s="75"/>
    </row>
    <row r="43" spans="1:10" ht="14.1" customHeight="1" x14ac:dyDescent="0.2">
      <c r="A43" s="162"/>
      <c r="B43" s="162"/>
      <c r="C43" s="171"/>
      <c r="D43" s="162"/>
      <c r="E43" s="162"/>
      <c r="F43" s="172"/>
      <c r="G43" s="172"/>
      <c r="H43" s="172"/>
      <c r="J43" s="75"/>
    </row>
    <row r="44" spans="1:10" ht="14.1" customHeight="1" x14ac:dyDescent="0.2">
      <c r="A44" s="162"/>
      <c r="B44" s="162"/>
      <c r="C44" s="163" t="s">
        <v>156</v>
      </c>
      <c r="D44" s="162"/>
      <c r="E44" s="162"/>
      <c r="F44" s="162"/>
      <c r="G44" s="162"/>
      <c r="H44" s="162"/>
      <c r="J44" s="75"/>
    </row>
    <row r="45" spans="1:10" ht="14.1" customHeight="1" x14ac:dyDescent="0.2">
      <c r="A45" s="162"/>
      <c r="B45" s="162"/>
      <c r="C45" s="163" t="s">
        <v>152</v>
      </c>
      <c r="D45" s="162"/>
      <c r="E45" s="162" t="s">
        <v>153</v>
      </c>
      <c r="F45" s="173" t="s">
        <v>155</v>
      </c>
      <c r="G45" s="170">
        <v>0</v>
      </c>
      <c r="H45" s="170"/>
      <c r="J45" s="75"/>
    </row>
    <row r="46" spans="1:10" ht="14.1" customHeight="1" x14ac:dyDescent="0.2">
      <c r="A46" s="162"/>
      <c r="B46" s="162"/>
      <c r="C46" s="171"/>
      <c r="D46" s="162"/>
      <c r="E46" s="162"/>
      <c r="F46" s="172"/>
      <c r="G46" s="172"/>
      <c r="H46" s="172"/>
      <c r="J46" s="75"/>
    </row>
    <row r="47" spans="1:10" ht="14.1" customHeight="1" x14ac:dyDescent="0.2">
      <c r="A47" s="162"/>
      <c r="B47" s="162"/>
      <c r="C47" s="163" t="s">
        <v>157</v>
      </c>
      <c r="D47" s="162"/>
      <c r="E47" s="162"/>
      <c r="F47" s="162"/>
      <c r="G47" s="162"/>
      <c r="H47" s="162"/>
      <c r="J47" s="75"/>
    </row>
    <row r="48" spans="1:10" ht="14.1" customHeight="1" x14ac:dyDescent="0.2">
      <c r="A48" s="162"/>
      <c r="B48" s="162"/>
      <c r="C48" s="163" t="s">
        <v>152</v>
      </c>
      <c r="D48" s="162"/>
      <c r="E48" s="162" t="s">
        <v>153</v>
      </c>
      <c r="F48" s="173" t="s">
        <v>155</v>
      </c>
      <c r="G48" s="170">
        <v>0</v>
      </c>
      <c r="H48" s="170"/>
      <c r="J48" s="75"/>
    </row>
    <row r="49" spans="1:10" ht="14.1" customHeight="1" x14ac:dyDescent="0.2">
      <c r="A49" s="162"/>
      <c r="B49" s="162"/>
      <c r="C49" s="171"/>
      <c r="D49" s="162"/>
      <c r="E49" s="162"/>
      <c r="F49" s="172"/>
      <c r="G49" s="172"/>
      <c r="H49" s="172"/>
      <c r="J49" s="75"/>
    </row>
    <row r="50" spans="1:10" ht="14.1" customHeight="1" x14ac:dyDescent="0.2">
      <c r="A50" s="162"/>
      <c r="B50" s="162"/>
      <c r="C50" s="163" t="s">
        <v>158</v>
      </c>
      <c r="D50" s="162"/>
      <c r="E50" s="162"/>
      <c r="F50" s="172"/>
      <c r="G50" s="172"/>
      <c r="H50" s="172"/>
      <c r="J50" s="75"/>
    </row>
    <row r="51" spans="1:10" ht="14.1" customHeight="1" x14ac:dyDescent="0.2">
      <c r="A51" s="162"/>
      <c r="B51" s="162"/>
      <c r="C51" s="163" t="s">
        <v>152</v>
      </c>
      <c r="D51" s="162"/>
      <c r="E51" s="162" t="s">
        <v>153</v>
      </c>
      <c r="F51" s="173" t="s">
        <v>155</v>
      </c>
      <c r="G51" s="170">
        <v>0</v>
      </c>
      <c r="H51" s="170"/>
      <c r="J51" s="75"/>
    </row>
    <row r="52" spans="1:10" ht="14.1" customHeight="1" x14ac:dyDescent="0.2">
      <c r="A52" s="162"/>
      <c r="B52" s="162"/>
      <c r="C52" s="171"/>
      <c r="D52" s="162"/>
      <c r="E52" s="162"/>
      <c r="F52" s="172"/>
      <c r="G52" s="172"/>
      <c r="H52" s="172"/>
      <c r="J52" s="75"/>
    </row>
    <row r="53" spans="1:10" ht="14.1" customHeight="1" x14ac:dyDescent="0.2">
      <c r="A53" s="162"/>
      <c r="B53" s="162"/>
      <c r="C53" s="163" t="s">
        <v>159</v>
      </c>
      <c r="D53" s="162"/>
      <c r="E53" s="162"/>
      <c r="F53" s="172"/>
      <c r="G53" s="172"/>
      <c r="H53" s="172"/>
      <c r="J53" s="75"/>
    </row>
    <row r="54" spans="1:10" ht="14.1" customHeight="1" x14ac:dyDescent="0.2">
      <c r="A54" s="162"/>
      <c r="B54" s="162"/>
      <c r="C54" s="163" t="s">
        <v>152</v>
      </c>
      <c r="D54" s="162"/>
      <c r="E54" s="162" t="s">
        <v>153</v>
      </c>
      <c r="F54" s="173" t="s">
        <v>155</v>
      </c>
      <c r="G54" s="170">
        <v>0</v>
      </c>
      <c r="H54" s="170"/>
      <c r="J54" s="75"/>
    </row>
    <row r="55" spans="1:10" ht="14.1" customHeight="1" x14ac:dyDescent="0.2">
      <c r="A55" s="162"/>
      <c r="B55" s="162"/>
      <c r="C55" s="171"/>
      <c r="D55" s="162"/>
      <c r="E55" s="162"/>
      <c r="F55" s="172"/>
      <c r="G55" s="172"/>
      <c r="H55" s="172"/>
      <c r="J55" s="75"/>
    </row>
    <row r="56" spans="1:10" ht="18" customHeight="1" x14ac:dyDescent="0.2">
      <c r="A56" s="162"/>
      <c r="B56" s="162"/>
      <c r="C56" s="163" t="s">
        <v>160</v>
      </c>
      <c r="D56" s="162"/>
      <c r="E56" s="162"/>
      <c r="F56" s="169">
        <v>1898.4910895</v>
      </c>
      <c r="G56" s="170">
        <v>0.95841474000000004</v>
      </c>
      <c r="H56" s="170"/>
      <c r="J56" s="75"/>
    </row>
    <row r="57" spans="1:10" ht="14.1" customHeight="1" x14ac:dyDescent="0.2">
      <c r="A57" s="162"/>
      <c r="B57" s="162"/>
      <c r="C57" s="171"/>
      <c r="D57" s="162"/>
      <c r="E57" s="162"/>
      <c r="F57" s="172"/>
      <c r="G57" s="172"/>
      <c r="H57" s="172"/>
      <c r="J57" s="75"/>
    </row>
    <row r="58" spans="1:10" ht="14.1" customHeight="1" x14ac:dyDescent="0.2">
      <c r="A58" s="162"/>
      <c r="B58" s="162"/>
      <c r="C58" s="163" t="s">
        <v>161</v>
      </c>
      <c r="D58" s="162"/>
      <c r="E58" s="162"/>
      <c r="F58" s="172"/>
      <c r="G58" s="172"/>
      <c r="H58" s="172"/>
      <c r="J58" s="75"/>
    </row>
    <row r="59" spans="1:10" ht="24" customHeight="1" x14ac:dyDescent="0.2">
      <c r="A59" s="162"/>
      <c r="B59" s="162"/>
      <c r="C59" s="163" t="s">
        <v>10</v>
      </c>
      <c r="D59" s="162"/>
      <c r="E59" s="162"/>
      <c r="F59" s="172"/>
      <c r="G59" s="172"/>
      <c r="H59" s="17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162</v>
      </c>
      <c r="D62" s="162"/>
      <c r="E62" s="162"/>
      <c r="F62" s="162"/>
      <c r="G62" s="162"/>
      <c r="H62" s="162"/>
      <c r="J62" s="75"/>
    </row>
    <row r="63" spans="1:10" ht="14.1" customHeight="1" x14ac:dyDescent="0.2">
      <c r="A63" s="162"/>
      <c r="B63" s="162"/>
      <c r="C63" s="163" t="s">
        <v>152</v>
      </c>
      <c r="D63" s="162"/>
      <c r="E63" s="162" t="s">
        <v>153</v>
      </c>
      <c r="F63" s="173" t="s">
        <v>155</v>
      </c>
      <c r="G63" s="170">
        <v>0</v>
      </c>
      <c r="H63" s="170"/>
      <c r="J63" s="75"/>
    </row>
    <row r="64" spans="1:10" ht="14.1" customHeight="1" x14ac:dyDescent="0.2">
      <c r="A64" s="162"/>
      <c r="B64" s="162"/>
      <c r="C64" s="171"/>
      <c r="D64" s="162"/>
      <c r="E64" s="162"/>
      <c r="F64" s="172"/>
      <c r="G64" s="172"/>
      <c r="H64" s="172"/>
      <c r="J64" s="75"/>
    </row>
    <row r="65" spans="1:10" ht="14.1" customHeight="1" x14ac:dyDescent="0.2">
      <c r="A65" s="162"/>
      <c r="B65" s="162"/>
      <c r="C65" s="163" t="s">
        <v>163</v>
      </c>
      <c r="D65" s="162"/>
      <c r="E65" s="162"/>
      <c r="F65" s="162"/>
      <c r="G65" s="162"/>
      <c r="H65" s="162"/>
      <c r="J65" s="75"/>
    </row>
    <row r="66" spans="1:10" ht="14.1" customHeight="1" x14ac:dyDescent="0.2">
      <c r="A66" s="162"/>
      <c r="B66" s="162"/>
      <c r="C66" s="163" t="s">
        <v>152</v>
      </c>
      <c r="D66" s="162"/>
      <c r="E66" s="162" t="s">
        <v>153</v>
      </c>
      <c r="F66" s="173" t="s">
        <v>155</v>
      </c>
      <c r="G66" s="170">
        <v>0</v>
      </c>
      <c r="H66" s="170"/>
      <c r="J66" s="75"/>
    </row>
    <row r="67" spans="1:10" ht="14.1" customHeight="1" x14ac:dyDescent="0.2">
      <c r="A67" s="162"/>
      <c r="B67" s="162"/>
      <c r="C67" s="171"/>
      <c r="D67" s="162"/>
      <c r="E67" s="162"/>
      <c r="F67" s="172"/>
      <c r="G67" s="172"/>
      <c r="H67" s="172"/>
      <c r="J67" s="75"/>
    </row>
    <row r="68" spans="1:10" ht="14.1" customHeight="1" x14ac:dyDescent="0.2">
      <c r="A68" s="162"/>
      <c r="B68" s="162"/>
      <c r="C68" s="163" t="s">
        <v>164</v>
      </c>
      <c r="D68" s="162"/>
      <c r="E68" s="162"/>
      <c r="F68" s="172"/>
      <c r="G68" s="172"/>
      <c r="H68" s="172"/>
      <c r="J68" s="75"/>
    </row>
    <row r="69" spans="1:10" ht="14.1" customHeight="1" x14ac:dyDescent="0.2">
      <c r="A69" s="162"/>
      <c r="B69" s="162"/>
      <c r="C69" s="163" t="s">
        <v>152</v>
      </c>
      <c r="D69" s="162"/>
      <c r="E69" s="162" t="s">
        <v>153</v>
      </c>
      <c r="F69" s="173" t="s">
        <v>155</v>
      </c>
      <c r="G69" s="170">
        <v>0</v>
      </c>
      <c r="H69" s="170"/>
      <c r="J69" s="75"/>
    </row>
    <row r="70" spans="1:10" ht="14.1" customHeight="1" x14ac:dyDescent="0.2">
      <c r="A70" s="162"/>
      <c r="B70" s="162"/>
      <c r="C70" s="171"/>
      <c r="D70" s="162"/>
      <c r="E70" s="162"/>
      <c r="F70" s="172"/>
      <c r="G70" s="172"/>
      <c r="H70" s="172"/>
      <c r="J70" s="75"/>
    </row>
    <row r="71" spans="1:10" ht="14.1" customHeight="1" x14ac:dyDescent="0.2">
      <c r="A71" s="162"/>
      <c r="B71" s="162"/>
      <c r="C71" s="163" t="s">
        <v>165</v>
      </c>
      <c r="D71" s="162"/>
      <c r="E71" s="162"/>
      <c r="F71" s="169">
        <v>0</v>
      </c>
      <c r="G71" s="170">
        <v>0</v>
      </c>
      <c r="H71" s="170"/>
      <c r="J71" s="75"/>
    </row>
    <row r="72" spans="1:10" ht="14.1" customHeight="1" x14ac:dyDescent="0.2">
      <c r="A72" s="162"/>
      <c r="B72" s="162"/>
      <c r="C72" s="171"/>
      <c r="D72" s="162"/>
      <c r="E72" s="162"/>
      <c r="F72" s="172"/>
      <c r="G72" s="172"/>
      <c r="H72" s="172"/>
      <c r="J72" s="75"/>
    </row>
    <row r="73" spans="1:10" ht="14.1" customHeight="1" x14ac:dyDescent="0.2">
      <c r="A73" s="162"/>
      <c r="B73" s="162"/>
      <c r="C73" s="163" t="s">
        <v>166</v>
      </c>
      <c r="D73" s="162"/>
      <c r="E73" s="162"/>
      <c r="F73" s="172"/>
      <c r="G73" s="172"/>
      <c r="H73" s="172"/>
      <c r="J73" s="75"/>
    </row>
    <row r="74" spans="1:10" ht="14.1" customHeight="1" x14ac:dyDescent="0.2">
      <c r="A74" s="162"/>
      <c r="B74" s="162"/>
      <c r="C74" s="163" t="s">
        <v>167</v>
      </c>
      <c r="D74" s="162"/>
      <c r="E74" s="162"/>
      <c r="F74" s="172"/>
      <c r="G74" s="172"/>
      <c r="H74" s="172"/>
      <c r="J74" s="75"/>
    </row>
    <row r="75" spans="1:10" ht="14.1" customHeight="1" x14ac:dyDescent="0.2">
      <c r="A75" s="162"/>
      <c r="B75" s="162"/>
      <c r="C75" s="163" t="s">
        <v>152</v>
      </c>
      <c r="D75" s="162"/>
      <c r="E75" s="162" t="s">
        <v>153</v>
      </c>
      <c r="F75" s="173" t="s">
        <v>155</v>
      </c>
      <c r="G75" s="170">
        <v>0</v>
      </c>
      <c r="H75" s="170"/>
      <c r="J75" s="75"/>
    </row>
    <row r="76" spans="1:10" ht="14.1" customHeight="1" x14ac:dyDescent="0.2">
      <c r="A76" s="162"/>
      <c r="B76" s="162"/>
      <c r="C76" s="171"/>
      <c r="D76" s="162"/>
      <c r="E76" s="162"/>
      <c r="F76" s="172"/>
      <c r="G76" s="172"/>
      <c r="H76" s="172"/>
      <c r="J76" s="75"/>
    </row>
    <row r="77" spans="1:10" ht="14.1" customHeight="1" x14ac:dyDescent="0.2">
      <c r="A77" s="162"/>
      <c r="B77" s="162"/>
      <c r="C77" s="163" t="s">
        <v>168</v>
      </c>
      <c r="D77" s="162"/>
      <c r="E77" s="162"/>
      <c r="F77" s="172"/>
      <c r="G77" s="172"/>
      <c r="H77" s="172"/>
      <c r="J77" s="75"/>
    </row>
    <row r="78" spans="1:10" ht="14.1" customHeight="1" x14ac:dyDescent="0.2">
      <c r="A78" s="162"/>
      <c r="B78" s="162"/>
      <c r="C78" s="163" t="s">
        <v>152</v>
      </c>
      <c r="D78" s="162"/>
      <c r="E78" s="162" t="s">
        <v>153</v>
      </c>
      <c r="F78" s="173" t="s">
        <v>155</v>
      </c>
      <c r="G78" s="170">
        <v>0</v>
      </c>
      <c r="H78" s="170"/>
      <c r="J78" s="75"/>
    </row>
    <row r="79" spans="1:10" ht="14.1" customHeight="1" x14ac:dyDescent="0.2">
      <c r="A79" s="162"/>
      <c r="B79" s="162"/>
      <c r="C79" s="171"/>
      <c r="D79" s="162"/>
      <c r="E79" s="162"/>
      <c r="F79" s="172"/>
      <c r="G79" s="172"/>
      <c r="H79" s="172"/>
      <c r="J79" s="75"/>
    </row>
    <row r="80" spans="1:10" ht="14.1" customHeight="1" x14ac:dyDescent="0.2">
      <c r="A80" s="162"/>
      <c r="B80" s="162"/>
      <c r="C80" s="163" t="s">
        <v>169</v>
      </c>
      <c r="D80" s="162"/>
      <c r="E80" s="162"/>
      <c r="F80" s="172"/>
      <c r="G80" s="172"/>
      <c r="H80" s="172"/>
      <c r="J80" s="75"/>
    </row>
    <row r="81" spans="1:10" ht="14.1" customHeight="1" x14ac:dyDescent="0.2">
      <c r="A81" s="162"/>
      <c r="B81" s="162"/>
      <c r="C81" s="163" t="s">
        <v>152</v>
      </c>
      <c r="D81" s="162"/>
      <c r="E81" s="162" t="s">
        <v>153</v>
      </c>
      <c r="F81" s="173" t="s">
        <v>155</v>
      </c>
      <c r="G81" s="170">
        <v>0</v>
      </c>
      <c r="H81" s="170"/>
      <c r="J81" s="75"/>
    </row>
    <row r="82" spans="1:10" ht="14.1" customHeight="1" x14ac:dyDescent="0.2">
      <c r="A82" s="162"/>
      <c r="B82" s="162"/>
      <c r="C82" s="171"/>
      <c r="D82" s="162"/>
      <c r="E82" s="162"/>
      <c r="F82" s="172"/>
      <c r="G82" s="172"/>
      <c r="H82" s="172"/>
      <c r="J82" s="75"/>
    </row>
    <row r="83" spans="1:10" ht="14.1" customHeight="1" x14ac:dyDescent="0.2">
      <c r="A83" s="162"/>
      <c r="B83" s="162"/>
      <c r="C83" s="163" t="s">
        <v>170</v>
      </c>
      <c r="D83" s="162"/>
      <c r="E83" s="162"/>
      <c r="F83" s="172"/>
      <c r="G83" s="172"/>
      <c r="H83" s="172"/>
      <c r="J83" s="75"/>
    </row>
    <row r="84" spans="1:10" ht="17.100000000000001" customHeight="1" x14ac:dyDescent="0.2">
      <c r="A84" s="164">
        <v>1</v>
      </c>
      <c r="B84" s="165"/>
      <c r="C84" s="165" t="s">
        <v>171</v>
      </c>
      <c r="D84" s="165"/>
      <c r="E84" s="174"/>
      <c r="F84" s="167">
        <v>82.348906799999995</v>
      </c>
      <c r="G84" s="168">
        <v>4.157218E-2</v>
      </c>
      <c r="H84" s="175">
        <v>6.66</v>
      </c>
      <c r="J84" s="75"/>
    </row>
    <row r="85" spans="1:10" ht="14.1" customHeight="1" x14ac:dyDescent="0.2">
      <c r="A85" s="162"/>
      <c r="B85" s="162"/>
      <c r="C85" s="163" t="s">
        <v>152</v>
      </c>
      <c r="D85" s="162"/>
      <c r="E85" s="162" t="s">
        <v>153</v>
      </c>
      <c r="F85" s="169">
        <v>82.348906799999995</v>
      </c>
      <c r="G85" s="170">
        <v>4.157218E-2</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172</v>
      </c>
      <c r="D87" s="162"/>
      <c r="E87" s="162"/>
      <c r="F87" s="169">
        <v>82.348906799999995</v>
      </c>
      <c r="G87" s="170">
        <v>4.157218E-2</v>
      </c>
      <c r="H87" s="170"/>
      <c r="J87" s="75"/>
    </row>
    <row r="88" spans="1:10" ht="14.1" customHeight="1" x14ac:dyDescent="0.2">
      <c r="A88" s="162"/>
      <c r="B88" s="162"/>
      <c r="C88" s="172"/>
      <c r="D88" s="162"/>
      <c r="E88" s="162"/>
      <c r="F88" s="162"/>
      <c r="G88" s="162"/>
      <c r="H88" s="162"/>
      <c r="J88" s="75"/>
    </row>
    <row r="89" spans="1:10" ht="14.1" customHeight="1" x14ac:dyDescent="0.2">
      <c r="A89" s="162"/>
      <c r="B89" s="162"/>
      <c r="C89" s="163" t="s">
        <v>173</v>
      </c>
      <c r="D89" s="162"/>
      <c r="E89" s="162"/>
      <c r="F89" s="162"/>
      <c r="G89" s="162"/>
      <c r="H89" s="162"/>
      <c r="J89" s="75"/>
    </row>
    <row r="90" spans="1:10" ht="14.1" customHeight="1" x14ac:dyDescent="0.2">
      <c r="A90" s="162"/>
      <c r="B90" s="162"/>
      <c r="C90" s="163" t="s">
        <v>174</v>
      </c>
      <c r="D90" s="162"/>
      <c r="E90" s="162"/>
      <c r="F90" s="162"/>
      <c r="G90" s="162"/>
      <c r="H90" s="16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177</v>
      </c>
      <c r="D93" s="162"/>
      <c r="E93" s="162"/>
      <c r="F93" s="162"/>
      <c r="G93" s="162"/>
      <c r="H93" s="162"/>
      <c r="J93" s="75"/>
    </row>
    <row r="94" spans="1:10" ht="14.1" customHeight="1" x14ac:dyDescent="0.2">
      <c r="A94" s="162"/>
      <c r="B94" s="162"/>
      <c r="C94" s="163" t="s">
        <v>178</v>
      </c>
      <c r="D94" s="162"/>
      <c r="E94" s="162"/>
      <c r="F94" s="162"/>
      <c r="G94" s="162"/>
      <c r="H94" s="16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7" ht="24" customHeight="1" x14ac:dyDescent="0.2">
      <c r="A97" s="162"/>
      <c r="B97" s="162"/>
      <c r="C97" s="163" t="s">
        <v>179</v>
      </c>
      <c r="D97" s="162"/>
      <c r="E97" s="162"/>
      <c r="F97" s="172"/>
      <c r="G97" s="172"/>
      <c r="H97" s="172"/>
      <c r="J97" s="75"/>
    </row>
    <row r="98" spans="1:17" ht="14.1" customHeight="1" x14ac:dyDescent="0.2">
      <c r="A98" s="162"/>
      <c r="B98" s="162"/>
      <c r="C98" s="163" t="s">
        <v>152</v>
      </c>
      <c r="D98" s="162"/>
      <c r="E98" s="162" t="s">
        <v>153</v>
      </c>
      <c r="F98" s="173" t="s">
        <v>155</v>
      </c>
      <c r="G98" s="170">
        <v>0</v>
      </c>
      <c r="H98" s="170"/>
      <c r="J98" s="75"/>
    </row>
    <row r="99" spans="1:17" ht="14.1" customHeight="1" x14ac:dyDescent="0.2">
      <c r="A99" s="162"/>
      <c r="B99" s="165"/>
      <c r="C99" s="165"/>
      <c r="D99" s="163"/>
      <c r="E99" s="162"/>
      <c r="F99" s="165"/>
      <c r="G99" s="174"/>
      <c r="H99" s="174"/>
      <c r="J99" s="75"/>
    </row>
    <row r="100" spans="1:17" ht="18" customHeight="1" x14ac:dyDescent="0.2">
      <c r="A100" s="174"/>
      <c r="B100" s="165"/>
      <c r="C100" s="165" t="s">
        <v>180</v>
      </c>
      <c r="D100" s="165"/>
      <c r="E100" s="174"/>
      <c r="F100" s="167">
        <v>2.5997260000000001E-2</v>
      </c>
      <c r="G100" s="168" t="s">
        <v>151</v>
      </c>
      <c r="H100" s="168"/>
      <c r="J100" s="75"/>
    </row>
    <row r="101" spans="1:17" ht="14.1" customHeight="1" x14ac:dyDescent="0.2">
      <c r="A101" s="171"/>
      <c r="B101" s="171"/>
      <c r="C101" s="163" t="s">
        <v>181</v>
      </c>
      <c r="D101" s="172"/>
      <c r="E101" s="172"/>
      <c r="F101" s="169">
        <v>1980.8659935600001</v>
      </c>
      <c r="G101" s="177">
        <v>1.00000004</v>
      </c>
      <c r="H101" s="177"/>
      <c r="J101" s="75"/>
    </row>
    <row r="102" spans="1:17" ht="14.1" customHeight="1" x14ac:dyDescent="0.2">
      <c r="A102" s="178"/>
      <c r="B102" s="178"/>
      <c r="C102" s="178"/>
      <c r="D102" s="179"/>
      <c r="E102" s="179"/>
      <c r="F102" s="179"/>
      <c r="G102" s="179"/>
      <c r="H102" s="179"/>
      <c r="J102" s="75"/>
    </row>
    <row r="103" spans="1:17" ht="12.75" customHeight="1" x14ac:dyDescent="0.2">
      <c r="A103" s="180"/>
      <c r="B103" s="258" t="s">
        <v>882</v>
      </c>
      <c r="C103" s="258"/>
      <c r="D103" s="258"/>
      <c r="E103" s="258"/>
      <c r="F103" s="258"/>
      <c r="G103" s="258"/>
      <c r="H103" s="258"/>
      <c r="J103" s="75"/>
    </row>
    <row r="104" spans="1:17" ht="14.1" customHeight="1" x14ac:dyDescent="0.2">
      <c r="A104" s="180"/>
      <c r="B104" s="258" t="s">
        <v>883</v>
      </c>
      <c r="C104" s="258"/>
      <c r="D104" s="258"/>
      <c r="E104" s="258"/>
      <c r="F104" s="258"/>
      <c r="G104" s="258"/>
      <c r="H104" s="258"/>
      <c r="J104" s="75"/>
    </row>
    <row r="105" spans="1:17" ht="17.100000000000001" customHeight="1" x14ac:dyDescent="0.2">
      <c r="A105" s="180"/>
      <c r="B105" s="258" t="s">
        <v>884</v>
      </c>
      <c r="C105" s="258"/>
      <c r="D105" s="258"/>
      <c r="E105" s="258"/>
      <c r="F105" s="258"/>
      <c r="G105" s="258"/>
      <c r="H105" s="258"/>
      <c r="J105" s="75"/>
    </row>
    <row r="106" spans="1:17" s="34" customFormat="1" ht="62.25" customHeight="1" x14ac:dyDescent="0.25">
      <c r="A106" s="33"/>
      <c r="B106" s="259" t="s">
        <v>885</v>
      </c>
      <c r="C106" s="259"/>
      <c r="D106" s="259"/>
      <c r="E106" s="259"/>
      <c r="F106" s="259"/>
      <c r="G106" s="259"/>
      <c r="H106" s="259"/>
      <c r="I106"/>
      <c r="J106" s="75"/>
      <c r="K106"/>
      <c r="L106"/>
      <c r="M106"/>
      <c r="N106"/>
      <c r="O106"/>
      <c r="P106"/>
      <c r="Q106"/>
    </row>
    <row r="107" spans="1:17" ht="12.75" customHeight="1" x14ac:dyDescent="0.2">
      <c r="A107" s="180"/>
      <c r="B107" s="258" t="s">
        <v>886</v>
      </c>
      <c r="C107" s="258"/>
      <c r="D107" s="258"/>
      <c r="E107" s="258"/>
      <c r="F107" s="258"/>
      <c r="G107" s="258"/>
      <c r="H107" s="258"/>
      <c r="J107" s="75"/>
    </row>
    <row r="108" spans="1:17" ht="14.1" customHeight="1" x14ac:dyDescent="0.2">
      <c r="A108" s="181"/>
      <c r="B108" s="181"/>
      <c r="C108" s="181"/>
      <c r="D108" s="182"/>
      <c r="E108" s="182"/>
      <c r="F108" s="182"/>
      <c r="G108" s="182"/>
      <c r="H108" s="182"/>
      <c r="J108" s="75"/>
    </row>
    <row r="109" spans="1:17" ht="14.1" customHeight="1" x14ac:dyDescent="0.2">
      <c r="A109" s="181"/>
      <c r="B109" s="255" t="s">
        <v>183</v>
      </c>
      <c r="C109" s="256"/>
      <c r="D109" s="257"/>
      <c r="E109" s="183"/>
      <c r="F109" s="182"/>
      <c r="G109" s="182"/>
      <c r="H109" s="182"/>
      <c r="J109" s="75"/>
    </row>
    <row r="110" spans="1:17" ht="29.1" customHeight="1" x14ac:dyDescent="0.2">
      <c r="A110" s="181"/>
      <c r="B110" s="253" t="s">
        <v>184</v>
      </c>
      <c r="C110" s="254"/>
      <c r="D110" s="163" t="s">
        <v>185</v>
      </c>
      <c r="E110" s="183"/>
      <c r="F110" s="182"/>
      <c r="G110" s="182"/>
      <c r="H110" s="182"/>
      <c r="J110" s="75"/>
    </row>
    <row r="111" spans="1:17" ht="17.100000000000001" customHeight="1" x14ac:dyDescent="0.2">
      <c r="A111" s="181"/>
      <c r="B111" s="253" t="s">
        <v>186</v>
      </c>
      <c r="C111" s="254"/>
      <c r="D111" s="163" t="s">
        <v>185</v>
      </c>
      <c r="E111" s="183"/>
      <c r="F111" s="182"/>
      <c r="G111" s="182"/>
      <c r="H111" s="182"/>
      <c r="J111" s="75"/>
    </row>
    <row r="112" spans="1:17" ht="17.100000000000001" customHeight="1" x14ac:dyDescent="0.2">
      <c r="A112" s="181"/>
      <c r="B112" s="253" t="s">
        <v>187</v>
      </c>
      <c r="C112" s="254"/>
      <c r="D112" s="172" t="s">
        <v>153</v>
      </c>
      <c r="E112" s="183"/>
      <c r="F112" s="182"/>
      <c r="G112" s="182"/>
      <c r="H112" s="182"/>
      <c r="J112" s="75"/>
    </row>
    <row r="113" spans="1:10" x14ac:dyDescent="0.2">
      <c r="A113" s="185"/>
      <c r="B113" s="186" t="s">
        <v>153</v>
      </c>
      <c r="C113" s="186" t="s">
        <v>1088</v>
      </c>
      <c r="D113" s="186" t="s">
        <v>188</v>
      </c>
      <c r="E113" s="185"/>
      <c r="F113" s="185"/>
      <c r="G113" s="185"/>
      <c r="H113" s="185"/>
      <c r="J113" s="75"/>
    </row>
    <row r="114" spans="1:10" x14ac:dyDescent="0.2">
      <c r="A114" s="185"/>
      <c r="B114" s="187" t="s">
        <v>189</v>
      </c>
      <c r="C114" s="186" t="s">
        <v>190</v>
      </c>
      <c r="D114" s="186" t="s">
        <v>191</v>
      </c>
      <c r="E114" s="185"/>
      <c r="F114" s="185"/>
      <c r="G114" s="185"/>
      <c r="H114" s="185"/>
      <c r="J114" s="75"/>
    </row>
    <row r="115" spans="1:10" ht="17.100000000000001" customHeight="1" x14ac:dyDescent="0.2">
      <c r="A115" s="185"/>
      <c r="B115" s="165" t="s">
        <v>192</v>
      </c>
      <c r="C115" s="188">
        <v>29.646000000000001</v>
      </c>
      <c r="D115" s="188">
        <v>30.5137</v>
      </c>
      <c r="E115" s="185"/>
      <c r="F115" s="189"/>
      <c r="G115" s="190"/>
      <c r="H115" s="190"/>
      <c r="J115" s="75"/>
    </row>
    <row r="116" spans="1:10" ht="17.100000000000001" customHeight="1" x14ac:dyDescent="0.2">
      <c r="A116" s="185"/>
      <c r="B116" s="165" t="s">
        <v>1054</v>
      </c>
      <c r="C116" s="188">
        <v>23.5427</v>
      </c>
      <c r="D116" s="188">
        <v>24.2318</v>
      </c>
      <c r="E116" s="185"/>
      <c r="F116" s="189"/>
      <c r="G116" s="190"/>
      <c r="H116" s="190"/>
      <c r="J116" s="75"/>
    </row>
    <row r="117" spans="1:10" ht="17.100000000000001" customHeight="1" x14ac:dyDescent="0.2">
      <c r="A117" s="185"/>
      <c r="B117" s="165" t="s">
        <v>193</v>
      </c>
      <c r="C117" s="188">
        <v>28.963000000000001</v>
      </c>
      <c r="D117" s="188">
        <v>29.8093</v>
      </c>
      <c r="E117" s="185"/>
      <c r="F117" s="189"/>
      <c r="G117" s="190"/>
      <c r="H117" s="190"/>
      <c r="J117" s="75"/>
    </row>
    <row r="118" spans="1:10" ht="17.100000000000001" customHeight="1" x14ac:dyDescent="0.2">
      <c r="A118" s="185"/>
      <c r="B118" s="165" t="s">
        <v>1055</v>
      </c>
      <c r="C118" s="188">
        <v>22.8916</v>
      </c>
      <c r="D118" s="188">
        <v>23.560500000000001</v>
      </c>
      <c r="E118" s="185"/>
      <c r="F118" s="189"/>
      <c r="G118" s="190"/>
      <c r="H118" s="190"/>
      <c r="J118" s="75"/>
    </row>
    <row r="119" spans="1:10" ht="14.1" customHeight="1" x14ac:dyDescent="0.2">
      <c r="A119" s="185"/>
      <c r="B119" s="185"/>
      <c r="C119" s="185"/>
      <c r="D119" s="185"/>
      <c r="E119" s="185"/>
      <c r="F119" s="185"/>
      <c r="G119" s="185"/>
      <c r="H119" s="185"/>
      <c r="J119" s="75"/>
    </row>
    <row r="120" spans="1:10" ht="17.100000000000001" customHeight="1" x14ac:dyDescent="0.2">
      <c r="A120" s="185"/>
      <c r="B120" s="253" t="s">
        <v>1056</v>
      </c>
      <c r="C120" s="254"/>
      <c r="D120" s="163" t="s">
        <v>185</v>
      </c>
      <c r="E120" s="185"/>
      <c r="F120" s="185"/>
      <c r="G120" s="185"/>
      <c r="H120" s="185"/>
      <c r="J120" s="75"/>
    </row>
    <row r="121" spans="1:10" ht="14.1" customHeight="1" x14ac:dyDescent="0.2">
      <c r="A121" s="185"/>
      <c r="B121" s="189"/>
      <c r="C121" s="189"/>
      <c r="D121" s="185"/>
      <c r="E121" s="185"/>
      <c r="F121" s="185"/>
      <c r="G121" s="185"/>
      <c r="H121" s="185"/>
      <c r="J121" s="75"/>
    </row>
    <row r="122" spans="1:10" ht="29.1" customHeight="1" x14ac:dyDescent="0.2">
      <c r="A122" s="185"/>
      <c r="B122" s="253" t="s">
        <v>194</v>
      </c>
      <c r="C122" s="254"/>
      <c r="D122" s="163" t="s">
        <v>185</v>
      </c>
      <c r="E122" s="191"/>
      <c r="F122" s="185"/>
      <c r="G122" s="185"/>
      <c r="H122" s="185"/>
      <c r="J122" s="75"/>
    </row>
    <row r="123" spans="1:10" ht="29.1" customHeight="1" x14ac:dyDescent="0.2">
      <c r="A123" s="185"/>
      <c r="B123" s="253" t="s">
        <v>195</v>
      </c>
      <c r="C123" s="254"/>
      <c r="D123" s="163" t="s">
        <v>185</v>
      </c>
      <c r="E123" s="191"/>
      <c r="F123" s="185"/>
      <c r="G123" s="185"/>
      <c r="H123" s="185"/>
      <c r="J123" s="75"/>
    </row>
    <row r="124" spans="1:10" ht="17.100000000000001" customHeight="1" x14ac:dyDescent="0.2">
      <c r="A124" s="185"/>
      <c r="B124" s="253" t="s">
        <v>196</v>
      </c>
      <c r="C124" s="254"/>
      <c r="D124" s="163" t="s">
        <v>185</v>
      </c>
      <c r="E124" s="191"/>
      <c r="F124" s="185"/>
      <c r="G124" s="185"/>
      <c r="H124" s="185"/>
      <c r="J124" s="75"/>
    </row>
    <row r="125" spans="1:10" ht="17.100000000000001" customHeight="1" x14ac:dyDescent="0.2">
      <c r="A125" s="185"/>
      <c r="B125" s="253" t="s">
        <v>197</v>
      </c>
      <c r="C125" s="254"/>
      <c r="D125" s="192">
        <v>3.2943E-2</v>
      </c>
      <c r="E125" s="185"/>
      <c r="F125" s="189"/>
      <c r="G125" s="190"/>
      <c r="H125" s="190"/>
      <c r="J125" s="75"/>
    </row>
  </sheetData>
  <mergeCells count="17">
    <mergeCell ref="B125:C125"/>
    <mergeCell ref="B120:C120"/>
    <mergeCell ref="B122:C122"/>
    <mergeCell ref="B123:C123"/>
    <mergeCell ref="B124:C124"/>
    <mergeCell ref="A1:H1"/>
    <mergeCell ref="A2:H2"/>
    <mergeCell ref="A3:H3"/>
    <mergeCell ref="B111:C111"/>
    <mergeCell ref="B112:C112"/>
    <mergeCell ref="B109:D109"/>
    <mergeCell ref="B110:C110"/>
    <mergeCell ref="B103:H103"/>
    <mergeCell ref="B104:H104"/>
    <mergeCell ref="B105:H105"/>
    <mergeCell ref="B106:H106"/>
    <mergeCell ref="B107:H107"/>
  </mergeCells>
  <hyperlinks>
    <hyperlink ref="I1" location="Index!B8" display="Index" xr:uid="{F45B0BFC-CA51-4E49-AF1B-6A70BC0B96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126"/>
  <sheetViews>
    <sheetView showGridLines="0" workbookViewId="0">
      <selection activeCell="C45" sqref="C45"/>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544</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37</v>
      </c>
      <c r="C7" s="165" t="s">
        <v>38</v>
      </c>
      <c r="D7" s="165" t="s">
        <v>39</v>
      </c>
      <c r="E7" s="166">
        <v>10595</v>
      </c>
      <c r="F7" s="167">
        <v>121.88488</v>
      </c>
      <c r="G7" s="168">
        <v>9.5122059999999994E-2</v>
      </c>
      <c r="H7" s="168"/>
      <c r="J7" s="75"/>
    </row>
    <row r="8" spans="1:17" ht="17.100000000000001" customHeight="1" x14ac:dyDescent="0.2">
      <c r="A8" s="164">
        <v>2</v>
      </c>
      <c r="B8" s="165" t="s">
        <v>331</v>
      </c>
      <c r="C8" s="165" t="s">
        <v>332</v>
      </c>
      <c r="D8" s="165" t="s">
        <v>39</v>
      </c>
      <c r="E8" s="166">
        <v>6942</v>
      </c>
      <c r="F8" s="167">
        <v>105.52534199999999</v>
      </c>
      <c r="G8" s="168">
        <v>8.2354659999999996E-2</v>
      </c>
      <c r="H8" s="168"/>
      <c r="J8" s="75"/>
    </row>
    <row r="9" spans="1:17" ht="17.100000000000001" customHeight="1" x14ac:dyDescent="0.2">
      <c r="A9" s="164">
        <v>3</v>
      </c>
      <c r="B9" s="165" t="s">
        <v>14</v>
      </c>
      <c r="C9" s="165" t="s">
        <v>15</v>
      </c>
      <c r="D9" s="165" t="s">
        <v>16</v>
      </c>
      <c r="E9" s="166">
        <v>3489</v>
      </c>
      <c r="F9" s="167">
        <v>102.36726</v>
      </c>
      <c r="G9" s="168">
        <v>7.9890009999999997E-2</v>
      </c>
      <c r="H9" s="168"/>
      <c r="J9" s="75"/>
    </row>
    <row r="10" spans="1:17" ht="17.100000000000001" customHeight="1" x14ac:dyDescent="0.2">
      <c r="A10" s="164">
        <v>4</v>
      </c>
      <c r="B10" s="165" t="s">
        <v>54</v>
      </c>
      <c r="C10" s="165" t="s">
        <v>55</v>
      </c>
      <c r="D10" s="165" t="s">
        <v>39</v>
      </c>
      <c r="E10" s="166">
        <v>11730</v>
      </c>
      <c r="F10" s="167">
        <v>96.919124999999994</v>
      </c>
      <c r="G10" s="168">
        <v>7.5638150000000001E-2</v>
      </c>
      <c r="H10" s="168"/>
      <c r="J10" s="75"/>
    </row>
    <row r="11" spans="1:17" ht="17.100000000000001" customHeight="1" x14ac:dyDescent="0.2">
      <c r="A11" s="164">
        <v>5</v>
      </c>
      <c r="B11" s="165" t="s">
        <v>337</v>
      </c>
      <c r="C11" s="165" t="s">
        <v>338</v>
      </c>
      <c r="D11" s="165" t="s">
        <v>232</v>
      </c>
      <c r="E11" s="166">
        <v>5430</v>
      </c>
      <c r="F11" s="167">
        <v>77.135864999999995</v>
      </c>
      <c r="G11" s="168">
        <v>6.0198790000000002E-2</v>
      </c>
      <c r="H11" s="168"/>
      <c r="J11" s="75"/>
    </row>
    <row r="12" spans="1:17" ht="17.100000000000001" customHeight="1" x14ac:dyDescent="0.2">
      <c r="A12" s="164">
        <v>6</v>
      </c>
      <c r="B12" s="165" t="s">
        <v>11</v>
      </c>
      <c r="C12" s="165" t="s">
        <v>12</v>
      </c>
      <c r="D12" s="165" t="s">
        <v>13</v>
      </c>
      <c r="E12" s="166">
        <v>1772</v>
      </c>
      <c r="F12" s="167">
        <v>63.690995999999998</v>
      </c>
      <c r="G12" s="168">
        <v>4.9706069999999998E-2</v>
      </c>
      <c r="H12" s="168"/>
      <c r="J12" s="71"/>
    </row>
    <row r="13" spans="1:17" ht="17.100000000000001" customHeight="1" x14ac:dyDescent="0.2">
      <c r="A13" s="164">
        <v>7</v>
      </c>
      <c r="B13" s="165" t="s">
        <v>17</v>
      </c>
      <c r="C13" s="165" t="s">
        <v>18</v>
      </c>
      <c r="D13" s="165" t="s">
        <v>19</v>
      </c>
      <c r="E13" s="166">
        <v>4294</v>
      </c>
      <c r="F13" s="167">
        <v>56.779561999999999</v>
      </c>
      <c r="G13" s="168">
        <v>4.4312209999999998E-2</v>
      </c>
      <c r="H13" s="168"/>
      <c r="J13" s="75" t="s">
        <v>1071</v>
      </c>
    </row>
    <row r="14" spans="1:17" ht="17.100000000000001" customHeight="1" x14ac:dyDescent="0.2">
      <c r="A14" s="164">
        <v>8</v>
      </c>
      <c r="B14" s="165" t="s">
        <v>532</v>
      </c>
      <c r="C14" s="200" t="s">
        <v>1053</v>
      </c>
      <c r="D14" s="165" t="s">
        <v>285</v>
      </c>
      <c r="E14" s="166">
        <v>8200</v>
      </c>
      <c r="F14" s="167">
        <v>55.944499999999998</v>
      </c>
      <c r="G14" s="168">
        <v>4.366051E-2</v>
      </c>
      <c r="H14" s="168"/>
      <c r="J14" s="75"/>
    </row>
    <row r="15" spans="1:17" ht="29.1" customHeight="1" x14ac:dyDescent="0.2">
      <c r="A15" s="164">
        <v>9</v>
      </c>
      <c r="B15" s="165" t="s">
        <v>23</v>
      </c>
      <c r="C15" s="165" t="s">
        <v>24</v>
      </c>
      <c r="D15" s="165" t="s">
        <v>25</v>
      </c>
      <c r="E15" s="166">
        <v>424</v>
      </c>
      <c r="F15" s="167">
        <v>42.280644000000002</v>
      </c>
      <c r="G15" s="168">
        <v>3.2996890000000001E-2</v>
      </c>
      <c r="H15" s="168"/>
      <c r="J15" s="75"/>
    </row>
    <row r="16" spans="1:17" ht="17.100000000000001" customHeight="1" x14ac:dyDescent="0.2">
      <c r="A16" s="164">
        <v>10</v>
      </c>
      <c r="B16" s="165" t="s">
        <v>335</v>
      </c>
      <c r="C16" s="165" t="s">
        <v>336</v>
      </c>
      <c r="D16" s="165" t="s">
        <v>39</v>
      </c>
      <c r="E16" s="166">
        <v>3621</v>
      </c>
      <c r="F16" s="167">
        <v>42.217238999999999</v>
      </c>
      <c r="G16" s="168">
        <v>3.2947410000000003E-2</v>
      </c>
      <c r="H16" s="168"/>
      <c r="J16" s="75"/>
    </row>
    <row r="17" spans="1:10" ht="17.100000000000001" customHeight="1" x14ac:dyDescent="0.2">
      <c r="A17" s="164">
        <v>11</v>
      </c>
      <c r="B17" s="165" t="s">
        <v>112</v>
      </c>
      <c r="C17" s="165" t="s">
        <v>113</v>
      </c>
      <c r="D17" s="165" t="s">
        <v>114</v>
      </c>
      <c r="E17" s="166">
        <v>3580</v>
      </c>
      <c r="F17" s="167">
        <v>33.281469999999999</v>
      </c>
      <c r="G17" s="168">
        <v>2.5973699999999999E-2</v>
      </c>
      <c r="H17" s="168"/>
      <c r="J17" s="75"/>
    </row>
    <row r="18" spans="1:10" ht="17.100000000000001" customHeight="1" x14ac:dyDescent="0.2">
      <c r="A18" s="164">
        <v>12</v>
      </c>
      <c r="B18" s="165" t="s">
        <v>382</v>
      </c>
      <c r="C18" s="165" t="s">
        <v>383</v>
      </c>
      <c r="D18" s="165" t="s">
        <v>75</v>
      </c>
      <c r="E18" s="166">
        <v>901</v>
      </c>
      <c r="F18" s="167">
        <v>32.339142500000001</v>
      </c>
      <c r="G18" s="168">
        <v>2.523829E-2</v>
      </c>
      <c r="H18" s="168"/>
      <c r="J18" s="75"/>
    </row>
    <row r="19" spans="1:10" ht="17.100000000000001" customHeight="1" x14ac:dyDescent="0.2">
      <c r="A19" s="164">
        <v>13</v>
      </c>
      <c r="B19" s="165" t="s">
        <v>362</v>
      </c>
      <c r="C19" s="165" t="s">
        <v>363</v>
      </c>
      <c r="D19" s="165" t="s">
        <v>364</v>
      </c>
      <c r="E19" s="166">
        <v>7286</v>
      </c>
      <c r="F19" s="167">
        <v>31.741458999999999</v>
      </c>
      <c r="G19" s="168">
        <v>2.477184E-2</v>
      </c>
      <c r="H19" s="168"/>
      <c r="J19" s="75"/>
    </row>
    <row r="20" spans="1:10" ht="17.100000000000001" customHeight="1" x14ac:dyDescent="0.2">
      <c r="A20" s="164">
        <v>14</v>
      </c>
      <c r="B20" s="165" t="s">
        <v>250</v>
      </c>
      <c r="C20" s="165" t="s">
        <v>251</v>
      </c>
      <c r="D20" s="165" t="s">
        <v>16</v>
      </c>
      <c r="E20" s="166">
        <v>6083</v>
      </c>
      <c r="F20" s="167">
        <v>30.135182</v>
      </c>
      <c r="G20" s="168">
        <v>2.3518259999999999E-2</v>
      </c>
      <c r="H20" s="168"/>
      <c r="J20" s="75"/>
    </row>
    <row r="21" spans="1:10" ht="17.100000000000001" customHeight="1" x14ac:dyDescent="0.2">
      <c r="A21" s="164">
        <v>15</v>
      </c>
      <c r="B21" s="165" t="s">
        <v>533</v>
      </c>
      <c r="C21" s="165" t="s">
        <v>534</v>
      </c>
      <c r="D21" s="165" t="s">
        <v>39</v>
      </c>
      <c r="E21" s="166">
        <v>9495</v>
      </c>
      <c r="F21" s="167">
        <v>26.728425000000001</v>
      </c>
      <c r="G21" s="168">
        <v>2.0859539999999999E-2</v>
      </c>
      <c r="H21" s="168"/>
      <c r="J21" s="75"/>
    </row>
    <row r="22" spans="1:10" ht="17.100000000000001" customHeight="1" x14ac:dyDescent="0.2">
      <c r="A22" s="164">
        <v>16</v>
      </c>
      <c r="B22" s="165" t="s">
        <v>535</v>
      </c>
      <c r="C22" s="165" t="s">
        <v>536</v>
      </c>
      <c r="D22" s="165" t="s">
        <v>235</v>
      </c>
      <c r="E22" s="166">
        <v>1859</v>
      </c>
      <c r="F22" s="167">
        <v>26.705464500000001</v>
      </c>
      <c r="G22" s="168">
        <v>2.0841620000000002E-2</v>
      </c>
      <c r="H22" s="168"/>
      <c r="J22" s="71"/>
    </row>
    <row r="23" spans="1:10" ht="29.1" customHeight="1" x14ac:dyDescent="0.2">
      <c r="A23" s="164">
        <v>17</v>
      </c>
      <c r="B23" s="165" t="s">
        <v>219</v>
      </c>
      <c r="C23" s="165" t="s">
        <v>220</v>
      </c>
      <c r="D23" s="165" t="s">
        <v>221</v>
      </c>
      <c r="E23" s="166">
        <v>2059</v>
      </c>
      <c r="F23" s="167">
        <v>24.869631500000001</v>
      </c>
      <c r="G23" s="168">
        <v>1.9408890000000002E-2</v>
      </c>
      <c r="H23" s="168"/>
      <c r="J23" s="75"/>
    </row>
    <row r="24" spans="1:10" ht="17.100000000000001" customHeight="1" x14ac:dyDescent="0.2">
      <c r="A24" s="164">
        <v>18</v>
      </c>
      <c r="B24" s="165" t="s">
        <v>339</v>
      </c>
      <c r="C24" s="165" t="s">
        <v>340</v>
      </c>
      <c r="D24" s="165" t="s">
        <v>232</v>
      </c>
      <c r="E24" s="166">
        <v>617</v>
      </c>
      <c r="F24" s="167">
        <v>23.573410500000001</v>
      </c>
      <c r="G24" s="168">
        <v>1.839729E-2</v>
      </c>
      <c r="H24" s="168"/>
      <c r="J24" s="75"/>
    </row>
    <row r="25" spans="1:10" ht="17.100000000000001" customHeight="1" x14ac:dyDescent="0.2">
      <c r="A25" s="164">
        <v>19</v>
      </c>
      <c r="B25" s="165" t="s">
        <v>127</v>
      </c>
      <c r="C25" s="165" t="s">
        <v>128</v>
      </c>
      <c r="D25" s="165" t="s">
        <v>16</v>
      </c>
      <c r="E25" s="166">
        <v>3748</v>
      </c>
      <c r="F25" s="167">
        <v>22.763477999999999</v>
      </c>
      <c r="G25" s="168">
        <v>1.7765199999999998E-2</v>
      </c>
      <c r="H25" s="168"/>
      <c r="J25" s="75"/>
    </row>
    <row r="26" spans="1:10" ht="17.100000000000001" customHeight="1" x14ac:dyDescent="0.2">
      <c r="A26" s="164">
        <v>20</v>
      </c>
      <c r="B26" s="165" t="s">
        <v>102</v>
      </c>
      <c r="C26" s="165" t="s">
        <v>103</v>
      </c>
      <c r="D26" s="165" t="s">
        <v>104</v>
      </c>
      <c r="E26" s="166">
        <v>587</v>
      </c>
      <c r="F26" s="167">
        <v>21.659419499999998</v>
      </c>
      <c r="G26" s="168">
        <v>1.6903560000000002E-2</v>
      </c>
      <c r="H26" s="168"/>
      <c r="J26" s="75"/>
    </row>
    <row r="27" spans="1:10" ht="17.100000000000001" customHeight="1" x14ac:dyDescent="0.2">
      <c r="A27" s="164">
        <v>21</v>
      </c>
      <c r="B27" s="165" t="s">
        <v>537</v>
      </c>
      <c r="C27" s="165" t="s">
        <v>538</v>
      </c>
      <c r="D27" s="165" t="s">
        <v>232</v>
      </c>
      <c r="E27" s="166">
        <v>1555</v>
      </c>
      <c r="F27" s="167">
        <v>21.250630000000001</v>
      </c>
      <c r="G27" s="168">
        <v>1.658453E-2</v>
      </c>
      <c r="H27" s="168"/>
      <c r="J27" s="75"/>
    </row>
    <row r="28" spans="1:10" ht="17.100000000000001" customHeight="1" x14ac:dyDescent="0.2">
      <c r="A28" s="164">
        <v>22</v>
      </c>
      <c r="B28" s="165" t="s">
        <v>343</v>
      </c>
      <c r="C28" s="165" t="s">
        <v>344</v>
      </c>
      <c r="D28" s="165" t="s">
        <v>345</v>
      </c>
      <c r="E28" s="166">
        <v>2810</v>
      </c>
      <c r="F28" s="167">
        <v>18.10764</v>
      </c>
      <c r="G28" s="168">
        <v>1.4131660000000001E-2</v>
      </c>
      <c r="H28" s="168"/>
      <c r="J28" s="75"/>
    </row>
    <row r="29" spans="1:10" ht="29.1" customHeight="1" x14ac:dyDescent="0.2">
      <c r="A29" s="164">
        <v>23</v>
      </c>
      <c r="B29" s="165" t="s">
        <v>314</v>
      </c>
      <c r="C29" s="165" t="s">
        <v>315</v>
      </c>
      <c r="D29" s="165" t="s">
        <v>316</v>
      </c>
      <c r="E29" s="166">
        <v>526</v>
      </c>
      <c r="F29" s="167">
        <v>17.985254999999999</v>
      </c>
      <c r="G29" s="168">
        <v>1.4036150000000001E-2</v>
      </c>
      <c r="H29" s="168"/>
      <c r="J29" s="75"/>
    </row>
    <row r="30" spans="1:10" ht="17.100000000000001" customHeight="1" x14ac:dyDescent="0.2">
      <c r="A30" s="164">
        <v>24</v>
      </c>
      <c r="B30" s="165" t="s">
        <v>476</v>
      </c>
      <c r="C30" s="165" t="s">
        <v>477</v>
      </c>
      <c r="D30" s="165" t="s">
        <v>213</v>
      </c>
      <c r="E30" s="166">
        <v>4838</v>
      </c>
      <c r="F30" s="167">
        <v>17.709499000000001</v>
      </c>
      <c r="G30" s="168">
        <v>1.382094E-2</v>
      </c>
      <c r="H30" s="168"/>
      <c r="J30" s="75"/>
    </row>
    <row r="31" spans="1:10" ht="29.1" customHeight="1" x14ac:dyDescent="0.2">
      <c r="A31" s="164">
        <v>25</v>
      </c>
      <c r="B31" s="165" t="s">
        <v>135</v>
      </c>
      <c r="C31" s="165" t="s">
        <v>136</v>
      </c>
      <c r="D31" s="165" t="s">
        <v>25</v>
      </c>
      <c r="E31" s="166">
        <v>1190</v>
      </c>
      <c r="F31" s="167">
        <v>17.161584999999999</v>
      </c>
      <c r="G31" s="168">
        <v>1.339334E-2</v>
      </c>
      <c r="H31" s="168"/>
      <c r="J31" s="75"/>
    </row>
    <row r="32" spans="1:10" ht="29.1" customHeight="1" x14ac:dyDescent="0.2">
      <c r="A32" s="164">
        <v>26</v>
      </c>
      <c r="B32" s="165" t="s">
        <v>541</v>
      </c>
      <c r="C32" s="165" t="s">
        <v>542</v>
      </c>
      <c r="D32" s="165" t="s">
        <v>414</v>
      </c>
      <c r="E32" s="166">
        <v>1535</v>
      </c>
      <c r="F32" s="167">
        <v>17.0131725</v>
      </c>
      <c r="G32" s="168">
        <v>1.3277509999999999E-2</v>
      </c>
      <c r="H32" s="168"/>
      <c r="J32" s="75"/>
    </row>
    <row r="33" spans="1:10" ht="29.1" customHeight="1" x14ac:dyDescent="0.2">
      <c r="A33" s="164">
        <v>27</v>
      </c>
      <c r="B33" s="165" t="s">
        <v>539</v>
      </c>
      <c r="C33" s="165" t="s">
        <v>540</v>
      </c>
      <c r="D33" s="165" t="s">
        <v>216</v>
      </c>
      <c r="E33" s="166">
        <v>1140</v>
      </c>
      <c r="F33" s="167">
        <v>15.96</v>
      </c>
      <c r="G33" s="168">
        <v>1.2455590000000001E-2</v>
      </c>
      <c r="H33" s="168"/>
      <c r="J33" s="75"/>
    </row>
    <row r="34" spans="1:10" ht="17.100000000000001" customHeight="1" x14ac:dyDescent="0.2">
      <c r="A34" s="164">
        <v>28</v>
      </c>
      <c r="B34" s="165" t="s">
        <v>60</v>
      </c>
      <c r="C34" s="165" t="s">
        <v>61</v>
      </c>
      <c r="D34" s="165" t="s">
        <v>62</v>
      </c>
      <c r="E34" s="166">
        <v>1497</v>
      </c>
      <c r="F34" s="167">
        <v>15.38916</v>
      </c>
      <c r="G34" s="168">
        <v>1.2010089999999999E-2</v>
      </c>
      <c r="H34" s="168"/>
      <c r="J34" s="75"/>
    </row>
    <row r="35" spans="1:10" ht="17.100000000000001" customHeight="1" x14ac:dyDescent="0.2">
      <c r="A35" s="164">
        <v>29</v>
      </c>
      <c r="B35" s="165" t="s">
        <v>360</v>
      </c>
      <c r="C35" s="165" t="s">
        <v>361</v>
      </c>
      <c r="D35" s="165" t="s">
        <v>39</v>
      </c>
      <c r="E35" s="166">
        <v>989</v>
      </c>
      <c r="F35" s="167">
        <v>14.990273</v>
      </c>
      <c r="G35" s="168">
        <v>1.1698790000000001E-2</v>
      </c>
      <c r="H35" s="168"/>
      <c r="J35" s="75"/>
    </row>
    <row r="36" spans="1:10" ht="17.100000000000001" customHeight="1" x14ac:dyDescent="0.2">
      <c r="A36" s="164">
        <v>30</v>
      </c>
      <c r="B36" s="165" t="s">
        <v>545</v>
      </c>
      <c r="C36" s="165" t="s">
        <v>546</v>
      </c>
      <c r="D36" s="165" t="s">
        <v>39</v>
      </c>
      <c r="E36" s="166">
        <v>731</v>
      </c>
      <c r="F36" s="167">
        <v>11.871074500000001</v>
      </c>
      <c r="G36" s="168">
        <v>9.2644900000000002E-3</v>
      </c>
      <c r="H36" s="168"/>
      <c r="J36" s="75"/>
    </row>
    <row r="37" spans="1:10" ht="17.100000000000001" customHeight="1" x14ac:dyDescent="0.2">
      <c r="A37" s="164">
        <v>31</v>
      </c>
      <c r="B37" s="165" t="s">
        <v>376</v>
      </c>
      <c r="C37" s="165" t="s">
        <v>377</v>
      </c>
      <c r="D37" s="165" t="s">
        <v>364</v>
      </c>
      <c r="E37" s="166">
        <v>517</v>
      </c>
      <c r="F37" s="167">
        <v>11.5314265</v>
      </c>
      <c r="G37" s="168">
        <v>8.9994199999999993E-3</v>
      </c>
      <c r="H37" s="168"/>
      <c r="J37" s="75"/>
    </row>
    <row r="38" spans="1:10" ht="17.100000000000001" customHeight="1" x14ac:dyDescent="0.2">
      <c r="A38" s="164">
        <v>32</v>
      </c>
      <c r="B38" s="165" t="s">
        <v>547</v>
      </c>
      <c r="C38" s="165" t="s">
        <v>548</v>
      </c>
      <c r="D38" s="165" t="s">
        <v>232</v>
      </c>
      <c r="E38" s="166">
        <v>1558</v>
      </c>
      <c r="F38" s="167">
        <v>7.2041919999999999</v>
      </c>
      <c r="G38" s="168">
        <v>5.62233E-3</v>
      </c>
      <c r="H38" s="168"/>
      <c r="J38" s="75"/>
    </row>
    <row r="39" spans="1:10" ht="17.100000000000001" customHeight="1" x14ac:dyDescent="0.2">
      <c r="A39" s="164">
        <v>33</v>
      </c>
      <c r="B39" s="165" t="s">
        <v>543</v>
      </c>
      <c r="C39" s="165" t="s">
        <v>1085</v>
      </c>
      <c r="D39" s="165" t="s">
        <v>19</v>
      </c>
      <c r="E39" s="166">
        <v>327</v>
      </c>
      <c r="F39" s="167">
        <v>3.0621915</v>
      </c>
      <c r="G39" s="168">
        <v>2.38981E-3</v>
      </c>
      <c r="H39" s="168"/>
      <c r="J39" s="75"/>
    </row>
    <row r="40" spans="1:10" ht="14.1" customHeight="1" x14ac:dyDescent="0.2">
      <c r="A40" s="162"/>
      <c r="B40" s="162"/>
      <c r="C40" s="163" t="s">
        <v>152</v>
      </c>
      <c r="D40" s="162"/>
      <c r="E40" s="162" t="s">
        <v>153</v>
      </c>
      <c r="F40" s="169">
        <v>1227.7785944999998</v>
      </c>
      <c r="G40" s="170">
        <v>0.95818959999999997</v>
      </c>
      <c r="H40" s="170"/>
      <c r="J40" s="75"/>
    </row>
    <row r="41" spans="1:10" ht="14.1" customHeight="1" x14ac:dyDescent="0.2">
      <c r="A41" s="162"/>
      <c r="B41" s="162"/>
      <c r="C41" s="171"/>
      <c r="D41" s="162"/>
      <c r="E41" s="162"/>
      <c r="F41" s="172"/>
      <c r="G41" s="172"/>
      <c r="H41" s="172"/>
      <c r="J41" s="75"/>
    </row>
    <row r="42" spans="1:10" ht="14.1" customHeight="1" x14ac:dyDescent="0.2">
      <c r="A42" s="162"/>
      <c r="B42" s="162"/>
      <c r="C42" s="163" t="s">
        <v>154</v>
      </c>
      <c r="D42" s="162"/>
      <c r="E42" s="162"/>
      <c r="F42" s="162"/>
      <c r="G42" s="162"/>
      <c r="H42" s="162"/>
      <c r="J42" s="75"/>
    </row>
    <row r="43" spans="1:10" ht="14.1" customHeight="1" x14ac:dyDescent="0.2">
      <c r="A43" s="162"/>
      <c r="B43" s="162"/>
      <c r="C43" s="163" t="s">
        <v>152</v>
      </c>
      <c r="D43" s="162"/>
      <c r="E43" s="162" t="s">
        <v>153</v>
      </c>
      <c r="F43" s="173" t="s">
        <v>155</v>
      </c>
      <c r="G43" s="170">
        <v>0</v>
      </c>
      <c r="H43" s="170"/>
      <c r="J43" s="75"/>
    </row>
    <row r="44" spans="1:10" ht="14.1" customHeight="1" x14ac:dyDescent="0.2">
      <c r="A44" s="162"/>
      <c r="B44" s="162"/>
      <c r="C44" s="171"/>
      <c r="D44" s="162"/>
      <c r="E44" s="162"/>
      <c r="F44" s="172"/>
      <c r="G44" s="172"/>
      <c r="H44" s="172"/>
      <c r="J44" s="75"/>
    </row>
    <row r="45" spans="1:10" ht="14.1" customHeight="1" x14ac:dyDescent="0.2">
      <c r="A45" s="162"/>
      <c r="B45" s="162"/>
      <c r="C45" s="163" t="s">
        <v>156</v>
      </c>
      <c r="D45" s="162"/>
      <c r="E45" s="162"/>
      <c r="F45" s="162"/>
      <c r="G45" s="162"/>
      <c r="H45" s="162"/>
      <c r="J45" s="75"/>
    </row>
    <row r="46" spans="1:10" ht="14.1" customHeight="1" x14ac:dyDescent="0.2">
      <c r="A46" s="162"/>
      <c r="B46" s="162"/>
      <c r="C46" s="163" t="s">
        <v>152</v>
      </c>
      <c r="D46" s="162"/>
      <c r="E46" s="162" t="s">
        <v>153</v>
      </c>
      <c r="F46" s="173" t="s">
        <v>155</v>
      </c>
      <c r="G46" s="170">
        <v>0</v>
      </c>
      <c r="H46" s="170"/>
      <c r="J46" s="75"/>
    </row>
    <row r="47" spans="1:10" ht="14.1" customHeight="1" x14ac:dyDescent="0.2">
      <c r="A47" s="162"/>
      <c r="B47" s="162"/>
      <c r="C47" s="171"/>
      <c r="D47" s="162"/>
      <c r="E47" s="162"/>
      <c r="F47" s="172"/>
      <c r="G47" s="172"/>
      <c r="H47" s="172"/>
      <c r="J47" s="75"/>
    </row>
    <row r="48" spans="1:10" ht="14.1" customHeight="1" x14ac:dyDescent="0.2">
      <c r="A48" s="162"/>
      <c r="B48" s="162"/>
      <c r="C48" s="163" t="s">
        <v>157</v>
      </c>
      <c r="D48" s="162"/>
      <c r="E48" s="162"/>
      <c r="F48" s="162"/>
      <c r="G48" s="162"/>
      <c r="H48" s="162"/>
      <c r="J48" s="75"/>
    </row>
    <row r="49" spans="1:10" ht="14.1" customHeight="1" x14ac:dyDescent="0.2">
      <c r="A49" s="162"/>
      <c r="B49" s="162"/>
      <c r="C49" s="163" t="s">
        <v>152</v>
      </c>
      <c r="D49" s="162"/>
      <c r="E49" s="162" t="s">
        <v>153</v>
      </c>
      <c r="F49" s="173" t="s">
        <v>155</v>
      </c>
      <c r="G49" s="170">
        <v>0</v>
      </c>
      <c r="H49" s="170"/>
      <c r="J49" s="75"/>
    </row>
    <row r="50" spans="1:10" ht="14.1" customHeight="1" x14ac:dyDescent="0.2">
      <c r="A50" s="162"/>
      <c r="B50" s="162"/>
      <c r="C50" s="171"/>
      <c r="D50" s="162"/>
      <c r="E50" s="162"/>
      <c r="F50" s="172"/>
      <c r="G50" s="172"/>
      <c r="H50" s="172"/>
      <c r="J50" s="75"/>
    </row>
    <row r="51" spans="1:10" ht="14.1" customHeight="1" x14ac:dyDescent="0.2">
      <c r="A51" s="162"/>
      <c r="B51" s="162"/>
      <c r="C51" s="163" t="s">
        <v>158</v>
      </c>
      <c r="D51" s="162"/>
      <c r="E51" s="162"/>
      <c r="F51" s="172"/>
      <c r="G51" s="172"/>
      <c r="H51" s="172"/>
      <c r="J51" s="75"/>
    </row>
    <row r="52" spans="1:10" ht="14.1" customHeight="1" x14ac:dyDescent="0.2">
      <c r="A52" s="162"/>
      <c r="B52" s="162"/>
      <c r="C52" s="163" t="s">
        <v>152</v>
      </c>
      <c r="D52" s="162"/>
      <c r="E52" s="162" t="s">
        <v>153</v>
      </c>
      <c r="F52" s="173" t="s">
        <v>155</v>
      </c>
      <c r="G52" s="170">
        <v>0</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159</v>
      </c>
      <c r="D54" s="162"/>
      <c r="E54" s="162"/>
      <c r="F54" s="172"/>
      <c r="G54" s="172"/>
      <c r="H54" s="17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8" customHeight="1" x14ac:dyDescent="0.2">
      <c r="A57" s="162"/>
      <c r="B57" s="162"/>
      <c r="C57" s="163" t="s">
        <v>160</v>
      </c>
      <c r="D57" s="162"/>
      <c r="E57" s="162"/>
      <c r="F57" s="169">
        <v>1227.7785945000001</v>
      </c>
      <c r="G57" s="170">
        <v>0.95818959999999997</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161</v>
      </c>
      <c r="D59" s="162"/>
      <c r="E59" s="162"/>
      <c r="F59" s="172"/>
      <c r="G59" s="172"/>
      <c r="H59" s="172"/>
      <c r="J59" s="75"/>
    </row>
    <row r="60" spans="1:10" ht="24" customHeight="1" x14ac:dyDescent="0.2">
      <c r="A60" s="162"/>
      <c r="B60" s="162"/>
      <c r="C60" s="163" t="s">
        <v>10</v>
      </c>
      <c r="D60" s="162"/>
      <c r="E60" s="162"/>
      <c r="F60" s="172"/>
      <c r="G60" s="172"/>
      <c r="H60" s="172"/>
      <c r="J60" s="75"/>
    </row>
    <row r="61" spans="1:10" ht="14.1" customHeight="1" x14ac:dyDescent="0.2">
      <c r="A61" s="162"/>
      <c r="B61" s="162"/>
      <c r="C61" s="163" t="s">
        <v>152</v>
      </c>
      <c r="D61" s="162"/>
      <c r="E61" s="162" t="s">
        <v>153</v>
      </c>
      <c r="F61" s="173" t="s">
        <v>155</v>
      </c>
      <c r="G61" s="170">
        <v>0</v>
      </c>
      <c r="H61" s="170"/>
      <c r="J61" s="75"/>
    </row>
    <row r="62" spans="1:10" ht="14.1" customHeight="1" x14ac:dyDescent="0.2">
      <c r="A62" s="162"/>
      <c r="B62" s="162"/>
      <c r="C62" s="171"/>
      <c r="D62" s="162"/>
      <c r="E62" s="162"/>
      <c r="F62" s="172"/>
      <c r="G62" s="172"/>
      <c r="H62" s="172"/>
      <c r="J62" s="75"/>
    </row>
    <row r="63" spans="1:10" ht="14.1" customHeight="1" x14ac:dyDescent="0.2">
      <c r="A63" s="162"/>
      <c r="B63" s="162"/>
      <c r="C63" s="163" t="s">
        <v>162</v>
      </c>
      <c r="D63" s="162"/>
      <c r="E63" s="162"/>
      <c r="F63" s="162"/>
      <c r="G63" s="162"/>
      <c r="H63" s="162"/>
      <c r="J63" s="75"/>
    </row>
    <row r="64" spans="1:10" ht="14.1" customHeight="1" x14ac:dyDescent="0.2">
      <c r="A64" s="162"/>
      <c r="B64" s="162"/>
      <c r="C64" s="163" t="s">
        <v>152</v>
      </c>
      <c r="D64" s="162"/>
      <c r="E64" s="162" t="s">
        <v>153</v>
      </c>
      <c r="F64" s="173" t="s">
        <v>155</v>
      </c>
      <c r="G64" s="170">
        <v>0</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163</v>
      </c>
      <c r="D66" s="162"/>
      <c r="E66" s="162"/>
      <c r="F66" s="162"/>
      <c r="G66" s="162"/>
      <c r="H66" s="16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164</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165</v>
      </c>
      <c r="D72" s="162"/>
      <c r="E72" s="162"/>
      <c r="F72" s="169">
        <v>0</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166</v>
      </c>
      <c r="D74" s="162"/>
      <c r="E74" s="162"/>
      <c r="F74" s="172"/>
      <c r="G74" s="172"/>
      <c r="H74" s="172"/>
      <c r="J74" s="75"/>
    </row>
    <row r="75" spans="1:10" ht="14.1" customHeight="1" x14ac:dyDescent="0.2">
      <c r="A75" s="162"/>
      <c r="B75" s="162"/>
      <c r="C75" s="163" t="s">
        <v>167</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168</v>
      </c>
      <c r="D78" s="162"/>
      <c r="E78" s="162"/>
      <c r="F78" s="172"/>
      <c r="G78" s="172"/>
      <c r="H78" s="17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169</v>
      </c>
      <c r="D81" s="162"/>
      <c r="E81" s="162"/>
      <c r="F81" s="172"/>
      <c r="G81" s="172"/>
      <c r="H81" s="17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170</v>
      </c>
      <c r="D84" s="162"/>
      <c r="E84" s="162"/>
      <c r="F84" s="172"/>
      <c r="G84" s="172"/>
      <c r="H84" s="172"/>
      <c r="J84" s="75"/>
    </row>
    <row r="85" spans="1:10" ht="17.100000000000001" customHeight="1" x14ac:dyDescent="0.2">
      <c r="A85" s="164">
        <v>1</v>
      </c>
      <c r="B85" s="165"/>
      <c r="C85" s="165" t="s">
        <v>171</v>
      </c>
      <c r="D85" s="165"/>
      <c r="E85" s="174"/>
      <c r="F85" s="167">
        <v>52.816175200000004</v>
      </c>
      <c r="G85" s="168">
        <v>4.1219079999999998E-2</v>
      </c>
      <c r="H85" s="175">
        <v>6.66</v>
      </c>
      <c r="J85" s="75"/>
    </row>
    <row r="86" spans="1:10" ht="14.1" customHeight="1" x14ac:dyDescent="0.2">
      <c r="A86" s="162"/>
      <c r="B86" s="162"/>
      <c r="C86" s="163" t="s">
        <v>152</v>
      </c>
      <c r="D86" s="162"/>
      <c r="E86" s="162" t="s">
        <v>153</v>
      </c>
      <c r="F86" s="169">
        <v>52.816175200000004</v>
      </c>
      <c r="G86" s="170">
        <v>4.1219079999999998E-2</v>
      </c>
      <c r="H86" s="170"/>
      <c r="J86" s="75"/>
    </row>
    <row r="87" spans="1:10" ht="14.1" customHeight="1" x14ac:dyDescent="0.2">
      <c r="A87" s="162"/>
      <c r="B87" s="162"/>
      <c r="C87" s="171"/>
      <c r="D87" s="162"/>
      <c r="E87" s="162"/>
      <c r="F87" s="172"/>
      <c r="G87" s="172"/>
      <c r="H87" s="172"/>
      <c r="J87" s="75"/>
    </row>
    <row r="88" spans="1:10" ht="14.1" customHeight="1" x14ac:dyDescent="0.2">
      <c r="A88" s="162"/>
      <c r="B88" s="162"/>
      <c r="C88" s="163" t="s">
        <v>172</v>
      </c>
      <c r="D88" s="162"/>
      <c r="E88" s="162"/>
      <c r="F88" s="169">
        <v>52.816175200000004</v>
      </c>
      <c r="G88" s="170">
        <v>4.1219079999999998E-2</v>
      </c>
      <c r="H88" s="170"/>
      <c r="J88" s="75"/>
    </row>
    <row r="89" spans="1:10" ht="14.1" customHeight="1" x14ac:dyDescent="0.2">
      <c r="A89" s="162"/>
      <c r="B89" s="162"/>
      <c r="C89" s="172"/>
      <c r="D89" s="162"/>
      <c r="E89" s="162"/>
      <c r="F89" s="162"/>
      <c r="G89" s="162"/>
      <c r="H89" s="162"/>
      <c r="J89" s="75"/>
    </row>
    <row r="90" spans="1:10" ht="14.1" customHeight="1" x14ac:dyDescent="0.2">
      <c r="A90" s="162"/>
      <c r="B90" s="162"/>
      <c r="C90" s="163" t="s">
        <v>173</v>
      </c>
      <c r="D90" s="162"/>
      <c r="E90" s="162"/>
      <c r="F90" s="162"/>
      <c r="G90" s="162"/>
      <c r="H90" s="162"/>
      <c r="J90" s="75"/>
    </row>
    <row r="91" spans="1:10" ht="14.1" customHeight="1" x14ac:dyDescent="0.2">
      <c r="A91" s="162"/>
      <c r="B91" s="162"/>
      <c r="C91" s="163" t="s">
        <v>174</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177</v>
      </c>
      <c r="D94" s="162"/>
      <c r="E94" s="162"/>
      <c r="F94" s="162"/>
      <c r="G94" s="162"/>
      <c r="H94" s="162"/>
      <c r="J94" s="75"/>
    </row>
    <row r="95" spans="1:10" ht="14.1" customHeight="1" x14ac:dyDescent="0.2">
      <c r="A95" s="162"/>
      <c r="B95" s="162"/>
      <c r="C95" s="163" t="s">
        <v>178</v>
      </c>
      <c r="D95" s="162"/>
      <c r="E95" s="162"/>
      <c r="F95" s="162"/>
      <c r="G95" s="162"/>
      <c r="H95" s="162"/>
      <c r="J95" s="75"/>
    </row>
    <row r="96" spans="1:10" ht="14.1" customHeight="1" x14ac:dyDescent="0.2">
      <c r="A96" s="162"/>
      <c r="B96" s="162"/>
      <c r="C96" s="163" t="s">
        <v>152</v>
      </c>
      <c r="D96" s="162"/>
      <c r="E96" s="162" t="s">
        <v>153</v>
      </c>
      <c r="F96" s="173" t="s">
        <v>155</v>
      </c>
      <c r="G96" s="170">
        <v>0</v>
      </c>
      <c r="H96" s="170"/>
      <c r="J96" s="75"/>
    </row>
    <row r="97" spans="1:19" ht="14.1" customHeight="1" x14ac:dyDescent="0.2">
      <c r="A97" s="162"/>
      <c r="B97" s="162"/>
      <c r="C97" s="171"/>
      <c r="D97" s="162"/>
      <c r="E97" s="162"/>
      <c r="F97" s="172"/>
      <c r="G97" s="172"/>
      <c r="H97" s="172"/>
      <c r="J97" s="75"/>
    </row>
    <row r="98" spans="1:19" ht="24" customHeight="1" x14ac:dyDescent="0.2">
      <c r="A98" s="162"/>
      <c r="B98" s="162"/>
      <c r="C98" s="163" t="s">
        <v>179</v>
      </c>
      <c r="D98" s="162"/>
      <c r="E98" s="162"/>
      <c r="F98" s="172"/>
      <c r="G98" s="172"/>
      <c r="H98" s="172"/>
      <c r="J98" s="75"/>
    </row>
    <row r="99" spans="1:19" ht="14.1" customHeight="1" x14ac:dyDescent="0.2">
      <c r="A99" s="162"/>
      <c r="B99" s="162"/>
      <c r="C99" s="163" t="s">
        <v>152</v>
      </c>
      <c r="D99" s="162"/>
      <c r="E99" s="162" t="s">
        <v>153</v>
      </c>
      <c r="F99" s="173" t="s">
        <v>155</v>
      </c>
      <c r="G99" s="170">
        <v>0</v>
      </c>
      <c r="H99" s="170"/>
      <c r="J99" s="75"/>
    </row>
    <row r="100" spans="1:19" ht="14.1" customHeight="1" x14ac:dyDescent="0.2">
      <c r="A100" s="162"/>
      <c r="B100" s="165"/>
      <c r="C100" s="165"/>
      <c r="D100" s="163"/>
      <c r="E100" s="162"/>
      <c r="F100" s="165"/>
      <c r="G100" s="174"/>
      <c r="H100" s="174"/>
      <c r="J100" s="75"/>
    </row>
    <row r="101" spans="1:19" ht="18" customHeight="1" x14ac:dyDescent="0.2">
      <c r="A101" s="174"/>
      <c r="B101" s="165"/>
      <c r="C101" s="165" t="s">
        <v>180</v>
      </c>
      <c r="D101" s="165"/>
      <c r="E101" s="174"/>
      <c r="F101" s="167">
        <v>0.75768804000000001</v>
      </c>
      <c r="G101" s="168">
        <v>5.9132E-4</v>
      </c>
      <c r="H101" s="168"/>
      <c r="J101" s="75"/>
    </row>
    <row r="102" spans="1:19" ht="14.1" customHeight="1" x14ac:dyDescent="0.2">
      <c r="A102" s="171"/>
      <c r="B102" s="171"/>
      <c r="C102" s="163" t="s">
        <v>181</v>
      </c>
      <c r="D102" s="172"/>
      <c r="E102" s="172"/>
      <c r="F102" s="169">
        <v>1281.3524577400001</v>
      </c>
      <c r="G102" s="177">
        <v>1</v>
      </c>
      <c r="H102" s="177"/>
      <c r="J102" s="75"/>
    </row>
    <row r="103" spans="1:19" ht="14.1" customHeight="1" x14ac:dyDescent="0.2">
      <c r="A103" s="178"/>
      <c r="B103" s="178"/>
      <c r="C103" s="178"/>
      <c r="D103" s="179"/>
      <c r="E103" s="179"/>
      <c r="F103" s="179"/>
      <c r="G103" s="179"/>
      <c r="H103" s="179"/>
      <c r="J103" s="75"/>
    </row>
    <row r="104" spans="1:19" ht="12.75" customHeight="1" x14ac:dyDescent="0.2">
      <c r="A104" s="180"/>
      <c r="B104" s="258" t="s">
        <v>882</v>
      </c>
      <c r="C104" s="258"/>
      <c r="D104" s="258"/>
      <c r="E104" s="258"/>
      <c r="F104" s="258"/>
      <c r="G104" s="258"/>
      <c r="H104" s="258"/>
      <c r="J104" s="75"/>
    </row>
    <row r="105" spans="1:19" ht="14.1" customHeight="1" x14ac:dyDescent="0.2">
      <c r="A105" s="180"/>
      <c r="B105" s="258" t="s">
        <v>883</v>
      </c>
      <c r="C105" s="258"/>
      <c r="D105" s="258"/>
      <c r="E105" s="258"/>
      <c r="F105" s="258"/>
      <c r="G105" s="258"/>
      <c r="H105" s="258"/>
      <c r="J105" s="75"/>
    </row>
    <row r="106" spans="1:19" ht="17.100000000000001" customHeight="1" x14ac:dyDescent="0.2">
      <c r="A106" s="180"/>
      <c r="B106" s="258" t="s">
        <v>884</v>
      </c>
      <c r="C106" s="258"/>
      <c r="D106" s="258"/>
      <c r="E106" s="258"/>
      <c r="F106" s="258"/>
      <c r="G106" s="258"/>
      <c r="H106" s="258"/>
      <c r="J106" s="75"/>
    </row>
    <row r="107" spans="1:19" s="34" customFormat="1" ht="62.25" customHeight="1" x14ac:dyDescent="0.25">
      <c r="A107" s="33"/>
      <c r="B107" s="259" t="s">
        <v>885</v>
      </c>
      <c r="C107" s="259"/>
      <c r="D107" s="259"/>
      <c r="E107" s="259"/>
      <c r="F107" s="259"/>
      <c r="G107" s="259"/>
      <c r="H107" s="259"/>
      <c r="I107"/>
      <c r="J107" s="75"/>
      <c r="K107"/>
      <c r="L107"/>
      <c r="M107"/>
      <c r="N107"/>
      <c r="O107"/>
      <c r="P107"/>
      <c r="Q107"/>
    </row>
    <row r="108" spans="1:19" ht="12.75" customHeight="1" x14ac:dyDescent="0.2">
      <c r="A108" s="180"/>
      <c r="B108" s="258" t="s">
        <v>886</v>
      </c>
      <c r="C108" s="258"/>
      <c r="D108" s="258"/>
      <c r="E108" s="258"/>
      <c r="F108" s="258"/>
      <c r="G108" s="258"/>
      <c r="H108" s="258"/>
      <c r="J108" s="75"/>
    </row>
    <row r="109" spans="1:19" ht="14.1" customHeight="1" x14ac:dyDescent="0.2">
      <c r="A109" s="181"/>
      <c r="B109" s="181"/>
      <c r="C109" s="181"/>
      <c r="D109" s="182"/>
      <c r="E109" s="182"/>
      <c r="F109" s="182"/>
      <c r="G109" s="182"/>
      <c r="H109" s="182"/>
      <c r="J109" s="75"/>
    </row>
    <row r="110" spans="1:19" ht="14.1" customHeight="1" x14ac:dyDescent="0.2">
      <c r="A110" s="181"/>
      <c r="B110" s="255" t="s">
        <v>183</v>
      </c>
      <c r="C110" s="256"/>
      <c r="D110" s="257"/>
      <c r="E110" s="183"/>
      <c r="F110" s="182"/>
      <c r="G110" s="182"/>
      <c r="H110" s="182"/>
      <c r="J110" s="75"/>
    </row>
    <row r="111" spans="1:19" ht="29.1" customHeight="1" x14ac:dyDescent="0.25">
      <c r="A111" s="181"/>
      <c r="B111" s="253" t="s">
        <v>184</v>
      </c>
      <c r="C111" s="254"/>
      <c r="D111" s="163" t="s">
        <v>185</v>
      </c>
      <c r="E111" s="183"/>
      <c r="F111" s="182"/>
      <c r="G111" s="182"/>
      <c r="H111" s="182"/>
      <c r="J111" s="75"/>
      <c r="R111" s="34"/>
      <c r="S111" s="34"/>
    </row>
    <row r="112" spans="1:19" ht="17.100000000000001" customHeight="1" x14ac:dyDescent="0.2">
      <c r="A112" s="181"/>
      <c r="B112" s="253" t="s">
        <v>186</v>
      </c>
      <c r="C112" s="254"/>
      <c r="D112" s="163" t="s">
        <v>185</v>
      </c>
      <c r="E112" s="183"/>
      <c r="F112" s="182"/>
      <c r="G112" s="182"/>
      <c r="H112" s="182"/>
      <c r="J112" s="75"/>
    </row>
    <row r="113" spans="1:10" ht="17.100000000000001" customHeight="1" x14ac:dyDescent="0.2">
      <c r="A113" s="181"/>
      <c r="B113" s="253" t="s">
        <v>187</v>
      </c>
      <c r="C113" s="254"/>
      <c r="D113" s="172" t="s">
        <v>153</v>
      </c>
      <c r="E113" s="183"/>
      <c r="F113" s="182"/>
      <c r="G113" s="182"/>
      <c r="H113" s="182"/>
      <c r="J113" s="75"/>
    </row>
    <row r="114" spans="1:10" x14ac:dyDescent="0.2">
      <c r="A114" s="185"/>
      <c r="B114" s="186" t="s">
        <v>153</v>
      </c>
      <c r="C114" s="186" t="s">
        <v>1088</v>
      </c>
      <c r="D114" s="186" t="s">
        <v>188</v>
      </c>
      <c r="E114" s="185"/>
      <c r="F114" s="185"/>
      <c r="G114" s="185"/>
      <c r="H114" s="185"/>
      <c r="J114" s="75"/>
    </row>
    <row r="115" spans="1:10" x14ac:dyDescent="0.2">
      <c r="A115" s="185"/>
      <c r="B115" s="187" t="s">
        <v>189</v>
      </c>
      <c r="C115" s="186" t="s">
        <v>190</v>
      </c>
      <c r="D115" s="186" t="s">
        <v>191</v>
      </c>
      <c r="E115" s="185"/>
      <c r="F115" s="185"/>
      <c r="G115" s="185"/>
      <c r="H115" s="185"/>
      <c r="J115" s="75"/>
    </row>
    <row r="116" spans="1:10" ht="17.100000000000001" customHeight="1" x14ac:dyDescent="0.2">
      <c r="A116" s="185"/>
      <c r="B116" s="165" t="s">
        <v>192</v>
      </c>
      <c r="C116" s="188">
        <v>32.572099999999999</v>
      </c>
      <c r="D116" s="188">
        <v>33.4893</v>
      </c>
      <c r="E116" s="185"/>
      <c r="F116" s="189"/>
      <c r="G116" s="190"/>
      <c r="H116" s="190"/>
      <c r="J116" s="75"/>
    </row>
    <row r="117" spans="1:10" ht="17.100000000000001" customHeight="1" x14ac:dyDescent="0.2">
      <c r="A117" s="185"/>
      <c r="B117" s="165" t="s">
        <v>1054</v>
      </c>
      <c r="C117" s="188">
        <v>25.1648</v>
      </c>
      <c r="D117" s="188">
        <v>25.8734</v>
      </c>
      <c r="E117" s="185"/>
      <c r="F117" s="189"/>
      <c r="G117" s="190"/>
      <c r="H117" s="190"/>
      <c r="J117" s="75"/>
    </row>
    <row r="118" spans="1:10" ht="17.100000000000001" customHeight="1" x14ac:dyDescent="0.2">
      <c r="A118" s="185"/>
      <c r="B118" s="165" t="s">
        <v>193</v>
      </c>
      <c r="C118" s="188">
        <v>31.680499999999999</v>
      </c>
      <c r="D118" s="188">
        <v>32.566699999999997</v>
      </c>
      <c r="E118" s="185"/>
      <c r="F118" s="189"/>
      <c r="G118" s="190"/>
      <c r="H118" s="190"/>
      <c r="J118" s="75"/>
    </row>
    <row r="119" spans="1:10" ht="17.100000000000001" customHeight="1" x14ac:dyDescent="0.2">
      <c r="A119" s="185"/>
      <c r="B119" s="165" t="s">
        <v>1055</v>
      </c>
      <c r="C119" s="188">
        <v>24.3447</v>
      </c>
      <c r="D119" s="188">
        <v>25.025700000000001</v>
      </c>
      <c r="E119" s="185"/>
      <c r="F119" s="189"/>
      <c r="G119" s="190"/>
      <c r="H119" s="190"/>
      <c r="J119" s="75"/>
    </row>
    <row r="120" spans="1:10" ht="14.1" customHeight="1" x14ac:dyDescent="0.2">
      <c r="A120" s="185"/>
      <c r="B120" s="185"/>
      <c r="C120" s="185"/>
      <c r="D120" s="185"/>
      <c r="E120" s="185"/>
      <c r="F120" s="185"/>
      <c r="G120" s="185"/>
      <c r="H120" s="185"/>
      <c r="J120" s="75"/>
    </row>
    <row r="121" spans="1:10" ht="17.100000000000001" customHeight="1" x14ac:dyDescent="0.2">
      <c r="A121" s="185"/>
      <c r="B121" s="253" t="s">
        <v>1056</v>
      </c>
      <c r="C121" s="254"/>
      <c r="D121" s="163" t="s">
        <v>185</v>
      </c>
      <c r="E121" s="185"/>
      <c r="F121" s="185"/>
      <c r="G121" s="185"/>
      <c r="H121" s="185"/>
      <c r="J121" s="75"/>
    </row>
    <row r="122" spans="1:10" ht="14.1" customHeight="1" x14ac:dyDescent="0.2">
      <c r="A122" s="185"/>
      <c r="B122" s="189"/>
      <c r="C122" s="189"/>
      <c r="D122" s="185"/>
      <c r="E122" s="185"/>
      <c r="F122" s="185"/>
      <c r="G122" s="185"/>
      <c r="H122" s="185"/>
      <c r="J122" s="75"/>
    </row>
    <row r="123" spans="1:10" ht="29.1" customHeight="1" x14ac:dyDescent="0.2">
      <c r="A123" s="185"/>
      <c r="B123" s="253" t="s">
        <v>194</v>
      </c>
      <c r="C123" s="254"/>
      <c r="D123" s="163" t="s">
        <v>185</v>
      </c>
      <c r="E123" s="191"/>
      <c r="F123" s="185"/>
      <c r="G123" s="185"/>
      <c r="H123" s="185"/>
      <c r="J123" s="75"/>
    </row>
    <row r="124" spans="1:10" ht="29.1" customHeight="1" x14ac:dyDescent="0.2">
      <c r="A124" s="185"/>
      <c r="B124" s="253" t="s">
        <v>195</v>
      </c>
      <c r="C124" s="254"/>
      <c r="D124" s="163" t="s">
        <v>185</v>
      </c>
      <c r="E124" s="191"/>
      <c r="F124" s="185"/>
      <c r="G124" s="185"/>
      <c r="H124" s="185"/>
      <c r="J124" s="75"/>
    </row>
    <row r="125" spans="1:10" ht="17.100000000000001" customHeight="1" x14ac:dyDescent="0.2">
      <c r="A125" s="185"/>
      <c r="B125" s="253" t="s">
        <v>196</v>
      </c>
      <c r="C125" s="254"/>
      <c r="D125" s="163" t="s">
        <v>185</v>
      </c>
      <c r="E125" s="191"/>
      <c r="F125" s="185"/>
      <c r="G125" s="185"/>
      <c r="H125" s="185"/>
      <c r="J125" s="75"/>
    </row>
    <row r="126" spans="1:10" ht="17.100000000000001" customHeight="1" x14ac:dyDescent="0.2">
      <c r="A126" s="185"/>
      <c r="B126" s="253" t="s">
        <v>197</v>
      </c>
      <c r="C126" s="254"/>
      <c r="D126" s="192">
        <v>4.2576000000000003E-2</v>
      </c>
      <c r="E126" s="185"/>
      <c r="F126" s="189"/>
      <c r="G126" s="190"/>
      <c r="H126" s="190"/>
      <c r="J126" s="75"/>
    </row>
  </sheetData>
  <mergeCells count="17">
    <mergeCell ref="B126:C126"/>
    <mergeCell ref="B121:C121"/>
    <mergeCell ref="B123:C123"/>
    <mergeCell ref="B124:C124"/>
    <mergeCell ref="B125:C125"/>
    <mergeCell ref="A1:H1"/>
    <mergeCell ref="A2:H2"/>
    <mergeCell ref="A3:H3"/>
    <mergeCell ref="B112:C112"/>
    <mergeCell ref="B113:C113"/>
    <mergeCell ref="B110:D110"/>
    <mergeCell ref="B111:C111"/>
    <mergeCell ref="B108:H108"/>
    <mergeCell ref="B104:H104"/>
    <mergeCell ref="B105:H105"/>
    <mergeCell ref="B106:H106"/>
    <mergeCell ref="B107:H107"/>
  </mergeCells>
  <hyperlinks>
    <hyperlink ref="I1" location="Index!B9" display="Index" xr:uid="{F461207C-460D-4286-A8FE-FCA84442D75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138"/>
  <sheetViews>
    <sheetView showGridLines="0" workbookViewId="0">
      <selection activeCell="C56" sqref="C56"/>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6" ht="15" x14ac:dyDescent="0.2">
      <c r="A1" s="250" t="s">
        <v>0</v>
      </c>
      <c r="B1" s="250"/>
      <c r="C1" s="250"/>
      <c r="D1" s="250"/>
      <c r="E1" s="250"/>
      <c r="F1" s="250"/>
      <c r="G1" s="250"/>
      <c r="H1" s="250"/>
      <c r="I1" s="35" t="s">
        <v>888</v>
      </c>
      <c r="J1" s="75"/>
    </row>
    <row r="2" spans="1:16" ht="15" x14ac:dyDescent="0.2">
      <c r="A2" s="250" t="s">
        <v>549</v>
      </c>
      <c r="B2" s="250"/>
      <c r="C2" s="250"/>
      <c r="D2" s="250"/>
      <c r="E2" s="250"/>
      <c r="F2" s="250"/>
      <c r="G2" s="250"/>
      <c r="H2" s="250"/>
      <c r="J2" s="70" t="s">
        <v>889</v>
      </c>
      <c r="K2" s="66"/>
      <c r="L2" s="66"/>
      <c r="M2" s="66"/>
      <c r="N2" s="66"/>
    </row>
    <row r="3" spans="1:16" ht="15" x14ac:dyDescent="0.2">
      <c r="A3" s="250" t="s">
        <v>873</v>
      </c>
      <c r="B3" s="250"/>
      <c r="C3" s="250"/>
      <c r="D3" s="250"/>
      <c r="E3" s="250"/>
      <c r="F3" s="250"/>
      <c r="G3" s="250"/>
      <c r="H3" s="250"/>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460</v>
      </c>
      <c r="C7" s="165" t="s">
        <v>461</v>
      </c>
      <c r="D7" s="165" t="s">
        <v>75</v>
      </c>
      <c r="E7" s="166">
        <v>19836</v>
      </c>
      <c r="F7" s="167">
        <v>419.24377800000002</v>
      </c>
      <c r="G7" s="168">
        <v>5.105821E-2</v>
      </c>
      <c r="H7" s="168"/>
      <c r="J7" s="75"/>
    </row>
    <row r="8" spans="1:16" ht="17.100000000000001" customHeight="1" x14ac:dyDescent="0.2">
      <c r="A8" s="164">
        <v>2</v>
      </c>
      <c r="B8" s="165" t="s">
        <v>34</v>
      </c>
      <c r="C8" s="165" t="s">
        <v>35</v>
      </c>
      <c r="D8" s="165" t="s">
        <v>36</v>
      </c>
      <c r="E8" s="166">
        <v>9206</v>
      </c>
      <c r="F8" s="167">
        <v>415.37472000000002</v>
      </c>
      <c r="G8" s="168">
        <v>5.0587020000000003E-2</v>
      </c>
      <c r="H8" s="168"/>
      <c r="J8" s="75"/>
    </row>
    <row r="9" spans="1:16" ht="17.100000000000001" customHeight="1" x14ac:dyDescent="0.2">
      <c r="A9" s="164">
        <v>3</v>
      </c>
      <c r="B9" s="165" t="s">
        <v>350</v>
      </c>
      <c r="C9" s="165" t="s">
        <v>351</v>
      </c>
      <c r="D9" s="165" t="s">
        <v>262</v>
      </c>
      <c r="E9" s="166">
        <v>9524</v>
      </c>
      <c r="F9" s="167">
        <v>391.34116</v>
      </c>
      <c r="G9" s="168">
        <v>4.7660050000000002E-2</v>
      </c>
      <c r="H9" s="168"/>
      <c r="J9" s="75"/>
    </row>
    <row r="10" spans="1:16" ht="17.100000000000001" customHeight="1" x14ac:dyDescent="0.2">
      <c r="A10" s="164">
        <v>4</v>
      </c>
      <c r="B10" s="165" t="s">
        <v>93</v>
      </c>
      <c r="C10" s="165" t="s">
        <v>94</v>
      </c>
      <c r="D10" s="165" t="s">
        <v>36</v>
      </c>
      <c r="E10" s="166">
        <v>9356</v>
      </c>
      <c r="F10" s="167">
        <v>373.82833599999998</v>
      </c>
      <c r="G10" s="168">
        <v>4.5527230000000002E-2</v>
      </c>
      <c r="H10" s="168"/>
      <c r="J10" s="75"/>
    </row>
    <row r="11" spans="1:16" ht="17.100000000000001" customHeight="1" x14ac:dyDescent="0.2">
      <c r="A11" s="164">
        <v>5</v>
      </c>
      <c r="B11" s="165" t="s">
        <v>462</v>
      </c>
      <c r="C11" s="165" t="s">
        <v>463</v>
      </c>
      <c r="D11" s="165" t="s">
        <v>39</v>
      </c>
      <c r="E11" s="166">
        <v>382570</v>
      </c>
      <c r="F11" s="167">
        <v>371.28418499999998</v>
      </c>
      <c r="G11" s="168">
        <v>4.5217390000000003E-2</v>
      </c>
      <c r="H11" s="168"/>
      <c r="J11" s="75"/>
    </row>
    <row r="12" spans="1:16" ht="17.100000000000001" customHeight="1" x14ac:dyDescent="0.2">
      <c r="A12" s="164">
        <v>6</v>
      </c>
      <c r="B12" s="165" t="s">
        <v>470</v>
      </c>
      <c r="C12" s="165" t="s">
        <v>471</v>
      </c>
      <c r="D12" s="165" t="s">
        <v>262</v>
      </c>
      <c r="E12" s="166">
        <v>13073</v>
      </c>
      <c r="F12" s="167">
        <v>364.29221799999999</v>
      </c>
      <c r="G12" s="168">
        <v>4.436586E-2</v>
      </c>
      <c r="H12" s="168"/>
      <c r="J12" s="71"/>
    </row>
    <row r="13" spans="1:16" ht="17.100000000000001" customHeight="1" x14ac:dyDescent="0.2">
      <c r="A13" s="164">
        <v>7</v>
      </c>
      <c r="B13" s="165" t="s">
        <v>78</v>
      </c>
      <c r="C13" s="165" t="s">
        <v>79</v>
      </c>
      <c r="D13" s="165" t="s">
        <v>80</v>
      </c>
      <c r="E13" s="166">
        <v>34821</v>
      </c>
      <c r="F13" s="167">
        <v>359.66610900000001</v>
      </c>
      <c r="G13" s="168">
        <v>4.3802460000000001E-2</v>
      </c>
      <c r="H13" s="168"/>
      <c r="J13" s="75" t="s">
        <v>901</v>
      </c>
    </row>
    <row r="14" spans="1:16" ht="17.100000000000001" customHeight="1" x14ac:dyDescent="0.2">
      <c r="A14" s="164">
        <v>8</v>
      </c>
      <c r="B14" s="165" t="s">
        <v>147</v>
      </c>
      <c r="C14" s="165" t="s">
        <v>148</v>
      </c>
      <c r="D14" s="165" t="s">
        <v>75</v>
      </c>
      <c r="E14" s="166">
        <v>88376</v>
      </c>
      <c r="F14" s="167">
        <v>279.091408</v>
      </c>
      <c r="G14" s="168">
        <v>3.398955E-2</v>
      </c>
      <c r="H14" s="168"/>
      <c r="J14" s="75"/>
    </row>
    <row r="15" spans="1:16" ht="17.100000000000001" customHeight="1" x14ac:dyDescent="0.2">
      <c r="A15" s="164">
        <v>9</v>
      </c>
      <c r="B15" s="165" t="s">
        <v>476</v>
      </c>
      <c r="C15" s="165" t="s">
        <v>477</v>
      </c>
      <c r="D15" s="165" t="s">
        <v>213</v>
      </c>
      <c r="E15" s="166">
        <v>72529</v>
      </c>
      <c r="F15" s="167">
        <v>265.49240450000002</v>
      </c>
      <c r="G15" s="168">
        <v>3.2333380000000002E-2</v>
      </c>
      <c r="H15" s="168"/>
      <c r="J15" s="75"/>
    </row>
    <row r="16" spans="1:16" ht="17.100000000000001" customHeight="1" x14ac:dyDescent="0.2">
      <c r="A16" s="164">
        <v>10</v>
      </c>
      <c r="B16" s="165" t="s">
        <v>468</v>
      </c>
      <c r="C16" s="165" t="s">
        <v>469</v>
      </c>
      <c r="D16" s="165" t="s">
        <v>53</v>
      </c>
      <c r="E16" s="166">
        <v>44635</v>
      </c>
      <c r="F16" s="167">
        <v>256.40575749999999</v>
      </c>
      <c r="G16" s="168">
        <v>3.1226750000000001E-2</v>
      </c>
      <c r="H16" s="168"/>
      <c r="J16" s="75"/>
    </row>
    <row r="17" spans="1:10" ht="17.100000000000001" customHeight="1" x14ac:dyDescent="0.2">
      <c r="A17" s="164">
        <v>11</v>
      </c>
      <c r="B17" s="165" t="s">
        <v>474</v>
      </c>
      <c r="C17" s="165" t="s">
        <v>475</v>
      </c>
      <c r="D17" s="165" t="s">
        <v>276</v>
      </c>
      <c r="E17" s="166">
        <v>76918</v>
      </c>
      <c r="F17" s="167">
        <v>255.75235000000001</v>
      </c>
      <c r="G17" s="168">
        <v>3.1147169999999998E-2</v>
      </c>
      <c r="H17" s="168"/>
      <c r="J17" s="75"/>
    </row>
    <row r="18" spans="1:10" ht="17.100000000000001" customHeight="1" x14ac:dyDescent="0.2">
      <c r="A18" s="164">
        <v>12</v>
      </c>
      <c r="B18" s="165" t="s">
        <v>71</v>
      </c>
      <c r="C18" s="165" t="s">
        <v>72</v>
      </c>
      <c r="D18" s="165" t="s">
        <v>36</v>
      </c>
      <c r="E18" s="166">
        <v>10116</v>
      </c>
      <c r="F18" s="167">
        <v>215.13191399999999</v>
      </c>
      <c r="G18" s="168">
        <v>2.6200149999999998E-2</v>
      </c>
      <c r="H18" s="168"/>
      <c r="J18" s="75"/>
    </row>
    <row r="19" spans="1:10" ht="17.100000000000001" customHeight="1" x14ac:dyDescent="0.2">
      <c r="A19" s="164">
        <v>13</v>
      </c>
      <c r="B19" s="165" t="s">
        <v>478</v>
      </c>
      <c r="C19" s="165" t="s">
        <v>479</v>
      </c>
      <c r="D19" s="165" t="s">
        <v>53</v>
      </c>
      <c r="E19" s="166">
        <v>26340</v>
      </c>
      <c r="F19" s="167">
        <v>200.88201000000001</v>
      </c>
      <c r="G19" s="168">
        <v>2.4464710000000001E-2</v>
      </c>
      <c r="H19" s="168"/>
      <c r="J19" s="75"/>
    </row>
    <row r="20" spans="1:10" ht="17.100000000000001" customHeight="1" x14ac:dyDescent="0.2">
      <c r="A20" s="164">
        <v>14</v>
      </c>
      <c r="B20" s="165" t="s">
        <v>519</v>
      </c>
      <c r="C20" s="165" t="s">
        <v>520</v>
      </c>
      <c r="D20" s="165" t="s">
        <v>242</v>
      </c>
      <c r="E20" s="166">
        <v>49643</v>
      </c>
      <c r="F20" s="167">
        <v>185.416605</v>
      </c>
      <c r="G20" s="168">
        <v>2.2581230000000001E-2</v>
      </c>
      <c r="H20" s="168"/>
      <c r="J20" s="75"/>
    </row>
    <row r="21" spans="1:10" ht="17.100000000000001" customHeight="1" x14ac:dyDescent="0.2">
      <c r="A21" s="164">
        <v>15</v>
      </c>
      <c r="B21" s="165" t="s">
        <v>464</v>
      </c>
      <c r="C21" s="165" t="s">
        <v>465</v>
      </c>
      <c r="D21" s="165" t="s">
        <v>13</v>
      </c>
      <c r="E21" s="166">
        <v>104608</v>
      </c>
      <c r="F21" s="167">
        <v>182.854784</v>
      </c>
      <c r="G21" s="168">
        <v>2.2269239999999999E-2</v>
      </c>
      <c r="H21" s="168"/>
      <c r="J21" s="75"/>
    </row>
    <row r="22" spans="1:10" ht="17.100000000000001" customHeight="1" x14ac:dyDescent="0.2">
      <c r="A22" s="164">
        <v>16</v>
      </c>
      <c r="B22" s="165" t="s">
        <v>482</v>
      </c>
      <c r="C22" s="165" t="s">
        <v>483</v>
      </c>
      <c r="D22" s="165" t="s">
        <v>242</v>
      </c>
      <c r="E22" s="166">
        <v>12562</v>
      </c>
      <c r="F22" s="167">
        <v>178.732136</v>
      </c>
      <c r="G22" s="168">
        <v>2.1767149999999999E-2</v>
      </c>
      <c r="H22" s="168"/>
      <c r="J22" s="71"/>
    </row>
    <row r="23" spans="1:10" ht="29.1" customHeight="1" x14ac:dyDescent="0.2">
      <c r="A23" s="164">
        <v>17</v>
      </c>
      <c r="B23" s="165" t="s">
        <v>123</v>
      </c>
      <c r="C23" s="165" t="s">
        <v>124</v>
      </c>
      <c r="D23" s="165" t="s">
        <v>25</v>
      </c>
      <c r="E23" s="166">
        <v>4362</v>
      </c>
      <c r="F23" s="167">
        <v>174.45819</v>
      </c>
      <c r="G23" s="168">
        <v>2.1246649999999999E-2</v>
      </c>
      <c r="H23" s="168"/>
      <c r="J23" s="75"/>
    </row>
    <row r="24" spans="1:10" ht="29.1" customHeight="1" x14ac:dyDescent="0.2">
      <c r="A24" s="164">
        <v>18</v>
      </c>
      <c r="B24" s="165" t="s">
        <v>314</v>
      </c>
      <c r="C24" s="165" t="s">
        <v>315</v>
      </c>
      <c r="D24" s="165" t="s">
        <v>316</v>
      </c>
      <c r="E24" s="166">
        <v>4936</v>
      </c>
      <c r="F24" s="167">
        <v>168.77418</v>
      </c>
      <c r="G24" s="168">
        <v>2.0554409999999999E-2</v>
      </c>
      <c r="H24" s="168"/>
      <c r="J24" s="75"/>
    </row>
    <row r="25" spans="1:10" ht="29.1" customHeight="1" x14ac:dyDescent="0.2">
      <c r="A25" s="164">
        <v>19</v>
      </c>
      <c r="B25" s="165" t="s">
        <v>492</v>
      </c>
      <c r="C25" s="165" t="s">
        <v>493</v>
      </c>
      <c r="D25" s="165" t="s">
        <v>70</v>
      </c>
      <c r="E25" s="166">
        <v>6607</v>
      </c>
      <c r="F25" s="167">
        <v>165.89185950000001</v>
      </c>
      <c r="G25" s="168">
        <v>2.020338E-2</v>
      </c>
      <c r="H25" s="168"/>
      <c r="J25" s="75"/>
    </row>
    <row r="26" spans="1:10" ht="17.100000000000001" customHeight="1" x14ac:dyDescent="0.2">
      <c r="A26" s="164">
        <v>20</v>
      </c>
      <c r="B26" s="165" t="s">
        <v>488</v>
      </c>
      <c r="C26" s="165" t="s">
        <v>489</v>
      </c>
      <c r="D26" s="165" t="s">
        <v>242</v>
      </c>
      <c r="E26" s="166">
        <v>18794</v>
      </c>
      <c r="F26" s="167">
        <v>159.37312</v>
      </c>
      <c r="G26" s="168">
        <v>1.9409490000000001E-2</v>
      </c>
      <c r="H26" s="168"/>
      <c r="J26" s="75"/>
    </row>
    <row r="27" spans="1:10" ht="17.100000000000001" customHeight="1" x14ac:dyDescent="0.2">
      <c r="A27" s="164">
        <v>21</v>
      </c>
      <c r="B27" s="165" t="s">
        <v>484</v>
      </c>
      <c r="C27" s="165" t="s">
        <v>485</v>
      </c>
      <c r="D27" s="165" t="s">
        <v>53</v>
      </c>
      <c r="E27" s="166">
        <v>124593</v>
      </c>
      <c r="F27" s="167">
        <v>151.62968100000001</v>
      </c>
      <c r="G27" s="168">
        <v>1.8466440000000001E-2</v>
      </c>
      <c r="H27" s="168"/>
      <c r="J27" s="75"/>
    </row>
    <row r="28" spans="1:10" ht="17.100000000000001" customHeight="1" x14ac:dyDescent="0.2">
      <c r="A28" s="164">
        <v>22</v>
      </c>
      <c r="B28" s="165" t="s">
        <v>480</v>
      </c>
      <c r="C28" s="165" t="s">
        <v>481</v>
      </c>
      <c r="D28" s="165" t="s">
        <v>417</v>
      </c>
      <c r="E28" s="166">
        <v>11089</v>
      </c>
      <c r="F28" s="167">
        <v>150.93792350000001</v>
      </c>
      <c r="G28" s="168">
        <v>1.8382200000000001E-2</v>
      </c>
      <c r="H28" s="168"/>
      <c r="J28" s="75"/>
    </row>
    <row r="29" spans="1:10" ht="17.100000000000001" customHeight="1" x14ac:dyDescent="0.2">
      <c r="A29" s="164">
        <v>23</v>
      </c>
      <c r="B29" s="165" t="s">
        <v>550</v>
      </c>
      <c r="C29" s="165" t="s">
        <v>551</v>
      </c>
      <c r="D29" s="165" t="s">
        <v>13</v>
      </c>
      <c r="E29" s="166">
        <v>12092</v>
      </c>
      <c r="F29" s="167">
        <v>148.20559800000001</v>
      </c>
      <c r="G29" s="168">
        <v>1.8049430000000002E-2</v>
      </c>
      <c r="H29" s="168"/>
      <c r="J29" s="75"/>
    </row>
    <row r="30" spans="1:10" ht="17.100000000000001" customHeight="1" x14ac:dyDescent="0.2">
      <c r="A30" s="164">
        <v>24</v>
      </c>
      <c r="B30" s="165" t="s">
        <v>497</v>
      </c>
      <c r="C30" s="165" t="s">
        <v>498</v>
      </c>
      <c r="D30" s="165" t="s">
        <v>75</v>
      </c>
      <c r="E30" s="166">
        <v>22755</v>
      </c>
      <c r="F30" s="167">
        <v>145.02899249999999</v>
      </c>
      <c r="G30" s="168">
        <v>1.7662569999999999E-2</v>
      </c>
      <c r="H30" s="168"/>
      <c r="J30" s="75"/>
    </row>
    <row r="31" spans="1:10" ht="17.100000000000001" customHeight="1" x14ac:dyDescent="0.2">
      <c r="A31" s="164">
        <v>25</v>
      </c>
      <c r="B31" s="165" t="s">
        <v>505</v>
      </c>
      <c r="C31" s="165" t="s">
        <v>506</v>
      </c>
      <c r="D31" s="165" t="s">
        <v>53</v>
      </c>
      <c r="E31" s="166">
        <v>15340</v>
      </c>
      <c r="F31" s="167">
        <v>139.98517000000001</v>
      </c>
      <c r="G31" s="168">
        <v>1.7048299999999999E-2</v>
      </c>
      <c r="H31" s="168"/>
      <c r="J31" s="75"/>
    </row>
    <row r="32" spans="1:10" ht="17.100000000000001" customHeight="1" x14ac:dyDescent="0.2">
      <c r="A32" s="164">
        <v>26</v>
      </c>
      <c r="B32" s="165" t="s">
        <v>238</v>
      </c>
      <c r="C32" s="165" t="s">
        <v>239</v>
      </c>
      <c r="D32" s="165" t="s">
        <v>104</v>
      </c>
      <c r="E32" s="166">
        <v>1412</v>
      </c>
      <c r="F32" s="167">
        <v>122.68868000000001</v>
      </c>
      <c r="G32" s="168">
        <v>1.494182E-2</v>
      </c>
      <c r="H32" s="168"/>
      <c r="J32" s="75"/>
    </row>
    <row r="33" spans="1:10" ht="17.100000000000001" customHeight="1" x14ac:dyDescent="0.2">
      <c r="A33" s="164">
        <v>27</v>
      </c>
      <c r="B33" s="165" t="s">
        <v>494</v>
      </c>
      <c r="C33" s="165" t="s">
        <v>495</v>
      </c>
      <c r="D33" s="165" t="s">
        <v>496</v>
      </c>
      <c r="E33" s="166">
        <v>10759</v>
      </c>
      <c r="F33" s="167">
        <v>120.5008</v>
      </c>
      <c r="G33" s="168">
        <v>1.467537E-2</v>
      </c>
      <c r="H33" s="168"/>
      <c r="J33" s="75"/>
    </row>
    <row r="34" spans="1:10" ht="29.1" customHeight="1" x14ac:dyDescent="0.2">
      <c r="A34" s="164">
        <v>28</v>
      </c>
      <c r="B34" s="165" t="s">
        <v>501</v>
      </c>
      <c r="C34" s="165" t="s">
        <v>502</v>
      </c>
      <c r="D34" s="165" t="s">
        <v>221</v>
      </c>
      <c r="E34" s="166">
        <v>18954</v>
      </c>
      <c r="F34" s="167">
        <v>117.23049</v>
      </c>
      <c r="G34" s="168">
        <v>1.4277089999999999E-2</v>
      </c>
      <c r="H34" s="168"/>
      <c r="J34" s="75"/>
    </row>
    <row r="35" spans="1:10" ht="29.1" customHeight="1" x14ac:dyDescent="0.2">
      <c r="A35" s="164">
        <v>29</v>
      </c>
      <c r="B35" s="165" t="s">
        <v>552</v>
      </c>
      <c r="C35" s="165" t="s">
        <v>553</v>
      </c>
      <c r="D35" s="165" t="s">
        <v>414</v>
      </c>
      <c r="E35" s="166">
        <v>18519</v>
      </c>
      <c r="F35" s="167">
        <v>109.5491445</v>
      </c>
      <c r="G35" s="168">
        <v>1.33416E-2</v>
      </c>
      <c r="H35" s="168"/>
      <c r="J35" s="75"/>
    </row>
    <row r="36" spans="1:10" ht="17.100000000000001" customHeight="1" x14ac:dyDescent="0.2">
      <c r="A36" s="164">
        <v>30</v>
      </c>
      <c r="B36" s="165" t="s">
        <v>528</v>
      </c>
      <c r="C36" s="165" t="s">
        <v>529</v>
      </c>
      <c r="D36" s="165" t="s">
        <v>39</v>
      </c>
      <c r="E36" s="166">
        <v>25918</v>
      </c>
      <c r="F36" s="167">
        <v>96.635262999999995</v>
      </c>
      <c r="G36" s="168">
        <v>1.1768870000000001E-2</v>
      </c>
      <c r="H36" s="168"/>
      <c r="J36" s="75"/>
    </row>
    <row r="37" spans="1:10" ht="17.100000000000001" customHeight="1" x14ac:dyDescent="0.2">
      <c r="A37" s="164">
        <v>31</v>
      </c>
      <c r="B37" s="165" t="s">
        <v>499</v>
      </c>
      <c r="C37" s="165" t="s">
        <v>500</v>
      </c>
      <c r="D37" s="165" t="s">
        <v>75</v>
      </c>
      <c r="E37" s="166">
        <v>11192</v>
      </c>
      <c r="F37" s="167">
        <v>93.811344000000005</v>
      </c>
      <c r="G37" s="168">
        <v>1.142495E-2</v>
      </c>
      <c r="H37" s="168"/>
      <c r="J37" s="75"/>
    </row>
    <row r="38" spans="1:10" ht="17.100000000000001" customHeight="1" x14ac:dyDescent="0.2">
      <c r="A38" s="164">
        <v>32</v>
      </c>
      <c r="B38" s="165" t="s">
        <v>365</v>
      </c>
      <c r="C38" s="165" t="s">
        <v>366</v>
      </c>
      <c r="D38" s="165" t="s">
        <v>114</v>
      </c>
      <c r="E38" s="166">
        <v>56603</v>
      </c>
      <c r="F38" s="167">
        <v>93.394949999999994</v>
      </c>
      <c r="G38" s="168">
        <v>1.1374240000000001E-2</v>
      </c>
      <c r="H38" s="168"/>
      <c r="J38" s="75"/>
    </row>
    <row r="39" spans="1:10" ht="17.100000000000001" customHeight="1" x14ac:dyDescent="0.2">
      <c r="A39" s="164">
        <v>33</v>
      </c>
      <c r="B39" s="165" t="s">
        <v>509</v>
      </c>
      <c r="C39" s="165" t="s">
        <v>510</v>
      </c>
      <c r="D39" s="165" t="s">
        <v>75</v>
      </c>
      <c r="E39" s="166">
        <v>20256</v>
      </c>
      <c r="F39" s="167">
        <v>92.114159999999998</v>
      </c>
      <c r="G39" s="168">
        <v>1.1218260000000001E-2</v>
      </c>
      <c r="H39" s="168"/>
      <c r="J39" s="75"/>
    </row>
    <row r="40" spans="1:10" ht="17.100000000000001" customHeight="1" x14ac:dyDescent="0.2">
      <c r="A40" s="164">
        <v>34</v>
      </c>
      <c r="B40" s="165" t="s">
        <v>294</v>
      </c>
      <c r="C40" s="165" t="s">
        <v>295</v>
      </c>
      <c r="D40" s="165" t="s">
        <v>53</v>
      </c>
      <c r="E40" s="166">
        <v>8289</v>
      </c>
      <c r="F40" s="167">
        <v>89.255951999999994</v>
      </c>
      <c r="G40" s="168">
        <v>1.087017E-2</v>
      </c>
      <c r="H40" s="168"/>
      <c r="J40" s="75"/>
    </row>
    <row r="41" spans="1:10" ht="29.1" customHeight="1" x14ac:dyDescent="0.2">
      <c r="A41" s="164">
        <v>35</v>
      </c>
      <c r="B41" s="165" t="s">
        <v>554</v>
      </c>
      <c r="C41" s="165" t="s">
        <v>555</v>
      </c>
      <c r="D41" s="165" t="s">
        <v>556</v>
      </c>
      <c r="E41" s="166">
        <v>18409</v>
      </c>
      <c r="F41" s="167">
        <v>86.034461500000006</v>
      </c>
      <c r="G41" s="168">
        <v>1.047783E-2</v>
      </c>
      <c r="H41" s="168"/>
      <c r="J41" s="75"/>
    </row>
    <row r="42" spans="1:10" ht="29.1" customHeight="1" x14ac:dyDescent="0.2">
      <c r="A42" s="164">
        <v>36</v>
      </c>
      <c r="B42" s="165" t="s">
        <v>557</v>
      </c>
      <c r="C42" s="165" t="s">
        <v>558</v>
      </c>
      <c r="D42" s="165" t="s">
        <v>75</v>
      </c>
      <c r="E42" s="166">
        <v>5046</v>
      </c>
      <c r="F42" s="167">
        <v>63.859653000000002</v>
      </c>
      <c r="G42" s="168">
        <v>7.7772400000000004E-3</v>
      </c>
      <c r="H42" s="168"/>
      <c r="J42" s="75"/>
    </row>
    <row r="43" spans="1:10" ht="17.100000000000001" customHeight="1" x14ac:dyDescent="0.2">
      <c r="A43" s="164">
        <v>37</v>
      </c>
      <c r="B43" s="165" t="s">
        <v>139</v>
      </c>
      <c r="C43" s="165" t="s">
        <v>140</v>
      </c>
      <c r="D43" s="165" t="s">
        <v>36</v>
      </c>
      <c r="E43" s="166">
        <v>9276</v>
      </c>
      <c r="F43" s="167">
        <v>60.317189999999997</v>
      </c>
      <c r="G43" s="168">
        <v>7.3458200000000003E-3</v>
      </c>
      <c r="H43" s="168"/>
      <c r="J43" s="75"/>
    </row>
    <row r="44" spans="1:10" ht="29.1" customHeight="1" x14ac:dyDescent="0.2">
      <c r="A44" s="164">
        <v>38</v>
      </c>
      <c r="B44" s="165" t="s">
        <v>559</v>
      </c>
      <c r="C44" s="165" t="s">
        <v>560</v>
      </c>
      <c r="D44" s="165" t="s">
        <v>28</v>
      </c>
      <c r="E44" s="166">
        <v>8480</v>
      </c>
      <c r="F44" s="167">
        <v>59.114080000000001</v>
      </c>
      <c r="G44" s="168">
        <v>7.1992899999999997E-3</v>
      </c>
      <c r="H44" s="168"/>
      <c r="J44" s="75"/>
    </row>
    <row r="45" spans="1:10" ht="29.1" customHeight="1" x14ac:dyDescent="0.2">
      <c r="A45" s="164">
        <v>39</v>
      </c>
      <c r="B45" s="165" t="s">
        <v>511</v>
      </c>
      <c r="C45" s="165" t="s">
        <v>512</v>
      </c>
      <c r="D45" s="165" t="s">
        <v>216</v>
      </c>
      <c r="E45" s="166">
        <v>1052</v>
      </c>
      <c r="F45" s="167">
        <v>51.651096000000003</v>
      </c>
      <c r="G45" s="168">
        <v>6.2903999999999998E-3</v>
      </c>
      <c r="H45" s="168"/>
      <c r="J45" s="75"/>
    </row>
    <row r="46" spans="1:10" ht="17.100000000000001" customHeight="1" x14ac:dyDescent="0.2">
      <c r="A46" s="164">
        <v>40</v>
      </c>
      <c r="B46" s="165" t="s">
        <v>515</v>
      </c>
      <c r="C46" s="165" t="s">
        <v>516</v>
      </c>
      <c r="D46" s="165" t="s">
        <v>104</v>
      </c>
      <c r="E46" s="166">
        <v>4443</v>
      </c>
      <c r="F46" s="167">
        <v>51.150037500000003</v>
      </c>
      <c r="G46" s="168">
        <v>6.2293799999999996E-3</v>
      </c>
      <c r="H46" s="168"/>
      <c r="J46" s="75"/>
    </row>
    <row r="47" spans="1:10" ht="17.100000000000001" customHeight="1" x14ac:dyDescent="0.2">
      <c r="A47" s="164">
        <v>41</v>
      </c>
      <c r="B47" s="165" t="s">
        <v>513</v>
      </c>
      <c r="C47" s="165" t="s">
        <v>514</v>
      </c>
      <c r="D47" s="165" t="s">
        <v>393</v>
      </c>
      <c r="E47" s="166">
        <v>4215</v>
      </c>
      <c r="F47" s="167">
        <v>41.134185000000002</v>
      </c>
      <c r="G47" s="168">
        <v>5.0095900000000004E-3</v>
      </c>
      <c r="H47" s="168"/>
      <c r="J47" s="75"/>
    </row>
    <row r="48" spans="1:10" ht="29.1" customHeight="1" x14ac:dyDescent="0.2">
      <c r="A48" s="164">
        <v>42</v>
      </c>
      <c r="B48" s="165" t="s">
        <v>523</v>
      </c>
      <c r="C48" s="165" t="s">
        <v>524</v>
      </c>
      <c r="D48" s="165" t="s">
        <v>216</v>
      </c>
      <c r="E48" s="166">
        <v>12417</v>
      </c>
      <c r="F48" s="167">
        <v>40.597381499999997</v>
      </c>
      <c r="G48" s="168">
        <v>4.9442100000000001E-3</v>
      </c>
      <c r="H48" s="168"/>
      <c r="J48" s="75"/>
    </row>
    <row r="49" spans="1:10" ht="29.1" customHeight="1" x14ac:dyDescent="0.2">
      <c r="A49" s="164">
        <v>43</v>
      </c>
      <c r="B49" s="165" t="s">
        <v>525</v>
      </c>
      <c r="C49" s="165" t="s">
        <v>526</v>
      </c>
      <c r="D49" s="165" t="s">
        <v>527</v>
      </c>
      <c r="E49" s="166">
        <v>26499</v>
      </c>
      <c r="F49" s="167">
        <v>38.980029000000002</v>
      </c>
      <c r="G49" s="168">
        <v>4.7472399999999998E-3</v>
      </c>
      <c r="H49" s="168"/>
      <c r="J49" s="75"/>
    </row>
    <row r="50" spans="1:10" ht="17.100000000000001" customHeight="1" x14ac:dyDescent="0.2">
      <c r="A50" s="164">
        <v>44</v>
      </c>
      <c r="B50" s="165" t="s">
        <v>517</v>
      </c>
      <c r="C50" s="165" t="s">
        <v>518</v>
      </c>
      <c r="D50" s="165" t="s">
        <v>36</v>
      </c>
      <c r="E50" s="166">
        <v>1412</v>
      </c>
      <c r="F50" s="167">
        <v>23.374953999999999</v>
      </c>
      <c r="G50" s="168">
        <v>2.8467499999999999E-3</v>
      </c>
      <c r="H50" s="168"/>
      <c r="J50" s="75"/>
    </row>
    <row r="51" spans="1:10" ht="14.1" customHeight="1" x14ac:dyDescent="0.2">
      <c r="A51" s="162"/>
      <c r="B51" s="162"/>
      <c r="C51" s="163" t="s">
        <v>152</v>
      </c>
      <c r="D51" s="162"/>
      <c r="E51" s="162" t="s">
        <v>153</v>
      </c>
      <c r="F51" s="169">
        <v>7570.4684404999998</v>
      </c>
      <c r="G51" s="170">
        <v>0.92198053999999996</v>
      </c>
      <c r="H51" s="170"/>
      <c r="J51" s="75"/>
    </row>
    <row r="52" spans="1:10" ht="14.1" customHeight="1" x14ac:dyDescent="0.2">
      <c r="A52" s="162"/>
      <c r="B52" s="162"/>
      <c r="C52" s="171"/>
      <c r="D52" s="162"/>
      <c r="E52" s="162"/>
      <c r="F52" s="172"/>
      <c r="G52" s="172"/>
      <c r="H52" s="172"/>
      <c r="J52" s="75"/>
    </row>
    <row r="53" spans="1:10" ht="14.1" customHeight="1" x14ac:dyDescent="0.2">
      <c r="A53" s="162"/>
      <c r="B53" s="162"/>
      <c r="C53" s="163" t="s">
        <v>154</v>
      </c>
      <c r="D53" s="162"/>
      <c r="E53" s="162"/>
      <c r="F53" s="162"/>
      <c r="G53" s="162"/>
      <c r="H53" s="162"/>
      <c r="J53" s="75"/>
    </row>
    <row r="54" spans="1:10" ht="14.1" customHeight="1" x14ac:dyDescent="0.2">
      <c r="A54" s="162"/>
      <c r="B54" s="162"/>
      <c r="C54" s="163" t="s">
        <v>152</v>
      </c>
      <c r="D54" s="162"/>
      <c r="E54" s="162" t="s">
        <v>153</v>
      </c>
      <c r="F54" s="173" t="s">
        <v>155</v>
      </c>
      <c r="G54" s="170">
        <v>0</v>
      </c>
      <c r="H54" s="170"/>
      <c r="J54" s="75"/>
    </row>
    <row r="55" spans="1:10" ht="14.1" customHeight="1" x14ac:dyDescent="0.2">
      <c r="A55" s="162"/>
      <c r="B55" s="162"/>
      <c r="C55" s="171"/>
      <c r="D55" s="162"/>
      <c r="E55" s="162"/>
      <c r="F55" s="172"/>
      <c r="G55" s="172"/>
      <c r="H55" s="172"/>
      <c r="J55" s="75"/>
    </row>
    <row r="56" spans="1:10" ht="14.1" customHeight="1" x14ac:dyDescent="0.2">
      <c r="A56" s="162"/>
      <c r="B56" s="162"/>
      <c r="C56" s="163" t="s">
        <v>156</v>
      </c>
      <c r="D56" s="162"/>
      <c r="E56" s="162"/>
      <c r="F56" s="162"/>
      <c r="G56" s="162"/>
      <c r="H56" s="16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157</v>
      </c>
      <c r="D59" s="162"/>
      <c r="E59" s="162"/>
      <c r="F59" s="162"/>
      <c r="G59" s="162"/>
      <c r="H59" s="162"/>
      <c r="J59" s="75"/>
    </row>
    <row r="60" spans="1:10" ht="29.1" customHeight="1" x14ac:dyDescent="0.2">
      <c r="A60" s="164">
        <v>1</v>
      </c>
      <c r="B60" s="165" t="s">
        <v>329</v>
      </c>
      <c r="C60" s="165" t="s">
        <v>1202</v>
      </c>
      <c r="D60" s="165" t="s">
        <v>36</v>
      </c>
      <c r="E60" s="166">
        <v>163</v>
      </c>
      <c r="F60" s="167">
        <v>1.6305541999999999E-2</v>
      </c>
      <c r="G60" s="168" t="s">
        <v>151</v>
      </c>
      <c r="H60" s="168"/>
      <c r="J60" s="75"/>
    </row>
    <row r="61" spans="1:10" ht="14.1" customHeight="1" x14ac:dyDescent="0.2">
      <c r="A61" s="162"/>
      <c r="B61" s="162"/>
      <c r="C61" s="163" t="s">
        <v>152</v>
      </c>
      <c r="D61" s="162"/>
      <c r="E61" s="162" t="s">
        <v>153</v>
      </c>
      <c r="F61" s="169">
        <v>1.6305541999999999E-2</v>
      </c>
      <c r="G61" s="170">
        <v>1.99E-6</v>
      </c>
      <c r="H61" s="170"/>
      <c r="J61" s="75"/>
    </row>
    <row r="62" spans="1:10" ht="14.1" customHeight="1" x14ac:dyDescent="0.2">
      <c r="A62" s="162"/>
      <c r="B62" s="162"/>
      <c r="C62" s="171"/>
      <c r="D62" s="162"/>
      <c r="E62" s="162"/>
      <c r="F62" s="172"/>
      <c r="G62" s="172"/>
      <c r="H62" s="172"/>
      <c r="J62" s="75"/>
    </row>
    <row r="63" spans="1:10" ht="14.1" customHeight="1" x14ac:dyDescent="0.2">
      <c r="A63" s="162"/>
      <c r="B63" s="162"/>
      <c r="C63" s="163" t="s">
        <v>158</v>
      </c>
      <c r="D63" s="162"/>
      <c r="E63" s="162"/>
      <c r="F63" s="172"/>
      <c r="G63" s="172"/>
      <c r="H63" s="172"/>
      <c r="J63" s="75"/>
    </row>
    <row r="64" spans="1:10" ht="14.1" customHeight="1" x14ac:dyDescent="0.2">
      <c r="A64" s="162"/>
      <c r="B64" s="162"/>
      <c r="C64" s="163" t="s">
        <v>152</v>
      </c>
      <c r="D64" s="162"/>
      <c r="E64" s="162" t="s">
        <v>153</v>
      </c>
      <c r="F64" s="173" t="s">
        <v>155</v>
      </c>
      <c r="G64" s="170">
        <v>0</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159</v>
      </c>
      <c r="D66" s="162"/>
      <c r="E66" s="162"/>
      <c r="F66" s="172"/>
      <c r="G66" s="172"/>
      <c r="H66" s="17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8" customHeight="1" x14ac:dyDescent="0.2">
      <c r="A69" s="162"/>
      <c r="B69" s="162"/>
      <c r="C69" s="163" t="s">
        <v>160</v>
      </c>
      <c r="D69" s="162"/>
      <c r="E69" s="162"/>
      <c r="F69" s="169">
        <v>7570.4847460419996</v>
      </c>
      <c r="G69" s="170">
        <v>0.92198252999999997</v>
      </c>
      <c r="H69" s="170"/>
      <c r="J69" s="75"/>
    </row>
    <row r="70" spans="1:10" ht="14.1" customHeight="1" x14ac:dyDescent="0.2">
      <c r="A70" s="162"/>
      <c r="B70" s="162"/>
      <c r="C70" s="171"/>
      <c r="D70" s="162"/>
      <c r="E70" s="162"/>
      <c r="F70" s="172"/>
      <c r="G70" s="172"/>
      <c r="H70" s="172"/>
      <c r="J70" s="75"/>
    </row>
    <row r="71" spans="1:10" ht="14.1" customHeight="1" x14ac:dyDescent="0.2">
      <c r="A71" s="162"/>
      <c r="B71" s="162"/>
      <c r="C71" s="163" t="s">
        <v>161</v>
      </c>
      <c r="D71" s="162"/>
      <c r="E71" s="162"/>
      <c r="F71" s="172"/>
      <c r="G71" s="172"/>
      <c r="H71" s="172"/>
      <c r="J71" s="75"/>
    </row>
    <row r="72" spans="1:10" ht="24" customHeight="1" x14ac:dyDescent="0.2">
      <c r="A72" s="162"/>
      <c r="B72" s="162"/>
      <c r="C72" s="163" t="s">
        <v>10</v>
      </c>
      <c r="D72" s="162"/>
      <c r="E72" s="162"/>
      <c r="F72" s="172"/>
      <c r="G72" s="172"/>
      <c r="H72" s="172"/>
      <c r="J72" s="75"/>
    </row>
    <row r="73" spans="1:10" ht="14.1" customHeight="1" x14ac:dyDescent="0.2">
      <c r="A73" s="162"/>
      <c r="B73" s="162"/>
      <c r="C73" s="163" t="s">
        <v>152</v>
      </c>
      <c r="D73" s="162"/>
      <c r="E73" s="162" t="s">
        <v>153</v>
      </c>
      <c r="F73" s="173" t="s">
        <v>155</v>
      </c>
      <c r="G73" s="170">
        <v>0</v>
      </c>
      <c r="H73" s="170"/>
      <c r="J73" s="75"/>
    </row>
    <row r="74" spans="1:10" ht="14.1" customHeight="1" x14ac:dyDescent="0.2">
      <c r="A74" s="162"/>
      <c r="B74" s="162"/>
      <c r="C74" s="171"/>
      <c r="D74" s="162"/>
      <c r="E74" s="162"/>
      <c r="F74" s="172"/>
      <c r="G74" s="172"/>
      <c r="H74" s="172"/>
      <c r="J74" s="75"/>
    </row>
    <row r="75" spans="1:10" ht="14.1" customHeight="1" x14ac:dyDescent="0.2">
      <c r="A75" s="162"/>
      <c r="B75" s="162"/>
      <c r="C75" s="163" t="s">
        <v>162</v>
      </c>
      <c r="D75" s="162"/>
      <c r="E75" s="162"/>
      <c r="F75" s="162"/>
      <c r="G75" s="162"/>
      <c r="H75" s="16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163</v>
      </c>
      <c r="D78" s="162"/>
      <c r="E78" s="162"/>
      <c r="F78" s="162"/>
      <c r="G78" s="162"/>
      <c r="H78" s="16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164</v>
      </c>
      <c r="D81" s="162"/>
      <c r="E81" s="162"/>
      <c r="F81" s="172"/>
      <c r="G81" s="172"/>
      <c r="H81" s="17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165</v>
      </c>
      <c r="D84" s="162"/>
      <c r="E84" s="162"/>
      <c r="F84" s="169">
        <v>0</v>
      </c>
      <c r="G84" s="170">
        <v>0</v>
      </c>
      <c r="H84" s="170"/>
      <c r="J84" s="75"/>
    </row>
    <row r="85" spans="1:10" ht="14.1" customHeight="1" x14ac:dyDescent="0.2">
      <c r="A85" s="162"/>
      <c r="B85" s="162"/>
      <c r="C85" s="171"/>
      <c r="D85" s="162"/>
      <c r="E85" s="162"/>
      <c r="F85" s="172"/>
      <c r="G85" s="172"/>
      <c r="H85" s="172"/>
      <c r="J85" s="75"/>
    </row>
    <row r="86" spans="1:10" ht="14.1" customHeight="1" x14ac:dyDescent="0.2">
      <c r="A86" s="162"/>
      <c r="B86" s="162"/>
      <c r="C86" s="163" t="s">
        <v>166</v>
      </c>
      <c r="D86" s="162"/>
      <c r="E86" s="162"/>
      <c r="F86" s="172"/>
      <c r="G86" s="172"/>
      <c r="H86" s="172"/>
      <c r="J86" s="75"/>
    </row>
    <row r="87" spans="1:10" ht="14.1" customHeight="1" x14ac:dyDescent="0.2">
      <c r="A87" s="162"/>
      <c r="B87" s="162"/>
      <c r="C87" s="163" t="s">
        <v>167</v>
      </c>
      <c r="D87" s="162"/>
      <c r="E87" s="162"/>
      <c r="F87" s="172"/>
      <c r="G87" s="172"/>
      <c r="H87" s="172"/>
      <c r="J87" s="75"/>
    </row>
    <row r="88" spans="1:10" ht="14.1" customHeight="1" x14ac:dyDescent="0.2">
      <c r="A88" s="162"/>
      <c r="B88" s="162"/>
      <c r="C88" s="163" t="s">
        <v>152</v>
      </c>
      <c r="D88" s="162"/>
      <c r="E88" s="162" t="s">
        <v>153</v>
      </c>
      <c r="F88" s="173" t="s">
        <v>155</v>
      </c>
      <c r="G88" s="170">
        <v>0</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168</v>
      </c>
      <c r="D90" s="162"/>
      <c r="E90" s="162"/>
      <c r="F90" s="172"/>
      <c r="G90" s="172"/>
      <c r="H90" s="17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169</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170</v>
      </c>
      <c r="D96" s="162"/>
      <c r="E96" s="162"/>
      <c r="F96" s="172"/>
      <c r="G96" s="172"/>
      <c r="H96" s="172"/>
      <c r="J96" s="75"/>
    </row>
    <row r="97" spans="1:10" ht="17.100000000000001" customHeight="1" x14ac:dyDescent="0.2">
      <c r="A97" s="164">
        <v>1</v>
      </c>
      <c r="B97" s="165"/>
      <c r="C97" s="165" t="s">
        <v>171</v>
      </c>
      <c r="D97" s="165"/>
      <c r="E97" s="174"/>
      <c r="F97" s="167">
        <v>621.46159559900002</v>
      </c>
      <c r="G97" s="168">
        <v>7.568561E-2</v>
      </c>
      <c r="H97" s="175">
        <v>6.66</v>
      </c>
      <c r="J97" s="75"/>
    </row>
    <row r="98" spans="1:10" ht="14.1" customHeight="1" x14ac:dyDescent="0.2">
      <c r="A98" s="162"/>
      <c r="B98" s="162"/>
      <c r="C98" s="163" t="s">
        <v>152</v>
      </c>
      <c r="D98" s="162"/>
      <c r="E98" s="162" t="s">
        <v>153</v>
      </c>
      <c r="F98" s="169">
        <v>621.46159559900002</v>
      </c>
      <c r="G98" s="170">
        <v>7.568561E-2</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172</v>
      </c>
      <c r="D100" s="162"/>
      <c r="E100" s="162"/>
      <c r="F100" s="169">
        <v>621.46159559900002</v>
      </c>
      <c r="G100" s="170">
        <v>7.568561E-2</v>
      </c>
      <c r="H100" s="170"/>
      <c r="J100" s="75"/>
    </row>
    <row r="101" spans="1:10" ht="14.1" customHeight="1" x14ac:dyDescent="0.2">
      <c r="A101" s="162"/>
      <c r="B101" s="162"/>
      <c r="C101" s="172"/>
      <c r="D101" s="162"/>
      <c r="E101" s="162"/>
      <c r="F101" s="162"/>
      <c r="G101" s="162"/>
      <c r="H101" s="162"/>
      <c r="J101" s="75"/>
    </row>
    <row r="102" spans="1:10" ht="14.1" customHeight="1" x14ac:dyDescent="0.2">
      <c r="A102" s="162"/>
      <c r="B102" s="162"/>
      <c r="C102" s="163" t="s">
        <v>173</v>
      </c>
      <c r="D102" s="162"/>
      <c r="E102" s="162"/>
      <c r="F102" s="162"/>
      <c r="G102" s="162"/>
      <c r="H102" s="162"/>
      <c r="J102" s="75"/>
    </row>
    <row r="103" spans="1:10" ht="14.1" customHeight="1" x14ac:dyDescent="0.2">
      <c r="A103" s="162"/>
      <c r="B103" s="162"/>
      <c r="C103" s="163" t="s">
        <v>174</v>
      </c>
      <c r="D103" s="162"/>
      <c r="E103" s="162"/>
      <c r="F103" s="162"/>
      <c r="G103" s="162"/>
      <c r="H103" s="162"/>
      <c r="J103" s="75"/>
    </row>
    <row r="104" spans="1:10" ht="14.1" customHeight="1" x14ac:dyDescent="0.2">
      <c r="A104" s="162"/>
      <c r="B104" s="162"/>
      <c r="C104" s="163" t="s">
        <v>152</v>
      </c>
      <c r="D104" s="162"/>
      <c r="E104" s="162" t="s">
        <v>153</v>
      </c>
      <c r="F104" s="173" t="s">
        <v>155</v>
      </c>
      <c r="G104" s="170">
        <v>0</v>
      </c>
      <c r="H104" s="170"/>
      <c r="J104" s="75"/>
    </row>
    <row r="105" spans="1:10" ht="14.1" customHeight="1" x14ac:dyDescent="0.2">
      <c r="A105" s="162"/>
      <c r="B105" s="162"/>
      <c r="C105" s="171"/>
      <c r="D105" s="162"/>
      <c r="E105" s="162"/>
      <c r="F105" s="172"/>
      <c r="G105" s="172"/>
      <c r="H105" s="172"/>
      <c r="J105" s="75"/>
    </row>
    <row r="106" spans="1:10" ht="14.1" customHeight="1" x14ac:dyDescent="0.2">
      <c r="A106" s="162"/>
      <c r="B106" s="162"/>
      <c r="C106" s="163" t="s">
        <v>177</v>
      </c>
      <c r="D106" s="162"/>
      <c r="E106" s="162"/>
      <c r="F106" s="162"/>
      <c r="G106" s="162"/>
      <c r="H106" s="162"/>
      <c r="J106" s="75"/>
    </row>
    <row r="107" spans="1:10" ht="14.1" customHeight="1" x14ac:dyDescent="0.2">
      <c r="A107" s="162"/>
      <c r="B107" s="162"/>
      <c r="C107" s="163" t="s">
        <v>178</v>
      </c>
      <c r="D107" s="162"/>
      <c r="E107" s="162"/>
      <c r="F107" s="162"/>
      <c r="G107" s="162"/>
      <c r="H107" s="162"/>
      <c r="J107" s="75"/>
    </row>
    <row r="108" spans="1:10" ht="14.1" customHeight="1" x14ac:dyDescent="0.2">
      <c r="A108" s="162"/>
      <c r="B108" s="162"/>
      <c r="C108" s="163" t="s">
        <v>152</v>
      </c>
      <c r="D108" s="162"/>
      <c r="E108" s="162" t="s">
        <v>153</v>
      </c>
      <c r="F108" s="173" t="s">
        <v>155</v>
      </c>
      <c r="G108" s="170">
        <v>0</v>
      </c>
      <c r="H108" s="170"/>
      <c r="J108" s="75"/>
    </row>
    <row r="109" spans="1:10" ht="14.1" customHeight="1" x14ac:dyDescent="0.2">
      <c r="A109" s="162"/>
      <c r="B109" s="162"/>
      <c r="C109" s="171"/>
      <c r="D109" s="162"/>
      <c r="E109" s="162"/>
      <c r="F109" s="172"/>
      <c r="G109" s="172"/>
      <c r="H109" s="172"/>
      <c r="J109" s="75"/>
    </row>
    <row r="110" spans="1:10" ht="24" customHeight="1" x14ac:dyDescent="0.2">
      <c r="A110" s="162"/>
      <c r="B110" s="162"/>
      <c r="C110" s="163" t="s">
        <v>179</v>
      </c>
      <c r="D110" s="162"/>
      <c r="E110" s="162"/>
      <c r="F110" s="172"/>
      <c r="G110" s="172"/>
      <c r="H110" s="17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5"/>
      <c r="C112" s="165"/>
      <c r="D112" s="163"/>
      <c r="E112" s="162"/>
      <c r="F112" s="165"/>
      <c r="G112" s="174"/>
      <c r="H112" s="174"/>
      <c r="J112" s="75"/>
    </row>
    <row r="113" spans="1:19" ht="18" customHeight="1" x14ac:dyDescent="0.2">
      <c r="A113" s="174"/>
      <c r="B113" s="165"/>
      <c r="C113" s="165" t="s">
        <v>180</v>
      </c>
      <c r="D113" s="165"/>
      <c r="E113" s="174"/>
      <c r="F113" s="167">
        <v>19.147376300000001</v>
      </c>
      <c r="G113" s="168">
        <v>2.3318900000000001E-3</v>
      </c>
      <c r="H113" s="168"/>
      <c r="J113" s="75"/>
    </row>
    <row r="114" spans="1:19" ht="14.1" customHeight="1" x14ac:dyDescent="0.2">
      <c r="A114" s="171"/>
      <c r="B114" s="171"/>
      <c r="C114" s="163" t="s">
        <v>181</v>
      </c>
      <c r="D114" s="172"/>
      <c r="E114" s="172"/>
      <c r="F114" s="169">
        <v>8211.0937179409993</v>
      </c>
      <c r="G114" s="177">
        <v>1.00000003</v>
      </c>
      <c r="H114" s="177"/>
      <c r="J114" s="75"/>
    </row>
    <row r="115" spans="1:19" ht="14.1" customHeight="1" x14ac:dyDescent="0.2">
      <c r="A115" s="178"/>
      <c r="B115" s="178"/>
      <c r="C115" s="178"/>
      <c r="D115" s="179"/>
      <c r="E115" s="179"/>
      <c r="F115" s="179"/>
      <c r="G115" s="179"/>
      <c r="H115" s="179"/>
      <c r="J115" s="75"/>
    </row>
    <row r="116" spans="1:19" ht="12.75" customHeight="1" x14ac:dyDescent="0.2">
      <c r="A116" s="180"/>
      <c r="B116" s="258" t="s">
        <v>882</v>
      </c>
      <c r="C116" s="258"/>
      <c r="D116" s="258"/>
      <c r="E116" s="258"/>
      <c r="F116" s="258"/>
      <c r="G116" s="258"/>
      <c r="H116" s="258"/>
      <c r="J116" s="75"/>
    </row>
    <row r="117" spans="1:19" ht="14.1" customHeight="1" x14ac:dyDescent="0.2">
      <c r="A117" s="180"/>
      <c r="B117" s="258" t="s">
        <v>883</v>
      </c>
      <c r="C117" s="258"/>
      <c r="D117" s="258"/>
      <c r="E117" s="258"/>
      <c r="F117" s="258"/>
      <c r="G117" s="258"/>
      <c r="H117" s="258"/>
      <c r="J117" s="75"/>
    </row>
    <row r="118" spans="1:19" ht="17.100000000000001" customHeight="1" x14ac:dyDescent="0.2">
      <c r="A118" s="180"/>
      <c r="B118" s="258" t="s">
        <v>884</v>
      </c>
      <c r="C118" s="258"/>
      <c r="D118" s="258"/>
      <c r="E118" s="258"/>
      <c r="F118" s="258"/>
      <c r="G118" s="258"/>
      <c r="H118" s="258"/>
      <c r="J118" s="75"/>
    </row>
    <row r="119" spans="1:19" s="34" customFormat="1" ht="62.25" customHeight="1" x14ac:dyDescent="0.25">
      <c r="A119" s="33"/>
      <c r="B119" s="259" t="s">
        <v>885</v>
      </c>
      <c r="C119" s="259"/>
      <c r="D119" s="259"/>
      <c r="E119" s="259"/>
      <c r="F119" s="259"/>
      <c r="G119" s="259"/>
      <c r="H119" s="259"/>
      <c r="I119"/>
      <c r="J119" s="75"/>
      <c r="K119"/>
      <c r="L119"/>
      <c r="M119"/>
      <c r="N119"/>
      <c r="O119"/>
      <c r="P119"/>
      <c r="Q119"/>
    </row>
    <row r="120" spans="1:19" ht="12.75" customHeight="1" x14ac:dyDescent="0.2">
      <c r="A120" s="180"/>
      <c r="B120" s="258" t="s">
        <v>886</v>
      </c>
      <c r="C120" s="258"/>
      <c r="D120" s="258"/>
      <c r="E120" s="258"/>
      <c r="F120" s="258"/>
      <c r="G120" s="258"/>
      <c r="H120" s="258"/>
      <c r="J120" s="75"/>
    </row>
    <row r="121" spans="1:19" ht="14.1" customHeight="1" x14ac:dyDescent="0.2">
      <c r="A121" s="181"/>
      <c r="B121" s="181"/>
      <c r="C121" s="181"/>
      <c r="D121" s="182"/>
      <c r="E121" s="182"/>
      <c r="F121" s="182"/>
      <c r="G121" s="182"/>
      <c r="H121" s="182"/>
      <c r="J121" s="75"/>
    </row>
    <row r="122" spans="1:19" ht="14.1" customHeight="1" x14ac:dyDescent="0.2">
      <c r="A122" s="181"/>
      <c r="B122" s="255" t="s">
        <v>183</v>
      </c>
      <c r="C122" s="256"/>
      <c r="D122" s="257"/>
      <c r="E122" s="183"/>
      <c r="F122" s="182"/>
      <c r="G122" s="182"/>
      <c r="H122" s="182"/>
      <c r="J122" s="75"/>
    </row>
    <row r="123" spans="1:19" ht="29.1" customHeight="1" x14ac:dyDescent="0.2">
      <c r="A123" s="181"/>
      <c r="B123" s="253" t="s">
        <v>184</v>
      </c>
      <c r="C123" s="254"/>
      <c r="D123" s="163" t="s">
        <v>185</v>
      </c>
      <c r="E123" s="183"/>
      <c r="F123" s="182"/>
      <c r="G123" s="182"/>
      <c r="H123" s="182"/>
      <c r="J123" s="75"/>
    </row>
    <row r="124" spans="1:19" ht="17.100000000000001" customHeight="1" x14ac:dyDescent="0.25">
      <c r="A124" s="181"/>
      <c r="B124" s="251" t="s">
        <v>898</v>
      </c>
      <c r="C124" s="252"/>
      <c r="D124" s="184" t="s">
        <v>900</v>
      </c>
      <c r="E124" s="183"/>
      <c r="F124" s="182"/>
      <c r="G124" s="182"/>
      <c r="H124" s="182"/>
      <c r="J124" s="75"/>
      <c r="Q124" s="34"/>
      <c r="R124" s="34"/>
      <c r="S124" s="34"/>
    </row>
    <row r="125" spans="1:19" ht="17.100000000000001" customHeight="1" x14ac:dyDescent="0.2">
      <c r="A125" s="181"/>
      <c r="B125" s="253" t="s">
        <v>187</v>
      </c>
      <c r="C125" s="254"/>
      <c r="D125" s="172" t="s">
        <v>153</v>
      </c>
      <c r="E125" s="183"/>
      <c r="F125" s="182"/>
      <c r="G125" s="182"/>
      <c r="H125" s="182"/>
      <c r="J125" s="75"/>
    </row>
    <row r="126" spans="1:19" x14ac:dyDescent="0.2">
      <c r="A126" s="185"/>
      <c r="B126" s="186" t="s">
        <v>153</v>
      </c>
      <c r="C126" s="186" t="s">
        <v>1088</v>
      </c>
      <c r="D126" s="186" t="s">
        <v>188</v>
      </c>
      <c r="E126" s="185"/>
      <c r="F126" s="185"/>
      <c r="G126" s="185"/>
      <c r="H126" s="185"/>
      <c r="J126" s="75"/>
    </row>
    <row r="127" spans="1:19" x14ac:dyDescent="0.2">
      <c r="A127" s="185"/>
      <c r="B127" s="187" t="s">
        <v>189</v>
      </c>
      <c r="C127" s="186" t="s">
        <v>190</v>
      </c>
      <c r="D127" s="186" t="s">
        <v>191</v>
      </c>
      <c r="E127" s="185"/>
      <c r="F127" s="185"/>
      <c r="G127" s="185"/>
      <c r="H127" s="185"/>
      <c r="J127" s="75"/>
    </row>
    <row r="128" spans="1:19" ht="17.100000000000001" customHeight="1" x14ac:dyDescent="0.2">
      <c r="A128" s="185"/>
      <c r="B128" s="165" t="s">
        <v>192</v>
      </c>
      <c r="C128" s="188">
        <v>28.5688</v>
      </c>
      <c r="D128" s="188">
        <v>30.6447</v>
      </c>
      <c r="E128" s="185"/>
      <c r="F128" s="189"/>
      <c r="G128" s="190"/>
      <c r="H128" s="190"/>
      <c r="J128" s="75"/>
    </row>
    <row r="129" spans="1:10" ht="17.100000000000001" customHeight="1" x14ac:dyDescent="0.2">
      <c r="A129" s="185"/>
      <c r="B129" s="165" t="s">
        <v>1054</v>
      </c>
      <c r="C129" s="188">
        <v>25.053799999999999</v>
      </c>
      <c r="D129" s="188">
        <v>26.874300000000002</v>
      </c>
      <c r="E129" s="185"/>
      <c r="F129" s="189"/>
      <c r="G129" s="190"/>
      <c r="H129" s="190"/>
      <c r="J129" s="75"/>
    </row>
    <row r="130" spans="1:10" ht="17.100000000000001" customHeight="1" x14ac:dyDescent="0.2">
      <c r="A130" s="185"/>
      <c r="B130" s="165" t="s">
        <v>193</v>
      </c>
      <c r="C130" s="188">
        <v>27.808499999999999</v>
      </c>
      <c r="D130" s="188">
        <v>29.824200000000001</v>
      </c>
      <c r="E130" s="185"/>
      <c r="F130" s="189"/>
      <c r="G130" s="190"/>
      <c r="H130" s="190"/>
      <c r="J130" s="75"/>
    </row>
    <row r="131" spans="1:10" ht="17.100000000000001" customHeight="1" x14ac:dyDescent="0.2">
      <c r="A131" s="185"/>
      <c r="B131" s="165" t="s">
        <v>1055</v>
      </c>
      <c r="C131" s="188">
        <v>24.330400000000001</v>
      </c>
      <c r="D131" s="188">
        <v>26.093900000000001</v>
      </c>
      <c r="E131" s="185"/>
      <c r="F131" s="189"/>
      <c r="G131" s="190"/>
      <c r="H131" s="190"/>
      <c r="J131" s="75"/>
    </row>
    <row r="132" spans="1:10" ht="14.1" customHeight="1" x14ac:dyDescent="0.2">
      <c r="A132" s="185"/>
      <c r="B132" s="185"/>
      <c r="C132" s="185"/>
      <c r="D132" s="185"/>
      <c r="E132" s="185"/>
      <c r="F132" s="185"/>
      <c r="G132" s="185"/>
      <c r="H132" s="185"/>
      <c r="J132" s="75"/>
    </row>
    <row r="133" spans="1:10" ht="17.100000000000001" customHeight="1" x14ac:dyDescent="0.2">
      <c r="A133" s="185"/>
      <c r="B133" s="253" t="s">
        <v>1056</v>
      </c>
      <c r="C133" s="254"/>
      <c r="D133" s="163" t="s">
        <v>185</v>
      </c>
      <c r="E133" s="185"/>
      <c r="F133" s="185"/>
      <c r="G133" s="185"/>
      <c r="H133" s="185"/>
      <c r="J133" s="75"/>
    </row>
    <row r="134" spans="1:10" ht="14.1" customHeight="1" x14ac:dyDescent="0.2">
      <c r="A134" s="185"/>
      <c r="B134" s="189"/>
      <c r="C134" s="189"/>
      <c r="D134" s="185"/>
      <c r="E134" s="185"/>
      <c r="F134" s="185"/>
      <c r="G134" s="185"/>
      <c r="H134" s="185"/>
      <c r="J134" s="75"/>
    </row>
    <row r="135" spans="1:10" ht="29.1" customHeight="1" x14ac:dyDescent="0.2">
      <c r="A135" s="185"/>
      <c r="B135" s="253" t="s">
        <v>194</v>
      </c>
      <c r="C135" s="254"/>
      <c r="D135" s="163" t="s">
        <v>185</v>
      </c>
      <c r="E135" s="191"/>
      <c r="F135" s="185"/>
      <c r="G135" s="185"/>
      <c r="H135" s="185"/>
      <c r="J135" s="75"/>
    </row>
    <row r="136" spans="1:10" ht="29.1" customHeight="1" x14ac:dyDescent="0.2">
      <c r="A136" s="185"/>
      <c r="B136" s="253" t="s">
        <v>195</v>
      </c>
      <c r="C136" s="254"/>
      <c r="D136" s="163" t="s">
        <v>185</v>
      </c>
      <c r="E136" s="191"/>
      <c r="F136" s="185"/>
      <c r="G136" s="185"/>
      <c r="H136" s="185"/>
      <c r="J136" s="75"/>
    </row>
    <row r="137" spans="1:10" ht="17.100000000000001" customHeight="1" x14ac:dyDescent="0.2">
      <c r="A137" s="185"/>
      <c r="B137" s="253" t="s">
        <v>196</v>
      </c>
      <c r="C137" s="254"/>
      <c r="D137" s="163" t="s">
        <v>185</v>
      </c>
      <c r="E137" s="191"/>
      <c r="F137" s="185"/>
      <c r="G137" s="185"/>
      <c r="H137" s="185"/>
      <c r="J137" s="75"/>
    </row>
    <row r="138" spans="1:10" ht="17.100000000000001" customHeight="1" x14ac:dyDescent="0.2">
      <c r="A138" s="185"/>
      <c r="B138" s="253" t="s">
        <v>197</v>
      </c>
      <c r="C138" s="254"/>
      <c r="D138" s="192">
        <v>5.4397000000000001E-2</v>
      </c>
      <c r="E138" s="185"/>
      <c r="F138" s="189"/>
      <c r="G138" s="190"/>
      <c r="H138" s="190"/>
      <c r="J138" s="75"/>
    </row>
  </sheetData>
  <mergeCells count="17">
    <mergeCell ref="B138:C138"/>
    <mergeCell ref="B133:C133"/>
    <mergeCell ref="B135:C135"/>
    <mergeCell ref="B136:C136"/>
    <mergeCell ref="B137:C137"/>
    <mergeCell ref="A1:H1"/>
    <mergeCell ref="A2:H2"/>
    <mergeCell ref="A3:H3"/>
    <mergeCell ref="B124:C124"/>
    <mergeCell ref="B125:C125"/>
    <mergeCell ref="B122:D122"/>
    <mergeCell ref="B123:C123"/>
    <mergeCell ref="B120:H120"/>
    <mergeCell ref="B116:H116"/>
    <mergeCell ref="B117:H117"/>
    <mergeCell ref="B118:H118"/>
    <mergeCell ref="B119:H119"/>
  </mergeCells>
  <hyperlinks>
    <hyperlink ref="I1" location="Index!B10" display="Index" xr:uid="{E75E1F2B-C668-420E-86AE-5E5261E3B7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37"/>
  <sheetViews>
    <sheetView showGridLines="0" workbookViewId="0">
      <selection activeCell="C55" sqref="C55"/>
    </sheetView>
  </sheetViews>
  <sheetFormatPr defaultRowHeight="12.75" x14ac:dyDescent="0.2"/>
  <cols>
    <col min="1" max="1" width="5.85546875" bestFit="1" customWidth="1"/>
    <col min="2" max="2" width="18.42578125" bestFit="1" customWidth="1"/>
    <col min="3" max="3" width="39.140625" bestFit="1" customWidth="1"/>
    <col min="4" max="4" width="17.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561</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460</v>
      </c>
      <c r="C7" s="165" t="s">
        <v>461</v>
      </c>
      <c r="D7" s="165" t="s">
        <v>75</v>
      </c>
      <c r="E7" s="166">
        <v>9824</v>
      </c>
      <c r="F7" s="167">
        <v>207.63515200000001</v>
      </c>
      <c r="G7" s="168">
        <v>5.374636E-2</v>
      </c>
      <c r="H7" s="168"/>
      <c r="J7" s="75"/>
    </row>
    <row r="8" spans="1:17" ht="17.100000000000001" customHeight="1" x14ac:dyDescent="0.2">
      <c r="A8" s="164">
        <v>2</v>
      </c>
      <c r="B8" s="165" t="s">
        <v>34</v>
      </c>
      <c r="C8" s="165" t="s">
        <v>35</v>
      </c>
      <c r="D8" s="165" t="s">
        <v>36</v>
      </c>
      <c r="E8" s="166">
        <v>4300</v>
      </c>
      <c r="F8" s="167">
        <v>194.01599999999999</v>
      </c>
      <c r="G8" s="168">
        <v>5.0221040000000002E-2</v>
      </c>
      <c r="H8" s="168"/>
      <c r="J8" s="75"/>
    </row>
    <row r="9" spans="1:17" ht="17.100000000000001" customHeight="1" x14ac:dyDescent="0.2">
      <c r="A9" s="164">
        <v>3</v>
      </c>
      <c r="B9" s="165" t="s">
        <v>462</v>
      </c>
      <c r="C9" s="165" t="s">
        <v>463</v>
      </c>
      <c r="D9" s="165" t="s">
        <v>39</v>
      </c>
      <c r="E9" s="166">
        <v>187038</v>
      </c>
      <c r="F9" s="167">
        <v>181.52037899999999</v>
      </c>
      <c r="G9" s="168">
        <v>4.6986550000000002E-2</v>
      </c>
      <c r="H9" s="168"/>
      <c r="J9" s="75"/>
    </row>
    <row r="10" spans="1:17" ht="17.100000000000001" customHeight="1" x14ac:dyDescent="0.2">
      <c r="A10" s="164">
        <v>4</v>
      </c>
      <c r="B10" s="165" t="s">
        <v>350</v>
      </c>
      <c r="C10" s="165" t="s">
        <v>351</v>
      </c>
      <c r="D10" s="165" t="s">
        <v>262</v>
      </c>
      <c r="E10" s="166">
        <v>4337</v>
      </c>
      <c r="F10" s="167">
        <v>178.20733000000001</v>
      </c>
      <c r="G10" s="168">
        <v>4.6128969999999998E-2</v>
      </c>
      <c r="H10" s="168"/>
      <c r="J10" s="75"/>
    </row>
    <row r="11" spans="1:17" ht="17.100000000000001" customHeight="1" x14ac:dyDescent="0.2">
      <c r="A11" s="164">
        <v>5</v>
      </c>
      <c r="B11" s="165" t="s">
        <v>470</v>
      </c>
      <c r="C11" s="165" t="s">
        <v>471</v>
      </c>
      <c r="D11" s="165" t="s">
        <v>262</v>
      </c>
      <c r="E11" s="166">
        <v>6306</v>
      </c>
      <c r="F11" s="167">
        <v>175.72299599999999</v>
      </c>
      <c r="G11" s="168">
        <v>4.5485900000000003E-2</v>
      </c>
      <c r="H11" s="168"/>
      <c r="J11" s="75"/>
    </row>
    <row r="12" spans="1:17" ht="17.100000000000001" customHeight="1" x14ac:dyDescent="0.2">
      <c r="A12" s="164">
        <v>6</v>
      </c>
      <c r="B12" s="165" t="s">
        <v>78</v>
      </c>
      <c r="C12" s="165" t="s">
        <v>79</v>
      </c>
      <c r="D12" s="165" t="s">
        <v>80</v>
      </c>
      <c r="E12" s="166">
        <v>15508</v>
      </c>
      <c r="F12" s="167">
        <v>160.182132</v>
      </c>
      <c r="G12" s="168">
        <v>4.1463140000000002E-2</v>
      </c>
      <c r="H12" s="168"/>
      <c r="J12" s="71"/>
    </row>
    <row r="13" spans="1:17" ht="17.100000000000001" customHeight="1" x14ac:dyDescent="0.2">
      <c r="A13" s="164">
        <v>7</v>
      </c>
      <c r="B13" s="165" t="s">
        <v>93</v>
      </c>
      <c r="C13" s="165" t="s">
        <v>94</v>
      </c>
      <c r="D13" s="165" t="s">
        <v>36</v>
      </c>
      <c r="E13" s="166">
        <v>3851</v>
      </c>
      <c r="F13" s="167">
        <v>153.87055599999999</v>
      </c>
      <c r="G13" s="168">
        <v>3.9829389999999999E-2</v>
      </c>
      <c r="H13" s="168"/>
      <c r="J13" s="75"/>
    </row>
    <row r="14" spans="1:17" ht="17.100000000000001" customHeight="1" x14ac:dyDescent="0.2">
      <c r="A14" s="164">
        <v>8</v>
      </c>
      <c r="B14" s="165" t="s">
        <v>147</v>
      </c>
      <c r="C14" s="165" t="s">
        <v>148</v>
      </c>
      <c r="D14" s="165" t="s">
        <v>75</v>
      </c>
      <c r="E14" s="166">
        <v>43069</v>
      </c>
      <c r="F14" s="167">
        <v>136.01190199999999</v>
      </c>
      <c r="G14" s="168">
        <v>3.5206679999999997E-2</v>
      </c>
      <c r="H14" s="168"/>
      <c r="J14" s="75" t="s">
        <v>901</v>
      </c>
    </row>
    <row r="15" spans="1:17" ht="17.100000000000001" customHeight="1" x14ac:dyDescent="0.2">
      <c r="A15" s="164">
        <v>9</v>
      </c>
      <c r="B15" s="165" t="s">
        <v>476</v>
      </c>
      <c r="C15" s="165" t="s">
        <v>477</v>
      </c>
      <c r="D15" s="165" t="s">
        <v>213</v>
      </c>
      <c r="E15" s="166">
        <v>35324</v>
      </c>
      <c r="F15" s="167">
        <v>129.30350200000001</v>
      </c>
      <c r="G15" s="168">
        <v>3.347021E-2</v>
      </c>
      <c r="H15" s="168"/>
      <c r="J15" s="75"/>
    </row>
    <row r="16" spans="1:17" ht="17.100000000000001" customHeight="1" x14ac:dyDescent="0.2">
      <c r="A16" s="164">
        <v>10</v>
      </c>
      <c r="B16" s="165" t="s">
        <v>468</v>
      </c>
      <c r="C16" s="165" t="s">
        <v>469</v>
      </c>
      <c r="D16" s="165" t="s">
        <v>53</v>
      </c>
      <c r="E16" s="166">
        <v>21467</v>
      </c>
      <c r="F16" s="167">
        <v>123.3171815</v>
      </c>
      <c r="G16" s="168">
        <v>3.1920650000000002E-2</v>
      </c>
      <c r="H16" s="168"/>
      <c r="J16" s="75"/>
    </row>
    <row r="17" spans="1:10" ht="17.100000000000001" customHeight="1" x14ac:dyDescent="0.2">
      <c r="A17" s="164">
        <v>11</v>
      </c>
      <c r="B17" s="165" t="s">
        <v>474</v>
      </c>
      <c r="C17" s="165" t="s">
        <v>475</v>
      </c>
      <c r="D17" s="165" t="s">
        <v>276</v>
      </c>
      <c r="E17" s="166">
        <v>35822</v>
      </c>
      <c r="F17" s="167">
        <v>119.10814999999999</v>
      </c>
      <c r="G17" s="168">
        <v>3.083114E-2</v>
      </c>
      <c r="H17" s="168"/>
      <c r="J17" s="75"/>
    </row>
    <row r="18" spans="1:10" ht="29.1" customHeight="1" x14ac:dyDescent="0.2">
      <c r="A18" s="164">
        <v>12</v>
      </c>
      <c r="B18" s="165" t="s">
        <v>123</v>
      </c>
      <c r="C18" s="165" t="s">
        <v>124</v>
      </c>
      <c r="D18" s="165" t="s">
        <v>25</v>
      </c>
      <c r="E18" s="166">
        <v>2480</v>
      </c>
      <c r="F18" s="167">
        <v>99.187600000000003</v>
      </c>
      <c r="G18" s="168">
        <v>2.567471E-2</v>
      </c>
      <c r="H18" s="168"/>
      <c r="J18" s="75"/>
    </row>
    <row r="19" spans="1:10" ht="17.100000000000001" customHeight="1" x14ac:dyDescent="0.2">
      <c r="A19" s="164">
        <v>13</v>
      </c>
      <c r="B19" s="165" t="s">
        <v>478</v>
      </c>
      <c r="C19" s="165" t="s">
        <v>479</v>
      </c>
      <c r="D19" s="165" t="s">
        <v>53</v>
      </c>
      <c r="E19" s="166">
        <v>12457</v>
      </c>
      <c r="F19" s="167">
        <v>95.003310499999998</v>
      </c>
      <c r="G19" s="168">
        <v>2.459161E-2</v>
      </c>
      <c r="H19" s="168"/>
      <c r="J19" s="75"/>
    </row>
    <row r="20" spans="1:10" ht="17.100000000000001" customHeight="1" x14ac:dyDescent="0.2">
      <c r="A20" s="164">
        <v>14</v>
      </c>
      <c r="B20" s="165" t="s">
        <v>71</v>
      </c>
      <c r="C20" s="165" t="s">
        <v>72</v>
      </c>
      <c r="D20" s="165" t="s">
        <v>36</v>
      </c>
      <c r="E20" s="166">
        <v>4465</v>
      </c>
      <c r="F20" s="167">
        <v>94.954922499999995</v>
      </c>
      <c r="G20" s="168">
        <v>2.457908E-2</v>
      </c>
      <c r="H20" s="168"/>
      <c r="J20" s="75"/>
    </row>
    <row r="21" spans="1:10" ht="17.100000000000001" customHeight="1" x14ac:dyDescent="0.2">
      <c r="A21" s="164">
        <v>15</v>
      </c>
      <c r="B21" s="165" t="s">
        <v>550</v>
      </c>
      <c r="C21" s="165" t="s">
        <v>551</v>
      </c>
      <c r="D21" s="165" t="s">
        <v>13</v>
      </c>
      <c r="E21" s="166">
        <v>7243</v>
      </c>
      <c r="F21" s="167">
        <v>88.773829500000005</v>
      </c>
      <c r="G21" s="168">
        <v>2.2979110000000001E-2</v>
      </c>
      <c r="H21" s="168"/>
      <c r="J21" s="75"/>
    </row>
    <row r="22" spans="1:10" ht="17.100000000000001" customHeight="1" x14ac:dyDescent="0.2">
      <c r="A22" s="164">
        <v>16</v>
      </c>
      <c r="B22" s="165" t="s">
        <v>482</v>
      </c>
      <c r="C22" s="165" t="s">
        <v>483</v>
      </c>
      <c r="D22" s="165" t="s">
        <v>242</v>
      </c>
      <c r="E22" s="166">
        <v>6161</v>
      </c>
      <c r="F22" s="167">
        <v>87.658708000000004</v>
      </c>
      <c r="G22" s="168">
        <v>2.2690459999999999E-2</v>
      </c>
      <c r="H22" s="168"/>
      <c r="J22" s="71"/>
    </row>
    <row r="23" spans="1:10" ht="17.100000000000001" customHeight="1" x14ac:dyDescent="0.2">
      <c r="A23" s="164">
        <v>17</v>
      </c>
      <c r="B23" s="165" t="s">
        <v>519</v>
      </c>
      <c r="C23" s="165" t="s">
        <v>520</v>
      </c>
      <c r="D23" s="165" t="s">
        <v>242</v>
      </c>
      <c r="E23" s="166">
        <v>23002</v>
      </c>
      <c r="F23" s="167">
        <v>85.912469999999999</v>
      </c>
      <c r="G23" s="168">
        <v>2.2238440000000002E-2</v>
      </c>
      <c r="H23" s="168"/>
      <c r="J23" s="75"/>
    </row>
    <row r="24" spans="1:10" ht="29.1" customHeight="1" x14ac:dyDescent="0.2">
      <c r="A24" s="164">
        <v>18</v>
      </c>
      <c r="B24" s="165" t="s">
        <v>314</v>
      </c>
      <c r="C24" s="165" t="s">
        <v>315</v>
      </c>
      <c r="D24" s="165" t="s">
        <v>316</v>
      </c>
      <c r="E24" s="166">
        <v>2356</v>
      </c>
      <c r="F24" s="167">
        <v>80.55753</v>
      </c>
      <c r="G24" s="168">
        <v>2.0852320000000001E-2</v>
      </c>
      <c r="H24" s="168"/>
      <c r="J24" s="75"/>
    </row>
    <row r="25" spans="1:10" ht="29.1" customHeight="1" x14ac:dyDescent="0.2">
      <c r="A25" s="164">
        <v>19</v>
      </c>
      <c r="B25" s="165" t="s">
        <v>492</v>
      </c>
      <c r="C25" s="165" t="s">
        <v>493</v>
      </c>
      <c r="D25" s="165" t="s">
        <v>70</v>
      </c>
      <c r="E25" s="166">
        <v>3181</v>
      </c>
      <c r="F25" s="167">
        <v>79.870138499999996</v>
      </c>
      <c r="G25" s="168">
        <v>2.0674379999999999E-2</v>
      </c>
      <c r="H25" s="168"/>
      <c r="J25" s="75"/>
    </row>
    <row r="26" spans="1:10" ht="17.100000000000001" customHeight="1" x14ac:dyDescent="0.2">
      <c r="A26" s="164">
        <v>20</v>
      </c>
      <c r="B26" s="165" t="s">
        <v>464</v>
      </c>
      <c r="C26" s="165" t="s">
        <v>465</v>
      </c>
      <c r="D26" s="165" t="s">
        <v>13</v>
      </c>
      <c r="E26" s="166">
        <v>44502</v>
      </c>
      <c r="F26" s="167">
        <v>77.789496</v>
      </c>
      <c r="G26" s="168">
        <v>2.0135810000000001E-2</v>
      </c>
      <c r="H26" s="168"/>
      <c r="J26" s="75"/>
    </row>
    <row r="27" spans="1:10" ht="17.100000000000001" customHeight="1" x14ac:dyDescent="0.2">
      <c r="A27" s="164">
        <v>21</v>
      </c>
      <c r="B27" s="165" t="s">
        <v>488</v>
      </c>
      <c r="C27" s="165" t="s">
        <v>489</v>
      </c>
      <c r="D27" s="165" t="s">
        <v>242</v>
      </c>
      <c r="E27" s="166">
        <v>9165</v>
      </c>
      <c r="F27" s="167">
        <v>77.719200000000001</v>
      </c>
      <c r="G27" s="168">
        <v>2.0117610000000001E-2</v>
      </c>
      <c r="H27" s="168"/>
      <c r="J27" s="75"/>
    </row>
    <row r="28" spans="1:10" ht="17.100000000000001" customHeight="1" x14ac:dyDescent="0.2">
      <c r="A28" s="164">
        <v>22</v>
      </c>
      <c r="B28" s="165" t="s">
        <v>480</v>
      </c>
      <c r="C28" s="165" t="s">
        <v>481</v>
      </c>
      <c r="D28" s="165" t="s">
        <v>417</v>
      </c>
      <c r="E28" s="166">
        <v>5434</v>
      </c>
      <c r="F28" s="167">
        <v>73.964890999999994</v>
      </c>
      <c r="G28" s="168">
        <v>1.9145809999999999E-2</v>
      </c>
      <c r="H28" s="168"/>
      <c r="J28" s="75"/>
    </row>
    <row r="29" spans="1:10" ht="17.100000000000001" customHeight="1" x14ac:dyDescent="0.2">
      <c r="A29" s="164">
        <v>23</v>
      </c>
      <c r="B29" s="165" t="s">
        <v>484</v>
      </c>
      <c r="C29" s="165" t="s">
        <v>485</v>
      </c>
      <c r="D29" s="165" t="s">
        <v>53</v>
      </c>
      <c r="E29" s="166">
        <v>60160</v>
      </c>
      <c r="F29" s="167">
        <v>73.21472</v>
      </c>
      <c r="G29" s="168">
        <v>1.8951630000000001E-2</v>
      </c>
      <c r="H29" s="168"/>
      <c r="J29" s="75"/>
    </row>
    <row r="30" spans="1:10" ht="17.100000000000001" customHeight="1" x14ac:dyDescent="0.2">
      <c r="A30" s="164">
        <v>24</v>
      </c>
      <c r="B30" s="165" t="s">
        <v>497</v>
      </c>
      <c r="C30" s="165" t="s">
        <v>498</v>
      </c>
      <c r="D30" s="165" t="s">
        <v>75</v>
      </c>
      <c r="E30" s="166">
        <v>10630</v>
      </c>
      <c r="F30" s="167">
        <v>67.750304999999997</v>
      </c>
      <c r="G30" s="168">
        <v>1.7537170000000001E-2</v>
      </c>
      <c r="H30" s="168"/>
      <c r="J30" s="75"/>
    </row>
    <row r="31" spans="1:10" ht="17.100000000000001" customHeight="1" x14ac:dyDescent="0.2">
      <c r="A31" s="164">
        <v>25</v>
      </c>
      <c r="B31" s="165" t="s">
        <v>505</v>
      </c>
      <c r="C31" s="165" t="s">
        <v>506</v>
      </c>
      <c r="D31" s="165" t="s">
        <v>53</v>
      </c>
      <c r="E31" s="166">
        <v>7127</v>
      </c>
      <c r="F31" s="167">
        <v>65.037438499999993</v>
      </c>
      <c r="G31" s="168">
        <v>1.683494E-2</v>
      </c>
      <c r="H31" s="168"/>
      <c r="J31" s="75"/>
    </row>
    <row r="32" spans="1:10" ht="17.100000000000001" customHeight="1" x14ac:dyDescent="0.2">
      <c r="A32" s="164">
        <v>26</v>
      </c>
      <c r="B32" s="165" t="s">
        <v>238</v>
      </c>
      <c r="C32" s="165" t="s">
        <v>239</v>
      </c>
      <c r="D32" s="165" t="s">
        <v>104</v>
      </c>
      <c r="E32" s="166">
        <v>692</v>
      </c>
      <c r="F32" s="167">
        <v>60.127879999999998</v>
      </c>
      <c r="G32" s="168">
        <v>1.5564100000000001E-2</v>
      </c>
      <c r="H32" s="168"/>
      <c r="J32" s="75"/>
    </row>
    <row r="33" spans="1:10" ht="17.100000000000001" customHeight="1" x14ac:dyDescent="0.2">
      <c r="A33" s="164">
        <v>27</v>
      </c>
      <c r="B33" s="165" t="s">
        <v>494</v>
      </c>
      <c r="C33" s="165" t="s">
        <v>495</v>
      </c>
      <c r="D33" s="165" t="s">
        <v>496</v>
      </c>
      <c r="E33" s="166">
        <v>5354</v>
      </c>
      <c r="F33" s="167">
        <v>59.964799999999997</v>
      </c>
      <c r="G33" s="168">
        <v>1.552189E-2</v>
      </c>
      <c r="H33" s="168"/>
      <c r="J33" s="75"/>
    </row>
    <row r="34" spans="1:10" ht="29.1" customHeight="1" x14ac:dyDescent="0.2">
      <c r="A34" s="164">
        <v>28</v>
      </c>
      <c r="B34" s="165" t="s">
        <v>501</v>
      </c>
      <c r="C34" s="165" t="s">
        <v>502</v>
      </c>
      <c r="D34" s="165" t="s">
        <v>221</v>
      </c>
      <c r="E34" s="166">
        <v>8645</v>
      </c>
      <c r="F34" s="167">
        <v>53.469324999999998</v>
      </c>
      <c r="G34" s="168">
        <v>1.384053E-2</v>
      </c>
      <c r="H34" s="168"/>
      <c r="J34" s="75"/>
    </row>
    <row r="35" spans="1:10" ht="29.1" customHeight="1" x14ac:dyDescent="0.2">
      <c r="A35" s="164">
        <v>29</v>
      </c>
      <c r="B35" s="165" t="s">
        <v>552</v>
      </c>
      <c r="C35" s="165" t="s">
        <v>553</v>
      </c>
      <c r="D35" s="165" t="s">
        <v>414</v>
      </c>
      <c r="E35" s="166">
        <v>8921</v>
      </c>
      <c r="F35" s="167">
        <v>52.772175500000003</v>
      </c>
      <c r="G35" s="168">
        <v>1.366008E-2</v>
      </c>
      <c r="H35" s="168"/>
      <c r="J35" s="75"/>
    </row>
    <row r="36" spans="1:10" ht="17.100000000000001" customHeight="1" x14ac:dyDescent="0.2">
      <c r="A36" s="164">
        <v>30</v>
      </c>
      <c r="B36" s="165" t="s">
        <v>528</v>
      </c>
      <c r="C36" s="165" t="s">
        <v>529</v>
      </c>
      <c r="D36" s="165" t="s">
        <v>39</v>
      </c>
      <c r="E36" s="166">
        <v>12767</v>
      </c>
      <c r="F36" s="167">
        <v>47.6017595</v>
      </c>
      <c r="G36" s="168">
        <v>1.232172E-2</v>
      </c>
      <c r="H36" s="168"/>
      <c r="J36" s="75"/>
    </row>
    <row r="37" spans="1:10" ht="17.100000000000001" customHeight="1" x14ac:dyDescent="0.2">
      <c r="A37" s="164">
        <v>31</v>
      </c>
      <c r="B37" s="165" t="s">
        <v>509</v>
      </c>
      <c r="C37" s="165" t="s">
        <v>510</v>
      </c>
      <c r="D37" s="165" t="s">
        <v>75</v>
      </c>
      <c r="E37" s="166">
        <v>10328</v>
      </c>
      <c r="F37" s="167">
        <v>46.96658</v>
      </c>
      <c r="G37" s="168">
        <v>1.2157299999999999E-2</v>
      </c>
      <c r="H37" s="168"/>
      <c r="J37" s="75"/>
    </row>
    <row r="38" spans="1:10" ht="17.100000000000001" customHeight="1" x14ac:dyDescent="0.2">
      <c r="A38" s="164">
        <v>32</v>
      </c>
      <c r="B38" s="165" t="s">
        <v>499</v>
      </c>
      <c r="C38" s="165" t="s">
        <v>500</v>
      </c>
      <c r="D38" s="165" t="s">
        <v>75</v>
      </c>
      <c r="E38" s="166">
        <v>5528</v>
      </c>
      <c r="F38" s="167">
        <v>46.335695999999999</v>
      </c>
      <c r="G38" s="168">
        <v>1.199399E-2</v>
      </c>
      <c r="H38" s="168"/>
      <c r="J38" s="75"/>
    </row>
    <row r="39" spans="1:10" ht="17.100000000000001" customHeight="1" x14ac:dyDescent="0.2">
      <c r="A39" s="164">
        <v>33</v>
      </c>
      <c r="B39" s="165" t="s">
        <v>294</v>
      </c>
      <c r="C39" s="165" t="s">
        <v>295</v>
      </c>
      <c r="D39" s="165" t="s">
        <v>53</v>
      </c>
      <c r="E39" s="166">
        <v>4021</v>
      </c>
      <c r="F39" s="167">
        <v>43.298127999999998</v>
      </c>
      <c r="G39" s="168">
        <v>1.1207719999999999E-2</v>
      </c>
      <c r="H39" s="168"/>
      <c r="J39" s="75"/>
    </row>
    <row r="40" spans="1:10" ht="17.100000000000001" customHeight="1" x14ac:dyDescent="0.2">
      <c r="A40" s="164">
        <v>34</v>
      </c>
      <c r="B40" s="165" t="s">
        <v>365</v>
      </c>
      <c r="C40" s="165" t="s">
        <v>366</v>
      </c>
      <c r="D40" s="165" t="s">
        <v>114</v>
      </c>
      <c r="E40" s="166">
        <v>25659</v>
      </c>
      <c r="F40" s="167">
        <v>42.337350000000001</v>
      </c>
      <c r="G40" s="168">
        <v>1.095902E-2</v>
      </c>
      <c r="H40" s="168"/>
      <c r="J40" s="75"/>
    </row>
    <row r="41" spans="1:10" ht="29.1" customHeight="1" x14ac:dyDescent="0.2">
      <c r="A41" s="164">
        <v>35</v>
      </c>
      <c r="B41" s="165" t="s">
        <v>554</v>
      </c>
      <c r="C41" s="165" t="s">
        <v>555</v>
      </c>
      <c r="D41" s="165" t="s">
        <v>556</v>
      </c>
      <c r="E41" s="166">
        <v>8445</v>
      </c>
      <c r="F41" s="167">
        <v>39.467707500000003</v>
      </c>
      <c r="G41" s="168">
        <v>1.021622E-2</v>
      </c>
      <c r="H41" s="168"/>
      <c r="J41" s="75"/>
    </row>
    <row r="42" spans="1:10" ht="29.1" customHeight="1" x14ac:dyDescent="0.2">
      <c r="A42" s="164">
        <v>36</v>
      </c>
      <c r="B42" s="165" t="s">
        <v>557</v>
      </c>
      <c r="C42" s="165" t="s">
        <v>558</v>
      </c>
      <c r="D42" s="165" t="s">
        <v>75</v>
      </c>
      <c r="E42" s="166">
        <v>2514</v>
      </c>
      <c r="F42" s="167">
        <v>31.815926999999999</v>
      </c>
      <c r="G42" s="168">
        <v>8.2355499999999995E-3</v>
      </c>
      <c r="H42" s="168"/>
      <c r="J42" s="75"/>
    </row>
    <row r="43" spans="1:10" ht="17.100000000000001" customHeight="1" x14ac:dyDescent="0.2">
      <c r="A43" s="164">
        <v>37</v>
      </c>
      <c r="B43" s="165" t="s">
        <v>139</v>
      </c>
      <c r="C43" s="165" t="s">
        <v>140</v>
      </c>
      <c r="D43" s="165" t="s">
        <v>36</v>
      </c>
      <c r="E43" s="166">
        <v>4549</v>
      </c>
      <c r="F43" s="167">
        <v>29.5798725</v>
      </c>
      <c r="G43" s="168">
        <v>7.6567500000000004E-3</v>
      </c>
      <c r="H43" s="168"/>
      <c r="J43" s="75"/>
    </row>
    <row r="44" spans="1:10" ht="17.100000000000001" customHeight="1" x14ac:dyDescent="0.2">
      <c r="A44" s="164">
        <v>38</v>
      </c>
      <c r="B44" s="165" t="s">
        <v>515</v>
      </c>
      <c r="C44" s="165" t="s">
        <v>516</v>
      </c>
      <c r="D44" s="165" t="s">
        <v>104</v>
      </c>
      <c r="E44" s="166">
        <v>2157</v>
      </c>
      <c r="F44" s="167">
        <v>24.832462499999998</v>
      </c>
      <c r="G44" s="168">
        <v>6.4278800000000004E-3</v>
      </c>
      <c r="H44" s="168"/>
      <c r="J44" s="75"/>
    </row>
    <row r="45" spans="1:10" ht="29.1" customHeight="1" x14ac:dyDescent="0.2">
      <c r="A45" s="164">
        <v>39</v>
      </c>
      <c r="B45" s="165" t="s">
        <v>511</v>
      </c>
      <c r="C45" s="165" t="s">
        <v>512</v>
      </c>
      <c r="D45" s="165" t="s">
        <v>216</v>
      </c>
      <c r="E45" s="166">
        <v>482</v>
      </c>
      <c r="F45" s="167">
        <v>23.665236</v>
      </c>
      <c r="G45" s="168">
        <v>6.1257500000000001E-3</v>
      </c>
      <c r="H45" s="168"/>
      <c r="J45" s="75"/>
    </row>
    <row r="46" spans="1:10" ht="29.1" customHeight="1" x14ac:dyDescent="0.2">
      <c r="A46" s="164">
        <v>40</v>
      </c>
      <c r="B46" s="165" t="s">
        <v>523</v>
      </c>
      <c r="C46" s="165" t="s">
        <v>524</v>
      </c>
      <c r="D46" s="165" t="s">
        <v>216</v>
      </c>
      <c r="E46" s="166">
        <v>6329</v>
      </c>
      <c r="F46" s="167">
        <v>20.6926655</v>
      </c>
      <c r="G46" s="168">
        <v>5.3562999999999996E-3</v>
      </c>
      <c r="H46" s="168"/>
      <c r="J46" s="75"/>
    </row>
    <row r="47" spans="1:10" ht="17.100000000000001" customHeight="1" x14ac:dyDescent="0.2">
      <c r="A47" s="164">
        <v>41</v>
      </c>
      <c r="B47" s="165" t="s">
        <v>513</v>
      </c>
      <c r="C47" s="165" t="s">
        <v>514</v>
      </c>
      <c r="D47" s="165" t="s">
        <v>393</v>
      </c>
      <c r="E47" s="166">
        <v>1949</v>
      </c>
      <c r="F47" s="167">
        <v>19.020291</v>
      </c>
      <c r="G47" s="168">
        <v>4.9233999999999997E-3</v>
      </c>
      <c r="H47" s="168"/>
      <c r="J47" s="75"/>
    </row>
    <row r="48" spans="1:10" ht="29.1" customHeight="1" x14ac:dyDescent="0.2">
      <c r="A48" s="164">
        <v>42</v>
      </c>
      <c r="B48" s="165" t="s">
        <v>525</v>
      </c>
      <c r="C48" s="165" t="s">
        <v>526</v>
      </c>
      <c r="D48" s="165" t="s">
        <v>527</v>
      </c>
      <c r="E48" s="166">
        <v>9813</v>
      </c>
      <c r="F48" s="167">
        <v>14.434923</v>
      </c>
      <c r="G48" s="168">
        <v>3.7364799999999999E-3</v>
      </c>
      <c r="H48" s="168"/>
      <c r="J48" s="75"/>
    </row>
    <row r="49" spans="1:10" ht="17.100000000000001" customHeight="1" x14ac:dyDescent="0.2">
      <c r="A49" s="164">
        <v>43</v>
      </c>
      <c r="B49" s="165" t="s">
        <v>517</v>
      </c>
      <c r="C49" s="165" t="s">
        <v>518</v>
      </c>
      <c r="D49" s="165" t="s">
        <v>36</v>
      </c>
      <c r="E49" s="166">
        <v>692</v>
      </c>
      <c r="F49" s="167">
        <v>11.455714</v>
      </c>
      <c r="G49" s="168">
        <v>2.9653100000000001E-3</v>
      </c>
      <c r="H49" s="168"/>
      <c r="J49" s="75"/>
    </row>
    <row r="50" spans="1:10" ht="14.1" customHeight="1" x14ac:dyDescent="0.2">
      <c r="A50" s="162"/>
      <c r="B50" s="162"/>
      <c r="C50" s="163" t="s">
        <v>152</v>
      </c>
      <c r="D50" s="162"/>
      <c r="E50" s="162" t="s">
        <v>153</v>
      </c>
      <c r="F50" s="169">
        <v>3574.1283330000001</v>
      </c>
      <c r="G50" s="170">
        <v>0.92516310000000002</v>
      </c>
      <c r="H50" s="170"/>
      <c r="J50" s="75"/>
    </row>
    <row r="51" spans="1:10" ht="14.1" customHeight="1" x14ac:dyDescent="0.2">
      <c r="A51" s="162"/>
      <c r="B51" s="162"/>
      <c r="C51" s="171"/>
      <c r="D51" s="162"/>
      <c r="E51" s="162"/>
      <c r="F51" s="172"/>
      <c r="G51" s="172"/>
      <c r="H51" s="172"/>
      <c r="J51" s="75"/>
    </row>
    <row r="52" spans="1:10" ht="14.1" customHeight="1" x14ac:dyDescent="0.2">
      <c r="A52" s="162"/>
      <c r="B52" s="162"/>
      <c r="C52" s="163" t="s">
        <v>154</v>
      </c>
      <c r="D52" s="162"/>
      <c r="E52" s="162"/>
      <c r="F52" s="162"/>
      <c r="G52" s="162"/>
      <c r="H52" s="162"/>
      <c r="J52" s="75"/>
    </row>
    <row r="53" spans="1:10" ht="14.1" customHeight="1" x14ac:dyDescent="0.2">
      <c r="A53" s="162"/>
      <c r="B53" s="162"/>
      <c r="C53" s="163" t="s">
        <v>152</v>
      </c>
      <c r="D53" s="162"/>
      <c r="E53" s="162" t="s">
        <v>153</v>
      </c>
      <c r="F53" s="173" t="s">
        <v>155</v>
      </c>
      <c r="G53" s="170">
        <v>0</v>
      </c>
      <c r="H53" s="170"/>
      <c r="J53" s="75"/>
    </row>
    <row r="54" spans="1:10" ht="14.1" customHeight="1" x14ac:dyDescent="0.2">
      <c r="A54" s="162"/>
      <c r="B54" s="162"/>
      <c r="C54" s="171"/>
      <c r="D54" s="162"/>
      <c r="E54" s="162"/>
      <c r="F54" s="172"/>
      <c r="G54" s="172"/>
      <c r="H54" s="172"/>
      <c r="J54" s="75"/>
    </row>
    <row r="55" spans="1:10" ht="14.1" customHeight="1" x14ac:dyDescent="0.2">
      <c r="A55" s="162"/>
      <c r="B55" s="162"/>
      <c r="C55" s="163" t="s">
        <v>156</v>
      </c>
      <c r="D55" s="162"/>
      <c r="E55" s="162"/>
      <c r="F55" s="162"/>
      <c r="G55" s="162"/>
      <c r="H55" s="162"/>
      <c r="J55" s="75"/>
    </row>
    <row r="56" spans="1:10" ht="14.1" customHeight="1" x14ac:dyDescent="0.2">
      <c r="A56" s="162"/>
      <c r="B56" s="162"/>
      <c r="C56" s="163" t="s">
        <v>152</v>
      </c>
      <c r="D56" s="162"/>
      <c r="E56" s="162" t="s">
        <v>153</v>
      </c>
      <c r="F56" s="173" t="s">
        <v>155</v>
      </c>
      <c r="G56" s="170">
        <v>0</v>
      </c>
      <c r="H56" s="170"/>
      <c r="J56" s="75"/>
    </row>
    <row r="57" spans="1:10" ht="14.1" customHeight="1" x14ac:dyDescent="0.2">
      <c r="A57" s="162"/>
      <c r="B57" s="162"/>
      <c r="C57" s="171"/>
      <c r="D57" s="162"/>
      <c r="E57" s="162"/>
      <c r="F57" s="172"/>
      <c r="G57" s="172"/>
      <c r="H57" s="172"/>
      <c r="J57" s="75"/>
    </row>
    <row r="58" spans="1:10" ht="14.1" customHeight="1" x14ac:dyDescent="0.2">
      <c r="A58" s="162"/>
      <c r="B58" s="162"/>
      <c r="C58" s="163" t="s">
        <v>157</v>
      </c>
      <c r="D58" s="162"/>
      <c r="E58" s="162"/>
      <c r="F58" s="162"/>
      <c r="G58" s="162"/>
      <c r="H58" s="162"/>
      <c r="J58" s="75"/>
    </row>
    <row r="59" spans="1:10" ht="29.1" customHeight="1" x14ac:dyDescent="0.2">
      <c r="A59" s="164">
        <v>1</v>
      </c>
      <c r="B59" s="165" t="s">
        <v>329</v>
      </c>
      <c r="C59" s="165" t="s">
        <v>1202</v>
      </c>
      <c r="D59" s="165" t="s">
        <v>36</v>
      </c>
      <c r="E59" s="166">
        <v>80</v>
      </c>
      <c r="F59" s="167">
        <v>8.0027199999999996E-3</v>
      </c>
      <c r="G59" s="168" t="s">
        <v>151</v>
      </c>
      <c r="H59" s="168"/>
      <c r="J59" s="75"/>
    </row>
    <row r="60" spans="1:10" ht="14.1" customHeight="1" x14ac:dyDescent="0.2">
      <c r="A60" s="162"/>
      <c r="B60" s="162"/>
      <c r="C60" s="163" t="s">
        <v>152</v>
      </c>
      <c r="D60" s="162"/>
      <c r="E60" s="162" t="s">
        <v>153</v>
      </c>
      <c r="F60" s="169">
        <v>8.0027199999999996E-3</v>
      </c>
      <c r="G60" s="170">
        <v>2.0700000000000001E-6</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158</v>
      </c>
      <c r="D62" s="162"/>
      <c r="E62" s="162"/>
      <c r="F62" s="172"/>
      <c r="G62" s="172"/>
      <c r="H62" s="172"/>
      <c r="J62" s="75"/>
    </row>
    <row r="63" spans="1:10" ht="14.1" customHeight="1" x14ac:dyDescent="0.2">
      <c r="A63" s="162"/>
      <c r="B63" s="162"/>
      <c r="C63" s="163" t="s">
        <v>152</v>
      </c>
      <c r="D63" s="162"/>
      <c r="E63" s="162" t="s">
        <v>153</v>
      </c>
      <c r="F63" s="173" t="s">
        <v>155</v>
      </c>
      <c r="G63" s="170">
        <v>0</v>
      </c>
      <c r="H63" s="170"/>
      <c r="J63" s="75"/>
    </row>
    <row r="64" spans="1:10" ht="14.1" customHeight="1" x14ac:dyDescent="0.2">
      <c r="A64" s="162"/>
      <c r="B64" s="162"/>
      <c r="C64" s="171"/>
      <c r="D64" s="162"/>
      <c r="E64" s="162"/>
      <c r="F64" s="172"/>
      <c r="G64" s="172"/>
      <c r="H64" s="172"/>
      <c r="J64" s="75"/>
    </row>
    <row r="65" spans="1:10" ht="14.1" customHeight="1" x14ac:dyDescent="0.2">
      <c r="A65" s="162"/>
      <c r="B65" s="162"/>
      <c r="C65" s="163" t="s">
        <v>159</v>
      </c>
      <c r="D65" s="162"/>
      <c r="E65" s="162"/>
      <c r="F65" s="172"/>
      <c r="G65" s="172"/>
      <c r="H65" s="172"/>
      <c r="J65" s="75"/>
    </row>
    <row r="66" spans="1:10" ht="14.1" customHeight="1" x14ac:dyDescent="0.2">
      <c r="A66" s="162"/>
      <c r="B66" s="162"/>
      <c r="C66" s="163" t="s">
        <v>152</v>
      </c>
      <c r="D66" s="162"/>
      <c r="E66" s="162" t="s">
        <v>153</v>
      </c>
      <c r="F66" s="173" t="s">
        <v>155</v>
      </c>
      <c r="G66" s="170">
        <v>0</v>
      </c>
      <c r="H66" s="170"/>
      <c r="J66" s="75"/>
    </row>
    <row r="67" spans="1:10" ht="14.1" customHeight="1" x14ac:dyDescent="0.2">
      <c r="A67" s="162"/>
      <c r="B67" s="162"/>
      <c r="C67" s="171"/>
      <c r="D67" s="162"/>
      <c r="E67" s="162"/>
      <c r="F67" s="172"/>
      <c r="G67" s="172"/>
      <c r="H67" s="172"/>
      <c r="J67" s="75"/>
    </row>
    <row r="68" spans="1:10" ht="18" customHeight="1" x14ac:dyDescent="0.2">
      <c r="A68" s="162"/>
      <c r="B68" s="162"/>
      <c r="C68" s="163" t="s">
        <v>160</v>
      </c>
      <c r="D68" s="162"/>
      <c r="E68" s="162"/>
      <c r="F68" s="169">
        <v>3574.1363357199998</v>
      </c>
      <c r="G68" s="170">
        <v>0.92516516999999998</v>
      </c>
      <c r="H68" s="170"/>
      <c r="J68" s="75"/>
    </row>
    <row r="69" spans="1:10" ht="14.1" customHeight="1" x14ac:dyDescent="0.2">
      <c r="A69" s="162"/>
      <c r="B69" s="162"/>
      <c r="C69" s="171"/>
      <c r="D69" s="162"/>
      <c r="E69" s="162"/>
      <c r="F69" s="172"/>
      <c r="G69" s="172"/>
      <c r="H69" s="172"/>
      <c r="J69" s="75"/>
    </row>
    <row r="70" spans="1:10" ht="14.1" customHeight="1" x14ac:dyDescent="0.2">
      <c r="A70" s="162"/>
      <c r="B70" s="162"/>
      <c r="C70" s="163" t="s">
        <v>161</v>
      </c>
      <c r="D70" s="162"/>
      <c r="E70" s="162"/>
      <c r="F70" s="172"/>
      <c r="G70" s="172"/>
      <c r="H70" s="172"/>
      <c r="J70" s="75"/>
    </row>
    <row r="71" spans="1:10" ht="24" customHeight="1" x14ac:dyDescent="0.2">
      <c r="A71" s="162"/>
      <c r="B71" s="162"/>
      <c r="C71" s="163" t="s">
        <v>10</v>
      </c>
      <c r="D71" s="162"/>
      <c r="E71" s="162"/>
      <c r="F71" s="172"/>
      <c r="G71" s="172"/>
      <c r="H71" s="172"/>
      <c r="J71" s="75"/>
    </row>
    <row r="72" spans="1:10" ht="14.1" customHeight="1" x14ac:dyDescent="0.2">
      <c r="A72" s="162"/>
      <c r="B72" s="162"/>
      <c r="C72" s="163" t="s">
        <v>152</v>
      </c>
      <c r="D72" s="162"/>
      <c r="E72" s="162" t="s">
        <v>153</v>
      </c>
      <c r="F72" s="173" t="s">
        <v>155</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162</v>
      </c>
      <c r="D74" s="162"/>
      <c r="E74" s="162"/>
      <c r="F74" s="162"/>
      <c r="G74" s="162"/>
      <c r="H74" s="162"/>
      <c r="J74" s="75"/>
    </row>
    <row r="75" spans="1:10" ht="14.1" customHeight="1" x14ac:dyDescent="0.2">
      <c r="A75" s="162"/>
      <c r="B75" s="162"/>
      <c r="C75" s="163" t="s">
        <v>152</v>
      </c>
      <c r="D75" s="162"/>
      <c r="E75" s="162" t="s">
        <v>153</v>
      </c>
      <c r="F75" s="173" t="s">
        <v>155</v>
      </c>
      <c r="G75" s="170">
        <v>0</v>
      </c>
      <c r="H75" s="170"/>
      <c r="J75" s="75"/>
    </row>
    <row r="76" spans="1:10" ht="14.1" customHeight="1" x14ac:dyDescent="0.2">
      <c r="A76" s="162"/>
      <c r="B76" s="162"/>
      <c r="C76" s="171"/>
      <c r="D76" s="162"/>
      <c r="E76" s="162"/>
      <c r="F76" s="172"/>
      <c r="G76" s="172"/>
      <c r="H76" s="172"/>
      <c r="J76" s="75"/>
    </row>
    <row r="77" spans="1:10" ht="14.1" customHeight="1" x14ac:dyDescent="0.2">
      <c r="A77" s="162"/>
      <c r="B77" s="162"/>
      <c r="C77" s="163" t="s">
        <v>163</v>
      </c>
      <c r="D77" s="162"/>
      <c r="E77" s="162"/>
      <c r="F77" s="162"/>
      <c r="G77" s="162"/>
      <c r="H77" s="162"/>
      <c r="J77" s="75"/>
    </row>
    <row r="78" spans="1:10" ht="14.1" customHeight="1" x14ac:dyDescent="0.2">
      <c r="A78" s="162"/>
      <c r="B78" s="162"/>
      <c r="C78" s="163" t="s">
        <v>152</v>
      </c>
      <c r="D78" s="162"/>
      <c r="E78" s="162" t="s">
        <v>153</v>
      </c>
      <c r="F78" s="173" t="s">
        <v>155</v>
      </c>
      <c r="G78" s="170">
        <v>0</v>
      </c>
      <c r="H78" s="170"/>
      <c r="J78" s="75"/>
    </row>
    <row r="79" spans="1:10" ht="14.1" customHeight="1" x14ac:dyDescent="0.2">
      <c r="A79" s="162"/>
      <c r="B79" s="162"/>
      <c r="C79" s="171"/>
      <c r="D79" s="162"/>
      <c r="E79" s="162"/>
      <c r="F79" s="172"/>
      <c r="G79" s="172"/>
      <c r="H79" s="172"/>
      <c r="J79" s="75"/>
    </row>
    <row r="80" spans="1:10" ht="14.1" customHeight="1" x14ac:dyDescent="0.2">
      <c r="A80" s="162"/>
      <c r="B80" s="162"/>
      <c r="C80" s="163" t="s">
        <v>164</v>
      </c>
      <c r="D80" s="162"/>
      <c r="E80" s="162"/>
      <c r="F80" s="172"/>
      <c r="G80" s="172"/>
      <c r="H80" s="172"/>
      <c r="J80" s="75"/>
    </row>
    <row r="81" spans="1:10" ht="14.1" customHeight="1" x14ac:dyDescent="0.2">
      <c r="A81" s="162"/>
      <c r="B81" s="162"/>
      <c r="C81" s="163" t="s">
        <v>152</v>
      </c>
      <c r="D81" s="162"/>
      <c r="E81" s="162" t="s">
        <v>153</v>
      </c>
      <c r="F81" s="173" t="s">
        <v>155</v>
      </c>
      <c r="G81" s="170">
        <v>0</v>
      </c>
      <c r="H81" s="170"/>
      <c r="J81" s="75"/>
    </row>
    <row r="82" spans="1:10" ht="14.1" customHeight="1" x14ac:dyDescent="0.2">
      <c r="A82" s="162"/>
      <c r="B82" s="162"/>
      <c r="C82" s="171"/>
      <c r="D82" s="162"/>
      <c r="E82" s="162"/>
      <c r="F82" s="172"/>
      <c r="G82" s="172"/>
      <c r="H82" s="172"/>
      <c r="J82" s="75"/>
    </row>
    <row r="83" spans="1:10" ht="14.1" customHeight="1" x14ac:dyDescent="0.2">
      <c r="A83" s="162"/>
      <c r="B83" s="162"/>
      <c r="C83" s="163" t="s">
        <v>165</v>
      </c>
      <c r="D83" s="162"/>
      <c r="E83" s="162"/>
      <c r="F83" s="169">
        <v>0</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166</v>
      </c>
      <c r="D85" s="162"/>
      <c r="E85" s="162"/>
      <c r="F85" s="172"/>
      <c r="G85" s="172"/>
      <c r="H85" s="172"/>
      <c r="J85" s="75"/>
    </row>
    <row r="86" spans="1:10" ht="14.1" customHeight="1" x14ac:dyDescent="0.2">
      <c r="A86" s="162"/>
      <c r="B86" s="162"/>
      <c r="C86" s="163" t="s">
        <v>167</v>
      </c>
      <c r="D86" s="162"/>
      <c r="E86" s="162"/>
      <c r="F86" s="172"/>
      <c r="G86" s="172"/>
      <c r="H86" s="172"/>
      <c r="J86" s="75"/>
    </row>
    <row r="87" spans="1:10" ht="14.1" customHeight="1" x14ac:dyDescent="0.2">
      <c r="A87" s="162"/>
      <c r="B87" s="162"/>
      <c r="C87" s="163" t="s">
        <v>152</v>
      </c>
      <c r="D87" s="162"/>
      <c r="E87" s="162" t="s">
        <v>153</v>
      </c>
      <c r="F87" s="173" t="s">
        <v>155</v>
      </c>
      <c r="G87" s="170">
        <v>0</v>
      </c>
      <c r="H87" s="170"/>
      <c r="J87" s="75"/>
    </row>
    <row r="88" spans="1:10" ht="14.1" customHeight="1" x14ac:dyDescent="0.2">
      <c r="A88" s="162"/>
      <c r="B88" s="162"/>
      <c r="C88" s="171"/>
      <c r="D88" s="162"/>
      <c r="E88" s="162"/>
      <c r="F88" s="172"/>
      <c r="G88" s="172"/>
      <c r="H88" s="172"/>
      <c r="J88" s="75"/>
    </row>
    <row r="89" spans="1:10" ht="14.1" customHeight="1" x14ac:dyDescent="0.2">
      <c r="A89" s="162"/>
      <c r="B89" s="162"/>
      <c r="C89" s="163" t="s">
        <v>168</v>
      </c>
      <c r="D89" s="162"/>
      <c r="E89" s="162"/>
      <c r="F89" s="172"/>
      <c r="G89" s="172"/>
      <c r="H89" s="172"/>
      <c r="J89" s="75"/>
    </row>
    <row r="90" spans="1:10" ht="14.1" customHeight="1" x14ac:dyDescent="0.2">
      <c r="A90" s="162"/>
      <c r="B90" s="162"/>
      <c r="C90" s="163" t="s">
        <v>152</v>
      </c>
      <c r="D90" s="162"/>
      <c r="E90" s="162" t="s">
        <v>153</v>
      </c>
      <c r="F90" s="173" t="s">
        <v>155</v>
      </c>
      <c r="G90" s="170">
        <v>0</v>
      </c>
      <c r="H90" s="170"/>
      <c r="J90" s="75"/>
    </row>
    <row r="91" spans="1:10" ht="14.1" customHeight="1" x14ac:dyDescent="0.2">
      <c r="A91" s="162"/>
      <c r="B91" s="162"/>
      <c r="C91" s="171"/>
      <c r="D91" s="162"/>
      <c r="E91" s="162"/>
      <c r="F91" s="172"/>
      <c r="G91" s="172"/>
      <c r="H91" s="172"/>
      <c r="J91" s="75"/>
    </row>
    <row r="92" spans="1:10" ht="14.1" customHeight="1" x14ac:dyDescent="0.2">
      <c r="A92" s="162"/>
      <c r="B92" s="162"/>
      <c r="C92" s="163" t="s">
        <v>169</v>
      </c>
      <c r="D92" s="162"/>
      <c r="E92" s="162"/>
      <c r="F92" s="172"/>
      <c r="G92" s="172"/>
      <c r="H92" s="172"/>
      <c r="J92" s="75"/>
    </row>
    <row r="93" spans="1:10" ht="14.1" customHeight="1" x14ac:dyDescent="0.2">
      <c r="A93" s="162"/>
      <c r="B93" s="162"/>
      <c r="C93" s="163" t="s">
        <v>152</v>
      </c>
      <c r="D93" s="162"/>
      <c r="E93" s="162" t="s">
        <v>153</v>
      </c>
      <c r="F93" s="173" t="s">
        <v>155</v>
      </c>
      <c r="G93" s="170">
        <v>0</v>
      </c>
      <c r="H93" s="170"/>
      <c r="J93" s="75"/>
    </row>
    <row r="94" spans="1:10" ht="14.1" customHeight="1" x14ac:dyDescent="0.2">
      <c r="A94" s="162"/>
      <c r="B94" s="162"/>
      <c r="C94" s="171"/>
      <c r="D94" s="162"/>
      <c r="E94" s="162"/>
      <c r="F94" s="172"/>
      <c r="G94" s="172"/>
      <c r="H94" s="172"/>
      <c r="J94" s="75"/>
    </row>
    <row r="95" spans="1:10" ht="14.1" customHeight="1" x14ac:dyDescent="0.2">
      <c r="A95" s="162"/>
      <c r="B95" s="162"/>
      <c r="C95" s="163" t="s">
        <v>170</v>
      </c>
      <c r="D95" s="162"/>
      <c r="E95" s="162"/>
      <c r="F95" s="172"/>
      <c r="G95" s="172"/>
      <c r="H95" s="172"/>
      <c r="J95" s="75"/>
    </row>
    <row r="96" spans="1:10" ht="17.100000000000001" customHeight="1" x14ac:dyDescent="0.2">
      <c r="A96" s="164">
        <v>1</v>
      </c>
      <c r="B96" s="165"/>
      <c r="C96" s="165" t="s">
        <v>171</v>
      </c>
      <c r="D96" s="165"/>
      <c r="E96" s="174"/>
      <c r="F96" s="167">
        <v>279.19004669899999</v>
      </c>
      <c r="G96" s="168">
        <v>7.226834E-2</v>
      </c>
      <c r="H96" s="175">
        <v>6.66</v>
      </c>
      <c r="J96" s="75"/>
    </row>
    <row r="97" spans="1:10" ht="14.1" customHeight="1" x14ac:dyDescent="0.2">
      <c r="A97" s="162"/>
      <c r="B97" s="162"/>
      <c r="C97" s="163" t="s">
        <v>152</v>
      </c>
      <c r="D97" s="162"/>
      <c r="E97" s="162" t="s">
        <v>153</v>
      </c>
      <c r="F97" s="169">
        <v>279.19004669899999</v>
      </c>
      <c r="G97" s="170">
        <v>7.226834E-2</v>
      </c>
      <c r="H97" s="170"/>
      <c r="J97" s="75"/>
    </row>
    <row r="98" spans="1:10" ht="14.1" customHeight="1" x14ac:dyDescent="0.2">
      <c r="A98" s="162"/>
      <c r="B98" s="162"/>
      <c r="C98" s="171"/>
      <c r="D98" s="162"/>
      <c r="E98" s="162"/>
      <c r="F98" s="172"/>
      <c r="G98" s="172"/>
      <c r="H98" s="172"/>
      <c r="J98" s="75"/>
    </row>
    <row r="99" spans="1:10" ht="14.1" customHeight="1" x14ac:dyDescent="0.2">
      <c r="A99" s="162"/>
      <c r="B99" s="162"/>
      <c r="C99" s="163" t="s">
        <v>172</v>
      </c>
      <c r="D99" s="162"/>
      <c r="E99" s="162"/>
      <c r="F99" s="169">
        <v>279.19004669899999</v>
      </c>
      <c r="G99" s="170">
        <v>7.226834E-2</v>
      </c>
      <c r="H99" s="170"/>
      <c r="J99" s="75"/>
    </row>
    <row r="100" spans="1:10" ht="14.1" customHeight="1" x14ac:dyDescent="0.2">
      <c r="A100" s="162"/>
      <c r="B100" s="162"/>
      <c r="C100" s="172"/>
      <c r="D100" s="162"/>
      <c r="E100" s="162"/>
      <c r="F100" s="162"/>
      <c r="G100" s="162"/>
      <c r="H100" s="162"/>
      <c r="J100" s="75"/>
    </row>
    <row r="101" spans="1:10" ht="14.1" customHeight="1" x14ac:dyDescent="0.2">
      <c r="A101" s="162"/>
      <c r="B101" s="162"/>
      <c r="C101" s="163" t="s">
        <v>173</v>
      </c>
      <c r="D101" s="162"/>
      <c r="E101" s="162"/>
      <c r="F101" s="162"/>
      <c r="G101" s="162"/>
      <c r="H101" s="162"/>
      <c r="J101" s="75"/>
    </row>
    <row r="102" spans="1:10" ht="14.1" customHeight="1" x14ac:dyDescent="0.2">
      <c r="A102" s="162"/>
      <c r="B102" s="162"/>
      <c r="C102" s="163" t="s">
        <v>174</v>
      </c>
      <c r="D102" s="162"/>
      <c r="E102" s="162"/>
      <c r="F102" s="162"/>
      <c r="G102" s="162"/>
      <c r="H102" s="162"/>
      <c r="J102" s="75"/>
    </row>
    <row r="103" spans="1:10" ht="14.1" customHeight="1" x14ac:dyDescent="0.2">
      <c r="A103" s="162"/>
      <c r="B103" s="162"/>
      <c r="C103" s="163" t="s">
        <v>152</v>
      </c>
      <c r="D103" s="162"/>
      <c r="E103" s="162" t="s">
        <v>153</v>
      </c>
      <c r="F103" s="173" t="s">
        <v>155</v>
      </c>
      <c r="G103" s="170">
        <v>0</v>
      </c>
      <c r="H103" s="170"/>
      <c r="J103" s="75"/>
    </row>
    <row r="104" spans="1:10" ht="14.1" customHeight="1" x14ac:dyDescent="0.2">
      <c r="A104" s="162"/>
      <c r="B104" s="162"/>
      <c r="C104" s="171"/>
      <c r="D104" s="162"/>
      <c r="E104" s="162"/>
      <c r="F104" s="172"/>
      <c r="G104" s="172"/>
      <c r="H104" s="172"/>
      <c r="J104" s="75"/>
    </row>
    <row r="105" spans="1:10" ht="14.1" customHeight="1" x14ac:dyDescent="0.2">
      <c r="A105" s="162"/>
      <c r="B105" s="162"/>
      <c r="C105" s="163" t="s">
        <v>177</v>
      </c>
      <c r="D105" s="162"/>
      <c r="E105" s="162"/>
      <c r="F105" s="162"/>
      <c r="G105" s="162"/>
      <c r="H105" s="162"/>
      <c r="J105" s="75"/>
    </row>
    <row r="106" spans="1:10" ht="14.1" customHeight="1" x14ac:dyDescent="0.2">
      <c r="A106" s="162"/>
      <c r="B106" s="162"/>
      <c r="C106" s="163" t="s">
        <v>178</v>
      </c>
      <c r="D106" s="162"/>
      <c r="E106" s="162"/>
      <c r="F106" s="162"/>
      <c r="G106" s="162"/>
      <c r="H106" s="16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24" customHeight="1" x14ac:dyDescent="0.2">
      <c r="A109" s="162"/>
      <c r="B109" s="162"/>
      <c r="C109" s="163" t="s">
        <v>179</v>
      </c>
      <c r="D109" s="162"/>
      <c r="E109" s="162"/>
      <c r="F109" s="172"/>
      <c r="G109" s="172"/>
      <c r="H109" s="172"/>
      <c r="J109" s="75"/>
    </row>
    <row r="110" spans="1:10" ht="14.1" customHeight="1" x14ac:dyDescent="0.2">
      <c r="A110" s="162"/>
      <c r="B110" s="162"/>
      <c r="C110" s="163" t="s">
        <v>152</v>
      </c>
      <c r="D110" s="162"/>
      <c r="E110" s="162" t="s">
        <v>153</v>
      </c>
      <c r="F110" s="173" t="s">
        <v>155</v>
      </c>
      <c r="G110" s="170">
        <v>0</v>
      </c>
      <c r="H110" s="170"/>
      <c r="J110" s="75"/>
    </row>
    <row r="111" spans="1:10" ht="14.1" customHeight="1" x14ac:dyDescent="0.2">
      <c r="A111" s="162"/>
      <c r="B111" s="165"/>
      <c r="C111" s="165"/>
      <c r="D111" s="163"/>
      <c r="E111" s="162"/>
      <c r="F111" s="165"/>
      <c r="G111" s="174"/>
      <c r="H111" s="174"/>
      <c r="J111" s="75"/>
    </row>
    <row r="112" spans="1:10" ht="18" customHeight="1" x14ac:dyDescent="0.2">
      <c r="A112" s="174"/>
      <c r="B112" s="165"/>
      <c r="C112" s="165" t="s">
        <v>180</v>
      </c>
      <c r="D112" s="165"/>
      <c r="E112" s="174"/>
      <c r="F112" s="167">
        <v>9.9150752499999992</v>
      </c>
      <c r="G112" s="168">
        <v>2.5665200000000001E-3</v>
      </c>
      <c r="H112" s="168"/>
      <c r="J112" s="75"/>
    </row>
    <row r="113" spans="1:17" ht="14.1" customHeight="1" x14ac:dyDescent="0.2">
      <c r="A113" s="171"/>
      <c r="B113" s="171"/>
      <c r="C113" s="163" t="s">
        <v>181</v>
      </c>
      <c r="D113" s="172"/>
      <c r="E113" s="172"/>
      <c r="F113" s="169">
        <v>3863.2414576689998</v>
      </c>
      <c r="G113" s="177">
        <v>1.00000003</v>
      </c>
      <c r="H113" s="177"/>
      <c r="J113" s="75"/>
    </row>
    <row r="114" spans="1:17" ht="14.1" customHeight="1" x14ac:dyDescent="0.2">
      <c r="A114" s="178"/>
      <c r="B114" s="178"/>
      <c r="C114" s="178"/>
      <c r="D114" s="179"/>
      <c r="E114" s="179"/>
      <c r="F114" s="179"/>
      <c r="G114" s="179"/>
      <c r="H114" s="179"/>
      <c r="J114" s="75"/>
    </row>
    <row r="115" spans="1:17" ht="12.75" customHeight="1" x14ac:dyDescent="0.2">
      <c r="A115" s="180"/>
      <c r="B115" s="258" t="s">
        <v>882</v>
      </c>
      <c r="C115" s="258"/>
      <c r="D115" s="258"/>
      <c r="E115" s="258"/>
      <c r="F115" s="258"/>
      <c r="G115" s="258"/>
      <c r="H115" s="258"/>
      <c r="J115" s="75"/>
    </row>
    <row r="116" spans="1:17" ht="14.1" customHeight="1" x14ac:dyDescent="0.2">
      <c r="A116" s="180"/>
      <c r="B116" s="258" t="s">
        <v>883</v>
      </c>
      <c r="C116" s="258"/>
      <c r="D116" s="258"/>
      <c r="E116" s="258"/>
      <c r="F116" s="258"/>
      <c r="G116" s="258"/>
      <c r="H116" s="258"/>
      <c r="J116" s="75"/>
    </row>
    <row r="117" spans="1:17" ht="17.100000000000001" customHeight="1" x14ac:dyDescent="0.2">
      <c r="A117" s="180"/>
      <c r="B117" s="258" t="s">
        <v>884</v>
      </c>
      <c r="C117" s="258"/>
      <c r="D117" s="258"/>
      <c r="E117" s="258"/>
      <c r="F117" s="258"/>
      <c r="G117" s="258"/>
      <c r="H117" s="258"/>
      <c r="J117" s="75"/>
    </row>
    <row r="118" spans="1:17" s="34" customFormat="1" ht="62.25" customHeight="1" x14ac:dyDescent="0.25">
      <c r="A118" s="33"/>
      <c r="B118" s="259" t="s">
        <v>885</v>
      </c>
      <c r="C118" s="259"/>
      <c r="D118" s="259"/>
      <c r="E118" s="259"/>
      <c r="F118" s="259"/>
      <c r="G118" s="259"/>
      <c r="H118" s="259"/>
      <c r="I118"/>
      <c r="J118" s="75"/>
      <c r="K118"/>
      <c r="L118"/>
      <c r="M118"/>
      <c r="N118"/>
      <c r="O118"/>
      <c r="P118"/>
      <c r="Q118"/>
    </row>
    <row r="119" spans="1:17" ht="12.75" customHeight="1" x14ac:dyDescent="0.2">
      <c r="A119" s="180"/>
      <c r="B119" s="258" t="s">
        <v>886</v>
      </c>
      <c r="C119" s="258"/>
      <c r="D119" s="258"/>
      <c r="E119" s="258"/>
      <c r="F119" s="258"/>
      <c r="G119" s="258"/>
      <c r="H119" s="258"/>
      <c r="J119" s="75"/>
    </row>
    <row r="120" spans="1:17" ht="14.1" customHeight="1" x14ac:dyDescent="0.2">
      <c r="A120" s="181"/>
      <c r="B120" s="181"/>
      <c r="C120" s="181"/>
      <c r="D120" s="182"/>
      <c r="E120" s="182"/>
      <c r="F120" s="182"/>
      <c r="G120" s="182"/>
      <c r="H120" s="182"/>
      <c r="J120" s="75"/>
    </row>
    <row r="121" spans="1:17" ht="14.1" customHeight="1" x14ac:dyDescent="0.2">
      <c r="A121" s="181"/>
      <c r="B121" s="255" t="s">
        <v>183</v>
      </c>
      <c r="C121" s="256"/>
      <c r="D121" s="257"/>
      <c r="E121" s="183"/>
      <c r="F121" s="182"/>
      <c r="G121" s="182"/>
      <c r="H121" s="182"/>
      <c r="J121" s="75"/>
    </row>
    <row r="122" spans="1:17" ht="29.1" customHeight="1" x14ac:dyDescent="0.2">
      <c r="A122" s="181"/>
      <c r="B122" s="253" t="s">
        <v>184</v>
      </c>
      <c r="C122" s="254"/>
      <c r="D122" s="163" t="s">
        <v>185</v>
      </c>
      <c r="E122" s="183"/>
      <c r="F122" s="182"/>
      <c r="G122" s="182"/>
      <c r="H122" s="182"/>
      <c r="J122" s="75"/>
    </row>
    <row r="123" spans="1:17" ht="17.100000000000001" customHeight="1" x14ac:dyDescent="0.2">
      <c r="A123" s="181"/>
      <c r="B123" s="251" t="s">
        <v>898</v>
      </c>
      <c r="C123" s="252"/>
      <c r="D123" s="184" t="s">
        <v>896</v>
      </c>
      <c r="E123" s="183"/>
      <c r="F123" s="182"/>
      <c r="G123" s="182"/>
      <c r="H123" s="182"/>
      <c r="J123" s="75"/>
    </row>
    <row r="124" spans="1:17" ht="17.100000000000001" customHeight="1" x14ac:dyDescent="0.2">
      <c r="A124" s="181"/>
      <c r="B124" s="253" t="s">
        <v>187</v>
      </c>
      <c r="C124" s="254"/>
      <c r="D124" s="172" t="s">
        <v>153</v>
      </c>
      <c r="E124" s="183"/>
      <c r="F124" s="182"/>
      <c r="G124" s="182"/>
      <c r="H124" s="182"/>
      <c r="J124" s="75"/>
    </row>
    <row r="125" spans="1:17" x14ac:dyDescent="0.2">
      <c r="A125" s="185"/>
      <c r="B125" s="186" t="s">
        <v>153</v>
      </c>
      <c r="C125" s="186" t="s">
        <v>1088</v>
      </c>
      <c r="D125" s="186" t="s">
        <v>188</v>
      </c>
      <c r="E125" s="185"/>
      <c r="F125" s="185"/>
      <c r="G125" s="185"/>
      <c r="H125" s="185"/>
      <c r="J125" s="75"/>
    </row>
    <row r="126" spans="1:17" x14ac:dyDescent="0.2">
      <c r="A126" s="185"/>
      <c r="B126" s="187" t="s">
        <v>189</v>
      </c>
      <c r="C126" s="186" t="s">
        <v>190</v>
      </c>
      <c r="D126" s="186" t="s">
        <v>191</v>
      </c>
      <c r="E126" s="185"/>
      <c r="F126" s="185"/>
      <c r="G126" s="185"/>
      <c r="H126" s="185"/>
      <c r="J126" s="75"/>
    </row>
    <row r="127" spans="1:17" ht="17.100000000000001" customHeight="1" x14ac:dyDescent="0.2">
      <c r="A127" s="185"/>
      <c r="B127" s="165" t="s">
        <v>192</v>
      </c>
      <c r="C127" s="188">
        <v>24.670200000000001</v>
      </c>
      <c r="D127" s="188">
        <v>26.444199999999999</v>
      </c>
      <c r="E127" s="185"/>
      <c r="F127" s="189"/>
      <c r="G127" s="190"/>
      <c r="H127" s="190"/>
      <c r="J127" s="75"/>
    </row>
    <row r="128" spans="1:17" ht="17.100000000000001" customHeight="1" x14ac:dyDescent="0.2">
      <c r="A128" s="185"/>
      <c r="B128" s="165" t="s">
        <v>1054</v>
      </c>
      <c r="C128" s="188">
        <v>23.480899999999998</v>
      </c>
      <c r="D128" s="188">
        <v>25.169499999999999</v>
      </c>
      <c r="E128" s="185"/>
      <c r="F128" s="189"/>
      <c r="G128" s="190"/>
      <c r="H128" s="190"/>
      <c r="J128" s="75"/>
    </row>
    <row r="129" spans="1:10" ht="17.100000000000001" customHeight="1" x14ac:dyDescent="0.2">
      <c r="A129" s="185"/>
      <c r="B129" s="165" t="s">
        <v>193</v>
      </c>
      <c r="C129" s="188">
        <v>24.162400000000002</v>
      </c>
      <c r="D129" s="188">
        <v>25.897099999999998</v>
      </c>
      <c r="E129" s="185"/>
      <c r="F129" s="189"/>
      <c r="G129" s="190"/>
      <c r="H129" s="190"/>
      <c r="J129" s="75"/>
    </row>
    <row r="130" spans="1:10" ht="17.100000000000001" customHeight="1" x14ac:dyDescent="0.2">
      <c r="A130" s="185"/>
      <c r="B130" s="165" t="s">
        <v>1055</v>
      </c>
      <c r="C130" s="188">
        <v>22.973299999999998</v>
      </c>
      <c r="D130" s="188">
        <v>24.622599999999998</v>
      </c>
      <c r="E130" s="185"/>
      <c r="F130" s="189"/>
      <c r="G130" s="190"/>
      <c r="H130" s="190"/>
      <c r="J130" s="75"/>
    </row>
    <row r="131" spans="1:10" ht="14.1" customHeight="1" x14ac:dyDescent="0.2">
      <c r="A131" s="185"/>
      <c r="B131" s="185"/>
      <c r="C131" s="185"/>
      <c r="D131" s="185"/>
      <c r="E131" s="185"/>
      <c r="F131" s="185"/>
      <c r="G131" s="185"/>
      <c r="H131" s="185"/>
      <c r="J131" s="75"/>
    </row>
    <row r="132" spans="1:10" ht="17.100000000000001" customHeight="1" x14ac:dyDescent="0.2">
      <c r="A132" s="185"/>
      <c r="B132" s="253" t="s">
        <v>1056</v>
      </c>
      <c r="C132" s="254"/>
      <c r="D132" s="163" t="s">
        <v>185</v>
      </c>
      <c r="E132" s="185"/>
      <c r="F132" s="185"/>
      <c r="G132" s="185"/>
      <c r="H132" s="185"/>
      <c r="J132" s="75"/>
    </row>
    <row r="133" spans="1:10" ht="14.1" customHeight="1" x14ac:dyDescent="0.2">
      <c r="A133" s="185"/>
      <c r="B133" s="189"/>
      <c r="C133" s="189"/>
      <c r="D133" s="185"/>
      <c r="E133" s="185"/>
      <c r="F133" s="185"/>
      <c r="G133" s="185"/>
      <c r="H133" s="185"/>
      <c r="J133" s="75"/>
    </row>
    <row r="134" spans="1:10" ht="29.1" customHeight="1" x14ac:dyDescent="0.2">
      <c r="A134" s="185"/>
      <c r="B134" s="253" t="s">
        <v>194</v>
      </c>
      <c r="C134" s="254"/>
      <c r="D134" s="163" t="s">
        <v>185</v>
      </c>
      <c r="E134" s="191"/>
      <c r="F134" s="185"/>
      <c r="G134" s="185"/>
      <c r="H134" s="185"/>
      <c r="J134" s="75"/>
    </row>
    <row r="135" spans="1:10" ht="29.1" customHeight="1" x14ac:dyDescent="0.2">
      <c r="A135" s="185"/>
      <c r="B135" s="253" t="s">
        <v>195</v>
      </c>
      <c r="C135" s="254"/>
      <c r="D135" s="163" t="s">
        <v>185</v>
      </c>
      <c r="E135" s="191"/>
      <c r="F135" s="185"/>
      <c r="G135" s="185"/>
      <c r="H135" s="185"/>
      <c r="J135" s="75"/>
    </row>
    <row r="136" spans="1:10" ht="17.100000000000001" customHeight="1" x14ac:dyDescent="0.2">
      <c r="A136" s="185"/>
      <c r="B136" s="253" t="s">
        <v>196</v>
      </c>
      <c r="C136" s="254"/>
      <c r="D136" s="163" t="s">
        <v>185</v>
      </c>
      <c r="E136" s="191"/>
      <c r="F136" s="185"/>
      <c r="G136" s="185"/>
      <c r="H136" s="185"/>
      <c r="J136" s="75"/>
    </row>
    <row r="137" spans="1:10" ht="17.100000000000001" customHeight="1" x14ac:dyDescent="0.2">
      <c r="A137" s="185"/>
      <c r="B137" s="253" t="s">
        <v>197</v>
      </c>
      <c r="C137" s="254"/>
      <c r="D137" s="192">
        <v>5.4522000000000001E-2</v>
      </c>
      <c r="E137" s="185"/>
      <c r="F137" s="189"/>
      <c r="G137" s="190"/>
      <c r="H137" s="190"/>
      <c r="J137" s="75"/>
    </row>
  </sheetData>
  <mergeCells count="17">
    <mergeCell ref="B137:C137"/>
    <mergeCell ref="B132:C132"/>
    <mergeCell ref="B134:C134"/>
    <mergeCell ref="B135:C135"/>
    <mergeCell ref="B136:C136"/>
    <mergeCell ref="A1:H1"/>
    <mergeCell ref="A2:H2"/>
    <mergeCell ref="A3:H3"/>
    <mergeCell ref="B123:C123"/>
    <mergeCell ref="B124:C124"/>
    <mergeCell ref="B121:D121"/>
    <mergeCell ref="B122:C122"/>
    <mergeCell ref="B119:H119"/>
    <mergeCell ref="B115:H115"/>
    <mergeCell ref="B116:H116"/>
    <mergeCell ref="B117:H117"/>
    <mergeCell ref="B118:H118"/>
  </mergeCells>
  <hyperlinks>
    <hyperlink ref="I1" location="Index!B11" display="Index" xr:uid="{EA65A2B0-05B7-4FBF-8385-417549578C9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T139"/>
  <sheetViews>
    <sheetView showGridLines="0" workbookViewId="0">
      <selection activeCell="C57" sqref="C57"/>
    </sheetView>
  </sheetViews>
  <sheetFormatPr defaultRowHeight="12.75" x14ac:dyDescent="0.2"/>
  <cols>
    <col min="1" max="1" width="5.85546875" bestFit="1" customWidth="1"/>
    <col min="2" max="2" width="18.42578125" bestFit="1" customWidth="1"/>
    <col min="3" max="3" width="39.140625" bestFit="1" customWidth="1"/>
    <col min="4" max="4" width="17.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8" ht="15" x14ac:dyDescent="0.2">
      <c r="A1" s="250" t="s">
        <v>0</v>
      </c>
      <c r="B1" s="250"/>
      <c r="C1" s="250"/>
      <c r="D1" s="250"/>
      <c r="E1" s="250"/>
      <c r="F1" s="250"/>
      <c r="G1" s="250"/>
      <c r="H1" s="250"/>
      <c r="I1" s="35" t="s">
        <v>888</v>
      </c>
      <c r="J1" s="75"/>
    </row>
    <row r="2" spans="1:18" ht="15" x14ac:dyDescent="0.2">
      <c r="A2" s="250" t="s">
        <v>562</v>
      </c>
      <c r="B2" s="250"/>
      <c r="C2" s="250"/>
      <c r="D2" s="250"/>
      <c r="E2" s="250"/>
      <c r="F2" s="250"/>
      <c r="G2" s="250"/>
      <c r="H2" s="250"/>
      <c r="J2" s="70" t="s">
        <v>889</v>
      </c>
      <c r="K2" s="66"/>
      <c r="L2" s="66"/>
      <c r="M2" s="66"/>
      <c r="N2" s="66"/>
    </row>
    <row r="3" spans="1:18" ht="15" x14ac:dyDescent="0.2">
      <c r="A3" s="250" t="s">
        <v>873</v>
      </c>
      <c r="B3" s="250"/>
      <c r="C3" s="250"/>
      <c r="D3" s="250"/>
      <c r="E3" s="250"/>
      <c r="F3" s="250"/>
      <c r="G3" s="250"/>
      <c r="H3" s="250"/>
      <c r="J3" s="75"/>
    </row>
    <row r="4" spans="1:18" s="28" customFormat="1" ht="30" x14ac:dyDescent="0.2">
      <c r="A4" s="161" t="s">
        <v>2</v>
      </c>
      <c r="B4" s="161" t="s">
        <v>3</v>
      </c>
      <c r="C4" s="161" t="s">
        <v>4</v>
      </c>
      <c r="D4" s="161" t="s">
        <v>5</v>
      </c>
      <c r="E4" s="161" t="s">
        <v>6</v>
      </c>
      <c r="F4" s="161" t="s">
        <v>7</v>
      </c>
      <c r="G4" s="161" t="s">
        <v>8</v>
      </c>
      <c r="H4" s="161" t="s">
        <v>872</v>
      </c>
      <c r="J4" s="75"/>
      <c r="P4"/>
      <c r="Q4"/>
      <c r="R4"/>
    </row>
    <row r="5" spans="1:18" ht="14.1" customHeight="1" x14ac:dyDescent="0.2">
      <c r="A5" s="162"/>
      <c r="B5" s="162"/>
      <c r="C5" s="163" t="s">
        <v>9</v>
      </c>
      <c r="D5" s="162"/>
      <c r="E5" s="162"/>
      <c r="F5" s="162"/>
      <c r="G5" s="162"/>
      <c r="H5" s="162"/>
      <c r="J5" s="75"/>
    </row>
    <row r="6" spans="1:18" ht="24" customHeight="1" x14ac:dyDescent="0.2">
      <c r="A6" s="162"/>
      <c r="B6" s="162"/>
      <c r="C6" s="163" t="s">
        <v>10</v>
      </c>
      <c r="D6" s="162"/>
      <c r="E6" s="162"/>
      <c r="F6" s="162"/>
      <c r="G6" s="162"/>
      <c r="H6" s="162"/>
      <c r="J6" s="75"/>
    </row>
    <row r="7" spans="1:18" ht="17.100000000000001" customHeight="1" x14ac:dyDescent="0.2">
      <c r="A7" s="164">
        <v>1</v>
      </c>
      <c r="B7" s="165" t="s">
        <v>34</v>
      </c>
      <c r="C7" s="165" t="s">
        <v>35</v>
      </c>
      <c r="D7" s="165" t="s">
        <v>36</v>
      </c>
      <c r="E7" s="166">
        <v>3632</v>
      </c>
      <c r="F7" s="167">
        <v>163.87584000000001</v>
      </c>
      <c r="G7" s="168">
        <v>5.0125910000000003E-2</v>
      </c>
      <c r="H7" s="168"/>
      <c r="J7" s="75"/>
    </row>
    <row r="8" spans="1:18" ht="17.100000000000001" customHeight="1" x14ac:dyDescent="0.2">
      <c r="A8" s="164">
        <v>2</v>
      </c>
      <c r="B8" s="165" t="s">
        <v>93</v>
      </c>
      <c r="C8" s="165" t="s">
        <v>94</v>
      </c>
      <c r="D8" s="165" t="s">
        <v>36</v>
      </c>
      <c r="E8" s="166">
        <v>3930</v>
      </c>
      <c r="F8" s="167">
        <v>157.02708000000001</v>
      </c>
      <c r="G8" s="168">
        <v>4.8031030000000002E-2</v>
      </c>
      <c r="H8" s="168"/>
      <c r="J8" s="75"/>
    </row>
    <row r="9" spans="1:18" ht="17.100000000000001" customHeight="1" x14ac:dyDescent="0.2">
      <c r="A9" s="164">
        <v>3</v>
      </c>
      <c r="B9" s="165" t="s">
        <v>350</v>
      </c>
      <c r="C9" s="165" t="s">
        <v>351</v>
      </c>
      <c r="D9" s="165" t="s">
        <v>262</v>
      </c>
      <c r="E9" s="166">
        <v>3743</v>
      </c>
      <c r="F9" s="167">
        <v>153.79987</v>
      </c>
      <c r="G9" s="168">
        <v>4.70439E-2</v>
      </c>
      <c r="H9" s="168"/>
      <c r="J9" s="75"/>
    </row>
    <row r="10" spans="1:18" ht="17.100000000000001" customHeight="1" x14ac:dyDescent="0.2">
      <c r="A10" s="164">
        <v>4</v>
      </c>
      <c r="B10" s="165" t="s">
        <v>460</v>
      </c>
      <c r="C10" s="165" t="s">
        <v>461</v>
      </c>
      <c r="D10" s="165" t="s">
        <v>75</v>
      </c>
      <c r="E10" s="166">
        <v>6658</v>
      </c>
      <c r="F10" s="167">
        <v>140.720159</v>
      </c>
      <c r="G10" s="168">
        <v>4.3043119999999997E-2</v>
      </c>
      <c r="H10" s="168"/>
      <c r="J10" s="75"/>
    </row>
    <row r="11" spans="1:18" ht="17.100000000000001" customHeight="1" x14ac:dyDescent="0.2">
      <c r="A11" s="164">
        <v>5</v>
      </c>
      <c r="B11" s="165" t="s">
        <v>78</v>
      </c>
      <c r="C11" s="165" t="s">
        <v>79</v>
      </c>
      <c r="D11" s="165" t="s">
        <v>80</v>
      </c>
      <c r="E11" s="166">
        <v>13587</v>
      </c>
      <c r="F11" s="167">
        <v>140.34012300000001</v>
      </c>
      <c r="G11" s="168">
        <v>4.2926869999999999E-2</v>
      </c>
      <c r="H11" s="168"/>
      <c r="J11" s="75"/>
    </row>
    <row r="12" spans="1:18" ht="17.100000000000001" customHeight="1" x14ac:dyDescent="0.2">
      <c r="A12" s="164">
        <v>6</v>
      </c>
      <c r="B12" s="165" t="s">
        <v>462</v>
      </c>
      <c r="C12" s="165" t="s">
        <v>463</v>
      </c>
      <c r="D12" s="165" t="s">
        <v>39</v>
      </c>
      <c r="E12" s="166">
        <v>141618</v>
      </c>
      <c r="F12" s="167">
        <v>137.440269</v>
      </c>
      <c r="G12" s="168">
        <v>4.203987E-2</v>
      </c>
      <c r="H12" s="168"/>
      <c r="J12" s="71"/>
    </row>
    <row r="13" spans="1:18" ht="17.100000000000001" customHeight="1" x14ac:dyDescent="0.2">
      <c r="A13" s="164">
        <v>7</v>
      </c>
      <c r="B13" s="165" t="s">
        <v>470</v>
      </c>
      <c r="C13" s="165" t="s">
        <v>471</v>
      </c>
      <c r="D13" s="165" t="s">
        <v>262</v>
      </c>
      <c r="E13" s="166">
        <v>4435</v>
      </c>
      <c r="F13" s="167">
        <v>123.58571000000001</v>
      </c>
      <c r="G13" s="168">
        <v>3.780207E-2</v>
      </c>
      <c r="H13" s="168"/>
      <c r="J13" s="75"/>
    </row>
    <row r="14" spans="1:18" ht="17.100000000000001" customHeight="1" x14ac:dyDescent="0.2">
      <c r="A14" s="164">
        <v>8</v>
      </c>
      <c r="B14" s="165" t="s">
        <v>147</v>
      </c>
      <c r="C14" s="165" t="s">
        <v>148</v>
      </c>
      <c r="D14" s="165" t="s">
        <v>75</v>
      </c>
      <c r="E14" s="166">
        <v>36188</v>
      </c>
      <c r="F14" s="167">
        <v>114.281704</v>
      </c>
      <c r="G14" s="168">
        <v>3.4956189999999998E-2</v>
      </c>
      <c r="H14" s="168"/>
      <c r="J14" s="75" t="s">
        <v>901</v>
      </c>
    </row>
    <row r="15" spans="1:18" ht="17.100000000000001" customHeight="1" x14ac:dyDescent="0.2">
      <c r="A15" s="164">
        <v>9</v>
      </c>
      <c r="B15" s="165" t="s">
        <v>474</v>
      </c>
      <c r="C15" s="165" t="s">
        <v>475</v>
      </c>
      <c r="D15" s="165" t="s">
        <v>276</v>
      </c>
      <c r="E15" s="166">
        <v>31050</v>
      </c>
      <c r="F15" s="167">
        <v>103.24124999999999</v>
      </c>
      <c r="G15" s="168">
        <v>3.1579160000000002E-2</v>
      </c>
      <c r="H15" s="168"/>
      <c r="J15" s="75"/>
    </row>
    <row r="16" spans="1:18" ht="17.100000000000001" customHeight="1" x14ac:dyDescent="0.2">
      <c r="A16" s="164">
        <v>10</v>
      </c>
      <c r="B16" s="165" t="s">
        <v>468</v>
      </c>
      <c r="C16" s="165" t="s">
        <v>469</v>
      </c>
      <c r="D16" s="165" t="s">
        <v>53</v>
      </c>
      <c r="E16" s="166">
        <v>17805</v>
      </c>
      <c r="F16" s="167">
        <v>102.2808225</v>
      </c>
      <c r="G16" s="168">
        <v>3.1285390000000003E-2</v>
      </c>
      <c r="H16" s="168"/>
      <c r="J16" s="75"/>
    </row>
    <row r="17" spans="1:10" ht="17.100000000000001" customHeight="1" x14ac:dyDescent="0.2">
      <c r="A17" s="164">
        <v>11</v>
      </c>
      <c r="B17" s="165" t="s">
        <v>478</v>
      </c>
      <c r="C17" s="165" t="s">
        <v>479</v>
      </c>
      <c r="D17" s="165" t="s">
        <v>53</v>
      </c>
      <c r="E17" s="166">
        <v>12229</v>
      </c>
      <c r="F17" s="167">
        <v>93.264468500000007</v>
      </c>
      <c r="G17" s="168">
        <v>2.8527489999999999E-2</v>
      </c>
      <c r="H17" s="168"/>
      <c r="J17" s="75"/>
    </row>
    <row r="18" spans="1:10" ht="17.100000000000001" customHeight="1" x14ac:dyDescent="0.2">
      <c r="A18" s="164">
        <v>12</v>
      </c>
      <c r="B18" s="165" t="s">
        <v>476</v>
      </c>
      <c r="C18" s="165" t="s">
        <v>477</v>
      </c>
      <c r="D18" s="165" t="s">
        <v>213</v>
      </c>
      <c r="E18" s="166">
        <v>24965</v>
      </c>
      <c r="F18" s="167">
        <v>91.384382500000001</v>
      </c>
      <c r="G18" s="168">
        <v>2.7952419999999999E-2</v>
      </c>
      <c r="H18" s="168"/>
      <c r="J18" s="75"/>
    </row>
    <row r="19" spans="1:10" ht="17.100000000000001" customHeight="1" x14ac:dyDescent="0.2">
      <c r="A19" s="164">
        <v>13</v>
      </c>
      <c r="B19" s="165" t="s">
        <v>464</v>
      </c>
      <c r="C19" s="165" t="s">
        <v>465</v>
      </c>
      <c r="D19" s="165" t="s">
        <v>13</v>
      </c>
      <c r="E19" s="166">
        <v>51989</v>
      </c>
      <c r="F19" s="167">
        <v>90.876772000000003</v>
      </c>
      <c r="G19" s="168">
        <v>2.779715E-2</v>
      </c>
      <c r="H19" s="168"/>
      <c r="J19" s="75"/>
    </row>
    <row r="20" spans="1:10" ht="17.100000000000001" customHeight="1" x14ac:dyDescent="0.2">
      <c r="A20" s="164">
        <v>14</v>
      </c>
      <c r="B20" s="165" t="s">
        <v>550</v>
      </c>
      <c r="C20" s="165" t="s">
        <v>551</v>
      </c>
      <c r="D20" s="165" t="s">
        <v>13</v>
      </c>
      <c r="E20" s="166">
        <v>6941</v>
      </c>
      <c r="F20" s="167">
        <v>85.072366500000001</v>
      </c>
      <c r="G20" s="168">
        <v>2.602171E-2</v>
      </c>
      <c r="H20" s="168"/>
      <c r="J20" s="75"/>
    </row>
    <row r="21" spans="1:10" ht="17.100000000000001" customHeight="1" x14ac:dyDescent="0.2">
      <c r="A21" s="164">
        <v>15</v>
      </c>
      <c r="B21" s="165" t="s">
        <v>519</v>
      </c>
      <c r="C21" s="165" t="s">
        <v>520</v>
      </c>
      <c r="D21" s="165" t="s">
        <v>242</v>
      </c>
      <c r="E21" s="166">
        <v>22186</v>
      </c>
      <c r="F21" s="167">
        <v>82.864710000000002</v>
      </c>
      <c r="G21" s="168">
        <v>2.5346440000000001E-2</v>
      </c>
      <c r="H21" s="168"/>
      <c r="J21" s="75"/>
    </row>
    <row r="22" spans="1:10" ht="17.100000000000001" customHeight="1" x14ac:dyDescent="0.2">
      <c r="A22" s="164">
        <v>16</v>
      </c>
      <c r="B22" s="165" t="s">
        <v>480</v>
      </c>
      <c r="C22" s="165" t="s">
        <v>481</v>
      </c>
      <c r="D22" s="165" t="s">
        <v>417</v>
      </c>
      <c r="E22" s="166">
        <v>5857</v>
      </c>
      <c r="F22" s="167">
        <v>79.722555499999999</v>
      </c>
      <c r="G22" s="168">
        <v>2.438533E-2</v>
      </c>
      <c r="H22" s="168"/>
      <c r="J22" s="71"/>
    </row>
    <row r="23" spans="1:10" ht="17.100000000000001" customHeight="1" x14ac:dyDescent="0.2">
      <c r="A23" s="164">
        <v>17</v>
      </c>
      <c r="B23" s="165" t="s">
        <v>482</v>
      </c>
      <c r="C23" s="165" t="s">
        <v>483</v>
      </c>
      <c r="D23" s="165" t="s">
        <v>242</v>
      </c>
      <c r="E23" s="166">
        <v>5601</v>
      </c>
      <c r="F23" s="167">
        <v>79.691028000000003</v>
      </c>
      <c r="G23" s="168">
        <v>2.437568E-2</v>
      </c>
      <c r="H23" s="168"/>
      <c r="J23" s="75"/>
    </row>
    <row r="24" spans="1:10" ht="17.100000000000001" customHeight="1" x14ac:dyDescent="0.2">
      <c r="A24" s="164">
        <v>18</v>
      </c>
      <c r="B24" s="165" t="s">
        <v>488</v>
      </c>
      <c r="C24" s="165" t="s">
        <v>489</v>
      </c>
      <c r="D24" s="165" t="s">
        <v>242</v>
      </c>
      <c r="E24" s="166">
        <v>8090</v>
      </c>
      <c r="F24" s="167">
        <v>68.603200000000001</v>
      </c>
      <c r="G24" s="168">
        <v>2.098417E-2</v>
      </c>
      <c r="H24" s="168"/>
      <c r="J24" s="75"/>
    </row>
    <row r="25" spans="1:10" ht="29.1" customHeight="1" x14ac:dyDescent="0.2">
      <c r="A25" s="164">
        <v>19</v>
      </c>
      <c r="B25" s="165" t="s">
        <v>286</v>
      </c>
      <c r="C25" s="165" t="s">
        <v>287</v>
      </c>
      <c r="D25" s="165" t="s">
        <v>216</v>
      </c>
      <c r="E25" s="166">
        <v>15078</v>
      </c>
      <c r="F25" s="167">
        <v>67.850999999999999</v>
      </c>
      <c r="G25" s="168">
        <v>2.0754089999999999E-2</v>
      </c>
      <c r="H25" s="168"/>
      <c r="J25" s="75"/>
    </row>
    <row r="26" spans="1:10" ht="17.100000000000001" customHeight="1" x14ac:dyDescent="0.2">
      <c r="A26" s="164">
        <v>20</v>
      </c>
      <c r="B26" s="165" t="s">
        <v>71</v>
      </c>
      <c r="C26" s="165" t="s">
        <v>72</v>
      </c>
      <c r="D26" s="165" t="s">
        <v>36</v>
      </c>
      <c r="E26" s="166">
        <v>3026</v>
      </c>
      <c r="F26" s="167">
        <v>64.352429000000001</v>
      </c>
      <c r="G26" s="168">
        <v>1.9683949999999999E-2</v>
      </c>
      <c r="H26" s="168"/>
      <c r="J26" s="75"/>
    </row>
    <row r="27" spans="1:10" ht="29.1" customHeight="1" x14ac:dyDescent="0.2">
      <c r="A27" s="164">
        <v>21</v>
      </c>
      <c r="B27" s="165" t="s">
        <v>314</v>
      </c>
      <c r="C27" s="165" t="s">
        <v>315</v>
      </c>
      <c r="D27" s="165" t="s">
        <v>316</v>
      </c>
      <c r="E27" s="166">
        <v>1852</v>
      </c>
      <c r="F27" s="167">
        <v>63.324509999999997</v>
      </c>
      <c r="G27" s="168">
        <v>1.9369540000000001E-2</v>
      </c>
      <c r="H27" s="168"/>
      <c r="J27" s="75"/>
    </row>
    <row r="28" spans="1:10" ht="17.100000000000001" customHeight="1" x14ac:dyDescent="0.2">
      <c r="A28" s="164">
        <v>22</v>
      </c>
      <c r="B28" s="165" t="s">
        <v>497</v>
      </c>
      <c r="C28" s="165" t="s">
        <v>498</v>
      </c>
      <c r="D28" s="165" t="s">
        <v>75</v>
      </c>
      <c r="E28" s="166">
        <v>9198</v>
      </c>
      <c r="F28" s="167">
        <v>58.623452999999998</v>
      </c>
      <c r="G28" s="168">
        <v>1.7931590000000001E-2</v>
      </c>
      <c r="H28" s="168"/>
      <c r="J28" s="75"/>
    </row>
    <row r="29" spans="1:10" ht="29.1" customHeight="1" x14ac:dyDescent="0.2">
      <c r="A29" s="164">
        <v>23</v>
      </c>
      <c r="B29" s="165" t="s">
        <v>492</v>
      </c>
      <c r="C29" s="165" t="s">
        <v>493</v>
      </c>
      <c r="D29" s="165" t="s">
        <v>70</v>
      </c>
      <c r="E29" s="166">
        <v>2217</v>
      </c>
      <c r="F29" s="167">
        <v>55.665544500000003</v>
      </c>
      <c r="G29" s="168">
        <v>1.702683E-2</v>
      </c>
      <c r="H29" s="168"/>
      <c r="J29" s="75"/>
    </row>
    <row r="30" spans="1:10" ht="17.100000000000001" customHeight="1" x14ac:dyDescent="0.2">
      <c r="A30" s="164">
        <v>24</v>
      </c>
      <c r="B30" s="165" t="s">
        <v>505</v>
      </c>
      <c r="C30" s="165" t="s">
        <v>506</v>
      </c>
      <c r="D30" s="165" t="s">
        <v>53</v>
      </c>
      <c r="E30" s="166">
        <v>6095</v>
      </c>
      <c r="F30" s="167">
        <v>55.619922500000001</v>
      </c>
      <c r="G30" s="168">
        <v>1.7012880000000001E-2</v>
      </c>
      <c r="H30" s="168"/>
      <c r="J30" s="75"/>
    </row>
    <row r="31" spans="1:10" ht="17.100000000000001" customHeight="1" x14ac:dyDescent="0.2">
      <c r="A31" s="164">
        <v>25</v>
      </c>
      <c r="B31" s="165" t="s">
        <v>238</v>
      </c>
      <c r="C31" s="165" t="s">
        <v>239</v>
      </c>
      <c r="D31" s="165" t="s">
        <v>104</v>
      </c>
      <c r="E31" s="166">
        <v>601</v>
      </c>
      <c r="F31" s="167">
        <v>52.220889999999997</v>
      </c>
      <c r="G31" s="168">
        <v>1.5973190000000002E-2</v>
      </c>
      <c r="H31" s="168"/>
      <c r="J31" s="75"/>
    </row>
    <row r="32" spans="1:10" ht="17.100000000000001" customHeight="1" x14ac:dyDescent="0.2">
      <c r="A32" s="164">
        <v>26</v>
      </c>
      <c r="B32" s="165" t="s">
        <v>494</v>
      </c>
      <c r="C32" s="165" t="s">
        <v>495</v>
      </c>
      <c r="D32" s="165" t="s">
        <v>496</v>
      </c>
      <c r="E32" s="166">
        <v>4552</v>
      </c>
      <c r="F32" s="167">
        <v>50.982399999999998</v>
      </c>
      <c r="G32" s="168">
        <v>1.559436E-2</v>
      </c>
      <c r="H32" s="168"/>
      <c r="J32" s="75"/>
    </row>
    <row r="33" spans="1:10" ht="29.1" customHeight="1" x14ac:dyDescent="0.2">
      <c r="A33" s="164">
        <v>27</v>
      </c>
      <c r="B33" s="165" t="s">
        <v>123</v>
      </c>
      <c r="C33" s="165" t="s">
        <v>124</v>
      </c>
      <c r="D33" s="165" t="s">
        <v>25</v>
      </c>
      <c r="E33" s="166">
        <v>1255</v>
      </c>
      <c r="F33" s="167">
        <v>50.193725000000001</v>
      </c>
      <c r="G33" s="168">
        <v>1.535313E-2</v>
      </c>
      <c r="H33" s="168"/>
      <c r="J33" s="75"/>
    </row>
    <row r="34" spans="1:10" ht="17.100000000000001" customHeight="1" x14ac:dyDescent="0.2">
      <c r="A34" s="164">
        <v>28</v>
      </c>
      <c r="B34" s="165" t="s">
        <v>484</v>
      </c>
      <c r="C34" s="165" t="s">
        <v>485</v>
      </c>
      <c r="D34" s="165" t="s">
        <v>53</v>
      </c>
      <c r="E34" s="166">
        <v>38726</v>
      </c>
      <c r="F34" s="167">
        <v>47.129542000000001</v>
      </c>
      <c r="G34" s="168">
        <v>1.4415860000000001E-2</v>
      </c>
      <c r="H34" s="168"/>
      <c r="J34" s="75"/>
    </row>
    <row r="35" spans="1:10" ht="29.1" customHeight="1" x14ac:dyDescent="0.2">
      <c r="A35" s="164">
        <v>29</v>
      </c>
      <c r="B35" s="165" t="s">
        <v>554</v>
      </c>
      <c r="C35" s="165" t="s">
        <v>555</v>
      </c>
      <c r="D35" s="165" t="s">
        <v>556</v>
      </c>
      <c r="E35" s="166">
        <v>9388</v>
      </c>
      <c r="F35" s="167">
        <v>43.874817999999998</v>
      </c>
      <c r="G35" s="168">
        <v>1.3420319999999999E-2</v>
      </c>
      <c r="H35" s="168"/>
      <c r="J35" s="75"/>
    </row>
    <row r="36" spans="1:10" ht="17.100000000000001" customHeight="1" x14ac:dyDescent="0.2">
      <c r="A36" s="164">
        <v>30</v>
      </c>
      <c r="B36" s="165" t="s">
        <v>509</v>
      </c>
      <c r="C36" s="165" t="s">
        <v>510</v>
      </c>
      <c r="D36" s="165" t="s">
        <v>75</v>
      </c>
      <c r="E36" s="166">
        <v>9015</v>
      </c>
      <c r="F36" s="167">
        <v>40.995712500000003</v>
      </c>
      <c r="G36" s="168">
        <v>1.2539659999999999E-2</v>
      </c>
      <c r="H36" s="168"/>
      <c r="J36" s="75"/>
    </row>
    <row r="37" spans="1:10" ht="17.100000000000001" customHeight="1" x14ac:dyDescent="0.2">
      <c r="A37" s="164">
        <v>31</v>
      </c>
      <c r="B37" s="165" t="s">
        <v>528</v>
      </c>
      <c r="C37" s="165" t="s">
        <v>529</v>
      </c>
      <c r="D37" s="165" t="s">
        <v>39</v>
      </c>
      <c r="E37" s="166">
        <v>10993</v>
      </c>
      <c r="F37" s="167">
        <v>40.9874005</v>
      </c>
      <c r="G37" s="168">
        <v>1.2537120000000001E-2</v>
      </c>
      <c r="H37" s="168"/>
      <c r="J37" s="75"/>
    </row>
    <row r="38" spans="1:10" ht="17.100000000000001" customHeight="1" x14ac:dyDescent="0.2">
      <c r="A38" s="164">
        <v>32</v>
      </c>
      <c r="B38" s="165" t="s">
        <v>499</v>
      </c>
      <c r="C38" s="165" t="s">
        <v>500</v>
      </c>
      <c r="D38" s="165" t="s">
        <v>75</v>
      </c>
      <c r="E38" s="166">
        <v>4636</v>
      </c>
      <c r="F38" s="167">
        <v>38.858952000000002</v>
      </c>
      <c r="G38" s="168">
        <v>1.188608E-2</v>
      </c>
      <c r="H38" s="168"/>
      <c r="J38" s="75"/>
    </row>
    <row r="39" spans="1:10" ht="29.1" customHeight="1" x14ac:dyDescent="0.2">
      <c r="A39" s="164">
        <v>33</v>
      </c>
      <c r="B39" s="165" t="s">
        <v>552</v>
      </c>
      <c r="C39" s="165" t="s">
        <v>553</v>
      </c>
      <c r="D39" s="165" t="s">
        <v>414</v>
      </c>
      <c r="E39" s="166">
        <v>6151</v>
      </c>
      <c r="F39" s="167">
        <v>36.3862405</v>
      </c>
      <c r="G39" s="168">
        <v>1.1129729999999999E-2</v>
      </c>
      <c r="H39" s="168"/>
      <c r="J39" s="75"/>
    </row>
    <row r="40" spans="1:10" ht="17.100000000000001" customHeight="1" x14ac:dyDescent="0.2">
      <c r="A40" s="164">
        <v>34</v>
      </c>
      <c r="B40" s="165" t="s">
        <v>294</v>
      </c>
      <c r="C40" s="165" t="s">
        <v>295</v>
      </c>
      <c r="D40" s="165" t="s">
        <v>53</v>
      </c>
      <c r="E40" s="166">
        <v>3287</v>
      </c>
      <c r="F40" s="167">
        <v>35.394416</v>
      </c>
      <c r="G40" s="168">
        <v>1.082635E-2</v>
      </c>
      <c r="H40" s="168"/>
      <c r="J40" s="75"/>
    </row>
    <row r="41" spans="1:10" ht="17.100000000000001" customHeight="1" x14ac:dyDescent="0.2">
      <c r="A41" s="164">
        <v>35</v>
      </c>
      <c r="B41" s="165" t="s">
        <v>365</v>
      </c>
      <c r="C41" s="165" t="s">
        <v>366</v>
      </c>
      <c r="D41" s="165" t="s">
        <v>114</v>
      </c>
      <c r="E41" s="166">
        <v>19513</v>
      </c>
      <c r="F41" s="167">
        <v>32.196449999999999</v>
      </c>
      <c r="G41" s="168">
        <v>9.8481699999999998E-3</v>
      </c>
      <c r="H41" s="168"/>
      <c r="J41" s="75"/>
    </row>
    <row r="42" spans="1:10" ht="29.1" customHeight="1" x14ac:dyDescent="0.2">
      <c r="A42" s="164">
        <v>36</v>
      </c>
      <c r="B42" s="165" t="s">
        <v>557</v>
      </c>
      <c r="C42" s="165" t="s">
        <v>558</v>
      </c>
      <c r="D42" s="165" t="s">
        <v>75</v>
      </c>
      <c r="E42" s="166">
        <v>2262</v>
      </c>
      <c r="F42" s="167">
        <v>28.626740999999999</v>
      </c>
      <c r="G42" s="168">
        <v>8.75627E-3</v>
      </c>
      <c r="H42" s="168"/>
      <c r="J42" s="75"/>
    </row>
    <row r="43" spans="1:10" ht="29.1" customHeight="1" x14ac:dyDescent="0.2">
      <c r="A43" s="164">
        <v>37</v>
      </c>
      <c r="B43" s="165" t="s">
        <v>511</v>
      </c>
      <c r="C43" s="165" t="s">
        <v>512</v>
      </c>
      <c r="D43" s="165" t="s">
        <v>216</v>
      </c>
      <c r="E43" s="166">
        <v>536</v>
      </c>
      <c r="F43" s="167">
        <v>26.316528000000002</v>
      </c>
      <c r="G43" s="168">
        <v>8.0496300000000003E-3</v>
      </c>
      <c r="H43" s="168"/>
      <c r="J43" s="75"/>
    </row>
    <row r="44" spans="1:10" ht="17.100000000000001" customHeight="1" x14ac:dyDescent="0.2">
      <c r="A44" s="164">
        <v>38</v>
      </c>
      <c r="B44" s="165" t="s">
        <v>139</v>
      </c>
      <c r="C44" s="165" t="s">
        <v>140</v>
      </c>
      <c r="D44" s="165" t="s">
        <v>36</v>
      </c>
      <c r="E44" s="166">
        <v>3949</v>
      </c>
      <c r="F44" s="167">
        <v>25.678372499999998</v>
      </c>
      <c r="G44" s="168">
        <v>7.8544300000000008E-3</v>
      </c>
      <c r="H44" s="168"/>
      <c r="J44" s="75"/>
    </row>
    <row r="45" spans="1:10" ht="17.100000000000001" customHeight="1" x14ac:dyDescent="0.2">
      <c r="A45" s="164">
        <v>39</v>
      </c>
      <c r="B45" s="165" t="s">
        <v>515</v>
      </c>
      <c r="C45" s="165" t="s">
        <v>516</v>
      </c>
      <c r="D45" s="165" t="s">
        <v>104</v>
      </c>
      <c r="E45" s="166">
        <v>2121</v>
      </c>
      <c r="F45" s="167">
        <v>24.4180125</v>
      </c>
      <c r="G45" s="168">
        <v>7.4689200000000004E-3</v>
      </c>
      <c r="H45" s="168"/>
      <c r="J45" s="75"/>
    </row>
    <row r="46" spans="1:10" ht="29.1" customHeight="1" x14ac:dyDescent="0.2">
      <c r="A46" s="164">
        <v>40</v>
      </c>
      <c r="B46" s="165" t="s">
        <v>523</v>
      </c>
      <c r="C46" s="165" t="s">
        <v>524</v>
      </c>
      <c r="D46" s="165" t="s">
        <v>216</v>
      </c>
      <c r="E46" s="166">
        <v>6058</v>
      </c>
      <c r="F46" s="167">
        <v>19.806630999999999</v>
      </c>
      <c r="G46" s="168">
        <v>6.0584000000000002E-3</v>
      </c>
      <c r="H46" s="168"/>
      <c r="J46" s="75"/>
    </row>
    <row r="47" spans="1:10" ht="29.1" customHeight="1" x14ac:dyDescent="0.2">
      <c r="A47" s="164">
        <v>41</v>
      </c>
      <c r="B47" s="165" t="s">
        <v>521</v>
      </c>
      <c r="C47" s="165" t="s">
        <v>522</v>
      </c>
      <c r="D47" s="165" t="s">
        <v>75</v>
      </c>
      <c r="E47" s="166">
        <v>6110</v>
      </c>
      <c r="F47" s="167">
        <v>19.454239999999999</v>
      </c>
      <c r="G47" s="168">
        <v>5.9506100000000003E-3</v>
      </c>
      <c r="H47" s="168"/>
      <c r="J47" s="75"/>
    </row>
    <row r="48" spans="1:10" ht="17.100000000000001" customHeight="1" x14ac:dyDescent="0.2">
      <c r="A48" s="164">
        <v>42</v>
      </c>
      <c r="B48" s="165" t="s">
        <v>513</v>
      </c>
      <c r="C48" s="165" t="s">
        <v>514</v>
      </c>
      <c r="D48" s="165" t="s">
        <v>393</v>
      </c>
      <c r="E48" s="166">
        <v>1858</v>
      </c>
      <c r="F48" s="167">
        <v>18.132221999999999</v>
      </c>
      <c r="G48" s="168">
        <v>5.54624E-3</v>
      </c>
      <c r="H48" s="168"/>
      <c r="J48" s="75"/>
    </row>
    <row r="49" spans="1:10" ht="29.1" customHeight="1" x14ac:dyDescent="0.2">
      <c r="A49" s="164">
        <v>43</v>
      </c>
      <c r="B49" s="165" t="s">
        <v>501</v>
      </c>
      <c r="C49" s="165" t="s">
        <v>502</v>
      </c>
      <c r="D49" s="165" t="s">
        <v>221</v>
      </c>
      <c r="E49" s="166">
        <v>2505</v>
      </c>
      <c r="F49" s="167">
        <v>15.493425</v>
      </c>
      <c r="G49" s="168">
        <v>4.7390899999999996E-3</v>
      </c>
      <c r="H49" s="168"/>
      <c r="J49" s="75"/>
    </row>
    <row r="50" spans="1:10" ht="29.1" customHeight="1" x14ac:dyDescent="0.2">
      <c r="A50" s="164">
        <v>44</v>
      </c>
      <c r="B50" s="165" t="s">
        <v>525</v>
      </c>
      <c r="C50" s="165" t="s">
        <v>526</v>
      </c>
      <c r="D50" s="165" t="s">
        <v>527</v>
      </c>
      <c r="E50" s="166">
        <v>7979</v>
      </c>
      <c r="F50" s="167">
        <v>11.737109</v>
      </c>
      <c r="G50" s="168">
        <v>3.59012E-3</v>
      </c>
      <c r="H50" s="168"/>
      <c r="J50" s="75"/>
    </row>
    <row r="51" spans="1:10" ht="17.100000000000001" customHeight="1" x14ac:dyDescent="0.2">
      <c r="A51" s="164">
        <v>45</v>
      </c>
      <c r="B51" s="165" t="s">
        <v>517</v>
      </c>
      <c r="C51" s="165" t="s">
        <v>518</v>
      </c>
      <c r="D51" s="165" t="s">
        <v>36</v>
      </c>
      <c r="E51" s="166">
        <v>601</v>
      </c>
      <c r="F51" s="167">
        <v>9.9492545000000003</v>
      </c>
      <c r="G51" s="168">
        <v>3.0432499999999999E-3</v>
      </c>
      <c r="H51" s="168"/>
      <c r="J51" s="75"/>
    </row>
    <row r="52" spans="1:10" ht="14.1" customHeight="1" x14ac:dyDescent="0.2">
      <c r="A52" s="162"/>
      <c r="B52" s="162"/>
      <c r="C52" s="163" t="s">
        <v>152</v>
      </c>
      <c r="D52" s="162"/>
      <c r="E52" s="162" t="s">
        <v>153</v>
      </c>
      <c r="F52" s="169">
        <v>3042.3422515000002</v>
      </c>
      <c r="G52" s="170">
        <v>0.93058370999999995</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154</v>
      </c>
      <c r="D54" s="162"/>
      <c r="E54" s="162"/>
      <c r="F54" s="162"/>
      <c r="G54" s="162"/>
      <c r="H54" s="16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4.1" customHeight="1" x14ac:dyDescent="0.2">
      <c r="A57" s="162"/>
      <c r="B57" s="162"/>
      <c r="C57" s="163" t="s">
        <v>156</v>
      </c>
      <c r="D57" s="162"/>
      <c r="E57" s="162"/>
      <c r="F57" s="162"/>
      <c r="G57" s="162"/>
      <c r="H57" s="162"/>
      <c r="J57" s="75"/>
    </row>
    <row r="58" spans="1:10" ht="14.1" customHeight="1" x14ac:dyDescent="0.2">
      <c r="A58" s="162"/>
      <c r="B58" s="162"/>
      <c r="C58" s="163" t="s">
        <v>152</v>
      </c>
      <c r="D58" s="162"/>
      <c r="E58" s="162" t="s">
        <v>153</v>
      </c>
      <c r="F58" s="173" t="s">
        <v>155</v>
      </c>
      <c r="G58" s="170">
        <v>0</v>
      </c>
      <c r="H58" s="170"/>
      <c r="J58" s="75"/>
    </row>
    <row r="59" spans="1:10" ht="14.1" customHeight="1" x14ac:dyDescent="0.2">
      <c r="A59" s="162"/>
      <c r="B59" s="162"/>
      <c r="C59" s="171"/>
      <c r="D59" s="162"/>
      <c r="E59" s="162"/>
      <c r="F59" s="172"/>
      <c r="G59" s="172"/>
      <c r="H59" s="172"/>
      <c r="J59" s="75"/>
    </row>
    <row r="60" spans="1:10" ht="14.1" customHeight="1" x14ac:dyDescent="0.2">
      <c r="A60" s="162"/>
      <c r="B60" s="162"/>
      <c r="C60" s="163" t="s">
        <v>157</v>
      </c>
      <c r="D60" s="162"/>
      <c r="E60" s="162"/>
      <c r="F60" s="162"/>
      <c r="G60" s="162"/>
      <c r="H60" s="162"/>
      <c r="J60" s="75"/>
    </row>
    <row r="61" spans="1:10" ht="29.1" customHeight="1" x14ac:dyDescent="0.2">
      <c r="A61" s="164">
        <v>1</v>
      </c>
      <c r="B61" s="165" t="s">
        <v>329</v>
      </c>
      <c r="C61" s="165" t="s">
        <v>1202</v>
      </c>
      <c r="D61" s="165" t="s">
        <v>36</v>
      </c>
      <c r="E61" s="166">
        <v>69</v>
      </c>
      <c r="F61" s="167">
        <v>6.9023460000000002E-3</v>
      </c>
      <c r="G61" s="168" t="s">
        <v>151</v>
      </c>
      <c r="H61" s="168"/>
      <c r="J61" s="75"/>
    </row>
    <row r="62" spans="1:10" ht="14.1" customHeight="1" x14ac:dyDescent="0.2">
      <c r="A62" s="162"/>
      <c r="B62" s="162"/>
      <c r="C62" s="163" t="s">
        <v>152</v>
      </c>
      <c r="D62" s="162"/>
      <c r="E62" s="162" t="s">
        <v>153</v>
      </c>
      <c r="F62" s="169">
        <v>6.9023460000000002E-3</v>
      </c>
      <c r="G62" s="170">
        <v>2.1100000000000001E-6</v>
      </c>
      <c r="H62" s="170"/>
      <c r="J62" s="75"/>
    </row>
    <row r="63" spans="1:10" ht="14.1" customHeight="1" x14ac:dyDescent="0.2">
      <c r="A63" s="162"/>
      <c r="B63" s="162"/>
      <c r="C63" s="171"/>
      <c r="D63" s="162"/>
      <c r="E63" s="162"/>
      <c r="F63" s="172"/>
      <c r="G63" s="172"/>
      <c r="H63" s="172"/>
      <c r="J63" s="75"/>
    </row>
    <row r="64" spans="1:10" ht="14.1" customHeight="1" x14ac:dyDescent="0.2">
      <c r="A64" s="162"/>
      <c r="B64" s="162"/>
      <c r="C64" s="163" t="s">
        <v>158</v>
      </c>
      <c r="D64" s="162"/>
      <c r="E64" s="162"/>
      <c r="F64" s="172"/>
      <c r="G64" s="172"/>
      <c r="H64" s="172"/>
      <c r="J64" s="75"/>
    </row>
    <row r="65" spans="1:10" ht="14.1" customHeight="1" x14ac:dyDescent="0.2">
      <c r="A65" s="162"/>
      <c r="B65" s="162"/>
      <c r="C65" s="163" t="s">
        <v>152</v>
      </c>
      <c r="D65" s="162"/>
      <c r="E65" s="162" t="s">
        <v>153</v>
      </c>
      <c r="F65" s="173" t="s">
        <v>155</v>
      </c>
      <c r="G65" s="170">
        <v>0</v>
      </c>
      <c r="H65" s="170"/>
      <c r="J65" s="75"/>
    </row>
    <row r="66" spans="1:10" ht="14.1" customHeight="1" x14ac:dyDescent="0.2">
      <c r="A66" s="162"/>
      <c r="B66" s="162"/>
      <c r="C66" s="171"/>
      <c r="D66" s="162"/>
      <c r="E66" s="162"/>
      <c r="F66" s="172"/>
      <c r="G66" s="172"/>
      <c r="H66" s="172"/>
      <c r="J66" s="75"/>
    </row>
    <row r="67" spans="1:10" ht="14.1" customHeight="1" x14ac:dyDescent="0.2">
      <c r="A67" s="162"/>
      <c r="B67" s="162"/>
      <c r="C67" s="163" t="s">
        <v>159</v>
      </c>
      <c r="D67" s="162"/>
      <c r="E67" s="162"/>
      <c r="F67" s="172"/>
      <c r="G67" s="172"/>
      <c r="H67" s="172"/>
      <c r="J67" s="75"/>
    </row>
    <row r="68" spans="1:10" ht="14.1" customHeight="1" x14ac:dyDescent="0.2">
      <c r="A68" s="162"/>
      <c r="B68" s="162"/>
      <c r="C68" s="163" t="s">
        <v>152</v>
      </c>
      <c r="D68" s="162"/>
      <c r="E68" s="162" t="s">
        <v>153</v>
      </c>
      <c r="F68" s="173" t="s">
        <v>155</v>
      </c>
      <c r="G68" s="170">
        <v>0</v>
      </c>
      <c r="H68" s="170"/>
      <c r="J68" s="75"/>
    </row>
    <row r="69" spans="1:10" ht="14.1" customHeight="1" x14ac:dyDescent="0.2">
      <c r="A69" s="162"/>
      <c r="B69" s="162"/>
      <c r="C69" s="171"/>
      <c r="D69" s="162"/>
      <c r="E69" s="162"/>
      <c r="F69" s="172"/>
      <c r="G69" s="172"/>
      <c r="H69" s="172"/>
      <c r="J69" s="75"/>
    </row>
    <row r="70" spans="1:10" ht="18" customHeight="1" x14ac:dyDescent="0.2">
      <c r="A70" s="162"/>
      <c r="B70" s="162"/>
      <c r="C70" s="163" t="s">
        <v>160</v>
      </c>
      <c r="D70" s="162"/>
      <c r="E70" s="162"/>
      <c r="F70" s="169">
        <v>3042.3491538459998</v>
      </c>
      <c r="G70" s="170">
        <v>0.93058582000000001</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161</v>
      </c>
      <c r="D72" s="162"/>
      <c r="E72" s="162"/>
      <c r="F72" s="172"/>
      <c r="G72" s="172"/>
      <c r="H72" s="172"/>
      <c r="J72" s="75"/>
    </row>
    <row r="73" spans="1:10" ht="24" customHeight="1" x14ac:dyDescent="0.2">
      <c r="A73" s="162"/>
      <c r="B73" s="162"/>
      <c r="C73" s="163" t="s">
        <v>10</v>
      </c>
      <c r="D73" s="162"/>
      <c r="E73" s="162"/>
      <c r="F73" s="172"/>
      <c r="G73" s="172"/>
      <c r="H73" s="172"/>
      <c r="J73" s="75"/>
    </row>
    <row r="74" spans="1:10" ht="14.1" customHeight="1" x14ac:dyDescent="0.2">
      <c r="A74" s="162"/>
      <c r="B74" s="162"/>
      <c r="C74" s="163" t="s">
        <v>152</v>
      </c>
      <c r="D74" s="162"/>
      <c r="E74" s="162" t="s">
        <v>153</v>
      </c>
      <c r="F74" s="173" t="s">
        <v>155</v>
      </c>
      <c r="G74" s="170">
        <v>0</v>
      </c>
      <c r="H74" s="170"/>
      <c r="J74" s="75"/>
    </row>
    <row r="75" spans="1:10" ht="14.1" customHeight="1" x14ac:dyDescent="0.2">
      <c r="A75" s="162"/>
      <c r="B75" s="162"/>
      <c r="C75" s="171"/>
      <c r="D75" s="162"/>
      <c r="E75" s="162"/>
      <c r="F75" s="172"/>
      <c r="G75" s="172"/>
      <c r="H75" s="172"/>
      <c r="J75" s="75"/>
    </row>
    <row r="76" spans="1:10" ht="14.1" customHeight="1" x14ac:dyDescent="0.2">
      <c r="A76" s="162"/>
      <c r="B76" s="162"/>
      <c r="C76" s="163" t="s">
        <v>162</v>
      </c>
      <c r="D76" s="162"/>
      <c r="E76" s="162"/>
      <c r="F76" s="162"/>
      <c r="G76" s="162"/>
      <c r="H76" s="162"/>
      <c r="J76" s="75"/>
    </row>
    <row r="77" spans="1:10" ht="14.1" customHeight="1" x14ac:dyDescent="0.2">
      <c r="A77" s="162"/>
      <c r="B77" s="162"/>
      <c r="C77" s="163" t="s">
        <v>152</v>
      </c>
      <c r="D77" s="162"/>
      <c r="E77" s="162" t="s">
        <v>153</v>
      </c>
      <c r="F77" s="173" t="s">
        <v>155</v>
      </c>
      <c r="G77" s="170">
        <v>0</v>
      </c>
      <c r="H77" s="170"/>
      <c r="J77" s="75"/>
    </row>
    <row r="78" spans="1:10" ht="14.1" customHeight="1" x14ac:dyDescent="0.2">
      <c r="A78" s="162"/>
      <c r="B78" s="162"/>
      <c r="C78" s="171"/>
      <c r="D78" s="162"/>
      <c r="E78" s="162"/>
      <c r="F78" s="172"/>
      <c r="G78" s="172"/>
      <c r="H78" s="172"/>
      <c r="J78" s="75"/>
    </row>
    <row r="79" spans="1:10" ht="14.1" customHeight="1" x14ac:dyDescent="0.2">
      <c r="A79" s="162"/>
      <c r="B79" s="162"/>
      <c r="C79" s="163" t="s">
        <v>163</v>
      </c>
      <c r="D79" s="162"/>
      <c r="E79" s="162"/>
      <c r="F79" s="162"/>
      <c r="G79" s="162"/>
      <c r="H79" s="162"/>
      <c r="J79" s="75"/>
    </row>
    <row r="80" spans="1:10" ht="14.1" customHeight="1" x14ac:dyDescent="0.2">
      <c r="A80" s="162"/>
      <c r="B80" s="162"/>
      <c r="C80" s="163" t="s">
        <v>152</v>
      </c>
      <c r="D80" s="162"/>
      <c r="E80" s="162" t="s">
        <v>153</v>
      </c>
      <c r="F80" s="173" t="s">
        <v>155</v>
      </c>
      <c r="G80" s="170">
        <v>0</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164</v>
      </c>
      <c r="D82" s="162"/>
      <c r="E82" s="162"/>
      <c r="F82" s="172"/>
      <c r="G82" s="172"/>
      <c r="H82" s="17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165</v>
      </c>
      <c r="D85" s="162"/>
      <c r="E85" s="162"/>
      <c r="F85" s="169">
        <v>0</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166</v>
      </c>
      <c r="D87" s="162"/>
      <c r="E87" s="162"/>
      <c r="F87" s="172"/>
      <c r="G87" s="172"/>
      <c r="H87" s="172"/>
      <c r="J87" s="75"/>
    </row>
    <row r="88" spans="1:10" ht="14.1" customHeight="1" x14ac:dyDescent="0.2">
      <c r="A88" s="162"/>
      <c r="B88" s="162"/>
      <c r="C88" s="163" t="s">
        <v>167</v>
      </c>
      <c r="D88" s="162"/>
      <c r="E88" s="162"/>
      <c r="F88" s="172"/>
      <c r="G88" s="172"/>
      <c r="H88" s="172"/>
      <c r="J88" s="75"/>
    </row>
    <row r="89" spans="1:10" ht="14.1" customHeight="1" x14ac:dyDescent="0.2">
      <c r="A89" s="162"/>
      <c r="B89" s="162"/>
      <c r="C89" s="163" t="s">
        <v>152</v>
      </c>
      <c r="D89" s="162"/>
      <c r="E89" s="162" t="s">
        <v>153</v>
      </c>
      <c r="F89" s="173" t="s">
        <v>155</v>
      </c>
      <c r="G89" s="170">
        <v>0</v>
      </c>
      <c r="H89" s="170"/>
      <c r="J89" s="75"/>
    </row>
    <row r="90" spans="1:10" ht="14.1" customHeight="1" x14ac:dyDescent="0.2">
      <c r="A90" s="162"/>
      <c r="B90" s="162"/>
      <c r="C90" s="171"/>
      <c r="D90" s="162"/>
      <c r="E90" s="162"/>
      <c r="F90" s="172"/>
      <c r="G90" s="172"/>
      <c r="H90" s="172"/>
      <c r="J90" s="75"/>
    </row>
    <row r="91" spans="1:10" ht="14.1" customHeight="1" x14ac:dyDescent="0.2">
      <c r="A91" s="162"/>
      <c r="B91" s="162"/>
      <c r="C91" s="163" t="s">
        <v>168</v>
      </c>
      <c r="D91" s="162"/>
      <c r="E91" s="162"/>
      <c r="F91" s="172"/>
      <c r="G91" s="172"/>
      <c r="H91" s="17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169</v>
      </c>
      <c r="D94" s="162"/>
      <c r="E94" s="162"/>
      <c r="F94" s="172"/>
      <c r="G94" s="172"/>
      <c r="H94" s="17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170</v>
      </c>
      <c r="D97" s="162"/>
      <c r="E97" s="162"/>
      <c r="F97" s="172"/>
      <c r="G97" s="172"/>
      <c r="H97" s="172"/>
      <c r="J97" s="75"/>
    </row>
    <row r="98" spans="1:10" ht="17.100000000000001" customHeight="1" x14ac:dyDescent="0.2">
      <c r="A98" s="164">
        <v>1</v>
      </c>
      <c r="B98" s="165"/>
      <c r="C98" s="165" t="s">
        <v>171</v>
      </c>
      <c r="D98" s="165"/>
      <c r="E98" s="174"/>
      <c r="F98" s="167">
        <v>216.93474159900001</v>
      </c>
      <c r="G98" s="168">
        <v>6.6355430000000007E-2</v>
      </c>
      <c r="H98" s="175">
        <v>6.66</v>
      </c>
      <c r="J98" s="75"/>
    </row>
    <row r="99" spans="1:10" ht="14.1" customHeight="1" x14ac:dyDescent="0.2">
      <c r="A99" s="162"/>
      <c r="B99" s="162"/>
      <c r="C99" s="163" t="s">
        <v>152</v>
      </c>
      <c r="D99" s="162"/>
      <c r="E99" s="162" t="s">
        <v>153</v>
      </c>
      <c r="F99" s="169">
        <v>216.93474159900001</v>
      </c>
      <c r="G99" s="170">
        <v>6.6355430000000007E-2</v>
      </c>
      <c r="H99" s="170"/>
      <c r="J99" s="75"/>
    </row>
    <row r="100" spans="1:10" ht="14.1" customHeight="1" x14ac:dyDescent="0.2">
      <c r="A100" s="162"/>
      <c r="B100" s="162"/>
      <c r="C100" s="171"/>
      <c r="D100" s="162"/>
      <c r="E100" s="162"/>
      <c r="F100" s="172"/>
      <c r="G100" s="172"/>
      <c r="H100" s="172"/>
      <c r="J100" s="75"/>
    </row>
    <row r="101" spans="1:10" ht="14.1" customHeight="1" x14ac:dyDescent="0.2">
      <c r="A101" s="162"/>
      <c r="B101" s="162"/>
      <c r="C101" s="163" t="s">
        <v>172</v>
      </c>
      <c r="D101" s="162"/>
      <c r="E101" s="162"/>
      <c r="F101" s="169">
        <v>216.93474159900001</v>
      </c>
      <c r="G101" s="170">
        <v>6.6355430000000007E-2</v>
      </c>
      <c r="H101" s="170"/>
      <c r="J101" s="75"/>
    </row>
    <row r="102" spans="1:10" ht="14.1" customHeight="1" x14ac:dyDescent="0.2">
      <c r="A102" s="162"/>
      <c r="B102" s="162"/>
      <c r="C102" s="172"/>
      <c r="D102" s="162"/>
      <c r="E102" s="162"/>
      <c r="F102" s="162"/>
      <c r="G102" s="162"/>
      <c r="H102" s="162"/>
      <c r="J102" s="75"/>
    </row>
    <row r="103" spans="1:10" ht="14.1" customHeight="1" x14ac:dyDescent="0.2">
      <c r="A103" s="162"/>
      <c r="B103" s="162"/>
      <c r="C103" s="163" t="s">
        <v>173</v>
      </c>
      <c r="D103" s="162"/>
      <c r="E103" s="162"/>
      <c r="F103" s="162"/>
      <c r="G103" s="162"/>
      <c r="H103" s="162"/>
      <c r="J103" s="75"/>
    </row>
    <row r="104" spans="1:10" ht="14.1" customHeight="1" x14ac:dyDescent="0.2">
      <c r="A104" s="162"/>
      <c r="B104" s="162"/>
      <c r="C104" s="163" t="s">
        <v>174</v>
      </c>
      <c r="D104" s="162"/>
      <c r="E104" s="162"/>
      <c r="F104" s="162"/>
      <c r="G104" s="162"/>
      <c r="H104" s="162"/>
      <c r="J104" s="75"/>
    </row>
    <row r="105" spans="1:10" ht="14.1" customHeight="1" x14ac:dyDescent="0.2">
      <c r="A105" s="162"/>
      <c r="B105" s="162"/>
      <c r="C105" s="163" t="s">
        <v>152</v>
      </c>
      <c r="D105" s="162"/>
      <c r="E105" s="162" t="s">
        <v>153</v>
      </c>
      <c r="F105" s="173" t="s">
        <v>155</v>
      </c>
      <c r="G105" s="170">
        <v>0</v>
      </c>
      <c r="H105" s="170"/>
      <c r="J105" s="75"/>
    </row>
    <row r="106" spans="1:10" ht="14.1" customHeight="1" x14ac:dyDescent="0.2">
      <c r="A106" s="162"/>
      <c r="B106" s="162"/>
      <c r="C106" s="171"/>
      <c r="D106" s="162"/>
      <c r="E106" s="162"/>
      <c r="F106" s="172"/>
      <c r="G106" s="172"/>
      <c r="H106" s="172"/>
      <c r="J106" s="75"/>
    </row>
    <row r="107" spans="1:10" ht="14.1" customHeight="1" x14ac:dyDescent="0.2">
      <c r="A107" s="162"/>
      <c r="B107" s="162"/>
      <c r="C107" s="163" t="s">
        <v>177</v>
      </c>
      <c r="D107" s="162"/>
      <c r="E107" s="162"/>
      <c r="F107" s="162"/>
      <c r="G107" s="162"/>
      <c r="H107" s="162"/>
      <c r="J107" s="75"/>
    </row>
    <row r="108" spans="1:10" ht="14.1" customHeight="1" x14ac:dyDescent="0.2">
      <c r="A108" s="162"/>
      <c r="B108" s="162"/>
      <c r="C108" s="163" t="s">
        <v>178</v>
      </c>
      <c r="D108" s="162"/>
      <c r="E108" s="162"/>
      <c r="F108" s="162"/>
      <c r="G108" s="162"/>
      <c r="H108" s="162"/>
      <c r="J108" s="75"/>
    </row>
    <row r="109" spans="1:10" ht="14.1" customHeight="1" x14ac:dyDescent="0.2">
      <c r="A109" s="162"/>
      <c r="B109" s="162"/>
      <c r="C109" s="163" t="s">
        <v>152</v>
      </c>
      <c r="D109" s="162"/>
      <c r="E109" s="162" t="s">
        <v>153</v>
      </c>
      <c r="F109" s="173" t="s">
        <v>155</v>
      </c>
      <c r="G109" s="170">
        <v>0</v>
      </c>
      <c r="H109" s="170"/>
      <c r="J109" s="75"/>
    </row>
    <row r="110" spans="1:10" ht="14.1" customHeight="1" x14ac:dyDescent="0.2">
      <c r="A110" s="162"/>
      <c r="B110" s="162"/>
      <c r="C110" s="171"/>
      <c r="D110" s="162"/>
      <c r="E110" s="162"/>
      <c r="F110" s="172"/>
      <c r="G110" s="172"/>
      <c r="H110" s="172"/>
      <c r="J110" s="75"/>
    </row>
    <row r="111" spans="1:10" ht="24" customHeight="1" x14ac:dyDescent="0.2">
      <c r="A111" s="162"/>
      <c r="B111" s="162"/>
      <c r="C111" s="163" t="s">
        <v>179</v>
      </c>
      <c r="D111" s="162"/>
      <c r="E111" s="162"/>
      <c r="F111" s="172"/>
      <c r="G111" s="172"/>
      <c r="H111" s="172"/>
      <c r="J111" s="75"/>
    </row>
    <row r="112" spans="1:10" ht="14.1" customHeight="1" x14ac:dyDescent="0.2">
      <c r="A112" s="162"/>
      <c r="B112" s="162"/>
      <c r="C112" s="163" t="s">
        <v>152</v>
      </c>
      <c r="D112" s="162"/>
      <c r="E112" s="162" t="s">
        <v>153</v>
      </c>
      <c r="F112" s="173" t="s">
        <v>155</v>
      </c>
      <c r="G112" s="170">
        <v>0</v>
      </c>
      <c r="H112" s="170"/>
      <c r="J112" s="75"/>
    </row>
    <row r="113" spans="1:20" ht="14.1" customHeight="1" x14ac:dyDescent="0.2">
      <c r="A113" s="162"/>
      <c r="B113" s="165"/>
      <c r="C113" s="165"/>
      <c r="D113" s="163"/>
      <c r="E113" s="162"/>
      <c r="F113" s="165"/>
      <c r="G113" s="174"/>
      <c r="H113" s="174"/>
      <c r="J113" s="75"/>
    </row>
    <row r="114" spans="1:20" ht="18" customHeight="1" x14ac:dyDescent="0.2">
      <c r="A114" s="174"/>
      <c r="B114" s="165"/>
      <c r="C114" s="165" t="s">
        <v>180</v>
      </c>
      <c r="D114" s="165"/>
      <c r="E114" s="174"/>
      <c r="F114" s="167">
        <v>9.9999375799999992</v>
      </c>
      <c r="G114" s="168">
        <v>3.0587600000000002E-3</v>
      </c>
      <c r="H114" s="168"/>
      <c r="J114" s="75"/>
    </row>
    <row r="115" spans="1:20" ht="14.1" customHeight="1" x14ac:dyDescent="0.2">
      <c r="A115" s="171"/>
      <c r="B115" s="171"/>
      <c r="C115" s="163" t="s">
        <v>181</v>
      </c>
      <c r="D115" s="172"/>
      <c r="E115" s="172"/>
      <c r="F115" s="169">
        <v>3269.2838330250001</v>
      </c>
      <c r="G115" s="177">
        <v>1.0000000099999999</v>
      </c>
      <c r="H115" s="177"/>
      <c r="J115" s="75"/>
    </row>
    <row r="116" spans="1:20" ht="14.1" customHeight="1" x14ac:dyDescent="0.2">
      <c r="A116" s="178"/>
      <c r="B116" s="178"/>
      <c r="C116" s="178"/>
      <c r="D116" s="179"/>
      <c r="E116" s="179"/>
      <c r="F116" s="179"/>
      <c r="G116" s="179"/>
      <c r="H116" s="179"/>
      <c r="J116" s="75"/>
    </row>
    <row r="117" spans="1:20" ht="12.75" customHeight="1" x14ac:dyDescent="0.2">
      <c r="A117" s="180"/>
      <c r="B117" s="258" t="s">
        <v>882</v>
      </c>
      <c r="C117" s="258"/>
      <c r="D117" s="258"/>
      <c r="E117" s="258"/>
      <c r="F117" s="258"/>
      <c r="G117" s="258"/>
      <c r="H117" s="258"/>
      <c r="J117" s="75"/>
    </row>
    <row r="118" spans="1:20" ht="14.1" customHeight="1" x14ac:dyDescent="0.2">
      <c r="A118" s="180"/>
      <c r="B118" s="258" t="s">
        <v>883</v>
      </c>
      <c r="C118" s="258"/>
      <c r="D118" s="258"/>
      <c r="E118" s="258"/>
      <c r="F118" s="258"/>
      <c r="G118" s="258"/>
      <c r="H118" s="258"/>
      <c r="J118" s="75"/>
    </row>
    <row r="119" spans="1:20" ht="17.100000000000001" customHeight="1" x14ac:dyDescent="0.2">
      <c r="A119" s="180"/>
      <c r="B119" s="258" t="s">
        <v>884</v>
      </c>
      <c r="C119" s="258"/>
      <c r="D119" s="258"/>
      <c r="E119" s="258"/>
      <c r="F119" s="258"/>
      <c r="G119" s="258"/>
      <c r="H119" s="258"/>
      <c r="J119" s="75"/>
    </row>
    <row r="120" spans="1:20" s="34" customFormat="1" ht="66" customHeight="1" x14ac:dyDescent="0.25">
      <c r="A120" s="33"/>
      <c r="B120" s="259" t="s">
        <v>885</v>
      </c>
      <c r="C120" s="259"/>
      <c r="D120" s="259"/>
      <c r="E120" s="259"/>
      <c r="F120" s="259"/>
      <c r="G120" s="259"/>
      <c r="H120" s="259"/>
      <c r="I120"/>
      <c r="J120" s="75"/>
      <c r="K120"/>
      <c r="L120"/>
      <c r="M120"/>
      <c r="N120"/>
      <c r="O120"/>
      <c r="P120"/>
      <c r="Q120"/>
      <c r="R120"/>
    </row>
    <row r="121" spans="1:20" ht="12.75" customHeight="1" x14ac:dyDescent="0.2">
      <c r="A121" s="180"/>
      <c r="B121" s="258" t="s">
        <v>886</v>
      </c>
      <c r="C121" s="258"/>
      <c r="D121" s="258"/>
      <c r="E121" s="258"/>
      <c r="F121" s="258"/>
      <c r="G121" s="258"/>
      <c r="H121" s="258"/>
      <c r="J121" s="75"/>
    </row>
    <row r="122" spans="1:20" ht="14.1" customHeight="1" x14ac:dyDescent="0.2">
      <c r="A122" s="181"/>
      <c r="B122" s="181"/>
      <c r="C122" s="181"/>
      <c r="D122" s="182"/>
      <c r="E122" s="182"/>
      <c r="F122" s="182"/>
      <c r="G122" s="182"/>
      <c r="H122" s="182"/>
      <c r="J122" s="75"/>
    </row>
    <row r="123" spans="1:20" ht="14.1" customHeight="1" x14ac:dyDescent="0.2">
      <c r="A123" s="181"/>
      <c r="B123" s="255" t="s">
        <v>183</v>
      </c>
      <c r="C123" s="256"/>
      <c r="D123" s="257"/>
      <c r="E123" s="183"/>
      <c r="F123" s="182"/>
      <c r="G123" s="182"/>
      <c r="H123" s="182"/>
      <c r="J123" s="75"/>
    </row>
    <row r="124" spans="1:20" ht="29.1" customHeight="1" x14ac:dyDescent="0.2">
      <c r="A124" s="181"/>
      <c r="B124" s="253" t="s">
        <v>184</v>
      </c>
      <c r="C124" s="254"/>
      <c r="D124" s="163" t="s">
        <v>185</v>
      </c>
      <c r="E124" s="183"/>
      <c r="F124" s="182"/>
      <c r="G124" s="182"/>
      <c r="H124" s="182"/>
      <c r="J124" s="75"/>
    </row>
    <row r="125" spans="1:20" ht="17.100000000000001" customHeight="1" x14ac:dyDescent="0.25">
      <c r="A125" s="181"/>
      <c r="B125" s="251" t="s">
        <v>898</v>
      </c>
      <c r="C125" s="252"/>
      <c r="D125" s="184" t="s">
        <v>896</v>
      </c>
      <c r="E125" s="183"/>
      <c r="F125" s="182"/>
      <c r="G125" s="182"/>
      <c r="H125" s="182"/>
      <c r="J125" s="75"/>
      <c r="S125" s="34"/>
      <c r="T125" s="34"/>
    </row>
    <row r="126" spans="1:20" ht="17.100000000000001" customHeight="1" x14ac:dyDescent="0.2">
      <c r="A126" s="181"/>
      <c r="B126" s="253" t="s">
        <v>187</v>
      </c>
      <c r="C126" s="254"/>
      <c r="D126" s="172" t="s">
        <v>153</v>
      </c>
      <c r="E126" s="183"/>
      <c r="F126" s="182"/>
      <c r="G126" s="182"/>
      <c r="H126" s="182"/>
      <c r="J126" s="75"/>
    </row>
    <row r="127" spans="1:20" x14ac:dyDescent="0.2">
      <c r="A127" s="185"/>
      <c r="B127" s="186" t="s">
        <v>153</v>
      </c>
      <c r="C127" s="186" t="s">
        <v>1088</v>
      </c>
      <c r="D127" s="186" t="s">
        <v>188</v>
      </c>
      <c r="E127" s="185"/>
      <c r="F127" s="185"/>
      <c r="G127" s="185"/>
      <c r="H127" s="185"/>
      <c r="J127" s="75"/>
    </row>
    <row r="128" spans="1:20" x14ac:dyDescent="0.2">
      <c r="A128" s="185"/>
      <c r="B128" s="187" t="s">
        <v>189</v>
      </c>
      <c r="C128" s="186" t="s">
        <v>190</v>
      </c>
      <c r="D128" s="186" t="s">
        <v>191</v>
      </c>
      <c r="E128" s="185"/>
      <c r="F128" s="185"/>
      <c r="G128" s="185"/>
      <c r="H128" s="185"/>
      <c r="J128" s="75"/>
    </row>
    <row r="129" spans="1:10" ht="17.100000000000001" customHeight="1" x14ac:dyDescent="0.2">
      <c r="A129" s="185"/>
      <c r="B129" s="165" t="s">
        <v>192</v>
      </c>
      <c r="C129" s="188">
        <v>23.733699999999999</v>
      </c>
      <c r="D129" s="188">
        <v>25.502700000000001</v>
      </c>
      <c r="E129" s="185"/>
      <c r="F129" s="189"/>
      <c r="G129" s="190"/>
      <c r="H129" s="190"/>
      <c r="J129" s="75"/>
    </row>
    <row r="130" spans="1:10" ht="17.100000000000001" customHeight="1" x14ac:dyDescent="0.2">
      <c r="A130" s="185"/>
      <c r="B130" s="165" t="s">
        <v>1054</v>
      </c>
      <c r="C130" s="188">
        <v>22.595700000000001</v>
      </c>
      <c r="D130" s="188">
        <v>24.279900000000001</v>
      </c>
      <c r="E130" s="185"/>
      <c r="F130" s="189"/>
      <c r="G130" s="190"/>
      <c r="H130" s="190"/>
      <c r="J130" s="75"/>
    </row>
    <row r="131" spans="1:10" ht="17.100000000000001" customHeight="1" x14ac:dyDescent="0.2">
      <c r="A131" s="185"/>
      <c r="B131" s="165" t="s">
        <v>193</v>
      </c>
      <c r="C131" s="188">
        <v>23.142499999999998</v>
      </c>
      <c r="D131" s="188">
        <v>24.8626</v>
      </c>
      <c r="E131" s="185"/>
      <c r="F131" s="189"/>
      <c r="G131" s="190"/>
      <c r="H131" s="190"/>
      <c r="J131" s="75"/>
    </row>
    <row r="132" spans="1:10" ht="17.100000000000001" customHeight="1" x14ac:dyDescent="0.2">
      <c r="A132" s="185"/>
      <c r="B132" s="165" t="s">
        <v>1055</v>
      </c>
      <c r="C132" s="188">
        <v>22.005400000000002</v>
      </c>
      <c r="D132" s="188">
        <v>23.640899999999998</v>
      </c>
      <c r="E132" s="185"/>
      <c r="F132" s="189"/>
      <c r="G132" s="190"/>
      <c r="H132" s="190"/>
      <c r="J132" s="75"/>
    </row>
    <row r="133" spans="1:10" ht="14.1" customHeight="1" x14ac:dyDescent="0.2">
      <c r="A133" s="185"/>
      <c r="B133" s="185"/>
      <c r="C133" s="185"/>
      <c r="D133" s="185"/>
      <c r="E133" s="185"/>
      <c r="F133" s="185"/>
      <c r="G133" s="185"/>
      <c r="H133" s="185"/>
      <c r="J133" s="75"/>
    </row>
    <row r="134" spans="1:10" ht="17.100000000000001" customHeight="1" x14ac:dyDescent="0.2">
      <c r="A134" s="185"/>
      <c r="B134" s="253" t="s">
        <v>1056</v>
      </c>
      <c r="C134" s="254"/>
      <c r="D134" s="163" t="s">
        <v>185</v>
      </c>
      <c r="E134" s="185"/>
      <c r="F134" s="185"/>
      <c r="G134" s="185"/>
      <c r="H134" s="185"/>
      <c r="J134" s="75"/>
    </row>
    <row r="135" spans="1:10" ht="14.1" customHeight="1" x14ac:dyDescent="0.2">
      <c r="A135" s="185"/>
      <c r="B135" s="189"/>
      <c r="C135" s="189"/>
      <c r="D135" s="185"/>
      <c r="E135" s="185"/>
      <c r="F135" s="185"/>
      <c r="G135" s="185"/>
      <c r="H135" s="185"/>
      <c r="J135" s="75"/>
    </row>
    <row r="136" spans="1:10" ht="29.1" customHeight="1" x14ac:dyDescent="0.2">
      <c r="A136" s="185"/>
      <c r="B136" s="253" t="s">
        <v>194</v>
      </c>
      <c r="C136" s="254"/>
      <c r="D136" s="163" t="s">
        <v>185</v>
      </c>
      <c r="E136" s="191"/>
      <c r="F136" s="185"/>
      <c r="G136" s="185"/>
      <c r="H136" s="185"/>
      <c r="J136" s="75"/>
    </row>
    <row r="137" spans="1:10" ht="29.1" customHeight="1" x14ac:dyDescent="0.2">
      <c r="A137" s="185"/>
      <c r="B137" s="253" t="s">
        <v>195</v>
      </c>
      <c r="C137" s="254"/>
      <c r="D137" s="163" t="s">
        <v>185</v>
      </c>
      <c r="E137" s="191"/>
      <c r="F137" s="185"/>
      <c r="G137" s="185"/>
      <c r="H137" s="185"/>
      <c r="J137" s="75"/>
    </row>
    <row r="138" spans="1:10" ht="17.100000000000001" customHeight="1" x14ac:dyDescent="0.2">
      <c r="A138" s="185"/>
      <c r="B138" s="253" t="s">
        <v>196</v>
      </c>
      <c r="C138" s="254"/>
      <c r="D138" s="163" t="s">
        <v>185</v>
      </c>
      <c r="E138" s="191"/>
      <c r="F138" s="185"/>
      <c r="G138" s="185"/>
      <c r="H138" s="185"/>
      <c r="J138" s="75"/>
    </row>
    <row r="139" spans="1:10" ht="17.100000000000001" customHeight="1" x14ac:dyDescent="0.2">
      <c r="A139" s="185"/>
      <c r="B139" s="253" t="s">
        <v>197</v>
      </c>
      <c r="C139" s="254"/>
      <c r="D139" s="192">
        <v>6.8473000000000006E-2</v>
      </c>
      <c r="E139" s="185"/>
      <c r="F139" s="189"/>
      <c r="G139" s="190"/>
      <c r="H139" s="190"/>
      <c r="J139" s="75"/>
    </row>
  </sheetData>
  <mergeCells count="17">
    <mergeCell ref="B139:C139"/>
    <mergeCell ref="B134:C134"/>
    <mergeCell ref="B136:C136"/>
    <mergeCell ref="B137:C137"/>
    <mergeCell ref="B138:C138"/>
    <mergeCell ref="A1:H1"/>
    <mergeCell ref="A2:H2"/>
    <mergeCell ref="A3:H3"/>
    <mergeCell ref="B125:C125"/>
    <mergeCell ref="B126:C126"/>
    <mergeCell ref="B123:D123"/>
    <mergeCell ref="B124:C124"/>
    <mergeCell ref="B121:H121"/>
    <mergeCell ref="B120:H120"/>
    <mergeCell ref="B117:H117"/>
    <mergeCell ref="B118:H118"/>
    <mergeCell ref="B119:H119"/>
  </mergeCells>
  <hyperlinks>
    <hyperlink ref="I1" location="Index!B12" display="Index" xr:uid="{AE578906-DB6D-4617-9635-74EC1B99C11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Q139"/>
  <sheetViews>
    <sheetView showGridLines="0" workbookViewId="0">
      <selection activeCell="C57" sqref="C57"/>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customHeight="1" x14ac:dyDescent="0.2">
      <c r="A2" s="250" t="s">
        <v>563</v>
      </c>
      <c r="B2" s="250"/>
      <c r="C2" s="250"/>
      <c r="D2" s="250"/>
      <c r="E2" s="250"/>
      <c r="F2" s="250"/>
      <c r="G2" s="250"/>
      <c r="H2" s="250"/>
      <c r="J2" s="70" t="s">
        <v>889</v>
      </c>
      <c r="K2" s="67"/>
      <c r="L2" s="67"/>
      <c r="M2" s="67"/>
      <c r="N2" s="67"/>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460</v>
      </c>
      <c r="C7" s="165" t="s">
        <v>461</v>
      </c>
      <c r="D7" s="165" t="s">
        <v>75</v>
      </c>
      <c r="E7" s="166">
        <v>10034</v>
      </c>
      <c r="F7" s="167">
        <v>212.07360700000001</v>
      </c>
      <c r="G7" s="168">
        <v>5.2044420000000001E-2</v>
      </c>
      <c r="H7" s="168"/>
      <c r="J7" s="75"/>
    </row>
    <row r="8" spans="1:17" ht="17.100000000000001" customHeight="1" x14ac:dyDescent="0.2">
      <c r="A8" s="164">
        <v>2</v>
      </c>
      <c r="B8" s="165" t="s">
        <v>34</v>
      </c>
      <c r="C8" s="165" t="s">
        <v>35</v>
      </c>
      <c r="D8" s="165" t="s">
        <v>36</v>
      </c>
      <c r="E8" s="166">
        <v>4560</v>
      </c>
      <c r="F8" s="167">
        <v>205.74719999999999</v>
      </c>
      <c r="G8" s="168">
        <v>5.0491880000000003E-2</v>
      </c>
      <c r="H8" s="168"/>
      <c r="J8" s="75"/>
    </row>
    <row r="9" spans="1:17" ht="17.100000000000001" customHeight="1" x14ac:dyDescent="0.2">
      <c r="A9" s="164">
        <v>3</v>
      </c>
      <c r="B9" s="165" t="s">
        <v>93</v>
      </c>
      <c r="C9" s="165" t="s">
        <v>94</v>
      </c>
      <c r="D9" s="165" t="s">
        <v>36</v>
      </c>
      <c r="E9" s="166">
        <v>4891</v>
      </c>
      <c r="F9" s="167">
        <v>195.42479599999999</v>
      </c>
      <c r="G9" s="168">
        <v>4.7958679999999997E-2</v>
      </c>
      <c r="H9" s="168"/>
      <c r="J9" s="75"/>
    </row>
    <row r="10" spans="1:17" ht="17.100000000000001" customHeight="1" x14ac:dyDescent="0.2">
      <c r="A10" s="164">
        <v>4</v>
      </c>
      <c r="B10" s="165" t="s">
        <v>350</v>
      </c>
      <c r="C10" s="165" t="s">
        <v>351</v>
      </c>
      <c r="D10" s="165" t="s">
        <v>262</v>
      </c>
      <c r="E10" s="166">
        <v>4545</v>
      </c>
      <c r="F10" s="167">
        <v>186.75405000000001</v>
      </c>
      <c r="G10" s="168">
        <v>4.5830820000000001E-2</v>
      </c>
      <c r="H10" s="168"/>
      <c r="J10" s="75"/>
    </row>
    <row r="11" spans="1:17" ht="17.100000000000001" customHeight="1" x14ac:dyDescent="0.2">
      <c r="A11" s="164">
        <v>5</v>
      </c>
      <c r="B11" s="165" t="s">
        <v>462</v>
      </c>
      <c r="C11" s="165" t="s">
        <v>463</v>
      </c>
      <c r="D11" s="165" t="s">
        <v>39</v>
      </c>
      <c r="E11" s="166">
        <v>180840</v>
      </c>
      <c r="F11" s="167">
        <v>175.50522000000001</v>
      </c>
      <c r="G11" s="168">
        <v>4.3070270000000001E-2</v>
      </c>
      <c r="H11" s="168"/>
      <c r="J11" s="75"/>
    </row>
    <row r="12" spans="1:17" ht="17.100000000000001" customHeight="1" x14ac:dyDescent="0.2">
      <c r="A12" s="164">
        <v>6</v>
      </c>
      <c r="B12" s="165" t="s">
        <v>470</v>
      </c>
      <c r="C12" s="165" t="s">
        <v>471</v>
      </c>
      <c r="D12" s="165" t="s">
        <v>262</v>
      </c>
      <c r="E12" s="166">
        <v>5956</v>
      </c>
      <c r="F12" s="167">
        <v>165.96989600000001</v>
      </c>
      <c r="G12" s="168">
        <v>4.0730229999999999E-2</v>
      </c>
      <c r="H12" s="168"/>
      <c r="J12" s="71"/>
    </row>
    <row r="13" spans="1:17" ht="17.100000000000001" customHeight="1" x14ac:dyDescent="0.2">
      <c r="A13" s="164">
        <v>7</v>
      </c>
      <c r="B13" s="165" t="s">
        <v>78</v>
      </c>
      <c r="C13" s="165" t="s">
        <v>79</v>
      </c>
      <c r="D13" s="165" t="s">
        <v>80</v>
      </c>
      <c r="E13" s="166">
        <v>15970</v>
      </c>
      <c r="F13" s="167">
        <v>164.95412999999999</v>
      </c>
      <c r="G13" s="168">
        <v>4.0480960000000003E-2</v>
      </c>
      <c r="H13" s="168"/>
      <c r="J13" s="75"/>
    </row>
    <row r="14" spans="1:17" ht="17.100000000000001" customHeight="1" x14ac:dyDescent="0.2">
      <c r="A14" s="164">
        <v>8</v>
      </c>
      <c r="B14" s="165" t="s">
        <v>466</v>
      </c>
      <c r="C14" s="165" t="s">
        <v>467</v>
      </c>
      <c r="D14" s="165" t="s">
        <v>36</v>
      </c>
      <c r="E14" s="166">
        <v>8741</v>
      </c>
      <c r="F14" s="167">
        <v>129.9742995</v>
      </c>
      <c r="G14" s="168">
        <v>3.1896649999999999E-2</v>
      </c>
      <c r="H14" s="168"/>
      <c r="J14" s="75" t="s">
        <v>901</v>
      </c>
    </row>
    <row r="15" spans="1:17" ht="17.100000000000001" customHeight="1" x14ac:dyDescent="0.2">
      <c r="A15" s="164">
        <v>9</v>
      </c>
      <c r="B15" s="165" t="s">
        <v>550</v>
      </c>
      <c r="C15" s="165" t="s">
        <v>551</v>
      </c>
      <c r="D15" s="165" t="s">
        <v>13</v>
      </c>
      <c r="E15" s="166">
        <v>10323</v>
      </c>
      <c r="F15" s="167">
        <v>126.5238495</v>
      </c>
      <c r="G15" s="168">
        <v>3.1049879999999998E-2</v>
      </c>
      <c r="H15" s="168"/>
      <c r="J15" s="75"/>
    </row>
    <row r="16" spans="1:17" ht="17.100000000000001" customHeight="1" x14ac:dyDescent="0.2">
      <c r="A16" s="164">
        <v>10</v>
      </c>
      <c r="B16" s="165" t="s">
        <v>468</v>
      </c>
      <c r="C16" s="165" t="s">
        <v>469</v>
      </c>
      <c r="D16" s="165" t="s">
        <v>53</v>
      </c>
      <c r="E16" s="166">
        <v>22011</v>
      </c>
      <c r="F16" s="167">
        <v>126.4421895</v>
      </c>
      <c r="G16" s="168">
        <v>3.102984E-2</v>
      </c>
      <c r="H16" s="168"/>
      <c r="J16" s="75"/>
    </row>
    <row r="17" spans="1:10" ht="17.100000000000001" customHeight="1" x14ac:dyDescent="0.2">
      <c r="A17" s="164">
        <v>11</v>
      </c>
      <c r="B17" s="165" t="s">
        <v>147</v>
      </c>
      <c r="C17" s="165" t="s">
        <v>148</v>
      </c>
      <c r="D17" s="165" t="s">
        <v>75</v>
      </c>
      <c r="E17" s="166">
        <v>39326</v>
      </c>
      <c r="F17" s="167">
        <v>124.191508</v>
      </c>
      <c r="G17" s="168">
        <v>3.0477509999999999E-2</v>
      </c>
      <c r="H17" s="168"/>
      <c r="J17" s="75"/>
    </row>
    <row r="18" spans="1:10" ht="17.100000000000001" customHeight="1" x14ac:dyDescent="0.2">
      <c r="A18" s="164">
        <v>12</v>
      </c>
      <c r="B18" s="165" t="s">
        <v>474</v>
      </c>
      <c r="C18" s="165" t="s">
        <v>475</v>
      </c>
      <c r="D18" s="165" t="s">
        <v>276</v>
      </c>
      <c r="E18" s="166">
        <v>37340</v>
      </c>
      <c r="F18" s="167">
        <v>124.1555</v>
      </c>
      <c r="G18" s="168">
        <v>3.046867E-2</v>
      </c>
      <c r="H18" s="168"/>
      <c r="J18" s="75"/>
    </row>
    <row r="19" spans="1:10" ht="17.100000000000001" customHeight="1" x14ac:dyDescent="0.2">
      <c r="A19" s="164">
        <v>13</v>
      </c>
      <c r="B19" s="165" t="s">
        <v>476</v>
      </c>
      <c r="C19" s="165" t="s">
        <v>477</v>
      </c>
      <c r="D19" s="165" t="s">
        <v>213</v>
      </c>
      <c r="E19" s="166">
        <v>32339</v>
      </c>
      <c r="F19" s="167">
        <v>118.3769095</v>
      </c>
      <c r="G19" s="168">
        <v>2.9050570000000001E-2</v>
      </c>
      <c r="H19" s="168"/>
      <c r="J19" s="75"/>
    </row>
    <row r="20" spans="1:10" ht="29.1" customHeight="1" x14ac:dyDescent="0.2">
      <c r="A20" s="164">
        <v>14</v>
      </c>
      <c r="B20" s="165" t="s">
        <v>123</v>
      </c>
      <c r="C20" s="165" t="s">
        <v>124</v>
      </c>
      <c r="D20" s="165" t="s">
        <v>25</v>
      </c>
      <c r="E20" s="166">
        <v>2267</v>
      </c>
      <c r="F20" s="167">
        <v>90.668665000000004</v>
      </c>
      <c r="G20" s="168">
        <v>2.2250760000000001E-2</v>
      </c>
      <c r="H20" s="168"/>
      <c r="J20" s="75"/>
    </row>
    <row r="21" spans="1:10" ht="17.100000000000001" customHeight="1" x14ac:dyDescent="0.2">
      <c r="A21" s="164">
        <v>15</v>
      </c>
      <c r="B21" s="165" t="s">
        <v>482</v>
      </c>
      <c r="C21" s="165" t="s">
        <v>483</v>
      </c>
      <c r="D21" s="165" t="s">
        <v>242</v>
      </c>
      <c r="E21" s="166">
        <v>6371</v>
      </c>
      <c r="F21" s="167">
        <v>90.646587999999994</v>
      </c>
      <c r="G21" s="168">
        <v>2.2245339999999999E-2</v>
      </c>
      <c r="H21" s="168"/>
      <c r="J21" s="75"/>
    </row>
    <row r="22" spans="1:10" ht="17.100000000000001" customHeight="1" x14ac:dyDescent="0.2">
      <c r="A22" s="164">
        <v>16</v>
      </c>
      <c r="B22" s="165" t="s">
        <v>519</v>
      </c>
      <c r="C22" s="165" t="s">
        <v>520</v>
      </c>
      <c r="D22" s="165" t="s">
        <v>242</v>
      </c>
      <c r="E22" s="166">
        <v>24216</v>
      </c>
      <c r="F22" s="167">
        <v>90.446759999999998</v>
      </c>
      <c r="G22" s="168">
        <v>2.2196299999999999E-2</v>
      </c>
      <c r="H22" s="168"/>
      <c r="J22" s="71"/>
    </row>
    <row r="23" spans="1:10" ht="17.100000000000001" customHeight="1" x14ac:dyDescent="0.2">
      <c r="A23" s="164">
        <v>17</v>
      </c>
      <c r="B23" s="165" t="s">
        <v>480</v>
      </c>
      <c r="C23" s="165" t="s">
        <v>481</v>
      </c>
      <c r="D23" s="165" t="s">
        <v>417</v>
      </c>
      <c r="E23" s="166">
        <v>6584</v>
      </c>
      <c r="F23" s="167">
        <v>89.618116000000001</v>
      </c>
      <c r="G23" s="168">
        <v>2.1992950000000001E-2</v>
      </c>
      <c r="H23" s="168"/>
      <c r="J23" s="75"/>
    </row>
    <row r="24" spans="1:10" ht="17.100000000000001" customHeight="1" x14ac:dyDescent="0.2">
      <c r="A24" s="164">
        <v>18</v>
      </c>
      <c r="B24" s="165" t="s">
        <v>464</v>
      </c>
      <c r="C24" s="165" t="s">
        <v>465</v>
      </c>
      <c r="D24" s="165" t="s">
        <v>13</v>
      </c>
      <c r="E24" s="166">
        <v>48779</v>
      </c>
      <c r="F24" s="167">
        <v>85.265692000000001</v>
      </c>
      <c r="G24" s="168">
        <v>2.0924829999999998E-2</v>
      </c>
      <c r="H24" s="168"/>
      <c r="J24" s="75"/>
    </row>
    <row r="25" spans="1:10" ht="17.100000000000001" customHeight="1" x14ac:dyDescent="0.2">
      <c r="A25" s="164">
        <v>19</v>
      </c>
      <c r="B25" s="165" t="s">
        <v>478</v>
      </c>
      <c r="C25" s="165" t="s">
        <v>479</v>
      </c>
      <c r="D25" s="165" t="s">
        <v>53</v>
      </c>
      <c r="E25" s="166">
        <v>11039</v>
      </c>
      <c r="F25" s="167">
        <v>84.188933500000005</v>
      </c>
      <c r="G25" s="168">
        <v>2.0660580000000001E-2</v>
      </c>
      <c r="H25" s="168"/>
      <c r="J25" s="75"/>
    </row>
    <row r="26" spans="1:10" ht="17.100000000000001" customHeight="1" x14ac:dyDescent="0.2">
      <c r="A26" s="164">
        <v>20</v>
      </c>
      <c r="B26" s="165" t="s">
        <v>488</v>
      </c>
      <c r="C26" s="165" t="s">
        <v>489</v>
      </c>
      <c r="D26" s="165" t="s">
        <v>242</v>
      </c>
      <c r="E26" s="166">
        <v>9506</v>
      </c>
      <c r="F26" s="167">
        <v>80.610879999999995</v>
      </c>
      <c r="G26" s="168">
        <v>1.9782500000000001E-2</v>
      </c>
      <c r="H26" s="168"/>
      <c r="J26" s="75"/>
    </row>
    <row r="27" spans="1:10" ht="17.100000000000001" customHeight="1" x14ac:dyDescent="0.2">
      <c r="A27" s="164">
        <v>21</v>
      </c>
      <c r="B27" s="165" t="s">
        <v>484</v>
      </c>
      <c r="C27" s="165" t="s">
        <v>485</v>
      </c>
      <c r="D27" s="165" t="s">
        <v>53</v>
      </c>
      <c r="E27" s="166">
        <v>62770</v>
      </c>
      <c r="F27" s="167">
        <v>76.391090000000005</v>
      </c>
      <c r="G27" s="168">
        <v>1.874694E-2</v>
      </c>
      <c r="H27" s="168"/>
      <c r="J27" s="75"/>
    </row>
    <row r="28" spans="1:10" ht="29.1" customHeight="1" x14ac:dyDescent="0.2">
      <c r="A28" s="164">
        <v>22</v>
      </c>
      <c r="B28" s="165" t="s">
        <v>314</v>
      </c>
      <c r="C28" s="165" t="s">
        <v>315</v>
      </c>
      <c r="D28" s="165" t="s">
        <v>316</v>
      </c>
      <c r="E28" s="166">
        <v>2136</v>
      </c>
      <c r="F28" s="167">
        <v>73.035179999999997</v>
      </c>
      <c r="G28" s="168">
        <v>1.7923370000000001E-2</v>
      </c>
      <c r="H28" s="168"/>
      <c r="J28" s="75"/>
    </row>
    <row r="29" spans="1:10" ht="29.1" customHeight="1" x14ac:dyDescent="0.2">
      <c r="A29" s="164">
        <v>23</v>
      </c>
      <c r="B29" s="165" t="s">
        <v>492</v>
      </c>
      <c r="C29" s="165" t="s">
        <v>493</v>
      </c>
      <c r="D29" s="165" t="s">
        <v>70</v>
      </c>
      <c r="E29" s="166">
        <v>2903</v>
      </c>
      <c r="F29" s="167">
        <v>72.889975500000006</v>
      </c>
      <c r="G29" s="168">
        <v>1.7887739999999999E-2</v>
      </c>
      <c r="H29" s="168"/>
      <c r="J29" s="75"/>
    </row>
    <row r="30" spans="1:10" ht="29.1" customHeight="1" x14ac:dyDescent="0.2">
      <c r="A30" s="164">
        <v>24</v>
      </c>
      <c r="B30" s="165" t="s">
        <v>472</v>
      </c>
      <c r="C30" s="165" t="s">
        <v>473</v>
      </c>
      <c r="D30" s="165" t="s">
        <v>216</v>
      </c>
      <c r="E30" s="166">
        <v>3650</v>
      </c>
      <c r="F30" s="167">
        <v>69.541624999999996</v>
      </c>
      <c r="G30" s="168">
        <v>1.7066029999999999E-2</v>
      </c>
      <c r="H30" s="168"/>
      <c r="J30" s="75"/>
    </row>
    <row r="31" spans="1:10" ht="17.100000000000001" customHeight="1" x14ac:dyDescent="0.2">
      <c r="A31" s="164">
        <v>25</v>
      </c>
      <c r="B31" s="165" t="s">
        <v>497</v>
      </c>
      <c r="C31" s="165" t="s">
        <v>498</v>
      </c>
      <c r="D31" s="165" t="s">
        <v>75</v>
      </c>
      <c r="E31" s="166">
        <v>10705</v>
      </c>
      <c r="F31" s="167">
        <v>68.228317500000003</v>
      </c>
      <c r="G31" s="168">
        <v>1.6743729999999998E-2</v>
      </c>
      <c r="H31" s="168"/>
      <c r="J31" s="75"/>
    </row>
    <row r="32" spans="1:10" ht="29.1" customHeight="1" x14ac:dyDescent="0.2">
      <c r="A32" s="164">
        <v>26</v>
      </c>
      <c r="B32" s="165" t="s">
        <v>286</v>
      </c>
      <c r="C32" s="165" t="s">
        <v>287</v>
      </c>
      <c r="D32" s="165" t="s">
        <v>216</v>
      </c>
      <c r="E32" s="166">
        <v>14944</v>
      </c>
      <c r="F32" s="167">
        <v>67.248000000000005</v>
      </c>
      <c r="G32" s="168">
        <v>1.6503150000000001E-2</v>
      </c>
      <c r="H32" s="168"/>
      <c r="J32" s="75"/>
    </row>
    <row r="33" spans="1:10" ht="17.100000000000001" customHeight="1" x14ac:dyDescent="0.2">
      <c r="A33" s="164">
        <v>27</v>
      </c>
      <c r="B33" s="165" t="s">
        <v>238</v>
      </c>
      <c r="C33" s="165" t="s">
        <v>239</v>
      </c>
      <c r="D33" s="165" t="s">
        <v>104</v>
      </c>
      <c r="E33" s="166">
        <v>707</v>
      </c>
      <c r="F33" s="167">
        <v>61.431229999999999</v>
      </c>
      <c r="G33" s="168">
        <v>1.5075679999999999E-2</v>
      </c>
      <c r="H33" s="168"/>
      <c r="J33" s="75"/>
    </row>
    <row r="34" spans="1:10" ht="17.100000000000001" customHeight="1" x14ac:dyDescent="0.2">
      <c r="A34" s="164">
        <v>28</v>
      </c>
      <c r="B34" s="165" t="s">
        <v>494</v>
      </c>
      <c r="C34" s="165" t="s">
        <v>495</v>
      </c>
      <c r="D34" s="165" t="s">
        <v>496</v>
      </c>
      <c r="E34" s="166">
        <v>5426</v>
      </c>
      <c r="F34" s="167">
        <v>60.7712</v>
      </c>
      <c r="G34" s="168">
        <v>1.49137E-2</v>
      </c>
      <c r="H34" s="168"/>
      <c r="J34" s="75"/>
    </row>
    <row r="35" spans="1:10" ht="17.100000000000001" customHeight="1" x14ac:dyDescent="0.2">
      <c r="A35" s="164">
        <v>29</v>
      </c>
      <c r="B35" s="165" t="s">
        <v>505</v>
      </c>
      <c r="C35" s="165" t="s">
        <v>506</v>
      </c>
      <c r="D35" s="165" t="s">
        <v>53</v>
      </c>
      <c r="E35" s="166">
        <v>6413</v>
      </c>
      <c r="F35" s="167">
        <v>58.521831499999998</v>
      </c>
      <c r="G35" s="168">
        <v>1.436169E-2</v>
      </c>
      <c r="H35" s="168"/>
      <c r="J35" s="75"/>
    </row>
    <row r="36" spans="1:10" ht="29.1" customHeight="1" x14ac:dyDescent="0.2">
      <c r="A36" s="164">
        <v>30</v>
      </c>
      <c r="B36" s="165" t="s">
        <v>552</v>
      </c>
      <c r="C36" s="165" t="s">
        <v>553</v>
      </c>
      <c r="D36" s="165" t="s">
        <v>414</v>
      </c>
      <c r="E36" s="166">
        <v>9296</v>
      </c>
      <c r="F36" s="167">
        <v>54.990487999999999</v>
      </c>
      <c r="G36" s="168">
        <v>1.349507E-2</v>
      </c>
      <c r="H36" s="168"/>
      <c r="J36" s="75"/>
    </row>
    <row r="37" spans="1:10" ht="17.100000000000001" customHeight="1" x14ac:dyDescent="0.2">
      <c r="A37" s="164">
        <v>31</v>
      </c>
      <c r="B37" s="165" t="s">
        <v>509</v>
      </c>
      <c r="C37" s="165" t="s">
        <v>510</v>
      </c>
      <c r="D37" s="165" t="s">
        <v>75</v>
      </c>
      <c r="E37" s="166">
        <v>11129</v>
      </c>
      <c r="F37" s="167">
        <v>50.6091275</v>
      </c>
      <c r="G37" s="168">
        <v>1.241985E-2</v>
      </c>
      <c r="H37" s="168"/>
      <c r="J37" s="75"/>
    </row>
    <row r="38" spans="1:10" ht="17.100000000000001" customHeight="1" x14ac:dyDescent="0.2">
      <c r="A38" s="164">
        <v>32</v>
      </c>
      <c r="B38" s="165" t="s">
        <v>528</v>
      </c>
      <c r="C38" s="165" t="s">
        <v>529</v>
      </c>
      <c r="D38" s="165" t="s">
        <v>39</v>
      </c>
      <c r="E38" s="166">
        <v>12704</v>
      </c>
      <c r="F38" s="167">
        <v>47.366864</v>
      </c>
      <c r="G38" s="168">
        <v>1.162418E-2</v>
      </c>
      <c r="H38" s="168"/>
      <c r="J38" s="75"/>
    </row>
    <row r="39" spans="1:10" ht="17.100000000000001" customHeight="1" x14ac:dyDescent="0.2">
      <c r="A39" s="164">
        <v>33</v>
      </c>
      <c r="B39" s="165" t="s">
        <v>499</v>
      </c>
      <c r="C39" s="165" t="s">
        <v>500</v>
      </c>
      <c r="D39" s="165" t="s">
        <v>75</v>
      </c>
      <c r="E39" s="166">
        <v>5457</v>
      </c>
      <c r="F39" s="167">
        <v>45.740574000000002</v>
      </c>
      <c r="G39" s="168">
        <v>1.122507E-2</v>
      </c>
      <c r="H39" s="168"/>
      <c r="J39" s="75"/>
    </row>
    <row r="40" spans="1:10" ht="29.1" customHeight="1" x14ac:dyDescent="0.2">
      <c r="A40" s="164">
        <v>34</v>
      </c>
      <c r="B40" s="165" t="s">
        <v>554</v>
      </c>
      <c r="C40" s="165" t="s">
        <v>555</v>
      </c>
      <c r="D40" s="165" t="s">
        <v>556</v>
      </c>
      <c r="E40" s="166">
        <v>9504</v>
      </c>
      <c r="F40" s="167">
        <v>44.416944000000001</v>
      </c>
      <c r="G40" s="168">
        <v>1.090025E-2</v>
      </c>
      <c r="H40" s="168"/>
      <c r="J40" s="75"/>
    </row>
    <row r="41" spans="1:10" ht="17.100000000000001" customHeight="1" x14ac:dyDescent="0.2">
      <c r="A41" s="164">
        <v>35</v>
      </c>
      <c r="B41" s="165" t="s">
        <v>294</v>
      </c>
      <c r="C41" s="165" t="s">
        <v>295</v>
      </c>
      <c r="D41" s="165" t="s">
        <v>53</v>
      </c>
      <c r="E41" s="166">
        <v>4105</v>
      </c>
      <c r="F41" s="167">
        <v>44.202640000000002</v>
      </c>
      <c r="G41" s="168">
        <v>1.084765E-2</v>
      </c>
      <c r="H41" s="168"/>
      <c r="J41" s="75"/>
    </row>
    <row r="42" spans="1:10" ht="29.1" customHeight="1" x14ac:dyDescent="0.2">
      <c r="A42" s="164">
        <v>36</v>
      </c>
      <c r="B42" s="165" t="s">
        <v>501</v>
      </c>
      <c r="C42" s="165" t="s">
        <v>502</v>
      </c>
      <c r="D42" s="165" t="s">
        <v>221</v>
      </c>
      <c r="E42" s="166">
        <v>5842</v>
      </c>
      <c r="F42" s="167">
        <v>36.132770000000001</v>
      </c>
      <c r="G42" s="168">
        <v>8.8672500000000001E-3</v>
      </c>
      <c r="H42" s="168"/>
      <c r="J42" s="75"/>
    </row>
    <row r="43" spans="1:10" ht="17.100000000000001" customHeight="1" x14ac:dyDescent="0.2">
      <c r="A43" s="164">
        <v>37</v>
      </c>
      <c r="B43" s="165" t="s">
        <v>139</v>
      </c>
      <c r="C43" s="165" t="s">
        <v>140</v>
      </c>
      <c r="D43" s="165" t="s">
        <v>36</v>
      </c>
      <c r="E43" s="166">
        <v>4646</v>
      </c>
      <c r="F43" s="167">
        <v>30.210615000000001</v>
      </c>
      <c r="G43" s="168">
        <v>7.4139100000000001E-3</v>
      </c>
      <c r="H43" s="168"/>
      <c r="J43" s="75"/>
    </row>
    <row r="44" spans="1:10" ht="29.1" customHeight="1" x14ac:dyDescent="0.2">
      <c r="A44" s="164">
        <v>38</v>
      </c>
      <c r="B44" s="165" t="s">
        <v>557</v>
      </c>
      <c r="C44" s="165" t="s">
        <v>558</v>
      </c>
      <c r="D44" s="165" t="s">
        <v>75</v>
      </c>
      <c r="E44" s="166">
        <v>2285</v>
      </c>
      <c r="F44" s="167">
        <v>28.917817500000002</v>
      </c>
      <c r="G44" s="168">
        <v>7.0966500000000004E-3</v>
      </c>
      <c r="H44" s="168"/>
      <c r="J44" s="75"/>
    </row>
    <row r="45" spans="1:10" ht="29.1" customHeight="1" x14ac:dyDescent="0.2">
      <c r="A45" s="164">
        <v>39</v>
      </c>
      <c r="B45" s="165" t="s">
        <v>511</v>
      </c>
      <c r="C45" s="165" t="s">
        <v>512</v>
      </c>
      <c r="D45" s="165" t="s">
        <v>216</v>
      </c>
      <c r="E45" s="166">
        <v>546</v>
      </c>
      <c r="F45" s="167">
        <v>26.807507999999999</v>
      </c>
      <c r="G45" s="168">
        <v>6.5787600000000003E-3</v>
      </c>
      <c r="H45" s="168"/>
      <c r="J45" s="75"/>
    </row>
    <row r="46" spans="1:10" ht="17.100000000000001" customHeight="1" x14ac:dyDescent="0.2">
      <c r="A46" s="164">
        <v>40</v>
      </c>
      <c r="B46" s="165" t="s">
        <v>515</v>
      </c>
      <c r="C46" s="165" t="s">
        <v>516</v>
      </c>
      <c r="D46" s="165" t="s">
        <v>104</v>
      </c>
      <c r="E46" s="166">
        <v>2302</v>
      </c>
      <c r="F46" s="167">
        <v>26.501774999999999</v>
      </c>
      <c r="G46" s="168">
        <v>6.5037300000000001E-3</v>
      </c>
      <c r="H46" s="168"/>
      <c r="J46" s="75"/>
    </row>
    <row r="47" spans="1:10" ht="29.1" customHeight="1" x14ac:dyDescent="0.2">
      <c r="A47" s="164">
        <v>41</v>
      </c>
      <c r="B47" s="165" t="s">
        <v>559</v>
      </c>
      <c r="C47" s="165" t="s">
        <v>560</v>
      </c>
      <c r="D47" s="165" t="s">
        <v>28</v>
      </c>
      <c r="E47" s="166">
        <v>3693</v>
      </c>
      <c r="F47" s="167">
        <v>25.743903</v>
      </c>
      <c r="G47" s="168">
        <v>6.3177399999999996E-3</v>
      </c>
      <c r="H47" s="168"/>
      <c r="J47" s="75"/>
    </row>
    <row r="48" spans="1:10" ht="29.1" customHeight="1" x14ac:dyDescent="0.2">
      <c r="A48" s="164">
        <v>42</v>
      </c>
      <c r="B48" s="165" t="s">
        <v>523</v>
      </c>
      <c r="C48" s="165" t="s">
        <v>524</v>
      </c>
      <c r="D48" s="165" t="s">
        <v>216</v>
      </c>
      <c r="E48" s="166">
        <v>6123</v>
      </c>
      <c r="F48" s="167">
        <v>20.0191485</v>
      </c>
      <c r="G48" s="168">
        <v>4.9128499999999999E-3</v>
      </c>
      <c r="H48" s="168"/>
      <c r="J48" s="75"/>
    </row>
    <row r="49" spans="1:10" ht="29.1" customHeight="1" x14ac:dyDescent="0.2">
      <c r="A49" s="164">
        <v>43</v>
      </c>
      <c r="B49" s="165" t="s">
        <v>525</v>
      </c>
      <c r="C49" s="165" t="s">
        <v>526</v>
      </c>
      <c r="D49" s="165" t="s">
        <v>527</v>
      </c>
      <c r="E49" s="166">
        <v>10873</v>
      </c>
      <c r="F49" s="167">
        <v>15.994183</v>
      </c>
      <c r="G49" s="168">
        <v>3.92509E-3</v>
      </c>
      <c r="H49" s="168"/>
      <c r="J49" s="75"/>
    </row>
    <row r="50" spans="1:10" ht="29.1" customHeight="1" x14ac:dyDescent="0.2">
      <c r="A50" s="164">
        <v>44</v>
      </c>
      <c r="B50" s="165" t="s">
        <v>521</v>
      </c>
      <c r="C50" s="165" t="s">
        <v>522</v>
      </c>
      <c r="D50" s="165" t="s">
        <v>75</v>
      </c>
      <c r="E50" s="166">
        <v>4172</v>
      </c>
      <c r="F50" s="167">
        <v>13.283647999999999</v>
      </c>
      <c r="G50" s="168">
        <v>3.25991E-3</v>
      </c>
      <c r="H50" s="168"/>
      <c r="J50" s="75"/>
    </row>
    <row r="51" spans="1:10" ht="17.100000000000001" customHeight="1" x14ac:dyDescent="0.2">
      <c r="A51" s="164">
        <v>45</v>
      </c>
      <c r="B51" s="165" t="s">
        <v>517</v>
      </c>
      <c r="C51" s="165" t="s">
        <v>518</v>
      </c>
      <c r="D51" s="165" t="s">
        <v>36</v>
      </c>
      <c r="E51" s="166">
        <v>707</v>
      </c>
      <c r="F51" s="167">
        <v>11.704031499999999</v>
      </c>
      <c r="G51" s="168">
        <v>2.8722600000000002E-3</v>
      </c>
      <c r="H51" s="168"/>
      <c r="J51" s="75"/>
    </row>
    <row r="52" spans="1:10" ht="14.1" customHeight="1" x14ac:dyDescent="0.2">
      <c r="A52" s="162"/>
      <c r="B52" s="162"/>
      <c r="C52" s="163" t="s">
        <v>152</v>
      </c>
      <c r="D52" s="162"/>
      <c r="E52" s="162" t="s">
        <v>153</v>
      </c>
      <c r="F52" s="169">
        <v>3798.2392759999998</v>
      </c>
      <c r="G52" s="170">
        <v>0.93211588999999995</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154</v>
      </c>
      <c r="D54" s="162"/>
      <c r="E54" s="162"/>
      <c r="F54" s="162"/>
      <c r="G54" s="162"/>
      <c r="H54" s="16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4.1" customHeight="1" x14ac:dyDescent="0.2">
      <c r="A57" s="162"/>
      <c r="B57" s="162"/>
      <c r="C57" s="163" t="s">
        <v>156</v>
      </c>
      <c r="D57" s="162"/>
      <c r="E57" s="162"/>
      <c r="F57" s="162"/>
      <c r="G57" s="162"/>
      <c r="H57" s="162"/>
      <c r="J57" s="75"/>
    </row>
    <row r="58" spans="1:10" ht="14.1" customHeight="1" x14ac:dyDescent="0.2">
      <c r="A58" s="162"/>
      <c r="B58" s="162"/>
      <c r="C58" s="163" t="s">
        <v>152</v>
      </c>
      <c r="D58" s="162"/>
      <c r="E58" s="162" t="s">
        <v>153</v>
      </c>
      <c r="F58" s="173" t="s">
        <v>155</v>
      </c>
      <c r="G58" s="170">
        <v>0</v>
      </c>
      <c r="H58" s="170"/>
      <c r="J58" s="75"/>
    </row>
    <row r="59" spans="1:10" ht="14.1" customHeight="1" x14ac:dyDescent="0.2">
      <c r="A59" s="162"/>
      <c r="B59" s="162"/>
      <c r="C59" s="171"/>
      <c r="D59" s="162"/>
      <c r="E59" s="162"/>
      <c r="F59" s="172"/>
      <c r="G59" s="172"/>
      <c r="H59" s="172"/>
      <c r="J59" s="75"/>
    </row>
    <row r="60" spans="1:10" ht="14.1" customHeight="1" x14ac:dyDescent="0.2">
      <c r="A60" s="162"/>
      <c r="B60" s="162"/>
      <c r="C60" s="163" t="s">
        <v>157</v>
      </c>
      <c r="D60" s="162"/>
      <c r="E60" s="162"/>
      <c r="F60" s="162"/>
      <c r="G60" s="162"/>
      <c r="H60" s="162"/>
      <c r="J60" s="75"/>
    </row>
    <row r="61" spans="1:10" ht="29.1" customHeight="1" x14ac:dyDescent="0.2">
      <c r="A61" s="164">
        <v>1</v>
      </c>
      <c r="B61" s="165" t="s">
        <v>329</v>
      </c>
      <c r="C61" s="165" t="s">
        <v>1202</v>
      </c>
      <c r="D61" s="165" t="s">
        <v>36</v>
      </c>
      <c r="E61" s="166">
        <v>82</v>
      </c>
      <c r="F61" s="167">
        <v>8.2027880000000008E-3</v>
      </c>
      <c r="G61" s="168" t="s">
        <v>151</v>
      </c>
      <c r="H61" s="168"/>
      <c r="J61" s="75"/>
    </row>
    <row r="62" spans="1:10" ht="14.1" customHeight="1" x14ac:dyDescent="0.2">
      <c r="A62" s="162"/>
      <c r="B62" s="162"/>
      <c r="C62" s="163" t="s">
        <v>152</v>
      </c>
      <c r="D62" s="162"/>
      <c r="E62" s="162" t="s">
        <v>153</v>
      </c>
      <c r="F62" s="169">
        <v>8.2027880000000008E-3</v>
      </c>
      <c r="G62" s="170">
        <v>2.0099999999999998E-6</v>
      </c>
      <c r="H62" s="170"/>
      <c r="J62" s="75"/>
    </row>
    <row r="63" spans="1:10" ht="14.1" customHeight="1" x14ac:dyDescent="0.2">
      <c r="A63" s="162"/>
      <c r="B63" s="162"/>
      <c r="C63" s="171"/>
      <c r="D63" s="162"/>
      <c r="E63" s="162"/>
      <c r="F63" s="172"/>
      <c r="G63" s="172"/>
      <c r="H63" s="172"/>
      <c r="J63" s="75"/>
    </row>
    <row r="64" spans="1:10" ht="14.1" customHeight="1" x14ac:dyDescent="0.2">
      <c r="A64" s="162"/>
      <c r="B64" s="162"/>
      <c r="C64" s="163" t="s">
        <v>158</v>
      </c>
      <c r="D64" s="162"/>
      <c r="E64" s="162"/>
      <c r="F64" s="172"/>
      <c r="G64" s="172"/>
      <c r="H64" s="172"/>
      <c r="J64" s="75"/>
    </row>
    <row r="65" spans="1:10" ht="14.1" customHeight="1" x14ac:dyDescent="0.2">
      <c r="A65" s="162"/>
      <c r="B65" s="162"/>
      <c r="C65" s="163" t="s">
        <v>152</v>
      </c>
      <c r="D65" s="162"/>
      <c r="E65" s="162" t="s">
        <v>153</v>
      </c>
      <c r="F65" s="173" t="s">
        <v>155</v>
      </c>
      <c r="G65" s="170">
        <v>0</v>
      </c>
      <c r="H65" s="170"/>
      <c r="J65" s="75"/>
    </row>
    <row r="66" spans="1:10" ht="14.1" customHeight="1" x14ac:dyDescent="0.2">
      <c r="A66" s="162"/>
      <c r="B66" s="162"/>
      <c r="C66" s="171"/>
      <c r="D66" s="162"/>
      <c r="E66" s="162"/>
      <c r="F66" s="172"/>
      <c r="G66" s="172"/>
      <c r="H66" s="172"/>
      <c r="J66" s="75"/>
    </row>
    <row r="67" spans="1:10" ht="14.1" customHeight="1" x14ac:dyDescent="0.2">
      <c r="A67" s="162"/>
      <c r="B67" s="162"/>
      <c r="C67" s="163" t="s">
        <v>159</v>
      </c>
      <c r="D67" s="162"/>
      <c r="E67" s="162"/>
      <c r="F67" s="172"/>
      <c r="G67" s="172"/>
      <c r="H67" s="172"/>
      <c r="J67" s="75"/>
    </row>
    <row r="68" spans="1:10" ht="14.1" customHeight="1" x14ac:dyDescent="0.2">
      <c r="A68" s="162"/>
      <c r="B68" s="162"/>
      <c r="C68" s="163" t="s">
        <v>152</v>
      </c>
      <c r="D68" s="162"/>
      <c r="E68" s="162" t="s">
        <v>153</v>
      </c>
      <c r="F68" s="173" t="s">
        <v>155</v>
      </c>
      <c r="G68" s="170">
        <v>0</v>
      </c>
      <c r="H68" s="170"/>
      <c r="J68" s="75"/>
    </row>
    <row r="69" spans="1:10" ht="14.1" customHeight="1" x14ac:dyDescent="0.2">
      <c r="A69" s="162"/>
      <c r="B69" s="162"/>
      <c r="C69" s="171"/>
      <c r="D69" s="162"/>
      <c r="E69" s="162"/>
      <c r="F69" s="172"/>
      <c r="G69" s="172"/>
      <c r="H69" s="172"/>
      <c r="J69" s="75"/>
    </row>
    <row r="70" spans="1:10" ht="18" customHeight="1" x14ac:dyDescent="0.2">
      <c r="A70" s="162"/>
      <c r="B70" s="162"/>
      <c r="C70" s="163" t="s">
        <v>160</v>
      </c>
      <c r="D70" s="162"/>
      <c r="E70" s="162"/>
      <c r="F70" s="169">
        <v>3798.2474787880001</v>
      </c>
      <c r="G70" s="170">
        <v>0.93211790000000005</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161</v>
      </c>
      <c r="D72" s="162"/>
      <c r="E72" s="162"/>
      <c r="F72" s="172"/>
      <c r="G72" s="172"/>
      <c r="H72" s="172"/>
      <c r="J72" s="75"/>
    </row>
    <row r="73" spans="1:10" ht="24" customHeight="1" x14ac:dyDescent="0.2">
      <c r="A73" s="162"/>
      <c r="B73" s="162"/>
      <c r="C73" s="163" t="s">
        <v>10</v>
      </c>
      <c r="D73" s="162"/>
      <c r="E73" s="162"/>
      <c r="F73" s="172"/>
      <c r="G73" s="172"/>
      <c r="H73" s="172"/>
      <c r="J73" s="75"/>
    </row>
    <row r="74" spans="1:10" ht="14.1" customHeight="1" x14ac:dyDescent="0.2">
      <c r="A74" s="162"/>
      <c r="B74" s="162"/>
      <c r="C74" s="163" t="s">
        <v>152</v>
      </c>
      <c r="D74" s="162"/>
      <c r="E74" s="162" t="s">
        <v>153</v>
      </c>
      <c r="F74" s="173" t="s">
        <v>155</v>
      </c>
      <c r="G74" s="170">
        <v>0</v>
      </c>
      <c r="H74" s="170"/>
      <c r="J74" s="75"/>
    </row>
    <row r="75" spans="1:10" ht="14.1" customHeight="1" x14ac:dyDescent="0.2">
      <c r="A75" s="162"/>
      <c r="B75" s="162"/>
      <c r="C75" s="171"/>
      <c r="D75" s="162"/>
      <c r="E75" s="162"/>
      <c r="F75" s="172"/>
      <c r="G75" s="172"/>
      <c r="H75" s="172"/>
      <c r="J75" s="75"/>
    </row>
    <row r="76" spans="1:10" ht="14.1" customHeight="1" x14ac:dyDescent="0.2">
      <c r="A76" s="162"/>
      <c r="B76" s="162"/>
      <c r="C76" s="163" t="s">
        <v>162</v>
      </c>
      <c r="D76" s="162"/>
      <c r="E76" s="162"/>
      <c r="F76" s="162"/>
      <c r="G76" s="162"/>
      <c r="H76" s="162"/>
      <c r="J76" s="75"/>
    </row>
    <row r="77" spans="1:10" ht="14.1" customHeight="1" x14ac:dyDescent="0.2">
      <c r="A77" s="162"/>
      <c r="B77" s="162"/>
      <c r="C77" s="163" t="s">
        <v>152</v>
      </c>
      <c r="D77" s="162"/>
      <c r="E77" s="162" t="s">
        <v>153</v>
      </c>
      <c r="F77" s="173" t="s">
        <v>155</v>
      </c>
      <c r="G77" s="170">
        <v>0</v>
      </c>
      <c r="H77" s="170"/>
      <c r="J77" s="75"/>
    </row>
    <row r="78" spans="1:10" ht="14.1" customHeight="1" x14ac:dyDescent="0.2">
      <c r="A78" s="162"/>
      <c r="B78" s="162"/>
      <c r="C78" s="171"/>
      <c r="D78" s="162"/>
      <c r="E78" s="162"/>
      <c r="F78" s="172"/>
      <c r="G78" s="172"/>
      <c r="H78" s="172"/>
      <c r="J78" s="75"/>
    </row>
    <row r="79" spans="1:10" ht="14.1" customHeight="1" x14ac:dyDescent="0.2">
      <c r="A79" s="162"/>
      <c r="B79" s="162"/>
      <c r="C79" s="163" t="s">
        <v>163</v>
      </c>
      <c r="D79" s="162"/>
      <c r="E79" s="162"/>
      <c r="F79" s="162"/>
      <c r="G79" s="162"/>
      <c r="H79" s="162"/>
      <c r="J79" s="75"/>
    </row>
    <row r="80" spans="1:10" ht="14.1" customHeight="1" x14ac:dyDescent="0.2">
      <c r="A80" s="162"/>
      <c r="B80" s="162"/>
      <c r="C80" s="163" t="s">
        <v>152</v>
      </c>
      <c r="D80" s="162"/>
      <c r="E80" s="162" t="s">
        <v>153</v>
      </c>
      <c r="F80" s="173" t="s">
        <v>155</v>
      </c>
      <c r="G80" s="170">
        <v>0</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164</v>
      </c>
      <c r="D82" s="162"/>
      <c r="E82" s="162"/>
      <c r="F82" s="172"/>
      <c r="G82" s="172"/>
      <c r="H82" s="17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165</v>
      </c>
      <c r="D85" s="162"/>
      <c r="E85" s="162"/>
      <c r="F85" s="169">
        <v>0</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166</v>
      </c>
      <c r="D87" s="162"/>
      <c r="E87" s="162"/>
      <c r="F87" s="172"/>
      <c r="G87" s="172"/>
      <c r="H87" s="172"/>
      <c r="J87" s="75"/>
    </row>
    <row r="88" spans="1:10" ht="14.1" customHeight="1" x14ac:dyDescent="0.2">
      <c r="A88" s="162"/>
      <c r="B88" s="162"/>
      <c r="C88" s="163" t="s">
        <v>167</v>
      </c>
      <c r="D88" s="162"/>
      <c r="E88" s="162"/>
      <c r="F88" s="172"/>
      <c r="G88" s="172"/>
      <c r="H88" s="172"/>
      <c r="J88" s="75"/>
    </row>
    <row r="89" spans="1:10" ht="14.1" customHeight="1" x14ac:dyDescent="0.2">
      <c r="A89" s="162"/>
      <c r="B89" s="162"/>
      <c r="C89" s="163" t="s">
        <v>152</v>
      </c>
      <c r="D89" s="162"/>
      <c r="E89" s="162" t="s">
        <v>153</v>
      </c>
      <c r="F89" s="173" t="s">
        <v>155</v>
      </c>
      <c r="G89" s="170">
        <v>0</v>
      </c>
      <c r="H89" s="170"/>
      <c r="J89" s="75"/>
    </row>
    <row r="90" spans="1:10" ht="14.1" customHeight="1" x14ac:dyDescent="0.2">
      <c r="A90" s="162"/>
      <c r="B90" s="162"/>
      <c r="C90" s="171"/>
      <c r="D90" s="162"/>
      <c r="E90" s="162"/>
      <c r="F90" s="172"/>
      <c r="G90" s="172"/>
      <c r="H90" s="172"/>
      <c r="J90" s="75"/>
    </row>
    <row r="91" spans="1:10" ht="14.1" customHeight="1" x14ac:dyDescent="0.2">
      <c r="A91" s="162"/>
      <c r="B91" s="162"/>
      <c r="C91" s="163" t="s">
        <v>168</v>
      </c>
      <c r="D91" s="162"/>
      <c r="E91" s="162"/>
      <c r="F91" s="172"/>
      <c r="G91" s="172"/>
      <c r="H91" s="17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169</v>
      </c>
      <c r="D94" s="162"/>
      <c r="E94" s="162"/>
      <c r="F94" s="172"/>
      <c r="G94" s="172"/>
      <c r="H94" s="17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170</v>
      </c>
      <c r="D97" s="162"/>
      <c r="E97" s="162"/>
      <c r="F97" s="172"/>
      <c r="G97" s="172"/>
      <c r="H97" s="172"/>
      <c r="J97" s="75"/>
    </row>
    <row r="98" spans="1:10" ht="17.100000000000001" customHeight="1" x14ac:dyDescent="0.2">
      <c r="A98" s="164">
        <v>1</v>
      </c>
      <c r="B98" s="165"/>
      <c r="C98" s="165" t="s">
        <v>171</v>
      </c>
      <c r="D98" s="165"/>
      <c r="E98" s="174"/>
      <c r="F98" s="167">
        <v>266.44447849900001</v>
      </c>
      <c r="G98" s="168">
        <v>6.5387440000000005E-2</v>
      </c>
      <c r="H98" s="175">
        <v>6.66</v>
      </c>
      <c r="J98" s="75"/>
    </row>
    <row r="99" spans="1:10" ht="14.1" customHeight="1" x14ac:dyDescent="0.2">
      <c r="A99" s="162"/>
      <c r="B99" s="162"/>
      <c r="C99" s="163" t="s">
        <v>152</v>
      </c>
      <c r="D99" s="162"/>
      <c r="E99" s="162" t="s">
        <v>153</v>
      </c>
      <c r="F99" s="169">
        <v>266.44447849900001</v>
      </c>
      <c r="G99" s="170">
        <v>6.5387440000000005E-2</v>
      </c>
      <c r="H99" s="170"/>
      <c r="J99" s="75"/>
    </row>
    <row r="100" spans="1:10" ht="14.1" customHeight="1" x14ac:dyDescent="0.2">
      <c r="A100" s="162"/>
      <c r="B100" s="162"/>
      <c r="C100" s="171"/>
      <c r="D100" s="162"/>
      <c r="E100" s="162"/>
      <c r="F100" s="172"/>
      <c r="G100" s="172"/>
      <c r="H100" s="172"/>
      <c r="J100" s="75"/>
    </row>
    <row r="101" spans="1:10" ht="14.1" customHeight="1" x14ac:dyDescent="0.2">
      <c r="A101" s="162"/>
      <c r="B101" s="162"/>
      <c r="C101" s="163" t="s">
        <v>172</v>
      </c>
      <c r="D101" s="162"/>
      <c r="E101" s="162"/>
      <c r="F101" s="169">
        <v>266.44447849900001</v>
      </c>
      <c r="G101" s="170">
        <v>6.5387440000000005E-2</v>
      </c>
      <c r="H101" s="170"/>
      <c r="J101" s="75"/>
    </row>
    <row r="102" spans="1:10" ht="14.1" customHeight="1" x14ac:dyDescent="0.2">
      <c r="A102" s="162"/>
      <c r="B102" s="162"/>
      <c r="C102" s="172"/>
      <c r="D102" s="162"/>
      <c r="E102" s="162"/>
      <c r="F102" s="162"/>
      <c r="G102" s="162"/>
      <c r="H102" s="162"/>
      <c r="J102" s="75"/>
    </row>
    <row r="103" spans="1:10" ht="14.1" customHeight="1" x14ac:dyDescent="0.2">
      <c r="A103" s="162"/>
      <c r="B103" s="162"/>
      <c r="C103" s="163" t="s">
        <v>173</v>
      </c>
      <c r="D103" s="162"/>
      <c r="E103" s="162"/>
      <c r="F103" s="162"/>
      <c r="G103" s="162"/>
      <c r="H103" s="162"/>
      <c r="J103" s="75"/>
    </row>
    <row r="104" spans="1:10" ht="14.1" customHeight="1" x14ac:dyDescent="0.2">
      <c r="A104" s="162"/>
      <c r="B104" s="162"/>
      <c r="C104" s="163" t="s">
        <v>174</v>
      </c>
      <c r="D104" s="162"/>
      <c r="E104" s="162"/>
      <c r="F104" s="162"/>
      <c r="G104" s="162"/>
      <c r="H104" s="162"/>
      <c r="J104" s="75"/>
    </row>
    <row r="105" spans="1:10" ht="14.1" customHeight="1" x14ac:dyDescent="0.2">
      <c r="A105" s="162"/>
      <c r="B105" s="162"/>
      <c r="C105" s="163" t="s">
        <v>152</v>
      </c>
      <c r="D105" s="162"/>
      <c r="E105" s="162" t="s">
        <v>153</v>
      </c>
      <c r="F105" s="173" t="s">
        <v>155</v>
      </c>
      <c r="G105" s="170">
        <v>0</v>
      </c>
      <c r="H105" s="170"/>
      <c r="J105" s="75"/>
    </row>
    <row r="106" spans="1:10" ht="14.1" customHeight="1" x14ac:dyDescent="0.2">
      <c r="A106" s="162"/>
      <c r="B106" s="162"/>
      <c r="C106" s="171"/>
      <c r="D106" s="162"/>
      <c r="E106" s="162"/>
      <c r="F106" s="172"/>
      <c r="G106" s="172"/>
      <c r="H106" s="172"/>
      <c r="J106" s="75"/>
    </row>
    <row r="107" spans="1:10" ht="14.1" customHeight="1" x14ac:dyDescent="0.2">
      <c r="A107" s="162"/>
      <c r="B107" s="162"/>
      <c r="C107" s="163" t="s">
        <v>177</v>
      </c>
      <c r="D107" s="162"/>
      <c r="E107" s="162"/>
      <c r="F107" s="162"/>
      <c r="G107" s="162"/>
      <c r="H107" s="162"/>
      <c r="J107" s="75"/>
    </row>
    <row r="108" spans="1:10" ht="14.1" customHeight="1" x14ac:dyDescent="0.2">
      <c r="A108" s="162"/>
      <c r="B108" s="162"/>
      <c r="C108" s="163" t="s">
        <v>178</v>
      </c>
      <c r="D108" s="162"/>
      <c r="E108" s="162"/>
      <c r="F108" s="162"/>
      <c r="G108" s="162"/>
      <c r="H108" s="162"/>
      <c r="J108" s="75"/>
    </row>
    <row r="109" spans="1:10" ht="14.1" customHeight="1" x14ac:dyDescent="0.2">
      <c r="A109" s="162"/>
      <c r="B109" s="162"/>
      <c r="C109" s="163" t="s">
        <v>152</v>
      </c>
      <c r="D109" s="162"/>
      <c r="E109" s="162" t="s">
        <v>153</v>
      </c>
      <c r="F109" s="173" t="s">
        <v>155</v>
      </c>
      <c r="G109" s="170">
        <v>0</v>
      </c>
      <c r="H109" s="170"/>
      <c r="J109" s="75"/>
    </row>
    <row r="110" spans="1:10" ht="14.1" customHeight="1" x14ac:dyDescent="0.2">
      <c r="A110" s="162"/>
      <c r="B110" s="162"/>
      <c r="C110" s="171"/>
      <c r="D110" s="162"/>
      <c r="E110" s="162"/>
      <c r="F110" s="172"/>
      <c r="G110" s="172"/>
      <c r="H110" s="172"/>
      <c r="J110" s="75"/>
    </row>
    <row r="111" spans="1:10" ht="24" customHeight="1" x14ac:dyDescent="0.2">
      <c r="A111" s="162"/>
      <c r="B111" s="162"/>
      <c r="C111" s="163" t="s">
        <v>179</v>
      </c>
      <c r="D111" s="162"/>
      <c r="E111" s="162"/>
      <c r="F111" s="172"/>
      <c r="G111" s="172"/>
      <c r="H111" s="172"/>
      <c r="J111" s="75"/>
    </row>
    <row r="112" spans="1:10" ht="14.1" customHeight="1" x14ac:dyDescent="0.2">
      <c r="A112" s="162"/>
      <c r="B112" s="162"/>
      <c r="C112" s="163" t="s">
        <v>152</v>
      </c>
      <c r="D112" s="162"/>
      <c r="E112" s="162" t="s">
        <v>153</v>
      </c>
      <c r="F112" s="173" t="s">
        <v>155</v>
      </c>
      <c r="G112" s="170">
        <v>0</v>
      </c>
      <c r="H112" s="170"/>
      <c r="J112" s="75"/>
    </row>
    <row r="113" spans="1:17" ht="14.1" customHeight="1" x14ac:dyDescent="0.2">
      <c r="A113" s="162"/>
      <c r="B113" s="165"/>
      <c r="C113" s="165"/>
      <c r="D113" s="163"/>
      <c r="E113" s="162"/>
      <c r="F113" s="165"/>
      <c r="G113" s="174"/>
      <c r="H113" s="174"/>
      <c r="J113" s="75"/>
    </row>
    <row r="114" spans="1:17" ht="18" customHeight="1" x14ac:dyDescent="0.2">
      <c r="A114" s="174"/>
      <c r="B114" s="165"/>
      <c r="C114" s="165" t="s">
        <v>180</v>
      </c>
      <c r="D114" s="165"/>
      <c r="E114" s="174"/>
      <c r="F114" s="167">
        <v>10.16549682</v>
      </c>
      <c r="G114" s="168">
        <v>2.4946899999999999E-3</v>
      </c>
      <c r="H114" s="168"/>
      <c r="J114" s="75"/>
    </row>
    <row r="115" spans="1:17" ht="14.1" customHeight="1" x14ac:dyDescent="0.2">
      <c r="A115" s="171"/>
      <c r="B115" s="171"/>
      <c r="C115" s="163" t="s">
        <v>181</v>
      </c>
      <c r="D115" s="172"/>
      <c r="E115" s="172"/>
      <c r="F115" s="169">
        <v>4074.8574541070002</v>
      </c>
      <c r="G115" s="177">
        <v>1.00000003</v>
      </c>
      <c r="H115" s="177"/>
      <c r="J115" s="75"/>
    </row>
    <row r="116" spans="1:17" ht="14.1" customHeight="1" x14ac:dyDescent="0.2">
      <c r="A116" s="178"/>
      <c r="B116" s="178"/>
      <c r="C116" s="178"/>
      <c r="D116" s="179"/>
      <c r="E116" s="179"/>
      <c r="F116" s="179"/>
      <c r="G116" s="179"/>
      <c r="H116" s="179"/>
      <c r="J116" s="75"/>
    </row>
    <row r="117" spans="1:17" ht="12.75" customHeight="1" x14ac:dyDescent="0.2">
      <c r="A117" s="180"/>
      <c r="B117" s="258" t="s">
        <v>882</v>
      </c>
      <c r="C117" s="258"/>
      <c r="D117" s="258"/>
      <c r="E117" s="258"/>
      <c r="F117" s="258"/>
      <c r="G117" s="258"/>
      <c r="H117" s="258"/>
      <c r="J117" s="75"/>
    </row>
    <row r="118" spans="1:17" ht="14.1" customHeight="1" x14ac:dyDescent="0.2">
      <c r="A118" s="180"/>
      <c r="B118" s="258" t="s">
        <v>883</v>
      </c>
      <c r="C118" s="258"/>
      <c r="D118" s="258"/>
      <c r="E118" s="258"/>
      <c r="F118" s="258"/>
      <c r="G118" s="258"/>
      <c r="H118" s="258"/>
      <c r="J118" s="75"/>
    </row>
    <row r="119" spans="1:17" ht="17.100000000000001" customHeight="1" x14ac:dyDescent="0.2">
      <c r="A119" s="180"/>
      <c r="B119" s="258" t="s">
        <v>884</v>
      </c>
      <c r="C119" s="258"/>
      <c r="D119" s="258"/>
      <c r="E119" s="258"/>
      <c r="F119" s="258"/>
      <c r="G119" s="258"/>
      <c r="H119" s="258"/>
      <c r="J119" s="75"/>
    </row>
    <row r="120" spans="1:17" s="34" customFormat="1" ht="66" customHeight="1" x14ac:dyDescent="0.25">
      <c r="A120" s="33"/>
      <c r="B120" s="259" t="s">
        <v>885</v>
      </c>
      <c r="C120" s="259"/>
      <c r="D120" s="259"/>
      <c r="E120" s="259"/>
      <c r="F120" s="259"/>
      <c r="G120" s="259"/>
      <c r="H120" s="259"/>
      <c r="I120"/>
      <c r="J120" s="75"/>
      <c r="K120"/>
      <c r="L120"/>
      <c r="M120"/>
      <c r="N120"/>
      <c r="O120"/>
      <c r="P120"/>
      <c r="Q120"/>
    </row>
    <row r="121" spans="1:17" ht="12.75" customHeight="1" x14ac:dyDescent="0.2">
      <c r="A121" s="180"/>
      <c r="B121" s="258" t="s">
        <v>886</v>
      </c>
      <c r="C121" s="258"/>
      <c r="D121" s="258"/>
      <c r="E121" s="258"/>
      <c r="F121" s="258"/>
      <c r="G121" s="258"/>
      <c r="H121" s="258"/>
      <c r="J121" s="75"/>
    </row>
    <row r="122" spans="1:17" ht="14.1" customHeight="1" x14ac:dyDescent="0.2">
      <c r="A122" s="181"/>
      <c r="B122" s="181"/>
      <c r="C122" s="181"/>
      <c r="D122" s="182"/>
      <c r="E122" s="182"/>
      <c r="F122" s="182"/>
      <c r="G122" s="182"/>
      <c r="H122" s="182"/>
      <c r="J122" s="75"/>
    </row>
    <row r="123" spans="1:17" ht="14.1" customHeight="1" x14ac:dyDescent="0.2">
      <c r="A123" s="181"/>
      <c r="B123" s="255" t="s">
        <v>183</v>
      </c>
      <c r="C123" s="256"/>
      <c r="D123" s="257"/>
      <c r="E123" s="183"/>
      <c r="F123" s="182"/>
      <c r="G123" s="182"/>
      <c r="H123" s="182"/>
      <c r="J123" s="75"/>
    </row>
    <row r="124" spans="1:17" ht="29.1" customHeight="1" x14ac:dyDescent="0.2">
      <c r="A124" s="181"/>
      <c r="B124" s="253" t="s">
        <v>184</v>
      </c>
      <c r="C124" s="254"/>
      <c r="D124" s="163" t="s">
        <v>185</v>
      </c>
      <c r="E124" s="183"/>
      <c r="F124" s="182"/>
      <c r="G124" s="182"/>
      <c r="H124" s="182"/>
      <c r="J124" s="75"/>
    </row>
    <row r="125" spans="1:17" ht="17.100000000000001" customHeight="1" x14ac:dyDescent="0.2">
      <c r="A125" s="181"/>
      <c r="B125" s="251" t="s">
        <v>898</v>
      </c>
      <c r="C125" s="252"/>
      <c r="D125" s="184" t="s">
        <v>896</v>
      </c>
      <c r="E125" s="183"/>
      <c r="F125" s="182"/>
      <c r="G125" s="182"/>
      <c r="H125" s="182"/>
      <c r="J125" s="75"/>
    </row>
    <row r="126" spans="1:17" ht="17.100000000000001" customHeight="1" x14ac:dyDescent="0.2">
      <c r="A126" s="181"/>
      <c r="B126" s="253" t="s">
        <v>187</v>
      </c>
      <c r="C126" s="254"/>
      <c r="D126" s="172" t="s">
        <v>153</v>
      </c>
      <c r="E126" s="183"/>
      <c r="F126" s="182"/>
      <c r="G126" s="182"/>
      <c r="H126" s="182"/>
      <c r="J126" s="75"/>
    </row>
    <row r="127" spans="1:17" x14ac:dyDescent="0.2">
      <c r="A127" s="185"/>
      <c r="B127" s="186" t="s">
        <v>153</v>
      </c>
      <c r="C127" s="186" t="s">
        <v>1088</v>
      </c>
      <c r="D127" s="186" t="s">
        <v>188</v>
      </c>
      <c r="E127" s="185"/>
      <c r="F127" s="185"/>
      <c r="G127" s="185"/>
      <c r="H127" s="185"/>
      <c r="J127" s="75"/>
    </row>
    <row r="128" spans="1:17" x14ac:dyDescent="0.2">
      <c r="A128" s="185"/>
      <c r="B128" s="187" t="s">
        <v>189</v>
      </c>
      <c r="C128" s="186" t="s">
        <v>190</v>
      </c>
      <c r="D128" s="186" t="s">
        <v>191</v>
      </c>
      <c r="E128" s="185"/>
      <c r="F128" s="185"/>
      <c r="G128" s="185"/>
      <c r="H128" s="185"/>
      <c r="J128" s="75"/>
    </row>
    <row r="129" spans="1:10" ht="17.100000000000001" customHeight="1" x14ac:dyDescent="0.2">
      <c r="A129" s="185"/>
      <c r="B129" s="165" t="s">
        <v>192</v>
      </c>
      <c r="C129" s="188">
        <v>23.354099999999999</v>
      </c>
      <c r="D129" s="188">
        <v>25.129300000000001</v>
      </c>
      <c r="E129" s="185"/>
      <c r="F129" s="189"/>
      <c r="G129" s="190"/>
      <c r="H129" s="190"/>
      <c r="J129" s="75"/>
    </row>
    <row r="130" spans="1:10" ht="17.100000000000001" customHeight="1" x14ac:dyDescent="0.2">
      <c r="A130" s="185"/>
      <c r="B130" s="165" t="s">
        <v>1054</v>
      </c>
      <c r="C130" s="188">
        <v>22.6035</v>
      </c>
      <c r="D130" s="188">
        <v>24.3216</v>
      </c>
      <c r="E130" s="185"/>
      <c r="F130" s="189"/>
      <c r="G130" s="190"/>
      <c r="H130" s="190"/>
      <c r="J130" s="75"/>
    </row>
    <row r="131" spans="1:10" ht="17.100000000000001" customHeight="1" x14ac:dyDescent="0.2">
      <c r="A131" s="185"/>
      <c r="B131" s="165" t="s">
        <v>193</v>
      </c>
      <c r="C131" s="188">
        <v>22.3491</v>
      </c>
      <c r="D131" s="188">
        <v>24.0428</v>
      </c>
      <c r="E131" s="185"/>
      <c r="F131" s="189"/>
      <c r="G131" s="190"/>
      <c r="H131" s="190"/>
      <c r="J131" s="75"/>
    </row>
    <row r="132" spans="1:10" ht="17.100000000000001" customHeight="1" x14ac:dyDescent="0.2">
      <c r="A132" s="185"/>
      <c r="B132" s="165" t="s">
        <v>1055</v>
      </c>
      <c r="C132" s="188">
        <v>21.599</v>
      </c>
      <c r="D132" s="188">
        <v>23.235800000000001</v>
      </c>
      <c r="E132" s="185"/>
      <c r="F132" s="189"/>
      <c r="G132" s="190"/>
      <c r="H132" s="190"/>
      <c r="J132" s="75"/>
    </row>
    <row r="133" spans="1:10" ht="14.1" customHeight="1" x14ac:dyDescent="0.2">
      <c r="A133" s="185"/>
      <c r="B133" s="185"/>
      <c r="C133" s="185"/>
      <c r="D133" s="185"/>
      <c r="E133" s="185"/>
      <c r="F133" s="185"/>
      <c r="G133" s="185"/>
      <c r="H133" s="185"/>
      <c r="J133" s="75"/>
    </row>
    <row r="134" spans="1:10" ht="17.100000000000001" customHeight="1" x14ac:dyDescent="0.2">
      <c r="A134" s="185"/>
      <c r="B134" s="253" t="s">
        <v>1056</v>
      </c>
      <c r="C134" s="254"/>
      <c r="D134" s="163" t="s">
        <v>185</v>
      </c>
      <c r="E134" s="185"/>
      <c r="F134" s="185"/>
      <c r="G134" s="185"/>
      <c r="H134" s="185"/>
      <c r="J134" s="75"/>
    </row>
    <row r="135" spans="1:10" ht="14.1" customHeight="1" x14ac:dyDescent="0.2">
      <c r="A135" s="185"/>
      <c r="B135" s="189"/>
      <c r="C135" s="189"/>
      <c r="D135" s="185"/>
      <c r="E135" s="185"/>
      <c r="F135" s="185"/>
      <c r="G135" s="185"/>
      <c r="H135" s="185"/>
      <c r="J135" s="75"/>
    </row>
    <row r="136" spans="1:10" ht="29.1" customHeight="1" x14ac:dyDescent="0.2">
      <c r="A136" s="185"/>
      <c r="B136" s="253" t="s">
        <v>194</v>
      </c>
      <c r="C136" s="254"/>
      <c r="D136" s="163" t="s">
        <v>185</v>
      </c>
      <c r="E136" s="191"/>
      <c r="F136" s="185"/>
      <c r="G136" s="185"/>
      <c r="H136" s="185"/>
      <c r="J136" s="75"/>
    </row>
    <row r="137" spans="1:10" ht="29.1" customHeight="1" x14ac:dyDescent="0.2">
      <c r="A137" s="185"/>
      <c r="B137" s="253" t="s">
        <v>195</v>
      </c>
      <c r="C137" s="254"/>
      <c r="D137" s="163" t="s">
        <v>185</v>
      </c>
      <c r="E137" s="191"/>
      <c r="F137" s="185"/>
      <c r="G137" s="185"/>
      <c r="H137" s="185"/>
      <c r="J137" s="75"/>
    </row>
    <row r="138" spans="1:10" ht="17.100000000000001" customHeight="1" x14ac:dyDescent="0.2">
      <c r="A138" s="185"/>
      <c r="B138" s="253" t="s">
        <v>196</v>
      </c>
      <c r="C138" s="254"/>
      <c r="D138" s="163" t="s">
        <v>185</v>
      </c>
      <c r="E138" s="191"/>
      <c r="F138" s="185"/>
      <c r="G138" s="185"/>
      <c r="H138" s="185"/>
      <c r="J138" s="75"/>
    </row>
    <row r="139" spans="1:10" ht="17.100000000000001" customHeight="1" x14ac:dyDescent="0.2">
      <c r="A139" s="185"/>
      <c r="B139" s="253" t="s">
        <v>197</v>
      </c>
      <c r="C139" s="254"/>
      <c r="D139" s="192">
        <v>6.9422999999999999E-2</v>
      </c>
      <c r="E139" s="185"/>
      <c r="F139" s="189"/>
      <c r="G139" s="190"/>
      <c r="H139" s="190"/>
      <c r="J139" s="75"/>
    </row>
  </sheetData>
  <mergeCells count="17">
    <mergeCell ref="B139:C139"/>
    <mergeCell ref="B134:C134"/>
    <mergeCell ref="B136:C136"/>
    <mergeCell ref="B137:C137"/>
    <mergeCell ref="B138:C138"/>
    <mergeCell ref="A1:H1"/>
    <mergeCell ref="A2:H2"/>
    <mergeCell ref="A3:H3"/>
    <mergeCell ref="B125:C125"/>
    <mergeCell ref="B126:C126"/>
    <mergeCell ref="B123:D123"/>
    <mergeCell ref="B124:C124"/>
    <mergeCell ref="B117:H117"/>
    <mergeCell ref="B118:H118"/>
    <mergeCell ref="B119:H119"/>
    <mergeCell ref="B120:H120"/>
    <mergeCell ref="B121:H121"/>
  </mergeCells>
  <hyperlinks>
    <hyperlink ref="I1" location="Index!B13" display="Index" xr:uid="{8DC75AE9-9D3B-40AB-A764-8B2AB23877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T168"/>
  <sheetViews>
    <sheetView showGridLines="0" workbookViewId="0">
      <selection activeCell="C85" sqref="C85"/>
    </sheetView>
  </sheetViews>
  <sheetFormatPr defaultRowHeight="12.75" x14ac:dyDescent="0.2"/>
  <cols>
    <col min="1" max="1" width="5.85546875" bestFit="1" customWidth="1"/>
    <col min="2" max="2" width="18.42578125" bestFit="1" customWidth="1"/>
    <col min="3" max="3" width="39.140625" bestFit="1" customWidth="1"/>
    <col min="4" max="4" width="17.5703125" bestFit="1" customWidth="1"/>
    <col min="5" max="5" width="11.4257812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x14ac:dyDescent="0.2">
      <c r="A2" s="250" t="s">
        <v>564</v>
      </c>
      <c r="B2" s="250"/>
      <c r="C2" s="250"/>
      <c r="D2" s="250"/>
      <c r="E2" s="250"/>
      <c r="F2" s="250"/>
      <c r="G2" s="250"/>
      <c r="H2" s="250"/>
      <c r="J2" s="70" t="s">
        <v>889</v>
      </c>
      <c r="K2" s="67"/>
      <c r="L2" s="67"/>
      <c r="M2" s="67"/>
      <c r="N2" s="67"/>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x14ac:dyDescent="0.2">
      <c r="A7" s="164">
        <v>1</v>
      </c>
      <c r="B7" s="165" t="s">
        <v>468</v>
      </c>
      <c r="C7" s="165" t="s">
        <v>469</v>
      </c>
      <c r="D7" s="165" t="s">
        <v>53</v>
      </c>
      <c r="E7" s="166">
        <v>1622911</v>
      </c>
      <c r="F7" s="167">
        <v>9322.8122394999991</v>
      </c>
      <c r="G7" s="168">
        <v>2.9636369999999999E-2</v>
      </c>
      <c r="H7" s="168"/>
      <c r="J7" s="75"/>
    </row>
    <row r="8" spans="1:17" x14ac:dyDescent="0.2">
      <c r="A8" s="164">
        <v>2</v>
      </c>
      <c r="B8" s="165" t="s">
        <v>478</v>
      </c>
      <c r="C8" s="165" t="s">
        <v>479</v>
      </c>
      <c r="D8" s="165" t="s">
        <v>53</v>
      </c>
      <c r="E8" s="166">
        <v>1164560</v>
      </c>
      <c r="F8" s="167">
        <v>8881.5168400000002</v>
      </c>
      <c r="G8" s="168">
        <v>2.823353E-2</v>
      </c>
      <c r="H8" s="168"/>
      <c r="J8" s="75"/>
    </row>
    <row r="9" spans="1:17" x14ac:dyDescent="0.2">
      <c r="A9" s="164">
        <v>3</v>
      </c>
      <c r="B9" s="165" t="s">
        <v>34</v>
      </c>
      <c r="C9" s="165" t="s">
        <v>35</v>
      </c>
      <c r="D9" s="165" t="s">
        <v>36</v>
      </c>
      <c r="E9" s="166">
        <v>192356</v>
      </c>
      <c r="F9" s="167">
        <v>8679.1027200000008</v>
      </c>
      <c r="G9" s="168">
        <v>2.7590079999999999E-2</v>
      </c>
      <c r="H9" s="168"/>
      <c r="J9" s="75"/>
    </row>
    <row r="10" spans="1:17" x14ac:dyDescent="0.2">
      <c r="A10" s="164">
        <v>4</v>
      </c>
      <c r="B10" s="165" t="s">
        <v>460</v>
      </c>
      <c r="C10" s="165" t="s">
        <v>461</v>
      </c>
      <c r="D10" s="165" t="s">
        <v>75</v>
      </c>
      <c r="E10" s="166">
        <v>387840</v>
      </c>
      <c r="F10" s="167">
        <v>8197.1923200000001</v>
      </c>
      <c r="G10" s="168">
        <v>2.6058129999999999E-2</v>
      </c>
      <c r="H10" s="168"/>
      <c r="J10" s="75"/>
    </row>
    <row r="11" spans="1:17" x14ac:dyDescent="0.2">
      <c r="A11" s="164">
        <v>5</v>
      </c>
      <c r="B11" s="165" t="s">
        <v>125</v>
      </c>
      <c r="C11" s="165" t="s">
        <v>126</v>
      </c>
      <c r="D11" s="165" t="s">
        <v>53</v>
      </c>
      <c r="E11" s="166">
        <v>1754986</v>
      </c>
      <c r="F11" s="167">
        <v>7749.1406829999996</v>
      </c>
      <c r="G11" s="168">
        <v>2.4633809999999999E-2</v>
      </c>
      <c r="H11" s="168"/>
      <c r="J11" s="75"/>
    </row>
    <row r="12" spans="1:17" ht="15" x14ac:dyDescent="0.2">
      <c r="A12" s="164">
        <v>6</v>
      </c>
      <c r="B12" s="165" t="s">
        <v>294</v>
      </c>
      <c r="C12" s="165" t="s">
        <v>295</v>
      </c>
      <c r="D12" s="165" t="s">
        <v>53</v>
      </c>
      <c r="E12" s="166">
        <v>702024</v>
      </c>
      <c r="F12" s="167">
        <v>7559.3944320000001</v>
      </c>
      <c r="G12" s="168">
        <v>2.4030630000000001E-2</v>
      </c>
      <c r="H12" s="168"/>
      <c r="J12" s="71"/>
    </row>
    <row r="13" spans="1:17" x14ac:dyDescent="0.2">
      <c r="A13" s="164">
        <v>7</v>
      </c>
      <c r="B13" s="165" t="s">
        <v>410</v>
      </c>
      <c r="C13" s="165" t="s">
        <v>411</v>
      </c>
      <c r="D13" s="165" t="s">
        <v>273</v>
      </c>
      <c r="E13" s="166">
        <v>410580</v>
      </c>
      <c r="F13" s="167">
        <v>7214.3011800000004</v>
      </c>
      <c r="G13" s="168">
        <v>2.293361E-2</v>
      </c>
      <c r="H13" s="168"/>
      <c r="J13" s="75"/>
    </row>
    <row r="14" spans="1:17" x14ac:dyDescent="0.2">
      <c r="A14" s="164">
        <v>8</v>
      </c>
      <c r="B14" s="165" t="s">
        <v>350</v>
      </c>
      <c r="C14" s="165" t="s">
        <v>351</v>
      </c>
      <c r="D14" s="165" t="s">
        <v>262</v>
      </c>
      <c r="E14" s="166">
        <v>171608</v>
      </c>
      <c r="F14" s="167">
        <v>7051.3727200000003</v>
      </c>
      <c r="G14" s="168">
        <v>2.2415669999999999E-2</v>
      </c>
      <c r="H14" s="168"/>
      <c r="J14" s="75"/>
    </row>
    <row r="15" spans="1:17" x14ac:dyDescent="0.2">
      <c r="A15" s="164">
        <v>9</v>
      </c>
      <c r="B15" s="165" t="s">
        <v>488</v>
      </c>
      <c r="C15" s="165" t="s">
        <v>489</v>
      </c>
      <c r="D15" s="165" t="s">
        <v>242</v>
      </c>
      <c r="E15" s="166">
        <v>762252</v>
      </c>
      <c r="F15" s="167">
        <v>6463.89696</v>
      </c>
      <c r="G15" s="168">
        <v>2.0548139999999999E-2</v>
      </c>
      <c r="H15" s="168"/>
      <c r="J15" s="75"/>
    </row>
    <row r="16" spans="1:17" x14ac:dyDescent="0.2">
      <c r="A16" s="164">
        <v>10</v>
      </c>
      <c r="B16" s="165" t="s">
        <v>462</v>
      </c>
      <c r="C16" s="165" t="s">
        <v>463</v>
      </c>
      <c r="D16" s="165" t="s">
        <v>39</v>
      </c>
      <c r="E16" s="166">
        <v>6529016</v>
      </c>
      <c r="F16" s="167">
        <v>6336.4100280000002</v>
      </c>
      <c r="G16" s="168">
        <v>2.014287E-2</v>
      </c>
      <c r="H16" s="168"/>
      <c r="J16" s="75"/>
    </row>
    <row r="17" spans="1:10" ht="25.5" x14ac:dyDescent="0.2">
      <c r="A17" s="164">
        <v>11</v>
      </c>
      <c r="B17" s="165" t="s">
        <v>565</v>
      </c>
      <c r="C17" s="165" t="s">
        <v>566</v>
      </c>
      <c r="D17" s="165" t="s">
        <v>216</v>
      </c>
      <c r="E17" s="166">
        <v>950000</v>
      </c>
      <c r="F17" s="167">
        <v>6274.2749999999996</v>
      </c>
      <c r="G17" s="168">
        <v>1.9945350000000001E-2</v>
      </c>
      <c r="H17" s="168"/>
      <c r="J17" s="75" t="s">
        <v>902</v>
      </c>
    </row>
    <row r="18" spans="1:10" x14ac:dyDescent="0.2">
      <c r="A18" s="164">
        <v>12</v>
      </c>
      <c r="B18" s="165" t="s">
        <v>78</v>
      </c>
      <c r="C18" s="165" t="s">
        <v>79</v>
      </c>
      <c r="D18" s="165" t="s">
        <v>80</v>
      </c>
      <c r="E18" s="166">
        <v>595041</v>
      </c>
      <c r="F18" s="167">
        <v>6146.1784889999999</v>
      </c>
      <c r="G18" s="168">
        <v>1.9538139999999999E-2</v>
      </c>
      <c r="H18" s="168"/>
      <c r="J18" s="75"/>
    </row>
    <row r="19" spans="1:10" x14ac:dyDescent="0.2">
      <c r="A19" s="164">
        <v>13</v>
      </c>
      <c r="B19" s="165" t="s">
        <v>93</v>
      </c>
      <c r="C19" s="165" t="s">
        <v>94</v>
      </c>
      <c r="D19" s="165" t="s">
        <v>36</v>
      </c>
      <c r="E19" s="166">
        <v>151416</v>
      </c>
      <c r="F19" s="167">
        <v>6049.9776959999999</v>
      </c>
      <c r="G19" s="168">
        <v>1.9232329999999999E-2</v>
      </c>
      <c r="H19" s="168"/>
      <c r="J19" s="75"/>
    </row>
    <row r="20" spans="1:10" ht="25.5" x14ac:dyDescent="0.2">
      <c r="A20" s="164">
        <v>14</v>
      </c>
      <c r="B20" s="165" t="s">
        <v>472</v>
      </c>
      <c r="C20" s="165" t="s">
        <v>473</v>
      </c>
      <c r="D20" s="165" t="s">
        <v>216</v>
      </c>
      <c r="E20" s="166">
        <v>311732</v>
      </c>
      <c r="F20" s="167">
        <v>5939.2739300000003</v>
      </c>
      <c r="G20" s="168">
        <v>1.888041E-2</v>
      </c>
      <c r="H20" s="168"/>
      <c r="J20" s="75"/>
    </row>
    <row r="21" spans="1:10" x14ac:dyDescent="0.2">
      <c r="A21" s="164">
        <v>15</v>
      </c>
      <c r="B21" s="165" t="s">
        <v>567</v>
      </c>
      <c r="C21" s="165" t="s">
        <v>568</v>
      </c>
      <c r="D21" s="165" t="s">
        <v>80</v>
      </c>
      <c r="E21" s="166">
        <v>325071</v>
      </c>
      <c r="F21" s="167">
        <v>5775.6989924999998</v>
      </c>
      <c r="G21" s="168">
        <v>1.8360419999999999E-2</v>
      </c>
      <c r="H21" s="168"/>
      <c r="J21" s="75"/>
    </row>
    <row r="22" spans="1:10" ht="15" x14ac:dyDescent="0.2">
      <c r="A22" s="164">
        <v>16</v>
      </c>
      <c r="B22" s="165" t="s">
        <v>147</v>
      </c>
      <c r="C22" s="165" t="s">
        <v>148</v>
      </c>
      <c r="D22" s="165" t="s">
        <v>75</v>
      </c>
      <c r="E22" s="166">
        <v>1717007</v>
      </c>
      <c r="F22" s="167">
        <v>5422.3081060000004</v>
      </c>
      <c r="G22" s="168">
        <v>1.7237019999999999E-2</v>
      </c>
      <c r="H22" s="168"/>
      <c r="J22" s="71"/>
    </row>
    <row r="23" spans="1:10" x14ac:dyDescent="0.2">
      <c r="A23" s="164">
        <v>17</v>
      </c>
      <c r="B23" s="165" t="s">
        <v>569</v>
      </c>
      <c r="C23" s="165" t="s">
        <v>570</v>
      </c>
      <c r="D23" s="165" t="s">
        <v>232</v>
      </c>
      <c r="E23" s="166">
        <v>758517</v>
      </c>
      <c r="F23" s="167">
        <v>5287.6220069999999</v>
      </c>
      <c r="G23" s="168">
        <v>1.680887E-2</v>
      </c>
      <c r="H23" s="168"/>
      <c r="J23" s="75"/>
    </row>
    <row r="24" spans="1:10" x14ac:dyDescent="0.2">
      <c r="A24" s="164">
        <v>18</v>
      </c>
      <c r="B24" s="165" t="s">
        <v>571</v>
      </c>
      <c r="C24" s="165" t="s">
        <v>572</v>
      </c>
      <c r="D24" s="165" t="s">
        <v>496</v>
      </c>
      <c r="E24" s="166">
        <v>287733</v>
      </c>
      <c r="F24" s="167">
        <v>5197.8966449999998</v>
      </c>
      <c r="G24" s="168">
        <v>1.6523639999999999E-2</v>
      </c>
      <c r="H24" s="168"/>
      <c r="J24" s="75"/>
    </row>
    <row r="25" spans="1:10" x14ac:dyDescent="0.2">
      <c r="A25" s="164">
        <v>19</v>
      </c>
      <c r="B25" s="165" t="s">
        <v>258</v>
      </c>
      <c r="C25" s="165" t="s">
        <v>259</v>
      </c>
      <c r="D25" s="165" t="s">
        <v>39</v>
      </c>
      <c r="E25" s="166">
        <v>3338863</v>
      </c>
      <c r="F25" s="167">
        <v>5148.5267459999995</v>
      </c>
      <c r="G25" s="168">
        <v>1.6366700000000001E-2</v>
      </c>
      <c r="H25" s="168"/>
      <c r="J25" s="75"/>
    </row>
    <row r="26" spans="1:10" x14ac:dyDescent="0.2">
      <c r="A26" s="164">
        <v>20</v>
      </c>
      <c r="B26" s="165" t="s">
        <v>87</v>
      </c>
      <c r="C26" s="165" t="s">
        <v>88</v>
      </c>
      <c r="D26" s="165" t="s">
        <v>13</v>
      </c>
      <c r="E26" s="166">
        <v>774293</v>
      </c>
      <c r="F26" s="167">
        <v>5079.7492265000001</v>
      </c>
      <c r="G26" s="168">
        <v>1.6148059999999999E-2</v>
      </c>
      <c r="H26" s="168"/>
      <c r="J26" s="75"/>
    </row>
    <row r="27" spans="1:10" x14ac:dyDescent="0.2">
      <c r="A27" s="164">
        <v>21</v>
      </c>
      <c r="B27" s="165" t="s">
        <v>240</v>
      </c>
      <c r="C27" s="165" t="s">
        <v>241</v>
      </c>
      <c r="D27" s="165" t="s">
        <v>242</v>
      </c>
      <c r="E27" s="166">
        <v>585880</v>
      </c>
      <c r="F27" s="167">
        <v>5067.2761200000004</v>
      </c>
      <c r="G27" s="168">
        <v>1.610841E-2</v>
      </c>
      <c r="H27" s="168"/>
      <c r="J27" s="75"/>
    </row>
    <row r="28" spans="1:10" x14ac:dyDescent="0.2">
      <c r="A28" s="164">
        <v>22</v>
      </c>
      <c r="B28" s="165" t="s">
        <v>470</v>
      </c>
      <c r="C28" s="165" t="s">
        <v>471</v>
      </c>
      <c r="D28" s="165" t="s">
        <v>262</v>
      </c>
      <c r="E28" s="166">
        <v>180632</v>
      </c>
      <c r="F28" s="167">
        <v>5033.4913120000001</v>
      </c>
      <c r="G28" s="168">
        <v>1.600101E-2</v>
      </c>
      <c r="H28" s="168"/>
      <c r="J28" s="75"/>
    </row>
    <row r="29" spans="1:10" x14ac:dyDescent="0.2">
      <c r="A29" s="164">
        <v>23</v>
      </c>
      <c r="B29" s="165" t="s">
        <v>378</v>
      </c>
      <c r="C29" s="165" t="s">
        <v>379</v>
      </c>
      <c r="D29" s="165" t="s">
        <v>39</v>
      </c>
      <c r="E29" s="166">
        <v>3237028</v>
      </c>
      <c r="F29" s="167">
        <v>5020.6304280000004</v>
      </c>
      <c r="G29" s="168">
        <v>1.5960129999999999E-2</v>
      </c>
      <c r="H29" s="168"/>
      <c r="J29" s="75"/>
    </row>
    <row r="30" spans="1:10" ht="25.5" x14ac:dyDescent="0.2">
      <c r="A30" s="164">
        <v>24</v>
      </c>
      <c r="B30" s="165" t="s">
        <v>503</v>
      </c>
      <c r="C30" s="165" t="s">
        <v>504</v>
      </c>
      <c r="D30" s="165" t="s">
        <v>36</v>
      </c>
      <c r="E30" s="166">
        <v>329789</v>
      </c>
      <c r="F30" s="167">
        <v>4690.5889470000002</v>
      </c>
      <c r="G30" s="168">
        <v>1.4910959999999999E-2</v>
      </c>
      <c r="H30" s="168"/>
      <c r="J30" s="75" t="s">
        <v>903</v>
      </c>
    </row>
    <row r="31" spans="1:10" x14ac:dyDescent="0.2">
      <c r="A31" s="164">
        <v>25</v>
      </c>
      <c r="B31" s="165" t="s">
        <v>54</v>
      </c>
      <c r="C31" s="165" t="s">
        <v>55</v>
      </c>
      <c r="D31" s="165" t="s">
        <v>39</v>
      </c>
      <c r="E31" s="166">
        <v>555737</v>
      </c>
      <c r="F31" s="167">
        <v>4591.7769625000001</v>
      </c>
      <c r="G31" s="168">
        <v>1.459684E-2</v>
      </c>
      <c r="H31" s="168"/>
      <c r="J31" s="75"/>
    </row>
    <row r="32" spans="1:10" x14ac:dyDescent="0.2">
      <c r="A32" s="164">
        <v>26</v>
      </c>
      <c r="B32" s="165" t="s">
        <v>573</v>
      </c>
      <c r="C32" s="165" t="s">
        <v>574</v>
      </c>
      <c r="D32" s="165" t="s">
        <v>262</v>
      </c>
      <c r="E32" s="166">
        <v>85868</v>
      </c>
      <c r="F32" s="167">
        <v>4544.3921639999999</v>
      </c>
      <c r="G32" s="168">
        <v>1.4446209999999999E-2</v>
      </c>
      <c r="H32" s="168"/>
      <c r="J32" s="75"/>
    </row>
    <row r="33" spans="1:10" x14ac:dyDescent="0.2">
      <c r="A33" s="164">
        <v>27</v>
      </c>
      <c r="B33" s="165" t="s">
        <v>139</v>
      </c>
      <c r="C33" s="165" t="s">
        <v>140</v>
      </c>
      <c r="D33" s="165" t="s">
        <v>36</v>
      </c>
      <c r="E33" s="166">
        <v>679434</v>
      </c>
      <c r="F33" s="167">
        <v>4418.019585</v>
      </c>
      <c r="G33" s="168">
        <v>1.404448E-2</v>
      </c>
      <c r="H33" s="168"/>
      <c r="J33" s="75"/>
    </row>
    <row r="34" spans="1:10" x14ac:dyDescent="0.2">
      <c r="A34" s="164">
        <v>28</v>
      </c>
      <c r="B34" s="165" t="s">
        <v>37</v>
      </c>
      <c r="C34" s="165" t="s">
        <v>38</v>
      </c>
      <c r="D34" s="165" t="s">
        <v>39</v>
      </c>
      <c r="E34" s="166">
        <v>383610</v>
      </c>
      <c r="F34" s="167">
        <v>4413.0494399999998</v>
      </c>
      <c r="G34" s="168">
        <v>1.402868E-2</v>
      </c>
      <c r="H34" s="168"/>
      <c r="J34" s="75"/>
    </row>
    <row r="35" spans="1:10" ht="25.5" x14ac:dyDescent="0.2">
      <c r="A35" s="164">
        <v>29</v>
      </c>
      <c r="B35" s="165" t="s">
        <v>575</v>
      </c>
      <c r="C35" s="165" t="s">
        <v>576</v>
      </c>
      <c r="D35" s="165" t="s">
        <v>556</v>
      </c>
      <c r="E35" s="166">
        <v>2058571</v>
      </c>
      <c r="F35" s="167">
        <v>4352.8483795000002</v>
      </c>
      <c r="G35" s="168">
        <v>1.383731E-2</v>
      </c>
      <c r="H35" s="168"/>
      <c r="J35" s="75"/>
    </row>
    <row r="36" spans="1:10" x14ac:dyDescent="0.2">
      <c r="A36" s="164">
        <v>30</v>
      </c>
      <c r="B36" s="165" t="s">
        <v>494</v>
      </c>
      <c r="C36" s="165" t="s">
        <v>495</v>
      </c>
      <c r="D36" s="165" t="s">
        <v>496</v>
      </c>
      <c r="E36" s="166">
        <v>385296</v>
      </c>
      <c r="F36" s="167">
        <v>4315.3152</v>
      </c>
      <c r="G36" s="168">
        <v>1.3717989999999999E-2</v>
      </c>
      <c r="H36" s="168"/>
      <c r="J36" s="75"/>
    </row>
    <row r="37" spans="1:10" x14ac:dyDescent="0.2">
      <c r="A37" s="164">
        <v>31</v>
      </c>
      <c r="B37" s="165" t="s">
        <v>269</v>
      </c>
      <c r="C37" s="165" t="s">
        <v>270</v>
      </c>
      <c r="D37" s="165" t="s">
        <v>232</v>
      </c>
      <c r="E37" s="166">
        <v>82858</v>
      </c>
      <c r="F37" s="167">
        <v>4228.4508850000002</v>
      </c>
      <c r="G37" s="168">
        <v>1.344186E-2</v>
      </c>
      <c r="H37" s="168"/>
      <c r="J37" s="75"/>
    </row>
    <row r="38" spans="1:10" x14ac:dyDescent="0.2">
      <c r="A38" s="164">
        <v>32</v>
      </c>
      <c r="B38" s="165" t="s">
        <v>532</v>
      </c>
      <c r="C38" s="200" t="s">
        <v>1053</v>
      </c>
      <c r="D38" s="165" t="s">
        <v>285</v>
      </c>
      <c r="E38" s="166">
        <v>618162</v>
      </c>
      <c r="F38" s="167">
        <v>4217.410245</v>
      </c>
      <c r="G38" s="168">
        <v>1.340676E-2</v>
      </c>
      <c r="H38" s="168"/>
      <c r="J38" s="75"/>
    </row>
    <row r="39" spans="1:10" x14ac:dyDescent="0.2">
      <c r="A39" s="164">
        <v>33</v>
      </c>
      <c r="B39" s="165" t="s">
        <v>331</v>
      </c>
      <c r="C39" s="165" t="s">
        <v>332</v>
      </c>
      <c r="D39" s="165" t="s">
        <v>39</v>
      </c>
      <c r="E39" s="166">
        <v>272416</v>
      </c>
      <c r="F39" s="167">
        <v>4140.9956160000002</v>
      </c>
      <c r="G39" s="168">
        <v>1.316385E-2</v>
      </c>
      <c r="H39" s="168"/>
      <c r="J39" s="75"/>
    </row>
    <row r="40" spans="1:10" ht="25.5" x14ac:dyDescent="0.2">
      <c r="A40" s="164">
        <v>34</v>
      </c>
      <c r="B40" s="165" t="s">
        <v>577</v>
      </c>
      <c r="C40" s="165" t="s">
        <v>578</v>
      </c>
      <c r="D40" s="165" t="s">
        <v>316</v>
      </c>
      <c r="E40" s="166">
        <v>265529</v>
      </c>
      <c r="F40" s="167">
        <v>4095.7848250000002</v>
      </c>
      <c r="G40" s="168">
        <v>1.302013E-2</v>
      </c>
      <c r="H40" s="168"/>
      <c r="J40" s="75"/>
    </row>
    <row r="41" spans="1:10" x14ac:dyDescent="0.2">
      <c r="A41" s="164">
        <v>35</v>
      </c>
      <c r="B41" s="165" t="s">
        <v>389</v>
      </c>
      <c r="C41" s="165" t="s">
        <v>390</v>
      </c>
      <c r="D41" s="165" t="s">
        <v>53</v>
      </c>
      <c r="E41" s="166">
        <v>57744</v>
      </c>
      <c r="F41" s="167">
        <v>3997.9347120000002</v>
      </c>
      <c r="G41" s="168">
        <v>1.2709069999999999E-2</v>
      </c>
      <c r="H41" s="168"/>
      <c r="J41" s="75"/>
    </row>
    <row r="42" spans="1:10" ht="25.5" x14ac:dyDescent="0.2">
      <c r="A42" s="164">
        <v>36</v>
      </c>
      <c r="B42" s="165" t="s">
        <v>135</v>
      </c>
      <c r="C42" s="165" t="s">
        <v>136</v>
      </c>
      <c r="D42" s="165" t="s">
        <v>25</v>
      </c>
      <c r="E42" s="166">
        <v>274747</v>
      </c>
      <c r="F42" s="167">
        <v>3962.2638605000002</v>
      </c>
      <c r="G42" s="168">
        <v>1.259568E-2</v>
      </c>
      <c r="H42" s="168"/>
      <c r="J42" s="75"/>
    </row>
    <row r="43" spans="1:10" x14ac:dyDescent="0.2">
      <c r="A43" s="164">
        <v>37</v>
      </c>
      <c r="B43" s="165" t="s">
        <v>579</v>
      </c>
      <c r="C43" s="165" t="s">
        <v>580</v>
      </c>
      <c r="D43" s="165" t="s">
        <v>393</v>
      </c>
      <c r="E43" s="166">
        <v>452552</v>
      </c>
      <c r="F43" s="167">
        <v>3832.436612</v>
      </c>
      <c r="G43" s="168">
        <v>1.218297E-2</v>
      </c>
      <c r="H43" s="168"/>
      <c r="J43" s="75"/>
    </row>
    <row r="44" spans="1:10" x14ac:dyDescent="0.2">
      <c r="A44" s="164">
        <v>38</v>
      </c>
      <c r="B44" s="165" t="s">
        <v>256</v>
      </c>
      <c r="C44" s="165" t="s">
        <v>257</v>
      </c>
      <c r="D44" s="165" t="s">
        <v>65</v>
      </c>
      <c r="E44" s="166">
        <v>1291266</v>
      </c>
      <c r="F44" s="167">
        <v>3822.1473599999999</v>
      </c>
      <c r="G44" s="168">
        <v>1.215026E-2</v>
      </c>
      <c r="H44" s="168"/>
      <c r="J44" s="75"/>
    </row>
    <row r="45" spans="1:10" x14ac:dyDescent="0.2">
      <c r="A45" s="164">
        <v>39</v>
      </c>
      <c r="B45" s="165" t="s">
        <v>85</v>
      </c>
      <c r="C45" s="165" t="s">
        <v>86</v>
      </c>
      <c r="D45" s="165" t="s">
        <v>33</v>
      </c>
      <c r="E45" s="166">
        <v>1099317</v>
      </c>
      <c r="F45" s="167">
        <v>3687.6588765000001</v>
      </c>
      <c r="G45" s="168">
        <v>1.1722730000000001E-2</v>
      </c>
      <c r="H45" s="168"/>
      <c r="J45" s="75"/>
    </row>
    <row r="46" spans="1:10" x14ac:dyDescent="0.2">
      <c r="A46" s="164">
        <v>40</v>
      </c>
      <c r="B46" s="165" t="s">
        <v>528</v>
      </c>
      <c r="C46" s="165" t="s">
        <v>529</v>
      </c>
      <c r="D46" s="165" t="s">
        <v>39</v>
      </c>
      <c r="E46" s="166">
        <v>985676</v>
      </c>
      <c r="F46" s="167">
        <v>3675.0929660000002</v>
      </c>
      <c r="G46" s="168">
        <v>1.168279E-2</v>
      </c>
      <c r="H46" s="168"/>
      <c r="J46" s="75"/>
    </row>
    <row r="47" spans="1:10" ht="25.5" x14ac:dyDescent="0.2">
      <c r="A47" s="164">
        <v>41</v>
      </c>
      <c r="B47" s="165" t="s">
        <v>511</v>
      </c>
      <c r="C47" s="165" t="s">
        <v>512</v>
      </c>
      <c r="D47" s="165" t="s">
        <v>216</v>
      </c>
      <c r="E47" s="166">
        <v>74554</v>
      </c>
      <c r="F47" s="167">
        <v>3660.4522919999999</v>
      </c>
      <c r="G47" s="168">
        <v>1.1636240000000001E-2</v>
      </c>
      <c r="H47" s="168"/>
      <c r="J47" s="75"/>
    </row>
    <row r="48" spans="1:10" x14ac:dyDescent="0.2">
      <c r="A48" s="164">
        <v>42</v>
      </c>
      <c r="B48" s="165" t="s">
        <v>581</v>
      </c>
      <c r="C48" s="165" t="s">
        <v>582</v>
      </c>
      <c r="D48" s="165" t="s">
        <v>213</v>
      </c>
      <c r="E48" s="166">
        <v>85682</v>
      </c>
      <c r="F48" s="167">
        <v>3585.8345410000002</v>
      </c>
      <c r="G48" s="168">
        <v>1.1399039999999999E-2</v>
      </c>
      <c r="H48" s="168"/>
      <c r="J48" s="75"/>
    </row>
    <row r="49" spans="1:10" x14ac:dyDescent="0.2">
      <c r="A49" s="164">
        <v>43</v>
      </c>
      <c r="B49" s="165" t="s">
        <v>480</v>
      </c>
      <c r="C49" s="165" t="s">
        <v>481</v>
      </c>
      <c r="D49" s="165" t="s">
        <v>417</v>
      </c>
      <c r="E49" s="166">
        <v>260719</v>
      </c>
      <c r="F49" s="167">
        <v>3548.7766685000001</v>
      </c>
      <c r="G49" s="168">
        <v>1.128124E-2</v>
      </c>
      <c r="H49" s="168"/>
      <c r="J49" s="75"/>
    </row>
    <row r="50" spans="1:10" x14ac:dyDescent="0.2">
      <c r="A50" s="164">
        <v>44</v>
      </c>
      <c r="B50" s="165" t="s">
        <v>583</v>
      </c>
      <c r="C50" s="165" t="s">
        <v>584</v>
      </c>
      <c r="D50" s="165" t="s">
        <v>262</v>
      </c>
      <c r="E50" s="166">
        <v>160942</v>
      </c>
      <c r="F50" s="167">
        <v>3393.783954</v>
      </c>
      <c r="G50" s="168">
        <v>1.0788529999999999E-2</v>
      </c>
      <c r="H50" s="168"/>
      <c r="J50" s="75"/>
    </row>
    <row r="51" spans="1:10" ht="25.5" x14ac:dyDescent="0.2">
      <c r="A51" s="164">
        <v>45</v>
      </c>
      <c r="B51" s="165" t="s">
        <v>585</v>
      </c>
      <c r="C51" s="165" t="s">
        <v>586</v>
      </c>
      <c r="D51" s="165" t="s">
        <v>216</v>
      </c>
      <c r="E51" s="166">
        <v>484538</v>
      </c>
      <c r="F51" s="167">
        <v>3385.224737</v>
      </c>
      <c r="G51" s="168">
        <v>1.076132E-2</v>
      </c>
      <c r="H51" s="168"/>
      <c r="J51" s="75"/>
    </row>
    <row r="52" spans="1:10" x14ac:dyDescent="0.2">
      <c r="A52" s="164">
        <v>46</v>
      </c>
      <c r="B52" s="165" t="s">
        <v>587</v>
      </c>
      <c r="C52" s="165" t="s">
        <v>588</v>
      </c>
      <c r="D52" s="165" t="s">
        <v>232</v>
      </c>
      <c r="E52" s="166">
        <v>498569</v>
      </c>
      <c r="F52" s="167">
        <v>3241.1970689999998</v>
      </c>
      <c r="G52" s="168">
        <v>1.030347E-2</v>
      </c>
      <c r="H52" s="168"/>
      <c r="J52" s="75"/>
    </row>
    <row r="53" spans="1:10" x14ac:dyDescent="0.2">
      <c r="A53" s="164">
        <v>47</v>
      </c>
      <c r="B53" s="165" t="s">
        <v>49</v>
      </c>
      <c r="C53" s="165" t="s">
        <v>50</v>
      </c>
      <c r="D53" s="165" t="s">
        <v>13</v>
      </c>
      <c r="E53" s="166">
        <v>690873</v>
      </c>
      <c r="F53" s="167">
        <v>3098.9108415000001</v>
      </c>
      <c r="G53" s="168">
        <v>9.8511599999999994E-3</v>
      </c>
      <c r="H53" s="168"/>
      <c r="J53" s="75"/>
    </row>
    <row r="54" spans="1:10" ht="25.5" x14ac:dyDescent="0.2">
      <c r="A54" s="164">
        <v>48</v>
      </c>
      <c r="B54" s="165" t="s">
        <v>314</v>
      </c>
      <c r="C54" s="165" t="s">
        <v>315</v>
      </c>
      <c r="D54" s="165" t="s">
        <v>316</v>
      </c>
      <c r="E54" s="166">
        <v>86958</v>
      </c>
      <c r="F54" s="167">
        <v>2973.3114150000001</v>
      </c>
      <c r="G54" s="168">
        <v>9.4518899999999993E-3</v>
      </c>
      <c r="H54" s="168"/>
      <c r="J54" s="75"/>
    </row>
    <row r="55" spans="1:10" x14ac:dyDescent="0.2">
      <c r="A55" s="164">
        <v>49</v>
      </c>
      <c r="B55" s="165" t="s">
        <v>371</v>
      </c>
      <c r="C55" s="165" t="s">
        <v>372</v>
      </c>
      <c r="D55" s="165" t="s">
        <v>373</v>
      </c>
      <c r="E55" s="166">
        <v>158000</v>
      </c>
      <c r="F55" s="167">
        <v>2905.5410000000002</v>
      </c>
      <c r="G55" s="168">
        <v>9.2364500000000002E-3</v>
      </c>
      <c r="H55" s="168"/>
      <c r="J55" s="75"/>
    </row>
    <row r="56" spans="1:10" x14ac:dyDescent="0.2">
      <c r="A56" s="164">
        <v>50</v>
      </c>
      <c r="B56" s="165" t="s">
        <v>589</v>
      </c>
      <c r="C56" s="165" t="s">
        <v>590</v>
      </c>
      <c r="D56" s="165" t="s">
        <v>406</v>
      </c>
      <c r="E56" s="166">
        <v>587804</v>
      </c>
      <c r="F56" s="167">
        <v>2862.0176759999999</v>
      </c>
      <c r="G56" s="168">
        <v>9.0980899999999996E-3</v>
      </c>
      <c r="H56" s="168"/>
      <c r="J56" s="75"/>
    </row>
    <row r="57" spans="1:10" x14ac:dyDescent="0.2">
      <c r="A57" s="164">
        <v>51</v>
      </c>
      <c r="B57" s="165" t="s">
        <v>591</v>
      </c>
      <c r="C57" s="165" t="s">
        <v>592</v>
      </c>
      <c r="D57" s="165" t="s">
        <v>213</v>
      </c>
      <c r="E57" s="166">
        <v>819819</v>
      </c>
      <c r="F57" s="167">
        <v>2854.1998484999999</v>
      </c>
      <c r="G57" s="168">
        <v>9.0732399999999998E-3</v>
      </c>
      <c r="H57" s="168"/>
      <c r="J57" s="75"/>
    </row>
    <row r="58" spans="1:10" ht="25.5" x14ac:dyDescent="0.2">
      <c r="A58" s="164">
        <v>52</v>
      </c>
      <c r="B58" s="165" t="s">
        <v>593</v>
      </c>
      <c r="C58" s="165" t="s">
        <v>594</v>
      </c>
      <c r="D58" s="165" t="s">
        <v>414</v>
      </c>
      <c r="E58" s="166">
        <v>709805</v>
      </c>
      <c r="F58" s="167">
        <v>2807.6336775</v>
      </c>
      <c r="G58" s="168">
        <v>8.9252099999999994E-3</v>
      </c>
      <c r="H58" s="168"/>
      <c r="J58" s="75"/>
    </row>
    <row r="59" spans="1:10" x14ac:dyDescent="0.2">
      <c r="A59" s="164">
        <v>53</v>
      </c>
      <c r="B59" s="165" t="s">
        <v>206</v>
      </c>
      <c r="C59" s="165" t="s">
        <v>207</v>
      </c>
      <c r="D59" s="165" t="s">
        <v>104</v>
      </c>
      <c r="E59" s="166">
        <v>74893</v>
      </c>
      <c r="F59" s="167">
        <v>2802.9454179999998</v>
      </c>
      <c r="G59" s="168">
        <v>8.9103099999999994E-3</v>
      </c>
      <c r="H59" s="168"/>
      <c r="J59" s="75"/>
    </row>
    <row r="60" spans="1:10" x14ac:dyDescent="0.2">
      <c r="A60" s="164">
        <v>54</v>
      </c>
      <c r="B60" s="165" t="s">
        <v>73</v>
      </c>
      <c r="C60" s="165" t="s">
        <v>74</v>
      </c>
      <c r="D60" s="165" t="s">
        <v>75</v>
      </c>
      <c r="E60" s="166">
        <v>33458</v>
      </c>
      <c r="F60" s="167">
        <v>2790.9827150000001</v>
      </c>
      <c r="G60" s="168">
        <v>8.8722799999999998E-3</v>
      </c>
      <c r="H60" s="168"/>
      <c r="J60" s="75"/>
    </row>
    <row r="61" spans="1:10" x14ac:dyDescent="0.2">
      <c r="A61" s="164">
        <v>55</v>
      </c>
      <c r="B61" s="165" t="s">
        <v>595</v>
      </c>
      <c r="C61" s="165" t="s">
        <v>596</v>
      </c>
      <c r="D61" s="165" t="s">
        <v>406</v>
      </c>
      <c r="E61" s="166">
        <v>41146</v>
      </c>
      <c r="F61" s="167">
        <v>2743.574134</v>
      </c>
      <c r="G61" s="168">
        <v>8.7215699999999997E-3</v>
      </c>
      <c r="H61" s="168"/>
      <c r="J61" s="75"/>
    </row>
    <row r="62" spans="1:10" ht="25.5" x14ac:dyDescent="0.2">
      <c r="A62" s="164">
        <v>56</v>
      </c>
      <c r="B62" s="165" t="s">
        <v>597</v>
      </c>
      <c r="C62" s="165" t="s">
        <v>598</v>
      </c>
      <c r="D62" s="165" t="s">
        <v>599</v>
      </c>
      <c r="E62" s="166">
        <v>531646</v>
      </c>
      <c r="F62" s="167">
        <v>2656.6350619999998</v>
      </c>
      <c r="G62" s="168">
        <v>8.4451999999999999E-3</v>
      </c>
      <c r="H62" s="168"/>
      <c r="J62" s="75"/>
    </row>
    <row r="63" spans="1:10" x14ac:dyDescent="0.2">
      <c r="A63" s="164">
        <v>57</v>
      </c>
      <c r="B63" s="165" t="s">
        <v>600</v>
      </c>
      <c r="C63" s="165" t="s">
        <v>601</v>
      </c>
      <c r="D63" s="165" t="s">
        <v>262</v>
      </c>
      <c r="E63" s="166">
        <v>278168</v>
      </c>
      <c r="F63" s="167">
        <v>2643.8477560000001</v>
      </c>
      <c r="G63" s="168">
        <v>8.4045500000000002E-3</v>
      </c>
      <c r="H63" s="168"/>
      <c r="J63" s="75"/>
    </row>
    <row r="64" spans="1:10" x14ac:dyDescent="0.2">
      <c r="A64" s="164">
        <v>58</v>
      </c>
      <c r="B64" s="165" t="s">
        <v>137</v>
      </c>
      <c r="C64" s="165" t="s">
        <v>138</v>
      </c>
      <c r="D64" s="165" t="s">
        <v>104</v>
      </c>
      <c r="E64" s="166">
        <v>419549</v>
      </c>
      <c r="F64" s="167">
        <v>2636.4459160000001</v>
      </c>
      <c r="G64" s="168">
        <v>8.3810199999999994E-3</v>
      </c>
      <c r="H64" s="168"/>
      <c r="J64" s="75"/>
    </row>
    <row r="65" spans="1:10" x14ac:dyDescent="0.2">
      <c r="A65" s="164">
        <v>59</v>
      </c>
      <c r="B65" s="165" t="s">
        <v>260</v>
      </c>
      <c r="C65" s="165" t="s">
        <v>261</v>
      </c>
      <c r="D65" s="165" t="s">
        <v>262</v>
      </c>
      <c r="E65" s="166">
        <v>80661</v>
      </c>
      <c r="F65" s="167">
        <v>2583.329847</v>
      </c>
      <c r="G65" s="168">
        <v>8.2121699999999995E-3</v>
      </c>
      <c r="H65" s="168"/>
      <c r="J65" s="75"/>
    </row>
    <row r="66" spans="1:10" x14ac:dyDescent="0.2">
      <c r="A66" s="164">
        <v>60</v>
      </c>
      <c r="B66" s="165" t="s">
        <v>367</v>
      </c>
      <c r="C66" s="165" t="s">
        <v>368</v>
      </c>
      <c r="D66" s="165" t="s">
        <v>36</v>
      </c>
      <c r="E66" s="166">
        <v>255189</v>
      </c>
      <c r="F66" s="167">
        <v>2197.1772900000001</v>
      </c>
      <c r="G66" s="168">
        <v>6.9846300000000004E-3</v>
      </c>
      <c r="H66" s="168"/>
      <c r="J66" s="75"/>
    </row>
    <row r="67" spans="1:10" x14ac:dyDescent="0.2">
      <c r="A67" s="164">
        <v>61</v>
      </c>
      <c r="B67" s="165" t="s">
        <v>602</v>
      </c>
      <c r="C67" s="165" t="s">
        <v>603</v>
      </c>
      <c r="D67" s="165" t="s">
        <v>75</v>
      </c>
      <c r="E67" s="166">
        <v>984042</v>
      </c>
      <c r="F67" s="167">
        <v>2149.6397489999999</v>
      </c>
      <c r="G67" s="168">
        <v>6.8335100000000001E-3</v>
      </c>
      <c r="H67" s="168"/>
      <c r="J67" s="75"/>
    </row>
    <row r="68" spans="1:10" ht="25.5" x14ac:dyDescent="0.2">
      <c r="A68" s="164">
        <v>62</v>
      </c>
      <c r="B68" s="165" t="s">
        <v>123</v>
      </c>
      <c r="C68" s="165" t="s">
        <v>124</v>
      </c>
      <c r="D68" s="165" t="s">
        <v>25</v>
      </c>
      <c r="E68" s="166">
        <v>52854</v>
      </c>
      <c r="F68" s="167">
        <v>2113.8957300000002</v>
      </c>
      <c r="G68" s="168">
        <v>6.7198800000000001E-3</v>
      </c>
      <c r="H68" s="168"/>
      <c r="J68" s="75"/>
    </row>
    <row r="69" spans="1:10" x14ac:dyDescent="0.2">
      <c r="A69" s="164">
        <v>63</v>
      </c>
      <c r="B69" s="165" t="s">
        <v>95</v>
      </c>
      <c r="C69" s="165" t="s">
        <v>96</v>
      </c>
      <c r="D69" s="165" t="s">
        <v>33</v>
      </c>
      <c r="E69" s="166">
        <v>385350</v>
      </c>
      <c r="F69" s="167">
        <v>2071.4489250000001</v>
      </c>
      <c r="G69" s="168">
        <v>6.58495E-3</v>
      </c>
      <c r="H69" s="168"/>
      <c r="J69" s="75"/>
    </row>
    <row r="70" spans="1:10" x14ac:dyDescent="0.2">
      <c r="A70" s="164">
        <v>64</v>
      </c>
      <c r="B70" s="165" t="s">
        <v>604</v>
      </c>
      <c r="C70" s="165" t="s">
        <v>605</v>
      </c>
      <c r="D70" s="165" t="s">
        <v>262</v>
      </c>
      <c r="E70" s="166">
        <v>127388</v>
      </c>
      <c r="F70" s="167">
        <v>1967.762436</v>
      </c>
      <c r="G70" s="168">
        <v>6.2553399999999999E-3</v>
      </c>
      <c r="H70" s="168"/>
      <c r="J70" s="75"/>
    </row>
    <row r="71" spans="1:10" x14ac:dyDescent="0.2">
      <c r="A71" s="164">
        <v>65</v>
      </c>
      <c r="B71" s="165" t="s">
        <v>515</v>
      </c>
      <c r="C71" s="165" t="s">
        <v>516</v>
      </c>
      <c r="D71" s="165" t="s">
        <v>104</v>
      </c>
      <c r="E71" s="166">
        <v>143119</v>
      </c>
      <c r="F71" s="167">
        <v>1647.6574874999999</v>
      </c>
      <c r="G71" s="168">
        <v>5.2377500000000002E-3</v>
      </c>
      <c r="H71" s="168"/>
      <c r="J71" s="75"/>
    </row>
    <row r="72" spans="1:10" x14ac:dyDescent="0.2">
      <c r="A72" s="164">
        <v>66</v>
      </c>
      <c r="B72" s="165" t="s">
        <v>131</v>
      </c>
      <c r="C72" s="165" t="s">
        <v>132</v>
      </c>
      <c r="D72" s="165" t="s">
        <v>36</v>
      </c>
      <c r="E72" s="166">
        <v>115044</v>
      </c>
      <c r="F72" s="167">
        <v>1555.6249680000001</v>
      </c>
      <c r="G72" s="168">
        <v>4.9451900000000003E-3</v>
      </c>
      <c r="H72" s="168"/>
      <c r="J72" s="75"/>
    </row>
    <row r="73" spans="1:10" x14ac:dyDescent="0.2">
      <c r="A73" s="164">
        <v>67</v>
      </c>
      <c r="B73" s="165" t="s">
        <v>230</v>
      </c>
      <c r="C73" s="165" t="s">
        <v>231</v>
      </c>
      <c r="D73" s="165" t="s">
        <v>232</v>
      </c>
      <c r="E73" s="166">
        <v>46010</v>
      </c>
      <c r="F73" s="167">
        <v>1549.8928599999999</v>
      </c>
      <c r="G73" s="168">
        <v>4.9269700000000001E-3</v>
      </c>
      <c r="H73" s="168"/>
      <c r="J73" s="75"/>
    </row>
    <row r="74" spans="1:10" x14ac:dyDescent="0.2">
      <c r="A74" s="164">
        <v>68</v>
      </c>
      <c r="B74" s="165" t="s">
        <v>606</v>
      </c>
      <c r="C74" s="165" t="s">
        <v>607</v>
      </c>
      <c r="D74" s="165" t="s">
        <v>53</v>
      </c>
      <c r="E74" s="166">
        <v>68336</v>
      </c>
      <c r="F74" s="167">
        <v>1378.644632</v>
      </c>
      <c r="G74" s="168">
        <v>4.3825899999999996E-3</v>
      </c>
      <c r="H74" s="168"/>
      <c r="J74" s="75"/>
    </row>
    <row r="75" spans="1:10" x14ac:dyDescent="0.2">
      <c r="A75" s="164">
        <v>69</v>
      </c>
      <c r="B75" s="165" t="s">
        <v>608</v>
      </c>
      <c r="C75" s="165" t="s">
        <v>609</v>
      </c>
      <c r="D75" s="165" t="s">
        <v>232</v>
      </c>
      <c r="E75" s="166">
        <v>82434</v>
      </c>
      <c r="F75" s="167">
        <v>1231.728828</v>
      </c>
      <c r="G75" s="168">
        <v>3.9155500000000003E-3</v>
      </c>
      <c r="H75" s="168"/>
      <c r="J75" s="75"/>
    </row>
    <row r="76" spans="1:10" x14ac:dyDescent="0.2">
      <c r="A76" s="164">
        <v>70</v>
      </c>
      <c r="B76" s="165" t="s">
        <v>499</v>
      </c>
      <c r="C76" s="165" t="s">
        <v>500</v>
      </c>
      <c r="D76" s="165" t="s">
        <v>75</v>
      </c>
      <c r="E76" s="166">
        <v>143771</v>
      </c>
      <c r="F76" s="167">
        <v>1205.088522</v>
      </c>
      <c r="G76" s="168">
        <v>3.8308700000000001E-3</v>
      </c>
      <c r="H76" s="168"/>
      <c r="J76" s="75"/>
    </row>
    <row r="77" spans="1:10" x14ac:dyDescent="0.2">
      <c r="A77" s="164">
        <v>71</v>
      </c>
      <c r="B77" s="165" t="s">
        <v>610</v>
      </c>
      <c r="C77" s="165" t="s">
        <v>611</v>
      </c>
      <c r="D77" s="165" t="s">
        <v>235</v>
      </c>
      <c r="E77" s="166">
        <v>219379</v>
      </c>
      <c r="F77" s="167">
        <v>1118.3941420000001</v>
      </c>
      <c r="G77" s="168">
        <v>3.5552700000000001E-3</v>
      </c>
      <c r="H77" s="168"/>
      <c r="J77" s="75"/>
    </row>
    <row r="78" spans="1:10" x14ac:dyDescent="0.2">
      <c r="A78" s="164">
        <v>72</v>
      </c>
      <c r="B78" s="165" t="s">
        <v>612</v>
      </c>
      <c r="C78" s="165" t="s">
        <v>613</v>
      </c>
      <c r="D78" s="165" t="s">
        <v>75</v>
      </c>
      <c r="E78" s="166">
        <v>14430</v>
      </c>
      <c r="F78" s="167">
        <v>1037.64687</v>
      </c>
      <c r="G78" s="168">
        <v>3.2985900000000001E-3</v>
      </c>
      <c r="H78" s="168"/>
      <c r="J78" s="75"/>
    </row>
    <row r="79" spans="1:10" x14ac:dyDescent="0.2">
      <c r="A79" s="164">
        <v>73</v>
      </c>
      <c r="B79" s="165" t="s">
        <v>398</v>
      </c>
      <c r="C79" s="165" t="s">
        <v>399</v>
      </c>
      <c r="D79" s="165" t="s">
        <v>62</v>
      </c>
      <c r="E79" s="166">
        <v>98055</v>
      </c>
      <c r="F79" s="167">
        <v>1013.1532875</v>
      </c>
      <c r="G79" s="168">
        <v>3.2207199999999998E-3</v>
      </c>
      <c r="H79" s="168"/>
      <c r="J79" s="75"/>
    </row>
    <row r="80" spans="1:10" x14ac:dyDescent="0.2">
      <c r="A80" s="162"/>
      <c r="B80" s="162"/>
      <c r="C80" s="163" t="s">
        <v>152</v>
      </c>
      <c r="D80" s="162"/>
      <c r="E80" s="162" t="s">
        <v>153</v>
      </c>
      <c r="F80" s="169">
        <v>299296.61175150011</v>
      </c>
      <c r="G80" s="170">
        <v>0.95143668999999975</v>
      </c>
      <c r="H80" s="170"/>
      <c r="J80" s="75"/>
    </row>
    <row r="81" spans="1:10" x14ac:dyDescent="0.2">
      <c r="A81" s="162"/>
      <c r="B81" s="162"/>
      <c r="C81" s="171"/>
      <c r="D81" s="162"/>
      <c r="E81" s="162"/>
      <c r="F81" s="172"/>
      <c r="G81" s="172"/>
      <c r="H81" s="172"/>
      <c r="J81" s="75"/>
    </row>
    <row r="82" spans="1:10" x14ac:dyDescent="0.2">
      <c r="A82" s="162"/>
      <c r="B82" s="162"/>
      <c r="C82" s="163" t="s">
        <v>154</v>
      </c>
      <c r="D82" s="162"/>
      <c r="E82" s="162"/>
      <c r="F82" s="162"/>
      <c r="G82" s="162"/>
      <c r="H82" s="162"/>
      <c r="J82" s="75"/>
    </row>
    <row r="83" spans="1:10" x14ac:dyDescent="0.2">
      <c r="A83" s="162"/>
      <c r="B83" s="162"/>
      <c r="C83" s="163" t="s">
        <v>152</v>
      </c>
      <c r="D83" s="162"/>
      <c r="E83" s="162" t="s">
        <v>153</v>
      </c>
      <c r="F83" s="173" t="s">
        <v>155</v>
      </c>
      <c r="G83" s="170">
        <v>0</v>
      </c>
      <c r="H83" s="170"/>
      <c r="J83" s="75"/>
    </row>
    <row r="84" spans="1:10" x14ac:dyDescent="0.2">
      <c r="A84" s="162"/>
      <c r="B84" s="162"/>
      <c r="C84" s="171"/>
      <c r="D84" s="162"/>
      <c r="E84" s="162"/>
      <c r="F84" s="172"/>
      <c r="G84" s="172"/>
      <c r="H84" s="172"/>
      <c r="J84" s="75"/>
    </row>
    <row r="85" spans="1:10" x14ac:dyDescent="0.2">
      <c r="A85" s="162"/>
      <c r="B85" s="162"/>
      <c r="C85" s="163" t="s">
        <v>156</v>
      </c>
      <c r="D85" s="162"/>
      <c r="E85" s="162"/>
      <c r="F85" s="162"/>
      <c r="G85" s="162"/>
      <c r="H85" s="162"/>
      <c r="J85" s="75"/>
    </row>
    <row r="86" spans="1:10" x14ac:dyDescent="0.2">
      <c r="A86" s="164">
        <v>74</v>
      </c>
      <c r="B86" s="165" t="s">
        <v>149</v>
      </c>
      <c r="C86" s="165" t="s">
        <v>1200</v>
      </c>
      <c r="D86" s="165" t="s">
        <v>150</v>
      </c>
      <c r="E86" s="166">
        <v>375961</v>
      </c>
      <c r="F86" s="167">
        <v>7.5190000000000003E-6</v>
      </c>
      <c r="G86" s="174" t="s">
        <v>151</v>
      </c>
      <c r="H86" s="174"/>
      <c r="J86" s="75"/>
    </row>
    <row r="87" spans="1:10" x14ac:dyDescent="0.2">
      <c r="A87" s="162"/>
      <c r="B87" s="162"/>
      <c r="C87" s="163" t="s">
        <v>152</v>
      </c>
      <c r="D87" s="162"/>
      <c r="E87" s="162" t="s">
        <v>153</v>
      </c>
      <c r="F87" s="169">
        <v>7.5190000000000003E-6</v>
      </c>
      <c r="G87" s="170">
        <v>0</v>
      </c>
      <c r="H87" s="170"/>
      <c r="J87" s="75"/>
    </row>
    <row r="88" spans="1:10" x14ac:dyDescent="0.2">
      <c r="A88" s="162"/>
      <c r="B88" s="162"/>
      <c r="C88" s="171"/>
      <c r="D88" s="162"/>
      <c r="E88" s="162"/>
      <c r="F88" s="172"/>
      <c r="G88" s="172"/>
      <c r="H88" s="172"/>
      <c r="J88" s="75"/>
    </row>
    <row r="89" spans="1:10" x14ac:dyDescent="0.2">
      <c r="A89" s="162"/>
      <c r="B89" s="162"/>
      <c r="C89" s="163" t="s">
        <v>157</v>
      </c>
      <c r="D89" s="162"/>
      <c r="E89" s="162"/>
      <c r="F89" s="162"/>
      <c r="G89" s="162"/>
      <c r="H89" s="162"/>
      <c r="J89" s="75"/>
    </row>
    <row r="90" spans="1:10" x14ac:dyDescent="0.2">
      <c r="A90" s="162"/>
      <c r="B90" s="162"/>
      <c r="C90" s="163" t="s">
        <v>152</v>
      </c>
      <c r="D90" s="162"/>
      <c r="E90" s="162" t="s">
        <v>153</v>
      </c>
      <c r="F90" s="173" t="s">
        <v>155</v>
      </c>
      <c r="G90" s="170">
        <v>0</v>
      </c>
      <c r="H90" s="170"/>
      <c r="J90" s="75"/>
    </row>
    <row r="91" spans="1:10" x14ac:dyDescent="0.2">
      <c r="A91" s="162"/>
      <c r="B91" s="162"/>
      <c r="C91" s="171"/>
      <c r="D91" s="162"/>
      <c r="E91" s="162"/>
      <c r="F91" s="172"/>
      <c r="G91" s="172"/>
      <c r="H91" s="172"/>
      <c r="J91" s="75"/>
    </row>
    <row r="92" spans="1:10" x14ac:dyDescent="0.2">
      <c r="A92" s="162"/>
      <c r="B92" s="162"/>
      <c r="C92" s="163" t="s">
        <v>158</v>
      </c>
      <c r="D92" s="162"/>
      <c r="E92" s="162"/>
      <c r="F92" s="172"/>
      <c r="G92" s="172"/>
      <c r="H92" s="172"/>
      <c r="J92" s="75"/>
    </row>
    <row r="93" spans="1:10" x14ac:dyDescent="0.2">
      <c r="A93" s="162"/>
      <c r="B93" s="162"/>
      <c r="C93" s="163" t="s">
        <v>152</v>
      </c>
      <c r="D93" s="162"/>
      <c r="E93" s="162" t="s">
        <v>153</v>
      </c>
      <c r="F93" s="173" t="s">
        <v>155</v>
      </c>
      <c r="G93" s="170">
        <v>0</v>
      </c>
      <c r="H93" s="170"/>
      <c r="J93" s="75"/>
    </row>
    <row r="94" spans="1:10" x14ac:dyDescent="0.2">
      <c r="A94" s="162"/>
      <c r="B94" s="162"/>
      <c r="C94" s="171"/>
      <c r="D94" s="162"/>
      <c r="E94" s="162"/>
      <c r="F94" s="172"/>
      <c r="G94" s="172"/>
      <c r="H94" s="172"/>
      <c r="J94" s="75"/>
    </row>
    <row r="95" spans="1:10" x14ac:dyDescent="0.2">
      <c r="A95" s="162"/>
      <c r="B95" s="162"/>
      <c r="C95" s="163" t="s">
        <v>159</v>
      </c>
      <c r="D95" s="162"/>
      <c r="E95" s="162"/>
      <c r="F95" s="172"/>
      <c r="G95" s="172"/>
      <c r="H95" s="172"/>
      <c r="J95" s="75"/>
    </row>
    <row r="96" spans="1:10" x14ac:dyDescent="0.2">
      <c r="A96" s="162"/>
      <c r="B96" s="162"/>
      <c r="C96" s="163" t="s">
        <v>152</v>
      </c>
      <c r="D96" s="162"/>
      <c r="E96" s="162" t="s">
        <v>153</v>
      </c>
      <c r="F96" s="173" t="s">
        <v>155</v>
      </c>
      <c r="G96" s="170">
        <v>0</v>
      </c>
      <c r="H96" s="170"/>
      <c r="J96" s="75"/>
    </row>
    <row r="97" spans="1:10" x14ac:dyDescent="0.2">
      <c r="A97" s="162"/>
      <c r="B97" s="162"/>
      <c r="C97" s="171"/>
      <c r="D97" s="162"/>
      <c r="E97" s="162"/>
      <c r="F97" s="172"/>
      <c r="G97" s="172"/>
      <c r="H97" s="172"/>
      <c r="J97" s="75"/>
    </row>
    <row r="98" spans="1:10" x14ac:dyDescent="0.2">
      <c r="A98" s="162"/>
      <c r="B98" s="162"/>
      <c r="C98" s="163" t="s">
        <v>160</v>
      </c>
      <c r="D98" s="162"/>
      <c r="E98" s="162"/>
      <c r="F98" s="169">
        <v>299296.61175901903</v>
      </c>
      <c r="G98" s="170">
        <v>0.95143668999999997</v>
      </c>
      <c r="H98" s="170"/>
      <c r="J98" s="75"/>
    </row>
    <row r="99" spans="1:10" x14ac:dyDescent="0.2">
      <c r="A99" s="162"/>
      <c r="B99" s="162"/>
      <c r="C99" s="171"/>
      <c r="D99" s="162"/>
      <c r="E99" s="162"/>
      <c r="F99" s="172"/>
      <c r="G99" s="172"/>
      <c r="H99" s="172"/>
      <c r="J99" s="75"/>
    </row>
    <row r="100" spans="1:10" x14ac:dyDescent="0.2">
      <c r="A100" s="162"/>
      <c r="B100" s="162"/>
      <c r="C100" s="163" t="s">
        <v>161</v>
      </c>
      <c r="D100" s="162"/>
      <c r="E100" s="162"/>
      <c r="F100" s="172"/>
      <c r="G100" s="172"/>
      <c r="H100" s="172"/>
      <c r="J100" s="75"/>
    </row>
    <row r="101" spans="1:10" x14ac:dyDescent="0.2">
      <c r="A101" s="162"/>
      <c r="B101" s="162"/>
      <c r="C101" s="163" t="s">
        <v>10</v>
      </c>
      <c r="D101" s="162"/>
      <c r="E101" s="162"/>
      <c r="F101" s="172"/>
      <c r="G101" s="172"/>
      <c r="H101" s="172"/>
      <c r="J101" s="75"/>
    </row>
    <row r="102" spans="1:10" x14ac:dyDescent="0.2">
      <c r="A102" s="162"/>
      <c r="B102" s="162"/>
      <c r="C102" s="163" t="s">
        <v>152</v>
      </c>
      <c r="D102" s="162"/>
      <c r="E102" s="162" t="s">
        <v>153</v>
      </c>
      <c r="F102" s="173" t="s">
        <v>155</v>
      </c>
      <c r="G102" s="170">
        <v>0</v>
      </c>
      <c r="H102" s="170"/>
      <c r="J102" s="75"/>
    </row>
    <row r="103" spans="1:10" x14ac:dyDescent="0.2">
      <c r="A103" s="162"/>
      <c r="B103" s="162"/>
      <c r="C103" s="171"/>
      <c r="D103" s="162"/>
      <c r="E103" s="162"/>
      <c r="F103" s="172"/>
      <c r="G103" s="172"/>
      <c r="H103" s="172"/>
      <c r="J103" s="75"/>
    </row>
    <row r="104" spans="1:10" x14ac:dyDescent="0.2">
      <c r="A104" s="162"/>
      <c r="B104" s="162"/>
      <c r="C104" s="163" t="s">
        <v>162</v>
      </c>
      <c r="D104" s="162"/>
      <c r="E104" s="162"/>
      <c r="F104" s="162"/>
      <c r="G104" s="162"/>
      <c r="H104" s="162"/>
      <c r="J104" s="75"/>
    </row>
    <row r="105" spans="1:10" x14ac:dyDescent="0.2">
      <c r="A105" s="162"/>
      <c r="B105" s="162"/>
      <c r="C105" s="163" t="s">
        <v>152</v>
      </c>
      <c r="D105" s="162"/>
      <c r="E105" s="162" t="s">
        <v>153</v>
      </c>
      <c r="F105" s="173" t="s">
        <v>155</v>
      </c>
      <c r="G105" s="170">
        <v>0</v>
      </c>
      <c r="H105" s="170"/>
      <c r="J105" s="75"/>
    </row>
    <row r="106" spans="1:10" x14ac:dyDescent="0.2">
      <c r="A106" s="162"/>
      <c r="B106" s="162"/>
      <c r="C106" s="171"/>
      <c r="D106" s="162"/>
      <c r="E106" s="162"/>
      <c r="F106" s="172"/>
      <c r="G106" s="172"/>
      <c r="H106" s="172"/>
      <c r="J106" s="75"/>
    </row>
    <row r="107" spans="1:10" x14ac:dyDescent="0.2">
      <c r="A107" s="162"/>
      <c r="B107" s="162"/>
      <c r="C107" s="163" t="s">
        <v>163</v>
      </c>
      <c r="D107" s="162"/>
      <c r="E107" s="162"/>
      <c r="F107" s="162"/>
      <c r="G107" s="162"/>
      <c r="H107" s="162"/>
      <c r="J107" s="75"/>
    </row>
    <row r="108" spans="1:10" x14ac:dyDescent="0.2">
      <c r="A108" s="162"/>
      <c r="B108" s="162"/>
      <c r="C108" s="163" t="s">
        <v>152</v>
      </c>
      <c r="D108" s="162"/>
      <c r="E108" s="162" t="s">
        <v>153</v>
      </c>
      <c r="F108" s="173" t="s">
        <v>155</v>
      </c>
      <c r="G108" s="170">
        <v>0</v>
      </c>
      <c r="H108" s="170"/>
      <c r="J108" s="75"/>
    </row>
    <row r="109" spans="1:10" x14ac:dyDescent="0.2">
      <c r="A109" s="162"/>
      <c r="B109" s="162"/>
      <c r="C109" s="171"/>
      <c r="D109" s="162"/>
      <c r="E109" s="162"/>
      <c r="F109" s="172"/>
      <c r="G109" s="172"/>
      <c r="H109" s="172"/>
      <c r="J109" s="75"/>
    </row>
    <row r="110" spans="1:10" x14ac:dyDescent="0.2">
      <c r="A110" s="162"/>
      <c r="B110" s="162"/>
      <c r="C110" s="163" t="s">
        <v>164</v>
      </c>
      <c r="D110" s="162"/>
      <c r="E110" s="162"/>
      <c r="F110" s="172"/>
      <c r="G110" s="172"/>
      <c r="H110" s="172"/>
      <c r="J110" s="75"/>
    </row>
    <row r="111" spans="1:10" x14ac:dyDescent="0.2">
      <c r="A111" s="162"/>
      <c r="B111" s="162"/>
      <c r="C111" s="163" t="s">
        <v>152</v>
      </c>
      <c r="D111" s="162"/>
      <c r="E111" s="162" t="s">
        <v>153</v>
      </c>
      <c r="F111" s="173" t="s">
        <v>155</v>
      </c>
      <c r="G111" s="170">
        <v>0</v>
      </c>
      <c r="H111" s="170"/>
      <c r="J111" s="75"/>
    </row>
    <row r="112" spans="1:10" x14ac:dyDescent="0.2">
      <c r="A112" s="162"/>
      <c r="B112" s="162"/>
      <c r="C112" s="171"/>
      <c r="D112" s="162"/>
      <c r="E112" s="162"/>
      <c r="F112" s="172"/>
      <c r="G112" s="172"/>
      <c r="H112" s="172"/>
      <c r="J112" s="75"/>
    </row>
    <row r="113" spans="1:10" x14ac:dyDescent="0.2">
      <c r="A113" s="162"/>
      <c r="B113" s="162"/>
      <c r="C113" s="163" t="s">
        <v>165</v>
      </c>
      <c r="D113" s="162"/>
      <c r="E113" s="162"/>
      <c r="F113" s="169">
        <v>0</v>
      </c>
      <c r="G113" s="170">
        <v>0</v>
      </c>
      <c r="H113" s="170"/>
      <c r="J113" s="75"/>
    </row>
    <row r="114" spans="1:10" x14ac:dyDescent="0.2">
      <c r="A114" s="162"/>
      <c r="B114" s="162"/>
      <c r="C114" s="171"/>
      <c r="D114" s="162"/>
      <c r="E114" s="162"/>
      <c r="F114" s="172"/>
      <c r="G114" s="172"/>
      <c r="H114" s="172"/>
      <c r="J114" s="75"/>
    </row>
    <row r="115" spans="1:10" x14ac:dyDescent="0.2">
      <c r="A115" s="162"/>
      <c r="B115" s="162"/>
      <c r="C115" s="163" t="s">
        <v>166</v>
      </c>
      <c r="D115" s="162"/>
      <c r="E115" s="162"/>
      <c r="F115" s="172"/>
      <c r="G115" s="172"/>
      <c r="H115" s="172"/>
      <c r="J115" s="75"/>
    </row>
    <row r="116" spans="1:10" x14ac:dyDescent="0.2">
      <c r="A116" s="162"/>
      <c r="B116" s="162"/>
      <c r="C116" s="163" t="s">
        <v>167</v>
      </c>
      <c r="D116" s="162"/>
      <c r="E116" s="162"/>
      <c r="F116" s="172"/>
      <c r="G116" s="172"/>
      <c r="H116" s="172"/>
      <c r="J116" s="75"/>
    </row>
    <row r="117" spans="1:10" x14ac:dyDescent="0.2">
      <c r="A117" s="162"/>
      <c r="B117" s="162"/>
      <c r="C117" s="163" t="s">
        <v>152</v>
      </c>
      <c r="D117" s="162"/>
      <c r="E117" s="162" t="s">
        <v>153</v>
      </c>
      <c r="F117" s="173" t="s">
        <v>155</v>
      </c>
      <c r="G117" s="170">
        <v>0</v>
      </c>
      <c r="H117" s="170"/>
      <c r="J117" s="75"/>
    </row>
    <row r="118" spans="1:10" x14ac:dyDescent="0.2">
      <c r="A118" s="162"/>
      <c r="B118" s="162"/>
      <c r="C118" s="171"/>
      <c r="D118" s="162"/>
      <c r="E118" s="162"/>
      <c r="F118" s="172"/>
      <c r="G118" s="172"/>
      <c r="H118" s="172"/>
      <c r="J118" s="75"/>
    </row>
    <row r="119" spans="1:10" x14ac:dyDescent="0.2">
      <c r="A119" s="162"/>
      <c r="B119" s="162"/>
      <c r="C119" s="163" t="s">
        <v>168</v>
      </c>
      <c r="D119" s="162"/>
      <c r="E119" s="162"/>
      <c r="F119" s="172"/>
      <c r="G119" s="172"/>
      <c r="H119" s="172"/>
      <c r="J119" s="75"/>
    </row>
    <row r="120" spans="1:10" x14ac:dyDescent="0.2">
      <c r="A120" s="162"/>
      <c r="B120" s="162"/>
      <c r="C120" s="163" t="s">
        <v>152</v>
      </c>
      <c r="D120" s="162"/>
      <c r="E120" s="162" t="s">
        <v>153</v>
      </c>
      <c r="F120" s="173" t="s">
        <v>155</v>
      </c>
      <c r="G120" s="170">
        <v>0</v>
      </c>
      <c r="H120" s="170"/>
      <c r="J120" s="75"/>
    </row>
    <row r="121" spans="1:10" x14ac:dyDescent="0.2">
      <c r="A121" s="162"/>
      <c r="B121" s="162"/>
      <c r="C121" s="171"/>
      <c r="D121" s="162"/>
      <c r="E121" s="162"/>
      <c r="F121" s="172"/>
      <c r="G121" s="172"/>
      <c r="H121" s="172"/>
      <c r="J121" s="75"/>
    </row>
    <row r="122" spans="1:10" x14ac:dyDescent="0.2">
      <c r="A122" s="162"/>
      <c r="B122" s="162"/>
      <c r="C122" s="163" t="s">
        <v>169</v>
      </c>
      <c r="D122" s="162"/>
      <c r="E122" s="162"/>
      <c r="F122" s="172"/>
      <c r="G122" s="172"/>
      <c r="H122" s="172"/>
      <c r="J122" s="75"/>
    </row>
    <row r="123" spans="1:10" x14ac:dyDescent="0.2">
      <c r="A123" s="162"/>
      <c r="B123" s="162"/>
      <c r="C123" s="163" t="s">
        <v>152</v>
      </c>
      <c r="D123" s="162"/>
      <c r="E123" s="162" t="s">
        <v>153</v>
      </c>
      <c r="F123" s="173" t="s">
        <v>155</v>
      </c>
      <c r="G123" s="170">
        <v>0</v>
      </c>
      <c r="H123" s="170"/>
      <c r="J123" s="75"/>
    </row>
    <row r="124" spans="1:10" x14ac:dyDescent="0.2">
      <c r="A124" s="162"/>
      <c r="B124" s="162"/>
      <c r="C124" s="171"/>
      <c r="D124" s="162"/>
      <c r="E124" s="162"/>
      <c r="F124" s="172"/>
      <c r="G124" s="172"/>
      <c r="H124" s="172"/>
      <c r="J124" s="75"/>
    </row>
    <row r="125" spans="1:10" x14ac:dyDescent="0.2">
      <c r="A125" s="162"/>
      <c r="B125" s="162"/>
      <c r="C125" s="163" t="s">
        <v>170</v>
      </c>
      <c r="D125" s="162"/>
      <c r="E125" s="162"/>
      <c r="F125" s="172"/>
      <c r="G125" s="172"/>
      <c r="H125" s="172"/>
      <c r="J125" s="75"/>
    </row>
    <row r="126" spans="1:10" x14ac:dyDescent="0.2">
      <c r="A126" s="164">
        <v>1</v>
      </c>
      <c r="B126" s="165"/>
      <c r="C126" s="165" t="s">
        <v>171</v>
      </c>
      <c r="D126" s="165"/>
      <c r="E126" s="174"/>
      <c r="F126" s="167">
        <v>10019.456711108</v>
      </c>
      <c r="G126" s="168">
        <v>3.1850940000000001E-2</v>
      </c>
      <c r="H126" s="175">
        <v>6.66</v>
      </c>
      <c r="J126" s="75"/>
    </row>
    <row r="127" spans="1:10" x14ac:dyDescent="0.2">
      <c r="A127" s="162"/>
      <c r="B127" s="162"/>
      <c r="C127" s="163" t="s">
        <v>152</v>
      </c>
      <c r="D127" s="162"/>
      <c r="E127" s="162" t="s">
        <v>153</v>
      </c>
      <c r="F127" s="169">
        <v>10019.456711108</v>
      </c>
      <c r="G127" s="170">
        <v>3.1850940000000001E-2</v>
      </c>
      <c r="H127" s="170"/>
      <c r="J127" s="75"/>
    </row>
    <row r="128" spans="1:10" x14ac:dyDescent="0.2">
      <c r="A128" s="162"/>
      <c r="B128" s="162"/>
      <c r="C128" s="171"/>
      <c r="D128" s="162"/>
      <c r="E128" s="162"/>
      <c r="F128" s="172"/>
      <c r="G128" s="172"/>
      <c r="H128" s="172"/>
      <c r="J128" s="75"/>
    </row>
    <row r="129" spans="1:10" x14ac:dyDescent="0.2">
      <c r="A129" s="162"/>
      <c r="B129" s="162"/>
      <c r="C129" s="163" t="s">
        <v>172</v>
      </c>
      <c r="D129" s="162"/>
      <c r="E129" s="162"/>
      <c r="F129" s="169">
        <v>10019.456711108</v>
      </c>
      <c r="G129" s="170">
        <v>3.1850940000000001E-2</v>
      </c>
      <c r="H129" s="170"/>
      <c r="J129" s="75"/>
    </row>
    <row r="130" spans="1:10" x14ac:dyDescent="0.2">
      <c r="A130" s="162"/>
      <c r="B130" s="162"/>
      <c r="C130" s="172"/>
      <c r="D130" s="162"/>
      <c r="E130" s="162"/>
      <c r="F130" s="162"/>
      <c r="G130" s="162"/>
      <c r="H130" s="162"/>
      <c r="J130" s="75"/>
    </row>
    <row r="131" spans="1:10" x14ac:dyDescent="0.2">
      <c r="A131" s="162"/>
      <c r="B131" s="162"/>
      <c r="C131" s="163" t="s">
        <v>173</v>
      </c>
      <c r="D131" s="162"/>
      <c r="E131" s="162"/>
      <c r="F131" s="162"/>
      <c r="G131" s="162"/>
      <c r="H131" s="162"/>
      <c r="J131" s="75"/>
    </row>
    <row r="132" spans="1:10" x14ac:dyDescent="0.2">
      <c r="A132" s="162"/>
      <c r="B132" s="162"/>
      <c r="C132" s="163" t="s">
        <v>174</v>
      </c>
      <c r="D132" s="162"/>
      <c r="E132" s="162"/>
      <c r="F132" s="162"/>
      <c r="G132" s="162"/>
      <c r="H132" s="162"/>
      <c r="J132" s="75"/>
    </row>
    <row r="133" spans="1:10" x14ac:dyDescent="0.2">
      <c r="A133" s="164">
        <v>1</v>
      </c>
      <c r="B133" s="165" t="s">
        <v>175</v>
      </c>
      <c r="C133" s="165" t="s">
        <v>176</v>
      </c>
      <c r="D133" s="165"/>
      <c r="E133" s="176">
        <v>279695.576</v>
      </c>
      <c r="F133" s="167">
        <v>6001.8108774760003</v>
      </c>
      <c r="G133" s="168">
        <v>1.9079209999999999E-2</v>
      </c>
      <c r="H133" s="168"/>
      <c r="J133" s="75"/>
    </row>
    <row r="134" spans="1:10" x14ac:dyDescent="0.2">
      <c r="A134" s="162"/>
      <c r="B134" s="162"/>
      <c r="C134" s="163" t="s">
        <v>152</v>
      </c>
      <c r="D134" s="162"/>
      <c r="E134" s="162" t="s">
        <v>153</v>
      </c>
      <c r="F134" s="169">
        <v>6001.8108774760003</v>
      </c>
      <c r="G134" s="170">
        <v>1.9079209999999999E-2</v>
      </c>
      <c r="H134" s="170"/>
      <c r="J134" s="75"/>
    </row>
    <row r="135" spans="1:10" x14ac:dyDescent="0.2">
      <c r="A135" s="162"/>
      <c r="B135" s="162"/>
      <c r="C135" s="171"/>
      <c r="D135" s="162"/>
      <c r="E135" s="162"/>
      <c r="F135" s="172"/>
      <c r="G135" s="172"/>
      <c r="H135" s="172"/>
      <c r="J135" s="75"/>
    </row>
    <row r="136" spans="1:10" x14ac:dyDescent="0.2">
      <c r="A136" s="162"/>
      <c r="B136" s="162"/>
      <c r="C136" s="163" t="s">
        <v>177</v>
      </c>
      <c r="D136" s="162"/>
      <c r="E136" s="162"/>
      <c r="F136" s="162"/>
      <c r="G136" s="162"/>
      <c r="H136" s="162"/>
      <c r="J136" s="75"/>
    </row>
    <row r="137" spans="1:10" x14ac:dyDescent="0.2">
      <c r="A137" s="162"/>
      <c r="B137" s="162"/>
      <c r="C137" s="163" t="s">
        <v>178</v>
      </c>
      <c r="D137" s="162"/>
      <c r="E137" s="162"/>
      <c r="F137" s="162"/>
      <c r="G137" s="162"/>
      <c r="H137" s="162"/>
      <c r="J137" s="75"/>
    </row>
    <row r="138" spans="1:10" x14ac:dyDescent="0.2">
      <c r="A138" s="162"/>
      <c r="B138" s="162"/>
      <c r="C138" s="163" t="s">
        <v>152</v>
      </c>
      <c r="D138" s="162"/>
      <c r="E138" s="162" t="s">
        <v>153</v>
      </c>
      <c r="F138" s="173" t="s">
        <v>155</v>
      </c>
      <c r="G138" s="170">
        <v>0</v>
      </c>
      <c r="H138" s="170"/>
      <c r="J138" s="75"/>
    </row>
    <row r="139" spans="1:10" x14ac:dyDescent="0.2">
      <c r="A139" s="162"/>
      <c r="B139" s="162"/>
      <c r="C139" s="171"/>
      <c r="D139" s="162"/>
      <c r="E139" s="162"/>
      <c r="F139" s="172"/>
      <c r="G139" s="172"/>
      <c r="H139" s="172"/>
      <c r="J139" s="75"/>
    </row>
    <row r="140" spans="1:10" x14ac:dyDescent="0.2">
      <c r="A140" s="162"/>
      <c r="B140" s="162"/>
      <c r="C140" s="163" t="s">
        <v>179</v>
      </c>
      <c r="D140" s="162"/>
      <c r="E140" s="162"/>
      <c r="F140" s="172"/>
      <c r="G140" s="172"/>
      <c r="H140" s="172"/>
      <c r="J140" s="75"/>
    </row>
    <row r="141" spans="1:10" x14ac:dyDescent="0.2">
      <c r="A141" s="162"/>
      <c r="B141" s="162"/>
      <c r="C141" s="163" t="s">
        <v>152</v>
      </c>
      <c r="D141" s="162"/>
      <c r="E141" s="162" t="s">
        <v>153</v>
      </c>
      <c r="F141" s="173" t="s">
        <v>155</v>
      </c>
      <c r="G141" s="170">
        <v>0</v>
      </c>
      <c r="H141" s="170"/>
      <c r="J141" s="75"/>
    </row>
    <row r="142" spans="1:10" x14ac:dyDescent="0.2">
      <c r="A142" s="162"/>
      <c r="B142" s="165"/>
      <c r="C142" s="165"/>
      <c r="D142" s="163"/>
      <c r="E142" s="162"/>
      <c r="F142" s="165"/>
      <c r="G142" s="174"/>
      <c r="H142" s="174"/>
      <c r="J142" s="75"/>
    </row>
    <row r="143" spans="1:10" x14ac:dyDescent="0.2">
      <c r="A143" s="174"/>
      <c r="B143" s="165"/>
      <c r="C143" s="165" t="s">
        <v>180</v>
      </c>
      <c r="D143" s="165"/>
      <c r="E143" s="174"/>
      <c r="F143" s="167">
        <v>-744.53310564303536</v>
      </c>
      <c r="G143" s="168">
        <v>-2.36681E-3</v>
      </c>
      <c r="H143" s="168"/>
      <c r="J143" s="75"/>
    </row>
    <row r="144" spans="1:10" x14ac:dyDescent="0.2">
      <c r="A144" s="171"/>
      <c r="B144" s="171"/>
      <c r="C144" s="163" t="s">
        <v>181</v>
      </c>
      <c r="D144" s="172"/>
      <c r="E144" s="172"/>
      <c r="F144" s="169">
        <v>314573.34624196001</v>
      </c>
      <c r="G144" s="177">
        <v>1.00000003</v>
      </c>
      <c r="H144" s="177"/>
      <c r="J144" s="75"/>
    </row>
    <row r="145" spans="1:20" x14ac:dyDescent="0.2">
      <c r="A145" s="178"/>
      <c r="B145" s="178"/>
      <c r="C145" s="178"/>
      <c r="D145" s="179"/>
      <c r="E145" s="179"/>
      <c r="F145" s="179"/>
      <c r="G145" s="179"/>
      <c r="H145" s="179"/>
      <c r="J145" s="75"/>
    </row>
    <row r="146" spans="1:20" ht="12.75" customHeight="1" x14ac:dyDescent="0.2">
      <c r="A146" s="180"/>
      <c r="B146" s="258" t="s">
        <v>882</v>
      </c>
      <c r="C146" s="258"/>
      <c r="D146" s="258"/>
      <c r="E146" s="258"/>
      <c r="F146" s="258"/>
      <c r="G146" s="258"/>
      <c r="H146" s="258"/>
      <c r="J146" s="75"/>
    </row>
    <row r="147" spans="1:20" ht="14.1" customHeight="1" x14ac:dyDescent="0.2">
      <c r="A147" s="180"/>
      <c r="B147" s="258" t="s">
        <v>883</v>
      </c>
      <c r="C147" s="258"/>
      <c r="D147" s="258"/>
      <c r="E147" s="258"/>
      <c r="F147" s="258"/>
      <c r="G147" s="258"/>
      <c r="H147" s="258"/>
      <c r="J147" s="75"/>
    </row>
    <row r="148" spans="1:20" ht="17.100000000000001" customHeight="1" x14ac:dyDescent="0.2">
      <c r="A148" s="180"/>
      <c r="B148" s="258" t="s">
        <v>884</v>
      </c>
      <c r="C148" s="258"/>
      <c r="D148" s="258"/>
      <c r="E148" s="258"/>
      <c r="F148" s="258"/>
      <c r="G148" s="258"/>
      <c r="H148" s="258"/>
      <c r="J148" s="75"/>
    </row>
    <row r="149" spans="1:20" s="34" customFormat="1" ht="62.25" customHeight="1" x14ac:dyDescent="0.25">
      <c r="A149" s="33"/>
      <c r="B149" s="259" t="s">
        <v>885</v>
      </c>
      <c r="C149" s="259"/>
      <c r="D149" s="259"/>
      <c r="E149" s="259"/>
      <c r="F149" s="259"/>
      <c r="G149" s="259"/>
      <c r="H149" s="259"/>
      <c r="I149"/>
      <c r="J149" s="75"/>
      <c r="K149"/>
      <c r="L149"/>
      <c r="M149"/>
      <c r="N149"/>
      <c r="O149"/>
      <c r="P149"/>
      <c r="Q149"/>
    </row>
    <row r="150" spans="1:20" ht="12.75" customHeight="1" x14ac:dyDescent="0.2">
      <c r="A150" s="180"/>
      <c r="B150" s="258" t="s">
        <v>886</v>
      </c>
      <c r="C150" s="258"/>
      <c r="D150" s="258"/>
      <c r="E150" s="258"/>
      <c r="F150" s="258"/>
      <c r="G150" s="258"/>
      <c r="H150" s="258"/>
      <c r="J150" s="75"/>
    </row>
    <row r="151" spans="1:20" x14ac:dyDescent="0.2">
      <c r="A151" s="181"/>
      <c r="B151" s="181"/>
      <c r="C151" s="181"/>
      <c r="D151" s="182"/>
      <c r="E151" s="182"/>
      <c r="F151" s="182"/>
      <c r="G151" s="182"/>
      <c r="H151" s="182"/>
      <c r="J151" s="75"/>
    </row>
    <row r="152" spans="1:20" x14ac:dyDescent="0.2">
      <c r="A152" s="181"/>
      <c r="B152" s="255" t="s">
        <v>183</v>
      </c>
      <c r="C152" s="256"/>
      <c r="D152" s="257"/>
      <c r="E152" s="183"/>
      <c r="F152" s="182"/>
      <c r="G152" s="182"/>
      <c r="H152" s="182"/>
      <c r="J152" s="75"/>
    </row>
    <row r="153" spans="1:20" x14ac:dyDescent="0.2">
      <c r="A153" s="181"/>
      <c r="B153" s="253" t="s">
        <v>184</v>
      </c>
      <c r="C153" s="254"/>
      <c r="D153" s="163" t="s">
        <v>185</v>
      </c>
      <c r="E153" s="183"/>
      <c r="F153" s="182"/>
      <c r="G153" s="182"/>
      <c r="H153" s="182"/>
      <c r="J153" s="75"/>
    </row>
    <row r="154" spans="1:20" ht="15" x14ac:dyDescent="0.25">
      <c r="A154" s="181"/>
      <c r="B154" s="251" t="s">
        <v>899</v>
      </c>
      <c r="C154" s="252"/>
      <c r="D154" s="184" t="s">
        <v>887</v>
      </c>
      <c r="E154" s="183"/>
      <c r="F154" s="182"/>
      <c r="G154" s="182"/>
      <c r="H154" s="182"/>
      <c r="J154" s="75"/>
      <c r="R154" s="34"/>
      <c r="S154" s="34"/>
      <c r="T154" s="34"/>
    </row>
    <row r="155" spans="1:20" x14ac:dyDescent="0.2">
      <c r="A155" s="181"/>
      <c r="B155" s="253" t="s">
        <v>187</v>
      </c>
      <c r="C155" s="254"/>
      <c r="D155" s="172" t="s">
        <v>153</v>
      </c>
      <c r="E155" s="183"/>
      <c r="F155" s="182"/>
      <c r="G155" s="182"/>
      <c r="H155" s="182"/>
      <c r="J155" s="75"/>
    </row>
    <row r="156" spans="1:20" x14ac:dyDescent="0.2">
      <c r="A156" s="185"/>
      <c r="B156" s="186" t="s">
        <v>153</v>
      </c>
      <c r="C156" s="186" t="s">
        <v>1088</v>
      </c>
      <c r="D156" s="186" t="s">
        <v>188</v>
      </c>
      <c r="E156" s="185"/>
      <c r="F156" s="185"/>
      <c r="G156" s="185"/>
      <c r="H156" s="185"/>
      <c r="J156" s="75"/>
    </row>
    <row r="157" spans="1:20" x14ac:dyDescent="0.2">
      <c r="A157" s="185"/>
      <c r="B157" s="187" t="s">
        <v>189</v>
      </c>
      <c r="C157" s="186" t="s">
        <v>190</v>
      </c>
      <c r="D157" s="186" t="s">
        <v>191</v>
      </c>
      <c r="E157" s="185"/>
      <c r="F157" s="185"/>
      <c r="G157" s="185"/>
      <c r="H157" s="185"/>
      <c r="J157" s="75"/>
    </row>
    <row r="158" spans="1:20" x14ac:dyDescent="0.2">
      <c r="A158" s="185"/>
      <c r="B158" s="165" t="s">
        <v>192</v>
      </c>
      <c r="C158" s="188">
        <v>237.59119999999999</v>
      </c>
      <c r="D158" s="188">
        <v>253.35210000000001</v>
      </c>
      <c r="E158" s="185"/>
      <c r="F158" s="189"/>
      <c r="G158" s="190"/>
      <c r="H158" s="190"/>
      <c r="J158" s="75"/>
      <c r="K158" s="39"/>
      <c r="L158" s="39"/>
      <c r="M158" s="39"/>
      <c r="N158" s="39"/>
    </row>
    <row r="159" spans="1:20" x14ac:dyDescent="0.2">
      <c r="A159" s="185"/>
      <c r="B159" s="165" t="s">
        <v>1054</v>
      </c>
      <c r="C159" s="188">
        <v>35.9634</v>
      </c>
      <c r="D159" s="188">
        <v>38.348999999999997</v>
      </c>
      <c r="E159" s="185"/>
      <c r="F159" s="189"/>
      <c r="G159" s="190"/>
      <c r="H159" s="190"/>
      <c r="J159" s="75"/>
    </row>
    <row r="160" spans="1:20" x14ac:dyDescent="0.2">
      <c r="A160" s="185"/>
      <c r="B160" s="165" t="s">
        <v>193</v>
      </c>
      <c r="C160" s="188">
        <v>217.68469999999999</v>
      </c>
      <c r="D160" s="188">
        <v>231.9119</v>
      </c>
      <c r="E160" s="185"/>
      <c r="F160" s="189"/>
      <c r="G160" s="190"/>
      <c r="H160" s="190"/>
      <c r="J160" s="75"/>
    </row>
    <row r="161" spans="1:10" x14ac:dyDescent="0.2">
      <c r="A161" s="185"/>
      <c r="B161" s="165" t="s">
        <v>1055</v>
      </c>
      <c r="C161" s="188">
        <v>32.065399999999997</v>
      </c>
      <c r="D161" s="188">
        <v>34.161000000000001</v>
      </c>
      <c r="E161" s="185"/>
      <c r="F161" s="189"/>
      <c r="G161" s="190"/>
      <c r="H161" s="190"/>
      <c r="J161" s="75"/>
    </row>
    <row r="162" spans="1:10" x14ac:dyDescent="0.2">
      <c r="A162" s="185"/>
      <c r="B162" s="185"/>
      <c r="C162" s="185"/>
      <c r="D162" s="185"/>
      <c r="E162" s="185"/>
      <c r="F162" s="185"/>
      <c r="G162" s="185"/>
      <c r="H162" s="185"/>
      <c r="J162" s="75"/>
    </row>
    <row r="163" spans="1:10" x14ac:dyDescent="0.2">
      <c r="A163" s="185"/>
      <c r="B163" s="253" t="s">
        <v>1056</v>
      </c>
      <c r="C163" s="254"/>
      <c r="D163" s="163" t="s">
        <v>185</v>
      </c>
      <c r="E163" s="185"/>
      <c r="F163" s="185"/>
      <c r="G163" s="185"/>
      <c r="H163" s="185"/>
      <c r="J163" s="75"/>
    </row>
    <row r="164" spans="1:10" x14ac:dyDescent="0.2">
      <c r="A164" s="185"/>
      <c r="B164" s="189"/>
      <c r="C164" s="189"/>
      <c r="D164" s="185"/>
      <c r="E164" s="185"/>
      <c r="F164" s="185"/>
      <c r="G164" s="185"/>
      <c r="H164" s="185"/>
      <c r="J164" s="75"/>
    </row>
    <row r="165" spans="1:10" x14ac:dyDescent="0.2">
      <c r="A165" s="185"/>
      <c r="B165" s="253" t="s">
        <v>194</v>
      </c>
      <c r="C165" s="254"/>
      <c r="D165" s="163" t="s">
        <v>185</v>
      </c>
      <c r="E165" s="191"/>
      <c r="F165" s="185"/>
      <c r="G165" s="185"/>
      <c r="H165" s="185"/>
      <c r="J165" s="75"/>
    </row>
    <row r="166" spans="1:10" x14ac:dyDescent="0.2">
      <c r="A166" s="185"/>
      <c r="B166" s="253" t="s">
        <v>195</v>
      </c>
      <c r="C166" s="254"/>
      <c r="D166" s="163" t="s">
        <v>185</v>
      </c>
      <c r="E166" s="191"/>
      <c r="F166" s="185"/>
      <c r="G166" s="185"/>
      <c r="H166" s="185"/>
      <c r="J166" s="75"/>
    </row>
    <row r="167" spans="1:10" x14ac:dyDescent="0.2">
      <c r="A167" s="185"/>
      <c r="B167" s="253" t="s">
        <v>196</v>
      </c>
      <c r="C167" s="254"/>
      <c r="D167" s="163" t="s">
        <v>185</v>
      </c>
      <c r="E167" s="191"/>
      <c r="F167" s="185"/>
      <c r="G167" s="185"/>
      <c r="H167" s="185"/>
      <c r="J167" s="75"/>
    </row>
    <row r="168" spans="1:10" x14ac:dyDescent="0.2">
      <c r="A168" s="185"/>
      <c r="B168" s="253" t="s">
        <v>197</v>
      </c>
      <c r="C168" s="254"/>
      <c r="D168" s="192">
        <v>0.50171661519765798</v>
      </c>
      <c r="E168" s="185"/>
      <c r="F168" s="189"/>
      <c r="G168" s="190"/>
      <c r="H168" s="190"/>
      <c r="J168" s="75"/>
    </row>
  </sheetData>
  <mergeCells count="17">
    <mergeCell ref="B168:C168"/>
    <mergeCell ref="B163:C163"/>
    <mergeCell ref="B165:C165"/>
    <mergeCell ref="B166:C166"/>
    <mergeCell ref="B167:C167"/>
    <mergeCell ref="A1:H1"/>
    <mergeCell ref="A2:H2"/>
    <mergeCell ref="A3:H3"/>
    <mergeCell ref="B154:C154"/>
    <mergeCell ref="B155:C155"/>
    <mergeCell ref="B152:D152"/>
    <mergeCell ref="B153:C153"/>
    <mergeCell ref="B150:H150"/>
    <mergeCell ref="B146:H146"/>
    <mergeCell ref="B147:H147"/>
    <mergeCell ref="B148:H148"/>
    <mergeCell ref="B149:H149"/>
  </mergeCells>
  <hyperlinks>
    <hyperlink ref="I1" location="Index!B14" display="Index" xr:uid="{52799D00-1923-493A-90AC-75D9E98131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U244"/>
  <sheetViews>
    <sheetView showGridLines="0" workbookViewId="0">
      <selection activeCell="D217" sqref="D217"/>
    </sheetView>
  </sheetViews>
  <sheetFormatPr defaultRowHeight="12.75" x14ac:dyDescent="0.2"/>
  <cols>
    <col min="1" max="1" width="5.85546875" bestFit="1" customWidth="1"/>
    <col min="2" max="2" width="19.7109375" customWidth="1"/>
    <col min="3" max="3" width="39.140625" bestFit="1" customWidth="1"/>
    <col min="4" max="4" width="16.7109375" bestFit="1" customWidth="1"/>
    <col min="5" max="6" width="19.140625" customWidth="1"/>
    <col min="7" max="7" width="16.28515625" bestFit="1" customWidth="1"/>
    <col min="8" max="8" width="8.42578125" bestFit="1" customWidth="1"/>
    <col min="9" max="9" width="10.42578125" bestFit="1" customWidth="1"/>
    <col min="10" max="10" width="8.7109375" customWidth="1"/>
    <col min="11" max="11" width="50.7109375" style="76" customWidth="1"/>
  </cols>
  <sheetData>
    <row r="1" spans="1:18" ht="15" customHeight="1" x14ac:dyDescent="0.2">
      <c r="A1" s="260" t="s">
        <v>0</v>
      </c>
      <c r="B1" s="260"/>
      <c r="C1" s="260"/>
      <c r="D1" s="260"/>
      <c r="E1" s="260"/>
      <c r="F1" s="260"/>
      <c r="G1" s="260"/>
      <c r="H1" s="260"/>
      <c r="I1" s="260"/>
      <c r="J1" s="73" t="s">
        <v>888</v>
      </c>
      <c r="K1" s="75"/>
      <c r="L1" s="67"/>
      <c r="M1" s="67"/>
      <c r="N1" s="67"/>
      <c r="O1" s="67"/>
    </row>
    <row r="2" spans="1:18" ht="15" customHeight="1" x14ac:dyDescent="0.2">
      <c r="A2" s="260" t="s">
        <v>616</v>
      </c>
      <c r="B2" s="260"/>
      <c r="C2" s="260"/>
      <c r="D2" s="260"/>
      <c r="E2" s="260"/>
      <c r="F2" s="260"/>
      <c r="G2" s="260"/>
      <c r="H2" s="260"/>
      <c r="I2" s="260"/>
      <c r="J2" s="73"/>
      <c r="K2" s="70" t="s">
        <v>889</v>
      </c>
      <c r="L2" s="67"/>
      <c r="M2" s="67"/>
      <c r="N2" s="67"/>
      <c r="O2" s="67"/>
    </row>
    <row r="3" spans="1:18" ht="15" x14ac:dyDescent="0.2">
      <c r="A3" s="260" t="s">
        <v>873</v>
      </c>
      <c r="B3" s="260"/>
      <c r="C3" s="260"/>
      <c r="D3" s="260"/>
      <c r="E3" s="260"/>
      <c r="F3" s="260"/>
      <c r="G3" s="260"/>
      <c r="H3" s="260"/>
      <c r="I3" s="260"/>
      <c r="K3" s="75"/>
      <c r="L3" s="30"/>
      <c r="M3" s="30"/>
      <c r="N3" s="30"/>
      <c r="O3" s="30"/>
    </row>
    <row r="4" spans="1:18" s="28" customFormat="1" ht="30" x14ac:dyDescent="0.2">
      <c r="A4" s="161" t="s">
        <v>2</v>
      </c>
      <c r="B4" s="161" t="s">
        <v>3</v>
      </c>
      <c r="C4" s="161" t="s">
        <v>4</v>
      </c>
      <c r="D4" s="161" t="s">
        <v>5</v>
      </c>
      <c r="E4" s="161" t="s">
        <v>6</v>
      </c>
      <c r="F4" s="161" t="s">
        <v>7</v>
      </c>
      <c r="G4" s="161" t="s">
        <v>8</v>
      </c>
      <c r="H4" s="161" t="s">
        <v>872</v>
      </c>
      <c r="I4" s="161" t="s">
        <v>1068</v>
      </c>
      <c r="K4" s="75"/>
      <c r="L4" s="37"/>
      <c r="M4" s="37"/>
      <c r="N4" s="37"/>
      <c r="O4" s="37"/>
      <c r="Q4"/>
      <c r="R4"/>
    </row>
    <row r="5" spans="1:18" x14ac:dyDescent="0.2">
      <c r="A5" s="162"/>
      <c r="B5" s="162"/>
      <c r="C5" s="163" t="s">
        <v>9</v>
      </c>
      <c r="D5" s="162"/>
      <c r="E5" s="162"/>
      <c r="F5" s="162"/>
      <c r="G5" s="162"/>
      <c r="H5" s="162"/>
      <c r="I5" s="162"/>
      <c r="K5" s="75"/>
      <c r="L5" s="30"/>
      <c r="M5" s="30"/>
      <c r="N5" s="30"/>
      <c r="O5" s="30"/>
    </row>
    <row r="6" spans="1:18" x14ac:dyDescent="0.2">
      <c r="A6" s="162"/>
      <c r="B6" s="162"/>
      <c r="C6" s="163" t="s">
        <v>10</v>
      </c>
      <c r="D6" s="162"/>
      <c r="E6" s="162"/>
      <c r="F6" s="162"/>
      <c r="G6" s="162"/>
      <c r="H6" s="162"/>
      <c r="I6" s="162"/>
      <c r="K6" s="75"/>
      <c r="L6" s="30"/>
      <c r="M6" s="30"/>
      <c r="N6" s="30"/>
      <c r="O6" s="30"/>
    </row>
    <row r="7" spans="1:18" x14ac:dyDescent="0.2">
      <c r="A7" s="164">
        <v>1</v>
      </c>
      <c r="B7" s="165" t="s">
        <v>14</v>
      </c>
      <c r="C7" s="165" t="s">
        <v>15</v>
      </c>
      <c r="D7" s="165" t="s">
        <v>16</v>
      </c>
      <c r="E7" s="166">
        <v>800000</v>
      </c>
      <c r="F7" s="167">
        <v>23472</v>
      </c>
      <c r="G7" s="168">
        <v>5.1254880000000003E-2</v>
      </c>
      <c r="H7" s="167"/>
      <c r="I7" s="167"/>
      <c r="K7" s="75"/>
      <c r="L7" s="30"/>
      <c r="M7" s="30"/>
      <c r="N7" s="30"/>
      <c r="O7" s="30"/>
    </row>
    <row r="8" spans="1:18" x14ac:dyDescent="0.2">
      <c r="A8" s="164">
        <v>2</v>
      </c>
      <c r="B8" s="165" t="s">
        <v>331</v>
      </c>
      <c r="C8" s="165" t="s">
        <v>332</v>
      </c>
      <c r="D8" s="165" t="s">
        <v>39</v>
      </c>
      <c r="E8" s="166">
        <v>1300750</v>
      </c>
      <c r="F8" s="167">
        <v>19772.70075</v>
      </c>
      <c r="G8" s="168">
        <v>4.3176859999999997E-2</v>
      </c>
      <c r="H8" s="167"/>
      <c r="I8" s="167"/>
      <c r="K8" s="75"/>
      <c r="L8" s="30"/>
      <c r="M8" s="30"/>
      <c r="N8" s="30"/>
      <c r="O8" s="30"/>
    </row>
    <row r="9" spans="1:18" x14ac:dyDescent="0.2">
      <c r="A9" s="164">
        <v>3</v>
      </c>
      <c r="B9" s="165" t="s">
        <v>37</v>
      </c>
      <c r="C9" s="165" t="s">
        <v>38</v>
      </c>
      <c r="D9" s="165" t="s">
        <v>39</v>
      </c>
      <c r="E9" s="166">
        <v>1700000</v>
      </c>
      <c r="F9" s="167">
        <v>19556.8</v>
      </c>
      <c r="G9" s="168">
        <v>4.2705409999999999E-2</v>
      </c>
      <c r="H9" s="167"/>
      <c r="I9" s="167"/>
      <c r="K9" s="75"/>
      <c r="L9" s="30"/>
      <c r="M9" s="30"/>
      <c r="N9" s="30"/>
      <c r="O9" s="30"/>
    </row>
    <row r="10" spans="1:18" x14ac:dyDescent="0.2">
      <c r="A10" s="164">
        <v>4</v>
      </c>
      <c r="B10" s="165" t="s">
        <v>17</v>
      </c>
      <c r="C10" s="165" t="s">
        <v>18</v>
      </c>
      <c r="D10" s="165" t="s">
        <v>19</v>
      </c>
      <c r="E10" s="166">
        <v>1000000</v>
      </c>
      <c r="F10" s="167">
        <v>13223</v>
      </c>
      <c r="G10" s="168">
        <v>2.8874540000000001E-2</v>
      </c>
      <c r="H10" s="167"/>
      <c r="I10" s="167"/>
      <c r="K10" s="75"/>
      <c r="L10" s="30"/>
      <c r="M10" s="30"/>
      <c r="N10" s="30"/>
      <c r="O10" s="30"/>
    </row>
    <row r="11" spans="1:18" x14ac:dyDescent="0.2">
      <c r="A11" s="164">
        <v>5</v>
      </c>
      <c r="B11" s="165" t="s">
        <v>337</v>
      </c>
      <c r="C11" s="165" t="s">
        <v>338</v>
      </c>
      <c r="D11" s="165" t="s">
        <v>232</v>
      </c>
      <c r="E11" s="166">
        <v>820000</v>
      </c>
      <c r="F11" s="167">
        <v>11648.51</v>
      </c>
      <c r="G11" s="168">
        <v>2.543639E-2</v>
      </c>
      <c r="H11" s="167"/>
      <c r="I11" s="167"/>
      <c r="K11" s="75"/>
      <c r="L11" s="30"/>
      <c r="M11" s="30"/>
      <c r="N11" s="30"/>
      <c r="O11" s="30"/>
    </row>
    <row r="12" spans="1:18" ht="15" x14ac:dyDescent="0.2">
      <c r="A12" s="164">
        <v>6</v>
      </c>
      <c r="B12" s="165" t="s">
        <v>11</v>
      </c>
      <c r="C12" s="165" t="s">
        <v>12</v>
      </c>
      <c r="D12" s="165" t="s">
        <v>13</v>
      </c>
      <c r="E12" s="166">
        <v>317779</v>
      </c>
      <c r="F12" s="167">
        <v>11421.930597</v>
      </c>
      <c r="G12" s="168">
        <v>2.4941620000000001E-2</v>
      </c>
      <c r="H12" s="167"/>
      <c r="I12" s="167"/>
      <c r="K12" s="71"/>
      <c r="L12" s="30"/>
      <c r="M12" s="30"/>
      <c r="N12" s="30"/>
      <c r="O12" s="30"/>
    </row>
    <row r="13" spans="1:18" x14ac:dyDescent="0.2">
      <c r="A13" s="164">
        <v>7</v>
      </c>
      <c r="B13" s="165" t="s">
        <v>204</v>
      </c>
      <c r="C13" s="165" t="s">
        <v>205</v>
      </c>
      <c r="D13" s="165" t="s">
        <v>75</v>
      </c>
      <c r="E13" s="166">
        <v>2514102</v>
      </c>
      <c r="F13" s="167">
        <v>10410.896382000001</v>
      </c>
      <c r="G13" s="168">
        <v>2.2733860000000002E-2</v>
      </c>
      <c r="H13" s="167"/>
      <c r="I13" s="167"/>
      <c r="K13" s="75"/>
      <c r="L13" s="30"/>
      <c r="M13" s="30"/>
      <c r="N13" s="30"/>
      <c r="O13" s="30"/>
    </row>
    <row r="14" spans="1:18" ht="25.5" x14ac:dyDescent="0.2">
      <c r="A14" s="164">
        <v>8</v>
      </c>
      <c r="B14" s="165" t="s">
        <v>346</v>
      </c>
      <c r="C14" s="165" t="s">
        <v>347</v>
      </c>
      <c r="D14" s="165" t="s">
        <v>216</v>
      </c>
      <c r="E14" s="166">
        <v>624000</v>
      </c>
      <c r="F14" s="167">
        <v>9373.1039999999994</v>
      </c>
      <c r="G14" s="168">
        <v>2.0467679999999999E-2</v>
      </c>
      <c r="H14" s="167"/>
      <c r="I14" s="167"/>
      <c r="K14" s="75"/>
      <c r="L14" s="30"/>
      <c r="M14" s="30"/>
      <c r="N14" s="30"/>
      <c r="O14" s="30"/>
    </row>
    <row r="15" spans="1:18" x14ac:dyDescent="0.2">
      <c r="A15" s="164">
        <v>9</v>
      </c>
      <c r="B15" s="165" t="s">
        <v>54</v>
      </c>
      <c r="C15" s="165" t="s">
        <v>55</v>
      </c>
      <c r="D15" s="165" t="s">
        <v>39</v>
      </c>
      <c r="E15" s="166">
        <v>1000000</v>
      </c>
      <c r="F15" s="167">
        <v>8262.5</v>
      </c>
      <c r="G15" s="168">
        <v>1.8042490000000001E-2</v>
      </c>
      <c r="H15" s="167"/>
      <c r="I15" s="167"/>
      <c r="K15" s="75"/>
      <c r="L15" s="30"/>
      <c r="M15" s="30"/>
      <c r="N15" s="30"/>
      <c r="O15" s="30"/>
    </row>
    <row r="16" spans="1:18" ht="25.5" x14ac:dyDescent="0.2">
      <c r="A16" s="164">
        <v>10</v>
      </c>
      <c r="B16" s="165" t="s">
        <v>335</v>
      </c>
      <c r="C16" s="165" t="s">
        <v>336</v>
      </c>
      <c r="D16" s="165" t="s">
        <v>39</v>
      </c>
      <c r="E16" s="166">
        <v>700000</v>
      </c>
      <c r="F16" s="167">
        <v>8161.3</v>
      </c>
      <c r="G16" s="168">
        <v>1.7821509999999999E-2</v>
      </c>
      <c r="H16" s="167"/>
      <c r="I16" s="167"/>
      <c r="K16" s="75" t="s">
        <v>1086</v>
      </c>
      <c r="L16" s="30"/>
      <c r="M16" s="30"/>
      <c r="N16" s="30"/>
      <c r="O16" s="30"/>
    </row>
    <row r="17" spans="1:15" x14ac:dyDescent="0.2">
      <c r="A17" s="164">
        <v>11</v>
      </c>
      <c r="B17" s="165" t="s">
        <v>20</v>
      </c>
      <c r="C17" s="165" t="s">
        <v>21</v>
      </c>
      <c r="D17" s="165" t="s">
        <v>22</v>
      </c>
      <c r="E17" s="166">
        <v>2000000</v>
      </c>
      <c r="F17" s="167">
        <v>7264</v>
      </c>
      <c r="G17" s="168">
        <v>1.5862109999999999E-2</v>
      </c>
      <c r="H17" s="167"/>
      <c r="I17" s="167"/>
      <c r="K17" s="75"/>
      <c r="L17" s="30"/>
      <c r="M17" s="30"/>
      <c r="N17" s="30"/>
      <c r="O17" s="30"/>
    </row>
    <row r="18" spans="1:15" x14ac:dyDescent="0.2">
      <c r="A18" s="164">
        <v>12</v>
      </c>
      <c r="B18" s="165" t="s">
        <v>341</v>
      </c>
      <c r="C18" s="165" t="s">
        <v>342</v>
      </c>
      <c r="D18" s="165" t="s">
        <v>273</v>
      </c>
      <c r="E18" s="166">
        <v>470000</v>
      </c>
      <c r="F18" s="167">
        <v>6953.415</v>
      </c>
      <c r="G18" s="168">
        <v>1.51839E-2</v>
      </c>
      <c r="H18" s="167"/>
      <c r="I18" s="167"/>
      <c r="K18" s="75"/>
      <c r="L18" s="30"/>
      <c r="M18" s="30"/>
      <c r="N18" s="30"/>
      <c r="O18" s="30"/>
    </row>
    <row r="19" spans="1:15" x14ac:dyDescent="0.2">
      <c r="A19" s="164">
        <v>13</v>
      </c>
      <c r="B19" s="165" t="s">
        <v>226</v>
      </c>
      <c r="C19" s="165" t="s">
        <v>227</v>
      </c>
      <c r="D19" s="165" t="s">
        <v>53</v>
      </c>
      <c r="E19" s="166">
        <v>260000</v>
      </c>
      <c r="F19" s="167">
        <v>6634.42</v>
      </c>
      <c r="G19" s="168">
        <v>1.448732E-2</v>
      </c>
      <c r="H19" s="167"/>
      <c r="I19" s="167"/>
      <c r="K19" s="75"/>
      <c r="L19" s="30"/>
      <c r="M19" s="30"/>
      <c r="N19" s="30"/>
      <c r="O19" s="30"/>
    </row>
    <row r="20" spans="1:15" x14ac:dyDescent="0.2">
      <c r="A20" s="164">
        <v>14</v>
      </c>
      <c r="B20" s="165" t="s">
        <v>206</v>
      </c>
      <c r="C20" s="165" t="s">
        <v>207</v>
      </c>
      <c r="D20" s="165" t="s">
        <v>104</v>
      </c>
      <c r="E20" s="166">
        <v>170000</v>
      </c>
      <c r="F20" s="167">
        <v>6362.42</v>
      </c>
      <c r="G20" s="168">
        <v>1.389336E-2</v>
      </c>
      <c r="H20" s="167"/>
      <c r="I20" s="167"/>
      <c r="K20" s="75"/>
      <c r="L20" s="30"/>
      <c r="M20" s="30"/>
      <c r="N20" s="30"/>
      <c r="O20" s="30"/>
    </row>
    <row r="21" spans="1:15" x14ac:dyDescent="0.2">
      <c r="A21" s="164">
        <v>15</v>
      </c>
      <c r="B21" s="165" t="s">
        <v>617</v>
      </c>
      <c r="C21" s="165" t="s">
        <v>618</v>
      </c>
      <c r="D21" s="165" t="s">
        <v>273</v>
      </c>
      <c r="E21" s="166">
        <v>475000</v>
      </c>
      <c r="F21" s="167">
        <v>5590.75</v>
      </c>
      <c r="G21" s="168">
        <v>1.22083E-2</v>
      </c>
      <c r="H21" s="167"/>
      <c r="I21" s="167"/>
      <c r="K21" s="75"/>
      <c r="L21" s="30"/>
      <c r="M21" s="30"/>
      <c r="N21" s="30"/>
      <c r="O21" s="30"/>
    </row>
    <row r="22" spans="1:15" ht="15" x14ac:dyDescent="0.2">
      <c r="A22" s="164">
        <v>16</v>
      </c>
      <c r="B22" s="165" t="s">
        <v>537</v>
      </c>
      <c r="C22" s="165" t="s">
        <v>538</v>
      </c>
      <c r="D22" s="165" t="s">
        <v>232</v>
      </c>
      <c r="E22" s="166">
        <v>354000</v>
      </c>
      <c r="F22" s="167">
        <v>4837.7640000000001</v>
      </c>
      <c r="G22" s="168">
        <v>1.056403E-2</v>
      </c>
      <c r="H22" s="167"/>
      <c r="I22" s="167"/>
      <c r="K22" s="71"/>
      <c r="L22" s="30"/>
      <c r="M22" s="30"/>
      <c r="N22" s="30"/>
      <c r="O22" s="30"/>
    </row>
    <row r="23" spans="1:15" ht="25.5" x14ac:dyDescent="0.2">
      <c r="A23" s="164">
        <v>17</v>
      </c>
      <c r="B23" s="165" t="s">
        <v>214</v>
      </c>
      <c r="C23" s="165" t="s">
        <v>215</v>
      </c>
      <c r="D23" s="165" t="s">
        <v>216</v>
      </c>
      <c r="E23" s="166">
        <v>494816</v>
      </c>
      <c r="F23" s="167">
        <v>4718.3179680000003</v>
      </c>
      <c r="G23" s="168">
        <v>1.03032E-2</v>
      </c>
      <c r="H23" s="167"/>
      <c r="I23" s="167"/>
      <c r="K23" s="75"/>
      <c r="L23" s="30"/>
      <c r="M23" s="30"/>
      <c r="N23" s="30"/>
      <c r="O23" s="30"/>
    </row>
    <row r="24" spans="1:15" x14ac:dyDescent="0.2">
      <c r="A24" s="164">
        <v>18</v>
      </c>
      <c r="B24" s="165" t="s">
        <v>339</v>
      </c>
      <c r="C24" s="165" t="s">
        <v>340</v>
      </c>
      <c r="D24" s="165" t="s">
        <v>232</v>
      </c>
      <c r="E24" s="166">
        <v>118812</v>
      </c>
      <c r="F24" s="167">
        <v>4539.3906779999998</v>
      </c>
      <c r="G24" s="168">
        <v>9.9124899999999995E-3</v>
      </c>
      <c r="H24" s="167"/>
      <c r="I24" s="167"/>
      <c r="K24" s="75"/>
      <c r="L24" s="30"/>
      <c r="M24" s="30"/>
      <c r="N24" s="30"/>
      <c r="O24" s="30"/>
    </row>
    <row r="25" spans="1:15" x14ac:dyDescent="0.2">
      <c r="A25" s="164">
        <v>19</v>
      </c>
      <c r="B25" s="165" t="s">
        <v>298</v>
      </c>
      <c r="C25" s="165" t="s">
        <v>299</v>
      </c>
      <c r="D25" s="165" t="s">
        <v>104</v>
      </c>
      <c r="E25" s="166">
        <v>610000</v>
      </c>
      <c r="F25" s="167">
        <v>4501.8</v>
      </c>
      <c r="G25" s="168">
        <v>9.8303999999999996E-3</v>
      </c>
      <c r="H25" s="167"/>
      <c r="I25" s="167"/>
      <c r="K25" s="75"/>
      <c r="L25" s="30"/>
      <c r="M25" s="30"/>
      <c r="N25" s="30"/>
      <c r="O25" s="30"/>
    </row>
    <row r="26" spans="1:15" x14ac:dyDescent="0.2">
      <c r="A26" s="164">
        <v>20</v>
      </c>
      <c r="B26" s="165" t="s">
        <v>532</v>
      </c>
      <c r="C26" s="165" t="s">
        <v>1053</v>
      </c>
      <c r="D26" s="165" t="s">
        <v>285</v>
      </c>
      <c r="E26" s="166">
        <v>650000</v>
      </c>
      <c r="F26" s="167">
        <v>4434.625</v>
      </c>
      <c r="G26" s="168">
        <v>9.6837199999999998E-3</v>
      </c>
      <c r="H26" s="167"/>
      <c r="I26" s="167"/>
      <c r="K26" s="75"/>
      <c r="L26" s="30"/>
      <c r="M26" s="30"/>
      <c r="N26" s="30"/>
      <c r="O26" s="30"/>
    </row>
    <row r="27" spans="1:15" ht="25.5" x14ac:dyDescent="0.2">
      <c r="A27" s="164">
        <v>21</v>
      </c>
      <c r="B27" s="165" t="s">
        <v>219</v>
      </c>
      <c r="C27" s="165" t="s">
        <v>220</v>
      </c>
      <c r="D27" s="165" t="s">
        <v>221</v>
      </c>
      <c r="E27" s="166">
        <v>360000</v>
      </c>
      <c r="F27" s="167">
        <v>4348.26</v>
      </c>
      <c r="G27" s="168">
        <v>9.4951199999999993E-3</v>
      </c>
      <c r="H27" s="167"/>
      <c r="I27" s="167"/>
      <c r="K27" s="75"/>
      <c r="L27" s="30"/>
      <c r="M27" s="30"/>
      <c r="N27" s="30"/>
      <c r="O27" s="30"/>
    </row>
    <row r="28" spans="1:15" x14ac:dyDescent="0.2">
      <c r="A28" s="164">
        <v>22</v>
      </c>
      <c r="B28" s="165" t="s">
        <v>619</v>
      </c>
      <c r="C28" s="165" t="s">
        <v>620</v>
      </c>
      <c r="D28" s="165" t="s">
        <v>285</v>
      </c>
      <c r="E28" s="166">
        <v>48788</v>
      </c>
      <c r="F28" s="167">
        <v>4343.9127619999999</v>
      </c>
      <c r="G28" s="168">
        <v>9.4856300000000001E-3</v>
      </c>
      <c r="H28" s="167"/>
      <c r="I28" s="167"/>
      <c r="K28" s="75"/>
      <c r="L28" s="30"/>
      <c r="M28" s="30"/>
      <c r="N28" s="30"/>
      <c r="O28" s="30"/>
    </row>
    <row r="29" spans="1:15" x14ac:dyDescent="0.2">
      <c r="A29" s="164">
        <v>23</v>
      </c>
      <c r="B29" s="165" t="s">
        <v>217</v>
      </c>
      <c r="C29" s="165" t="s">
        <v>218</v>
      </c>
      <c r="D29" s="165" t="s">
        <v>39</v>
      </c>
      <c r="E29" s="166">
        <v>790000</v>
      </c>
      <c r="F29" s="167">
        <v>4331.1750000000002</v>
      </c>
      <c r="G29" s="168">
        <v>9.4578200000000005E-3</v>
      </c>
      <c r="H29" s="167"/>
      <c r="I29" s="167"/>
      <c r="K29" s="75"/>
    </row>
    <row r="30" spans="1:15" x14ac:dyDescent="0.2">
      <c r="A30" s="164">
        <v>24</v>
      </c>
      <c r="B30" s="165" t="s">
        <v>360</v>
      </c>
      <c r="C30" s="165" t="s">
        <v>361</v>
      </c>
      <c r="D30" s="165" t="s">
        <v>39</v>
      </c>
      <c r="E30" s="166">
        <v>276000</v>
      </c>
      <c r="F30" s="167">
        <v>4183.3320000000003</v>
      </c>
      <c r="G30" s="168">
        <v>9.1349799999999991E-3</v>
      </c>
      <c r="H30" s="167"/>
      <c r="I30" s="167"/>
      <c r="K30" s="75"/>
    </row>
    <row r="31" spans="1:15" x14ac:dyDescent="0.2">
      <c r="A31" s="164">
        <v>25</v>
      </c>
      <c r="B31" s="165" t="s">
        <v>63</v>
      </c>
      <c r="C31" s="165" t="s">
        <v>64</v>
      </c>
      <c r="D31" s="165" t="s">
        <v>65</v>
      </c>
      <c r="E31" s="166">
        <v>2000000</v>
      </c>
      <c r="F31" s="167">
        <v>4182</v>
      </c>
      <c r="G31" s="168">
        <v>9.1320700000000008E-3</v>
      </c>
      <c r="H31" s="167"/>
      <c r="I31" s="167"/>
      <c r="K31" s="75"/>
    </row>
    <row r="32" spans="1:15" x14ac:dyDescent="0.2">
      <c r="A32" s="164">
        <v>26</v>
      </c>
      <c r="B32" s="165" t="s">
        <v>258</v>
      </c>
      <c r="C32" s="165" t="s">
        <v>259</v>
      </c>
      <c r="D32" s="165" t="s">
        <v>39</v>
      </c>
      <c r="E32" s="166">
        <v>2700000</v>
      </c>
      <c r="F32" s="167">
        <v>4163.3999999999996</v>
      </c>
      <c r="G32" s="168">
        <v>9.0914499999999992E-3</v>
      </c>
      <c r="H32" s="167"/>
      <c r="I32" s="167"/>
      <c r="K32" s="75"/>
    </row>
    <row r="33" spans="1:11" x14ac:dyDescent="0.2">
      <c r="A33" s="164">
        <v>27</v>
      </c>
      <c r="B33" s="165" t="s">
        <v>127</v>
      </c>
      <c r="C33" s="165" t="s">
        <v>128</v>
      </c>
      <c r="D33" s="165" t="s">
        <v>16</v>
      </c>
      <c r="E33" s="166">
        <v>675000</v>
      </c>
      <c r="F33" s="167">
        <v>4099.6125000000002</v>
      </c>
      <c r="G33" s="168">
        <v>8.9521600000000007E-3</v>
      </c>
      <c r="H33" s="167"/>
      <c r="I33" s="167"/>
      <c r="K33" s="75"/>
    </row>
    <row r="34" spans="1:11" x14ac:dyDescent="0.2">
      <c r="A34" s="164">
        <v>28</v>
      </c>
      <c r="B34" s="165" t="s">
        <v>81</v>
      </c>
      <c r="C34" s="165" t="s">
        <v>82</v>
      </c>
      <c r="D34" s="165" t="s">
        <v>36</v>
      </c>
      <c r="E34" s="166">
        <v>125000</v>
      </c>
      <c r="F34" s="167">
        <v>4094.3125</v>
      </c>
      <c r="G34" s="168">
        <v>8.94059E-3</v>
      </c>
      <c r="H34" s="167"/>
      <c r="I34" s="167"/>
      <c r="K34" s="75"/>
    </row>
    <row r="35" spans="1:11" x14ac:dyDescent="0.2">
      <c r="A35" s="164">
        <v>29</v>
      </c>
      <c r="B35" s="165" t="s">
        <v>222</v>
      </c>
      <c r="C35" s="165" t="s">
        <v>223</v>
      </c>
      <c r="D35" s="165" t="s">
        <v>75</v>
      </c>
      <c r="E35" s="166">
        <v>275000</v>
      </c>
      <c r="F35" s="167">
        <v>4055.5625</v>
      </c>
      <c r="G35" s="168">
        <v>8.8559699999999995E-3</v>
      </c>
      <c r="H35" s="167"/>
      <c r="I35" s="167"/>
      <c r="K35" s="75"/>
    </row>
    <row r="36" spans="1:11" x14ac:dyDescent="0.2">
      <c r="A36" s="164">
        <v>30</v>
      </c>
      <c r="B36" s="165" t="s">
        <v>396</v>
      </c>
      <c r="C36" s="165" t="s">
        <v>397</v>
      </c>
      <c r="D36" s="165" t="s">
        <v>53</v>
      </c>
      <c r="E36" s="166">
        <v>250000</v>
      </c>
      <c r="F36" s="167">
        <v>4037.5</v>
      </c>
      <c r="G36" s="168">
        <v>8.8165299999999995E-3</v>
      </c>
      <c r="H36" s="167"/>
      <c r="I36" s="167"/>
      <c r="K36" s="75"/>
    </row>
    <row r="37" spans="1:11" x14ac:dyDescent="0.2">
      <c r="A37" s="164">
        <v>31</v>
      </c>
      <c r="B37" s="165" t="s">
        <v>260</v>
      </c>
      <c r="C37" s="165" t="s">
        <v>261</v>
      </c>
      <c r="D37" s="165" t="s">
        <v>262</v>
      </c>
      <c r="E37" s="166">
        <v>125000</v>
      </c>
      <c r="F37" s="167">
        <v>4003.375</v>
      </c>
      <c r="G37" s="168">
        <v>8.7420099999999997E-3</v>
      </c>
      <c r="H37" s="167"/>
      <c r="I37" s="167"/>
      <c r="K37" s="75"/>
    </row>
    <row r="38" spans="1:11" ht="25.5" x14ac:dyDescent="0.2">
      <c r="A38" s="164">
        <v>32</v>
      </c>
      <c r="B38" s="165" t="s">
        <v>23</v>
      </c>
      <c r="C38" s="165" t="s">
        <v>24</v>
      </c>
      <c r="D38" s="165" t="s">
        <v>25</v>
      </c>
      <c r="E38" s="166">
        <v>40000</v>
      </c>
      <c r="F38" s="167">
        <v>3988.74</v>
      </c>
      <c r="G38" s="168">
        <v>8.7100500000000004E-3</v>
      </c>
      <c r="H38" s="167"/>
      <c r="I38" s="167"/>
      <c r="K38" s="75"/>
    </row>
    <row r="39" spans="1:11" x14ac:dyDescent="0.2">
      <c r="A39" s="164">
        <v>33</v>
      </c>
      <c r="B39" s="165" t="s">
        <v>621</v>
      </c>
      <c r="C39" s="165" t="s">
        <v>622</v>
      </c>
      <c r="D39" s="165" t="s">
        <v>285</v>
      </c>
      <c r="E39" s="166">
        <v>30000</v>
      </c>
      <c r="F39" s="167">
        <v>3845.25</v>
      </c>
      <c r="G39" s="168">
        <v>8.3967199999999999E-3</v>
      </c>
      <c r="H39" s="167"/>
      <c r="I39" s="167"/>
      <c r="K39" s="75"/>
    </row>
    <row r="40" spans="1:11" x14ac:dyDescent="0.2">
      <c r="A40" s="164">
        <v>34</v>
      </c>
      <c r="B40" s="165" t="s">
        <v>488</v>
      </c>
      <c r="C40" s="165" t="s">
        <v>489</v>
      </c>
      <c r="D40" s="165" t="s">
        <v>242</v>
      </c>
      <c r="E40" s="166">
        <v>450000</v>
      </c>
      <c r="F40" s="167">
        <v>3816</v>
      </c>
      <c r="G40" s="168">
        <v>8.3328499999999993E-3</v>
      </c>
      <c r="H40" s="167"/>
      <c r="I40" s="167"/>
      <c r="K40" s="75"/>
    </row>
    <row r="41" spans="1:11" ht="25.5" x14ac:dyDescent="0.2">
      <c r="A41" s="164">
        <v>35</v>
      </c>
      <c r="B41" s="165" t="s">
        <v>541</v>
      </c>
      <c r="C41" s="165" t="s">
        <v>542</v>
      </c>
      <c r="D41" s="165" t="s">
        <v>414</v>
      </c>
      <c r="E41" s="166">
        <v>340000</v>
      </c>
      <c r="F41" s="167">
        <v>3768.39</v>
      </c>
      <c r="G41" s="168">
        <v>8.2288799999999992E-3</v>
      </c>
      <c r="H41" s="167"/>
      <c r="I41" s="167"/>
      <c r="K41" s="75"/>
    </row>
    <row r="42" spans="1:11" ht="25.5" x14ac:dyDescent="0.2">
      <c r="A42" s="164">
        <v>36</v>
      </c>
      <c r="B42" s="165" t="s">
        <v>415</v>
      </c>
      <c r="C42" s="165" t="s">
        <v>416</v>
      </c>
      <c r="D42" s="165" t="s">
        <v>25</v>
      </c>
      <c r="E42" s="166">
        <v>156191</v>
      </c>
      <c r="F42" s="167">
        <v>3766.7802514999998</v>
      </c>
      <c r="G42" s="168">
        <v>8.2253699999999992E-3</v>
      </c>
      <c r="H42" s="167"/>
      <c r="I42" s="167"/>
      <c r="K42" s="75"/>
    </row>
    <row r="43" spans="1:11" x14ac:dyDescent="0.2">
      <c r="A43" s="164">
        <v>37</v>
      </c>
      <c r="B43" s="165" t="s">
        <v>535</v>
      </c>
      <c r="C43" s="165" t="s">
        <v>536</v>
      </c>
      <c r="D43" s="165" t="s">
        <v>235</v>
      </c>
      <c r="E43" s="166">
        <v>260000</v>
      </c>
      <c r="F43" s="167">
        <v>3735.03</v>
      </c>
      <c r="G43" s="168">
        <v>8.1560399999999998E-3</v>
      </c>
      <c r="H43" s="167"/>
      <c r="I43" s="167"/>
      <c r="K43" s="75"/>
    </row>
    <row r="44" spans="1:11" x14ac:dyDescent="0.2">
      <c r="A44" s="164">
        <v>38</v>
      </c>
      <c r="B44" s="165" t="s">
        <v>362</v>
      </c>
      <c r="C44" s="165" t="s">
        <v>363</v>
      </c>
      <c r="D44" s="165" t="s">
        <v>364</v>
      </c>
      <c r="E44" s="166">
        <v>840000</v>
      </c>
      <c r="F44" s="167">
        <v>3659.46</v>
      </c>
      <c r="G44" s="168">
        <v>7.9910199999999997E-3</v>
      </c>
      <c r="H44" s="167"/>
      <c r="I44" s="167"/>
      <c r="K44" s="75"/>
    </row>
    <row r="45" spans="1:11" x14ac:dyDescent="0.2">
      <c r="A45" s="164">
        <v>39</v>
      </c>
      <c r="B45" s="165" t="s">
        <v>623</v>
      </c>
      <c r="C45" s="165" t="s">
        <v>624</v>
      </c>
      <c r="D45" s="165" t="s">
        <v>285</v>
      </c>
      <c r="E45" s="166">
        <v>165000</v>
      </c>
      <c r="F45" s="167">
        <v>3557.9775</v>
      </c>
      <c r="G45" s="168">
        <v>7.76941E-3</v>
      </c>
      <c r="H45" s="167"/>
      <c r="I45" s="167"/>
      <c r="K45" s="75"/>
    </row>
    <row r="46" spans="1:11" x14ac:dyDescent="0.2">
      <c r="A46" s="164">
        <v>40</v>
      </c>
      <c r="B46" s="165" t="s">
        <v>102</v>
      </c>
      <c r="C46" s="165" t="s">
        <v>103</v>
      </c>
      <c r="D46" s="165" t="s">
        <v>104</v>
      </c>
      <c r="E46" s="166">
        <v>85500</v>
      </c>
      <c r="F46" s="167">
        <v>3154.8217500000001</v>
      </c>
      <c r="G46" s="168">
        <v>6.8890599999999998E-3</v>
      </c>
      <c r="H46" s="167"/>
      <c r="I46" s="167"/>
      <c r="K46" s="75"/>
    </row>
    <row r="47" spans="1:11" ht="25.5" x14ac:dyDescent="0.2">
      <c r="A47" s="164">
        <v>41</v>
      </c>
      <c r="B47" s="165" t="s">
        <v>354</v>
      </c>
      <c r="C47" s="165" t="s">
        <v>355</v>
      </c>
      <c r="D47" s="165" t="s">
        <v>216</v>
      </c>
      <c r="E47" s="166">
        <v>50000</v>
      </c>
      <c r="F47" s="167">
        <v>3102.15</v>
      </c>
      <c r="G47" s="168">
        <v>6.7740400000000003E-3</v>
      </c>
      <c r="H47" s="167"/>
      <c r="I47" s="167"/>
      <c r="K47" s="75"/>
    </row>
    <row r="48" spans="1:11" x14ac:dyDescent="0.2">
      <c r="A48" s="164">
        <v>42</v>
      </c>
      <c r="B48" s="165" t="s">
        <v>625</v>
      </c>
      <c r="C48" s="165" t="s">
        <v>626</v>
      </c>
      <c r="D48" s="165" t="s">
        <v>104</v>
      </c>
      <c r="E48" s="166">
        <v>120000</v>
      </c>
      <c r="F48" s="167">
        <v>3082.8</v>
      </c>
      <c r="G48" s="168">
        <v>6.7317899999999996E-3</v>
      </c>
      <c r="H48" s="167"/>
      <c r="I48" s="167"/>
      <c r="K48" s="75"/>
    </row>
    <row r="49" spans="1:11" x14ac:dyDescent="0.2">
      <c r="A49" s="164">
        <v>43</v>
      </c>
      <c r="B49" s="165" t="s">
        <v>352</v>
      </c>
      <c r="C49" s="165" t="s">
        <v>353</v>
      </c>
      <c r="D49" s="165" t="s">
        <v>39</v>
      </c>
      <c r="E49" s="166">
        <v>489500</v>
      </c>
      <c r="F49" s="167">
        <v>3044.4452500000002</v>
      </c>
      <c r="G49" s="168">
        <v>6.6480300000000001E-3</v>
      </c>
      <c r="H49" s="167"/>
      <c r="I49" s="167"/>
      <c r="K49" s="75"/>
    </row>
    <row r="50" spans="1:11" x14ac:dyDescent="0.2">
      <c r="A50" s="164">
        <v>44</v>
      </c>
      <c r="B50" s="165" t="s">
        <v>108</v>
      </c>
      <c r="C50" s="165" t="s">
        <v>109</v>
      </c>
      <c r="D50" s="165" t="s">
        <v>62</v>
      </c>
      <c r="E50" s="166">
        <v>675000</v>
      </c>
      <c r="F50" s="167">
        <v>3030.75</v>
      </c>
      <c r="G50" s="168">
        <v>6.6181299999999998E-3</v>
      </c>
      <c r="H50" s="167"/>
      <c r="I50" s="167"/>
      <c r="K50" s="75"/>
    </row>
    <row r="51" spans="1:11" x14ac:dyDescent="0.2">
      <c r="A51" s="164">
        <v>45</v>
      </c>
      <c r="B51" s="165" t="s">
        <v>365</v>
      </c>
      <c r="C51" s="165" t="s">
        <v>366</v>
      </c>
      <c r="D51" s="165" t="s">
        <v>114</v>
      </c>
      <c r="E51" s="166">
        <v>1800000</v>
      </c>
      <c r="F51" s="167">
        <v>2970</v>
      </c>
      <c r="G51" s="168">
        <v>6.4854700000000001E-3</v>
      </c>
      <c r="H51" s="167"/>
      <c r="I51" s="167"/>
      <c r="K51" s="75"/>
    </row>
    <row r="52" spans="1:11" x14ac:dyDescent="0.2">
      <c r="A52" s="164">
        <v>46</v>
      </c>
      <c r="B52" s="165" t="s">
        <v>627</v>
      </c>
      <c r="C52" s="165" t="s">
        <v>628</v>
      </c>
      <c r="D52" s="165" t="s">
        <v>235</v>
      </c>
      <c r="E52" s="166">
        <v>486000</v>
      </c>
      <c r="F52" s="167">
        <v>2784.2939999999999</v>
      </c>
      <c r="G52" s="168">
        <v>6.0799499999999998E-3</v>
      </c>
      <c r="H52" s="167"/>
      <c r="I52" s="167"/>
      <c r="K52" s="75"/>
    </row>
    <row r="53" spans="1:11" x14ac:dyDescent="0.2">
      <c r="A53" s="164">
        <v>47</v>
      </c>
      <c r="B53" s="165" t="s">
        <v>505</v>
      </c>
      <c r="C53" s="165" t="s">
        <v>506</v>
      </c>
      <c r="D53" s="165" t="s">
        <v>53</v>
      </c>
      <c r="E53" s="166">
        <v>300000</v>
      </c>
      <c r="F53" s="167">
        <v>2737.65</v>
      </c>
      <c r="G53" s="168">
        <v>5.9781000000000001E-3</v>
      </c>
      <c r="H53" s="167"/>
      <c r="I53" s="167"/>
      <c r="K53" s="75"/>
    </row>
    <row r="54" spans="1:11" x14ac:dyDescent="0.2">
      <c r="A54" s="164">
        <v>48</v>
      </c>
      <c r="B54" s="165" t="s">
        <v>629</v>
      </c>
      <c r="C54" s="165" t="s">
        <v>630</v>
      </c>
      <c r="D54" s="165" t="s">
        <v>36</v>
      </c>
      <c r="E54" s="166">
        <v>1000000</v>
      </c>
      <c r="F54" s="167">
        <v>2664.5</v>
      </c>
      <c r="G54" s="168">
        <v>5.8183599999999999E-3</v>
      </c>
      <c r="H54" s="167"/>
      <c r="I54" s="167"/>
      <c r="K54" s="75"/>
    </row>
    <row r="55" spans="1:11" ht="25.5" x14ac:dyDescent="0.2">
      <c r="A55" s="164">
        <v>49</v>
      </c>
      <c r="B55" s="165" t="s">
        <v>246</v>
      </c>
      <c r="C55" s="165" t="s">
        <v>247</v>
      </c>
      <c r="D55" s="165" t="s">
        <v>216</v>
      </c>
      <c r="E55" s="166">
        <v>53500</v>
      </c>
      <c r="F55" s="167">
        <v>2585.6817500000002</v>
      </c>
      <c r="G55" s="168">
        <v>5.6462500000000002E-3</v>
      </c>
      <c r="H55" s="167"/>
      <c r="I55" s="167"/>
      <c r="K55" s="75"/>
    </row>
    <row r="56" spans="1:11" x14ac:dyDescent="0.2">
      <c r="A56" s="164">
        <v>50</v>
      </c>
      <c r="B56" s="165" t="s">
        <v>333</v>
      </c>
      <c r="C56" s="165" t="s">
        <v>334</v>
      </c>
      <c r="D56" s="165" t="s">
        <v>210</v>
      </c>
      <c r="E56" s="166">
        <v>1330000</v>
      </c>
      <c r="F56" s="167">
        <v>2568.895</v>
      </c>
      <c r="G56" s="168">
        <v>5.6095900000000002E-3</v>
      </c>
      <c r="H56" s="167"/>
      <c r="I56" s="167"/>
      <c r="K56" s="75"/>
    </row>
    <row r="57" spans="1:11" x14ac:dyDescent="0.2">
      <c r="A57" s="164">
        <v>51</v>
      </c>
      <c r="B57" s="165" t="s">
        <v>274</v>
      </c>
      <c r="C57" s="165" t="s">
        <v>275</v>
      </c>
      <c r="D57" s="165" t="s">
        <v>276</v>
      </c>
      <c r="E57" s="166">
        <v>215000</v>
      </c>
      <c r="F57" s="167">
        <v>2367.7950000000001</v>
      </c>
      <c r="G57" s="168">
        <v>5.17046E-3</v>
      </c>
      <c r="H57" s="167"/>
      <c r="I57" s="167"/>
      <c r="K57" s="75"/>
    </row>
    <row r="58" spans="1:11" x14ac:dyDescent="0.2">
      <c r="A58" s="164">
        <v>52</v>
      </c>
      <c r="B58" s="165" t="s">
        <v>211</v>
      </c>
      <c r="C58" s="165" t="s">
        <v>212</v>
      </c>
      <c r="D58" s="165" t="s">
        <v>213</v>
      </c>
      <c r="E58" s="166">
        <v>525000</v>
      </c>
      <c r="F58" s="167">
        <v>2302.3874999999998</v>
      </c>
      <c r="G58" s="168">
        <v>5.0276299999999999E-3</v>
      </c>
      <c r="H58" s="167"/>
      <c r="I58" s="167"/>
      <c r="K58" s="75"/>
    </row>
    <row r="59" spans="1:11" x14ac:dyDescent="0.2">
      <c r="A59" s="164">
        <v>53</v>
      </c>
      <c r="B59" s="165" t="s">
        <v>374</v>
      </c>
      <c r="C59" s="165" t="s">
        <v>375</v>
      </c>
      <c r="D59" s="165" t="s">
        <v>210</v>
      </c>
      <c r="E59" s="166">
        <v>50000</v>
      </c>
      <c r="F59" s="167">
        <v>2301.9</v>
      </c>
      <c r="G59" s="168">
        <v>5.0265700000000002E-3</v>
      </c>
      <c r="H59" s="167"/>
      <c r="I59" s="167"/>
      <c r="K59" s="75"/>
    </row>
    <row r="60" spans="1:11" ht="25.5" x14ac:dyDescent="0.2">
      <c r="A60" s="164">
        <v>54</v>
      </c>
      <c r="B60" s="165" t="s">
        <v>141</v>
      </c>
      <c r="C60" s="165" t="s">
        <v>142</v>
      </c>
      <c r="D60" s="165" t="s">
        <v>25</v>
      </c>
      <c r="E60" s="166">
        <v>125000</v>
      </c>
      <c r="F60" s="167">
        <v>2297.6875</v>
      </c>
      <c r="G60" s="168">
        <v>5.0173700000000002E-3</v>
      </c>
      <c r="H60" s="167"/>
      <c r="I60" s="167"/>
      <c r="K60" s="75"/>
    </row>
    <row r="61" spans="1:11" x14ac:dyDescent="0.2">
      <c r="A61" s="164">
        <v>55</v>
      </c>
      <c r="B61" s="165" t="s">
        <v>71</v>
      </c>
      <c r="C61" s="165" t="s">
        <v>72</v>
      </c>
      <c r="D61" s="165" t="s">
        <v>36</v>
      </c>
      <c r="E61" s="166">
        <v>105000</v>
      </c>
      <c r="F61" s="167">
        <v>2232.9825000000001</v>
      </c>
      <c r="G61" s="168">
        <v>4.8760799999999997E-3</v>
      </c>
      <c r="H61" s="167"/>
      <c r="I61" s="167"/>
      <c r="K61" s="75"/>
    </row>
    <row r="62" spans="1:11" x14ac:dyDescent="0.2">
      <c r="A62" s="164">
        <v>56</v>
      </c>
      <c r="B62" s="165" t="s">
        <v>236</v>
      </c>
      <c r="C62" s="165" t="s">
        <v>237</v>
      </c>
      <c r="D62" s="165" t="s">
        <v>36</v>
      </c>
      <c r="E62" s="166">
        <v>37500</v>
      </c>
      <c r="F62" s="167">
        <v>2124.9562500000002</v>
      </c>
      <c r="G62" s="168">
        <v>4.6401799999999998E-3</v>
      </c>
      <c r="H62" s="167"/>
      <c r="I62" s="167"/>
      <c r="K62" s="75"/>
    </row>
    <row r="63" spans="1:11" x14ac:dyDescent="0.2">
      <c r="A63" s="164">
        <v>57</v>
      </c>
      <c r="B63" s="165" t="s">
        <v>296</v>
      </c>
      <c r="C63" s="165" t="s">
        <v>297</v>
      </c>
      <c r="D63" s="165" t="s">
        <v>242</v>
      </c>
      <c r="E63" s="166">
        <v>1250000</v>
      </c>
      <c r="F63" s="167">
        <v>2079.375</v>
      </c>
      <c r="G63" s="168">
        <v>4.5406500000000002E-3</v>
      </c>
      <c r="H63" s="167"/>
      <c r="I63" s="167"/>
      <c r="K63" s="75"/>
    </row>
    <row r="64" spans="1:11" x14ac:dyDescent="0.2">
      <c r="A64" s="164">
        <v>58</v>
      </c>
      <c r="B64" s="165" t="s">
        <v>143</v>
      </c>
      <c r="C64" s="165" t="s">
        <v>144</v>
      </c>
      <c r="D64" s="165" t="s">
        <v>104</v>
      </c>
      <c r="E64" s="166">
        <v>321422</v>
      </c>
      <c r="F64" s="167">
        <v>2010.012477</v>
      </c>
      <c r="G64" s="168">
        <v>4.3891900000000003E-3</v>
      </c>
      <c r="H64" s="167"/>
      <c r="I64" s="167"/>
      <c r="K64" s="75"/>
    </row>
    <row r="65" spans="1:11" ht="25.5" x14ac:dyDescent="0.2">
      <c r="A65" s="164">
        <v>59</v>
      </c>
      <c r="B65" s="165" t="s">
        <v>539</v>
      </c>
      <c r="C65" s="165" t="s">
        <v>540</v>
      </c>
      <c r="D65" s="165" t="s">
        <v>216</v>
      </c>
      <c r="E65" s="166">
        <v>128000</v>
      </c>
      <c r="F65" s="167">
        <v>1792</v>
      </c>
      <c r="G65" s="168">
        <v>3.91312E-3</v>
      </c>
      <c r="H65" s="167"/>
      <c r="I65" s="167"/>
      <c r="K65" s="75"/>
    </row>
    <row r="66" spans="1:11" x14ac:dyDescent="0.2">
      <c r="A66" s="164">
        <v>60</v>
      </c>
      <c r="B66" s="165" t="s">
        <v>358</v>
      </c>
      <c r="C66" s="165" t="s">
        <v>359</v>
      </c>
      <c r="D66" s="165" t="s">
        <v>242</v>
      </c>
      <c r="E66" s="166">
        <v>300000</v>
      </c>
      <c r="F66" s="167">
        <v>1730.25</v>
      </c>
      <c r="G66" s="168">
        <v>3.7782800000000002E-3</v>
      </c>
      <c r="H66" s="167"/>
      <c r="I66" s="167"/>
      <c r="K66" s="75"/>
    </row>
    <row r="67" spans="1:11" x14ac:dyDescent="0.2">
      <c r="A67" s="164">
        <v>61</v>
      </c>
      <c r="B67" s="165" t="s">
        <v>263</v>
      </c>
      <c r="C67" s="165" t="s">
        <v>264</v>
      </c>
      <c r="D67" s="165" t="s">
        <v>210</v>
      </c>
      <c r="E67" s="166">
        <v>28500</v>
      </c>
      <c r="F67" s="167">
        <v>1725.3187499999999</v>
      </c>
      <c r="G67" s="168">
        <v>3.76751E-3</v>
      </c>
      <c r="H67" s="167"/>
      <c r="I67" s="167"/>
      <c r="K67" s="75"/>
    </row>
    <row r="68" spans="1:11" x14ac:dyDescent="0.2">
      <c r="A68" s="164">
        <v>62</v>
      </c>
      <c r="B68" s="165" t="s">
        <v>294</v>
      </c>
      <c r="C68" s="165" t="s">
        <v>295</v>
      </c>
      <c r="D68" s="165" t="s">
        <v>53</v>
      </c>
      <c r="E68" s="166">
        <v>135000</v>
      </c>
      <c r="F68" s="167">
        <v>1453.68</v>
      </c>
      <c r="G68" s="168">
        <v>3.1743399999999999E-3</v>
      </c>
      <c r="H68" s="167"/>
      <c r="I68" s="167"/>
      <c r="K68" s="75"/>
    </row>
    <row r="69" spans="1:11" ht="25.5" x14ac:dyDescent="0.2">
      <c r="A69" s="164">
        <v>63</v>
      </c>
      <c r="B69" s="165" t="s">
        <v>597</v>
      </c>
      <c r="C69" s="165" t="s">
        <v>598</v>
      </c>
      <c r="D69" s="165" t="s">
        <v>599</v>
      </c>
      <c r="E69" s="166">
        <v>290000</v>
      </c>
      <c r="F69" s="167">
        <v>1449.13</v>
      </c>
      <c r="G69" s="168">
        <v>3.1644099999999999E-3</v>
      </c>
      <c r="H69" s="167"/>
      <c r="I69" s="167"/>
      <c r="K69" s="75"/>
    </row>
    <row r="70" spans="1:11" ht="25.5" x14ac:dyDescent="0.2">
      <c r="A70" s="164">
        <v>64</v>
      </c>
      <c r="B70" s="165" t="s">
        <v>224</v>
      </c>
      <c r="C70" s="165" t="s">
        <v>225</v>
      </c>
      <c r="D70" s="165" t="s">
        <v>216</v>
      </c>
      <c r="E70" s="166">
        <v>85000</v>
      </c>
      <c r="F70" s="167">
        <v>1399.0150000000001</v>
      </c>
      <c r="G70" s="168">
        <v>3.0549700000000002E-3</v>
      </c>
      <c r="H70" s="167"/>
      <c r="I70" s="167"/>
      <c r="K70" s="75"/>
    </row>
    <row r="71" spans="1:11" ht="25.5" x14ac:dyDescent="0.2">
      <c r="A71" s="164">
        <v>65</v>
      </c>
      <c r="B71" s="165" t="s">
        <v>97</v>
      </c>
      <c r="C71" s="165" t="s">
        <v>98</v>
      </c>
      <c r="D71" s="165" t="s">
        <v>99</v>
      </c>
      <c r="E71" s="166">
        <v>97208</v>
      </c>
      <c r="F71" s="167">
        <v>1287.9087919999999</v>
      </c>
      <c r="G71" s="168">
        <v>2.8123599999999999E-3</v>
      </c>
      <c r="H71" s="167"/>
      <c r="I71" s="167"/>
      <c r="K71" s="75"/>
    </row>
    <row r="72" spans="1:11" x14ac:dyDescent="0.2">
      <c r="A72" s="164">
        <v>66</v>
      </c>
      <c r="B72" s="165" t="s">
        <v>51</v>
      </c>
      <c r="C72" s="165" t="s">
        <v>52</v>
      </c>
      <c r="D72" s="165" t="s">
        <v>53</v>
      </c>
      <c r="E72" s="166">
        <v>240000</v>
      </c>
      <c r="F72" s="167">
        <v>1217.1600000000001</v>
      </c>
      <c r="G72" s="168">
        <v>2.6578600000000002E-3</v>
      </c>
      <c r="H72" s="167"/>
      <c r="I72" s="167"/>
      <c r="K72" s="75"/>
    </row>
    <row r="73" spans="1:11" x14ac:dyDescent="0.2">
      <c r="A73" s="164">
        <v>67</v>
      </c>
      <c r="B73" s="165" t="s">
        <v>631</v>
      </c>
      <c r="C73" s="165" t="s">
        <v>632</v>
      </c>
      <c r="D73" s="165" t="s">
        <v>62</v>
      </c>
      <c r="E73" s="166">
        <v>615448</v>
      </c>
      <c r="F73" s="167">
        <v>1097.6515079999999</v>
      </c>
      <c r="G73" s="168">
        <v>2.3969E-3</v>
      </c>
      <c r="H73" s="167"/>
      <c r="I73" s="167"/>
      <c r="K73" s="75"/>
    </row>
    <row r="74" spans="1:11" x14ac:dyDescent="0.2">
      <c r="A74" s="164">
        <v>68</v>
      </c>
      <c r="B74" s="165" t="s">
        <v>633</v>
      </c>
      <c r="C74" s="165" t="s">
        <v>634</v>
      </c>
      <c r="D74" s="165" t="s">
        <v>232</v>
      </c>
      <c r="E74" s="166">
        <v>72000</v>
      </c>
      <c r="F74" s="167">
        <v>909.72</v>
      </c>
      <c r="G74" s="168">
        <v>1.9865199999999999E-3</v>
      </c>
      <c r="H74" s="167"/>
      <c r="I74" s="167"/>
      <c r="K74" s="75"/>
    </row>
    <row r="75" spans="1:11" x14ac:dyDescent="0.2">
      <c r="A75" s="164">
        <v>69</v>
      </c>
      <c r="B75" s="165" t="s">
        <v>517</v>
      </c>
      <c r="C75" s="165" t="s">
        <v>518</v>
      </c>
      <c r="D75" s="165" t="s">
        <v>36</v>
      </c>
      <c r="E75" s="166">
        <v>5000</v>
      </c>
      <c r="F75" s="167">
        <v>82.772499999999994</v>
      </c>
      <c r="G75" s="168">
        <v>1.8075E-4</v>
      </c>
      <c r="H75" s="167"/>
      <c r="I75" s="167"/>
      <c r="K75" s="75"/>
    </row>
    <row r="76" spans="1:11" x14ac:dyDescent="0.2">
      <c r="A76" s="162"/>
      <c r="B76" s="162"/>
      <c r="C76" s="163" t="s">
        <v>152</v>
      </c>
      <c r="D76" s="162"/>
      <c r="E76" s="162" t="s">
        <v>153</v>
      </c>
      <c r="F76" s="169">
        <v>330707.40491549991</v>
      </c>
      <c r="G76" s="170">
        <v>0.72215554999999998</v>
      </c>
      <c r="H76" s="167"/>
      <c r="I76" s="167"/>
      <c r="K76" s="75"/>
    </row>
    <row r="77" spans="1:11" x14ac:dyDescent="0.2">
      <c r="A77" s="162"/>
      <c r="B77" s="162"/>
      <c r="C77" s="171"/>
      <c r="D77" s="162"/>
      <c r="E77" s="162"/>
      <c r="F77" s="172"/>
      <c r="G77" s="172"/>
      <c r="H77" s="167"/>
      <c r="I77" s="167"/>
      <c r="K77" s="75"/>
    </row>
    <row r="78" spans="1:11" x14ac:dyDescent="0.2">
      <c r="A78" s="162"/>
      <c r="B78" s="162"/>
      <c r="C78" s="163" t="s">
        <v>154</v>
      </c>
      <c r="D78" s="162"/>
      <c r="E78" s="162"/>
      <c r="F78" s="162"/>
      <c r="G78" s="162"/>
      <c r="H78" s="167"/>
      <c r="I78" s="167"/>
      <c r="K78" s="75"/>
    </row>
    <row r="79" spans="1:11" x14ac:dyDescent="0.2">
      <c r="A79" s="162"/>
      <c r="B79" s="162"/>
      <c r="C79" s="163" t="s">
        <v>152</v>
      </c>
      <c r="D79" s="162"/>
      <c r="E79" s="162" t="s">
        <v>153</v>
      </c>
      <c r="F79" s="173" t="s">
        <v>155</v>
      </c>
      <c r="G79" s="170">
        <v>0</v>
      </c>
      <c r="H79" s="167"/>
      <c r="I79" s="167"/>
      <c r="K79" s="75"/>
    </row>
    <row r="80" spans="1:11" x14ac:dyDescent="0.2">
      <c r="A80" s="162"/>
      <c r="B80" s="162"/>
      <c r="C80" s="171"/>
      <c r="D80" s="162"/>
      <c r="E80" s="162"/>
      <c r="F80" s="172"/>
      <c r="G80" s="172"/>
      <c r="H80" s="167"/>
      <c r="I80" s="167"/>
      <c r="K80" s="75"/>
    </row>
    <row r="81" spans="1:11" x14ac:dyDescent="0.2">
      <c r="A81" s="162"/>
      <c r="B81" s="162"/>
      <c r="C81" s="163" t="s">
        <v>156</v>
      </c>
      <c r="D81" s="162"/>
      <c r="E81" s="162"/>
      <c r="F81" s="162"/>
      <c r="G81" s="162"/>
      <c r="H81" s="167"/>
      <c r="I81" s="167"/>
      <c r="K81" s="75"/>
    </row>
    <row r="82" spans="1:11" x14ac:dyDescent="0.2">
      <c r="A82" s="164">
        <v>1</v>
      </c>
      <c r="B82" s="165" t="s">
        <v>635</v>
      </c>
      <c r="C82" s="165" t="s">
        <v>1199</v>
      </c>
      <c r="D82" s="165" t="s">
        <v>242</v>
      </c>
      <c r="E82" s="166">
        <v>30579</v>
      </c>
      <c r="F82" s="167">
        <v>1.3240707</v>
      </c>
      <c r="G82" s="168" t="s">
        <v>151</v>
      </c>
      <c r="H82" s="167"/>
      <c r="I82" s="167"/>
      <c r="K82" s="75"/>
    </row>
    <row r="83" spans="1:11" x14ac:dyDescent="0.2">
      <c r="A83" s="162"/>
      <c r="B83" s="162"/>
      <c r="C83" s="163" t="s">
        <v>152</v>
      </c>
      <c r="D83" s="162"/>
      <c r="E83" s="162" t="s">
        <v>153</v>
      </c>
      <c r="F83" s="169">
        <v>1.32</v>
      </c>
      <c r="G83" s="170">
        <v>0</v>
      </c>
      <c r="H83" s="167"/>
      <c r="I83" s="167"/>
      <c r="K83" s="75"/>
    </row>
    <row r="84" spans="1:11" x14ac:dyDescent="0.2">
      <c r="A84" s="162"/>
      <c r="B84" s="162"/>
      <c r="C84" s="171"/>
      <c r="D84" s="162"/>
      <c r="E84" s="162"/>
      <c r="F84" s="172"/>
      <c r="G84" s="172"/>
      <c r="H84" s="167"/>
      <c r="I84" s="167"/>
      <c r="K84" s="75"/>
    </row>
    <row r="85" spans="1:11" x14ac:dyDescent="0.2">
      <c r="A85" s="162"/>
      <c r="B85" s="162"/>
      <c r="C85" s="163" t="s">
        <v>157</v>
      </c>
      <c r="D85" s="162"/>
      <c r="E85" s="162"/>
      <c r="F85" s="162"/>
      <c r="G85" s="162"/>
      <c r="H85" s="167"/>
      <c r="I85" s="167"/>
      <c r="K85" s="75"/>
    </row>
    <row r="86" spans="1:11" ht="25.5" x14ac:dyDescent="0.2">
      <c r="A86" s="164">
        <v>1</v>
      </c>
      <c r="B86" s="165" t="s">
        <v>329</v>
      </c>
      <c r="C86" s="165" t="s">
        <v>1202</v>
      </c>
      <c r="D86" s="165" t="s">
        <v>36</v>
      </c>
      <c r="E86" s="166">
        <v>91</v>
      </c>
      <c r="F86" s="167">
        <v>9.1030940000000008E-3</v>
      </c>
      <c r="G86" s="168" t="s">
        <v>151</v>
      </c>
      <c r="H86" s="167"/>
      <c r="I86" s="167"/>
      <c r="K86" s="75"/>
    </row>
    <row r="87" spans="1:11" x14ac:dyDescent="0.2">
      <c r="A87" s="162"/>
      <c r="B87" s="162"/>
      <c r="C87" s="163" t="s">
        <v>152</v>
      </c>
      <c r="D87" s="162"/>
      <c r="E87" s="162" t="s">
        <v>153</v>
      </c>
      <c r="F87" s="169">
        <v>9.1030940000000008E-3</v>
      </c>
      <c r="G87" s="170">
        <v>2E-8</v>
      </c>
      <c r="H87" s="167"/>
      <c r="I87" s="167"/>
      <c r="K87" s="75"/>
    </row>
    <row r="88" spans="1:11" x14ac:dyDescent="0.2">
      <c r="A88" s="162"/>
      <c r="B88" s="162"/>
      <c r="C88" s="171"/>
      <c r="D88" s="162"/>
      <c r="E88" s="162"/>
      <c r="F88" s="172"/>
      <c r="G88" s="172"/>
      <c r="H88" s="167"/>
      <c r="I88" s="167"/>
      <c r="K88" s="75"/>
    </row>
    <row r="89" spans="1:11" x14ac:dyDescent="0.2">
      <c r="A89" s="162"/>
      <c r="B89" s="162"/>
      <c r="C89" s="163" t="s">
        <v>158</v>
      </c>
      <c r="D89" s="162"/>
      <c r="E89" s="162"/>
      <c r="F89" s="172"/>
      <c r="G89" s="172"/>
      <c r="H89" s="167"/>
      <c r="I89" s="167"/>
      <c r="K89" s="75"/>
    </row>
    <row r="90" spans="1:11" x14ac:dyDescent="0.2">
      <c r="A90" s="162"/>
      <c r="B90" s="162"/>
      <c r="C90" s="163" t="s">
        <v>152</v>
      </c>
      <c r="D90" s="162"/>
      <c r="E90" s="162" t="s">
        <v>153</v>
      </c>
      <c r="F90" s="173" t="s">
        <v>155</v>
      </c>
      <c r="G90" s="170">
        <v>0</v>
      </c>
      <c r="H90" s="167"/>
      <c r="I90" s="167"/>
      <c r="K90" s="75"/>
    </row>
    <row r="91" spans="1:11" x14ac:dyDescent="0.2">
      <c r="A91" s="162"/>
      <c r="B91" s="162"/>
      <c r="C91" s="163"/>
      <c r="D91" s="162"/>
      <c r="E91" s="162"/>
      <c r="F91" s="173"/>
      <c r="G91" s="170"/>
      <c r="H91" s="167"/>
      <c r="I91" s="167"/>
      <c r="K91" s="75"/>
    </row>
    <row r="92" spans="1:11" x14ac:dyDescent="0.2">
      <c r="A92" s="201"/>
      <c r="B92" s="201"/>
      <c r="C92" s="184" t="s">
        <v>876</v>
      </c>
      <c r="D92" s="201"/>
      <c r="E92" s="201"/>
      <c r="F92" s="202"/>
      <c r="G92" s="202"/>
      <c r="H92" s="175"/>
      <c r="I92" s="175"/>
      <c r="K92" s="75"/>
    </row>
    <row r="93" spans="1:11" ht="25.5" x14ac:dyDescent="0.2">
      <c r="A93" s="203">
        <v>1</v>
      </c>
      <c r="B93" s="200" t="s">
        <v>877</v>
      </c>
      <c r="C93" s="200" t="s">
        <v>878</v>
      </c>
      <c r="D93" s="200" t="s">
        <v>879</v>
      </c>
      <c r="E93" s="204">
        <v>1750</v>
      </c>
      <c r="F93" s="175">
        <v>1736.14</v>
      </c>
      <c r="G93" s="205">
        <v>3.8E-3</v>
      </c>
      <c r="H93" s="175">
        <v>8.5449999999999999</v>
      </c>
      <c r="I93" s="175"/>
      <c r="K93" s="75"/>
    </row>
    <row r="94" spans="1:11" x14ac:dyDescent="0.2">
      <c r="A94" s="201"/>
      <c r="B94" s="201"/>
      <c r="C94" s="184" t="s">
        <v>152</v>
      </c>
      <c r="D94" s="201"/>
      <c r="E94" s="201" t="s">
        <v>153</v>
      </c>
      <c r="F94" s="206">
        <v>1736.14</v>
      </c>
      <c r="G94" s="207">
        <v>3.8E-3</v>
      </c>
      <c r="H94" s="175"/>
      <c r="I94" s="175"/>
      <c r="K94" s="75"/>
    </row>
    <row r="95" spans="1:11" x14ac:dyDescent="0.2">
      <c r="A95" s="162"/>
      <c r="B95" s="162"/>
      <c r="C95" s="171"/>
      <c r="D95" s="162"/>
      <c r="E95" s="162"/>
      <c r="F95" s="172"/>
      <c r="G95" s="172"/>
      <c r="H95" s="167"/>
      <c r="I95" s="167"/>
      <c r="K95" s="75"/>
    </row>
    <row r="96" spans="1:11" x14ac:dyDescent="0.2">
      <c r="A96" s="162"/>
      <c r="B96" s="162"/>
      <c r="C96" s="163" t="s">
        <v>1198</v>
      </c>
      <c r="D96" s="162"/>
      <c r="E96" s="162"/>
      <c r="F96" s="172"/>
      <c r="G96" s="172"/>
      <c r="H96" s="167"/>
      <c r="I96" s="167"/>
      <c r="K96" s="75"/>
    </row>
    <row r="97" spans="1:11" ht="25.5" x14ac:dyDescent="0.2">
      <c r="A97" s="164">
        <v>1</v>
      </c>
      <c r="B97" s="165"/>
      <c r="C97" s="165" t="s">
        <v>1003</v>
      </c>
      <c r="D97" s="165" t="s">
        <v>636</v>
      </c>
      <c r="E97" s="166">
        <v>114000</v>
      </c>
      <c r="F97" s="167">
        <v>655.95600000000002</v>
      </c>
      <c r="G97" s="168">
        <v>1.43239E-3</v>
      </c>
      <c r="H97" s="167"/>
      <c r="I97" s="167"/>
      <c r="K97" s="75"/>
    </row>
    <row r="98" spans="1:11" x14ac:dyDescent="0.2">
      <c r="A98" s="162"/>
      <c r="B98" s="162"/>
      <c r="C98" s="163" t="s">
        <v>152</v>
      </c>
      <c r="D98" s="162"/>
      <c r="E98" s="162" t="s">
        <v>153</v>
      </c>
      <c r="F98" s="169">
        <v>655.95600000000002</v>
      </c>
      <c r="G98" s="170">
        <v>1.43239E-3</v>
      </c>
      <c r="H98" s="167"/>
      <c r="I98" s="167"/>
      <c r="K98" s="75"/>
    </row>
    <row r="99" spans="1:11" x14ac:dyDescent="0.2">
      <c r="A99" s="162"/>
      <c r="B99" s="162"/>
      <c r="C99" s="171"/>
      <c r="D99" s="162"/>
      <c r="E99" s="162"/>
      <c r="F99" s="172"/>
      <c r="G99" s="172"/>
      <c r="H99" s="167"/>
      <c r="I99" s="167"/>
      <c r="K99" s="75"/>
    </row>
    <row r="100" spans="1:11" x14ac:dyDescent="0.2">
      <c r="A100" s="162"/>
      <c r="B100" s="162"/>
      <c r="C100" s="163" t="s">
        <v>160</v>
      </c>
      <c r="D100" s="162"/>
      <c r="E100" s="162"/>
      <c r="F100" s="169">
        <v>333100.83001859393</v>
      </c>
      <c r="G100" s="170">
        <v>0.72738796000000006</v>
      </c>
      <c r="H100" s="167"/>
      <c r="I100" s="167"/>
      <c r="K100" s="75"/>
    </row>
    <row r="101" spans="1:11" x14ac:dyDescent="0.2">
      <c r="A101" s="162"/>
      <c r="B101" s="162"/>
      <c r="C101" s="171"/>
      <c r="D101" s="162"/>
      <c r="E101" s="162"/>
      <c r="F101" s="172"/>
      <c r="G101" s="172"/>
      <c r="H101" s="167"/>
      <c r="I101" s="167"/>
      <c r="K101" s="75"/>
    </row>
    <row r="102" spans="1:11" x14ac:dyDescent="0.2">
      <c r="A102" s="162"/>
      <c r="B102" s="162"/>
      <c r="C102" s="163" t="s">
        <v>161</v>
      </c>
      <c r="D102" s="162"/>
      <c r="E102" s="162"/>
      <c r="F102" s="172"/>
      <c r="G102" s="172"/>
      <c r="H102" s="167"/>
      <c r="I102" s="167"/>
      <c r="K102" s="75"/>
    </row>
    <row r="103" spans="1:11" x14ac:dyDescent="0.2">
      <c r="A103" s="162"/>
      <c r="B103" s="162"/>
      <c r="C103" s="163" t="s">
        <v>10</v>
      </c>
      <c r="D103" s="162"/>
      <c r="E103" s="162"/>
      <c r="F103" s="172"/>
      <c r="G103" s="172"/>
      <c r="H103" s="167"/>
      <c r="I103" s="167"/>
      <c r="K103" s="75"/>
    </row>
    <row r="104" spans="1:11" ht="25.5" x14ac:dyDescent="0.2">
      <c r="A104" s="164">
        <v>1</v>
      </c>
      <c r="B104" s="165" t="s">
        <v>435</v>
      </c>
      <c r="C104" s="165" t="s">
        <v>436</v>
      </c>
      <c r="D104" s="165" t="s">
        <v>423</v>
      </c>
      <c r="E104" s="166">
        <v>3500</v>
      </c>
      <c r="F104" s="167">
        <v>3481.7404999999999</v>
      </c>
      <c r="G104" s="168">
        <v>7.6029399999999999E-3</v>
      </c>
      <c r="H104" s="167">
        <v>7.8150000000000004</v>
      </c>
      <c r="I104" s="167"/>
      <c r="K104" s="75"/>
    </row>
    <row r="105" spans="1:11" ht="25.5" x14ac:dyDescent="0.2">
      <c r="A105" s="164">
        <v>2</v>
      </c>
      <c r="B105" s="165" t="s">
        <v>637</v>
      </c>
      <c r="C105" s="165" t="s">
        <v>638</v>
      </c>
      <c r="D105" s="165" t="s">
        <v>423</v>
      </c>
      <c r="E105" s="166">
        <v>2500</v>
      </c>
      <c r="F105" s="167">
        <v>2566.5700000000002</v>
      </c>
      <c r="G105" s="168">
        <v>5.60452E-3</v>
      </c>
      <c r="H105" s="167">
        <v>7.5</v>
      </c>
      <c r="I105" s="167"/>
      <c r="K105" s="75"/>
    </row>
    <row r="106" spans="1:11" ht="25.5" x14ac:dyDescent="0.2">
      <c r="A106" s="164">
        <v>3</v>
      </c>
      <c r="B106" s="165" t="s">
        <v>639</v>
      </c>
      <c r="C106" s="165" t="s">
        <v>640</v>
      </c>
      <c r="D106" s="165" t="s">
        <v>423</v>
      </c>
      <c r="E106" s="166">
        <v>250</v>
      </c>
      <c r="F106" s="167">
        <v>2542.3274999999999</v>
      </c>
      <c r="G106" s="168">
        <v>5.5515800000000004E-3</v>
      </c>
      <c r="H106" s="167">
        <v>7.75</v>
      </c>
      <c r="I106" s="167"/>
      <c r="K106" s="75"/>
    </row>
    <row r="107" spans="1:11" ht="25.5" x14ac:dyDescent="0.2">
      <c r="A107" s="164">
        <v>4</v>
      </c>
      <c r="B107" s="165" t="s">
        <v>641</v>
      </c>
      <c r="C107" s="165" t="s">
        <v>642</v>
      </c>
      <c r="D107" s="165" t="s">
        <v>423</v>
      </c>
      <c r="E107" s="166">
        <v>2500</v>
      </c>
      <c r="F107" s="167">
        <v>2531.25</v>
      </c>
      <c r="G107" s="168">
        <v>5.5273900000000001E-3</v>
      </c>
      <c r="H107" s="167">
        <v>7.4992000000000001</v>
      </c>
      <c r="I107" s="167"/>
      <c r="K107" s="75"/>
    </row>
    <row r="108" spans="1:11" ht="25.5" x14ac:dyDescent="0.2">
      <c r="A108" s="164">
        <v>5</v>
      </c>
      <c r="B108" s="165" t="s">
        <v>643</v>
      </c>
      <c r="C108" s="165" t="s">
        <v>644</v>
      </c>
      <c r="D108" s="165" t="s">
        <v>423</v>
      </c>
      <c r="E108" s="166">
        <v>2500</v>
      </c>
      <c r="F108" s="167">
        <v>2500.3649999999998</v>
      </c>
      <c r="G108" s="168">
        <v>5.4599499999999999E-3</v>
      </c>
      <c r="H108" s="167">
        <v>7.78</v>
      </c>
      <c r="I108" s="167"/>
      <c r="K108" s="75"/>
    </row>
    <row r="109" spans="1:11" ht="25.5" x14ac:dyDescent="0.2">
      <c r="A109" s="164">
        <v>6</v>
      </c>
      <c r="B109" s="165" t="s">
        <v>645</v>
      </c>
      <c r="C109" s="165" t="s">
        <v>646</v>
      </c>
      <c r="D109" s="165" t="s">
        <v>432</v>
      </c>
      <c r="E109" s="166">
        <v>2500</v>
      </c>
      <c r="F109" s="167">
        <v>2499.81</v>
      </c>
      <c r="G109" s="168">
        <v>5.4587400000000001E-3</v>
      </c>
      <c r="H109" s="167">
        <v>7.79</v>
      </c>
      <c r="I109" s="167"/>
      <c r="K109" s="75"/>
    </row>
    <row r="110" spans="1:11" ht="25.5" x14ac:dyDescent="0.2">
      <c r="A110" s="164">
        <v>7</v>
      </c>
      <c r="B110" s="165" t="s">
        <v>647</v>
      </c>
      <c r="C110" s="165" t="s">
        <v>648</v>
      </c>
      <c r="D110" s="165" t="s">
        <v>423</v>
      </c>
      <c r="E110" s="166">
        <v>2500</v>
      </c>
      <c r="F110" s="167">
        <v>2492.5174999999999</v>
      </c>
      <c r="G110" s="168">
        <v>5.4428100000000002E-3</v>
      </c>
      <c r="H110" s="167">
        <v>7.67</v>
      </c>
      <c r="I110" s="167"/>
      <c r="K110" s="75"/>
    </row>
    <row r="111" spans="1:11" ht="25.5" x14ac:dyDescent="0.2">
      <c r="A111" s="164">
        <v>8</v>
      </c>
      <c r="B111" s="165" t="s">
        <v>649</v>
      </c>
      <c r="C111" s="165" t="s">
        <v>650</v>
      </c>
      <c r="D111" s="165" t="s">
        <v>432</v>
      </c>
      <c r="E111" s="166">
        <v>2500</v>
      </c>
      <c r="F111" s="167">
        <v>2486.89</v>
      </c>
      <c r="G111" s="168">
        <v>5.4305200000000003E-3</v>
      </c>
      <c r="H111" s="167">
        <v>7.7649999999999997</v>
      </c>
      <c r="I111" s="167"/>
      <c r="K111" s="75"/>
    </row>
    <row r="112" spans="1:11" ht="25.5" x14ac:dyDescent="0.2">
      <c r="A112" s="164">
        <v>9</v>
      </c>
      <c r="B112" s="165" t="s">
        <v>424</v>
      </c>
      <c r="C112" s="165" t="s">
        <v>425</v>
      </c>
      <c r="D112" s="165" t="s">
        <v>423</v>
      </c>
      <c r="E112" s="166">
        <v>2500</v>
      </c>
      <c r="F112" s="167">
        <v>2478.48</v>
      </c>
      <c r="G112" s="168">
        <v>5.4121600000000001E-3</v>
      </c>
      <c r="H112" s="167">
        <v>7.8174999999999999</v>
      </c>
      <c r="I112" s="167"/>
      <c r="K112" s="75"/>
    </row>
    <row r="113" spans="1:11" x14ac:dyDescent="0.2">
      <c r="A113" s="164">
        <v>10</v>
      </c>
      <c r="B113" s="165" t="s">
        <v>651</v>
      </c>
      <c r="C113" s="165" t="s">
        <v>652</v>
      </c>
      <c r="D113" s="165" t="s">
        <v>432</v>
      </c>
      <c r="E113" s="166">
        <v>200</v>
      </c>
      <c r="F113" s="167">
        <v>2008.99</v>
      </c>
      <c r="G113" s="168">
        <v>4.3869499999999997E-3</v>
      </c>
      <c r="H113" s="167">
        <v>7.71</v>
      </c>
      <c r="I113" s="167"/>
      <c r="K113" s="75"/>
    </row>
    <row r="114" spans="1:11" ht="25.5" x14ac:dyDescent="0.2">
      <c r="A114" s="164">
        <v>11</v>
      </c>
      <c r="B114" s="165" t="s">
        <v>450</v>
      </c>
      <c r="C114" s="165" t="s">
        <v>451</v>
      </c>
      <c r="D114" s="165" t="s">
        <v>423</v>
      </c>
      <c r="E114" s="166">
        <v>2000</v>
      </c>
      <c r="F114" s="167">
        <v>2003.8920000000001</v>
      </c>
      <c r="G114" s="168">
        <v>4.3758199999999999E-3</v>
      </c>
      <c r="H114" s="167">
        <v>7.585</v>
      </c>
      <c r="I114" s="167"/>
      <c r="K114" s="75"/>
    </row>
    <row r="115" spans="1:11" ht="25.5" x14ac:dyDescent="0.2">
      <c r="A115" s="164">
        <v>12</v>
      </c>
      <c r="B115" s="165" t="s">
        <v>653</v>
      </c>
      <c r="C115" s="165" t="s">
        <v>654</v>
      </c>
      <c r="D115" s="165" t="s">
        <v>423</v>
      </c>
      <c r="E115" s="166">
        <v>1500</v>
      </c>
      <c r="F115" s="167">
        <v>1533.7215000000001</v>
      </c>
      <c r="G115" s="168">
        <v>3.3491300000000001E-3</v>
      </c>
      <c r="H115" s="167">
        <v>7.47</v>
      </c>
      <c r="I115" s="167"/>
      <c r="K115" s="75"/>
    </row>
    <row r="116" spans="1:11" x14ac:dyDescent="0.2">
      <c r="A116" s="164">
        <v>13</v>
      </c>
      <c r="B116" s="165" t="s">
        <v>655</v>
      </c>
      <c r="C116" s="165" t="s">
        <v>656</v>
      </c>
      <c r="D116" s="165" t="s">
        <v>423</v>
      </c>
      <c r="E116" s="166">
        <v>1500</v>
      </c>
      <c r="F116" s="167">
        <v>1514.925</v>
      </c>
      <c r="G116" s="168">
        <v>3.3080800000000001E-3</v>
      </c>
      <c r="H116" s="167">
        <v>7.5293999999999999</v>
      </c>
      <c r="I116" s="167"/>
      <c r="K116" s="75"/>
    </row>
    <row r="117" spans="1:11" ht="25.5" x14ac:dyDescent="0.2">
      <c r="A117" s="164">
        <v>14</v>
      </c>
      <c r="B117" s="165" t="s">
        <v>657</v>
      </c>
      <c r="C117" s="165" t="s">
        <v>658</v>
      </c>
      <c r="D117" s="165" t="s">
        <v>423</v>
      </c>
      <c r="E117" s="166">
        <v>1500</v>
      </c>
      <c r="F117" s="167">
        <v>1504.71</v>
      </c>
      <c r="G117" s="168">
        <v>3.2857799999999999E-3</v>
      </c>
      <c r="H117" s="167">
        <v>7.6708999999999996</v>
      </c>
      <c r="I117" s="167"/>
      <c r="K117" s="75"/>
    </row>
    <row r="118" spans="1:11" ht="25.5" x14ac:dyDescent="0.2">
      <c r="A118" s="164">
        <v>15</v>
      </c>
      <c r="B118" s="165" t="s">
        <v>433</v>
      </c>
      <c r="C118" s="165" t="s">
        <v>434</v>
      </c>
      <c r="D118" s="165" t="s">
        <v>423</v>
      </c>
      <c r="E118" s="166">
        <v>1500</v>
      </c>
      <c r="F118" s="167">
        <v>1501.8675000000001</v>
      </c>
      <c r="G118" s="168">
        <v>3.2795699999999999E-3</v>
      </c>
      <c r="H118" s="167">
        <v>7.78</v>
      </c>
      <c r="I118" s="167"/>
      <c r="K118" s="75"/>
    </row>
    <row r="119" spans="1:11" ht="25.5" x14ac:dyDescent="0.2">
      <c r="A119" s="164">
        <v>16</v>
      </c>
      <c r="B119" s="165" t="s">
        <v>659</v>
      </c>
      <c r="C119" s="165" t="s">
        <v>660</v>
      </c>
      <c r="D119" s="165" t="s">
        <v>423</v>
      </c>
      <c r="E119" s="166">
        <v>1500</v>
      </c>
      <c r="F119" s="167">
        <v>1501.857</v>
      </c>
      <c r="G119" s="168">
        <v>3.27955E-3</v>
      </c>
      <c r="H119" s="167">
        <v>7.7178000000000004</v>
      </c>
      <c r="I119" s="167"/>
      <c r="K119" s="75"/>
    </row>
    <row r="120" spans="1:11" ht="25.5" x14ac:dyDescent="0.2">
      <c r="A120" s="164">
        <v>17</v>
      </c>
      <c r="B120" s="165" t="s">
        <v>661</v>
      </c>
      <c r="C120" s="165" t="s">
        <v>662</v>
      </c>
      <c r="D120" s="165" t="s">
        <v>423</v>
      </c>
      <c r="E120" s="166">
        <v>1500</v>
      </c>
      <c r="F120" s="167">
        <v>1500.3405</v>
      </c>
      <c r="G120" s="168">
        <v>3.2762300000000002E-3</v>
      </c>
      <c r="H120" s="167">
        <v>7.36</v>
      </c>
      <c r="I120" s="167"/>
      <c r="K120" s="75"/>
    </row>
    <row r="121" spans="1:11" ht="25.5" x14ac:dyDescent="0.2">
      <c r="A121" s="164">
        <v>18</v>
      </c>
      <c r="B121" s="165" t="s">
        <v>437</v>
      </c>
      <c r="C121" s="165" t="s">
        <v>438</v>
      </c>
      <c r="D121" s="165" t="s">
        <v>423</v>
      </c>
      <c r="E121" s="166">
        <v>1500</v>
      </c>
      <c r="F121" s="167">
        <v>1496.8395</v>
      </c>
      <c r="G121" s="168">
        <v>3.26859E-3</v>
      </c>
      <c r="H121" s="167">
        <v>8.2140000000000004</v>
      </c>
      <c r="I121" s="167"/>
      <c r="K121" s="75"/>
    </row>
    <row r="122" spans="1:11" x14ac:dyDescent="0.2">
      <c r="A122" s="164">
        <v>19</v>
      </c>
      <c r="B122" s="165" t="s">
        <v>663</v>
      </c>
      <c r="C122" s="165" t="s">
        <v>664</v>
      </c>
      <c r="D122" s="165" t="s">
        <v>423</v>
      </c>
      <c r="E122" s="166">
        <v>150</v>
      </c>
      <c r="F122" s="167">
        <v>1495.5825</v>
      </c>
      <c r="G122" s="168">
        <v>3.2658399999999999E-3</v>
      </c>
      <c r="H122" s="167">
        <v>7.9749999999999996</v>
      </c>
      <c r="I122" s="167"/>
      <c r="K122" s="75"/>
    </row>
    <row r="123" spans="1:11" ht="25.5" x14ac:dyDescent="0.2">
      <c r="A123" s="164">
        <v>20</v>
      </c>
      <c r="B123" s="165" t="s">
        <v>665</v>
      </c>
      <c r="C123" s="165" t="s">
        <v>666</v>
      </c>
      <c r="D123" s="165" t="s">
        <v>432</v>
      </c>
      <c r="E123" s="166">
        <v>150</v>
      </c>
      <c r="F123" s="167">
        <v>1492.6455000000001</v>
      </c>
      <c r="G123" s="168">
        <v>3.2594299999999998E-3</v>
      </c>
      <c r="H123" s="167">
        <v>7.89</v>
      </c>
      <c r="I123" s="167"/>
      <c r="K123" s="75"/>
    </row>
    <row r="124" spans="1:11" ht="25.5" x14ac:dyDescent="0.2">
      <c r="A124" s="164">
        <v>21</v>
      </c>
      <c r="B124" s="165" t="s">
        <v>667</v>
      </c>
      <c r="C124" s="165" t="s">
        <v>668</v>
      </c>
      <c r="D124" s="165" t="s">
        <v>423</v>
      </c>
      <c r="E124" s="166">
        <v>150</v>
      </c>
      <c r="F124" s="167">
        <v>1491.7184999999999</v>
      </c>
      <c r="G124" s="168">
        <v>3.2574100000000001E-3</v>
      </c>
      <c r="H124" s="167">
        <v>7.8150000000000004</v>
      </c>
      <c r="I124" s="167"/>
      <c r="K124" s="75"/>
    </row>
    <row r="125" spans="1:11" ht="25.5" x14ac:dyDescent="0.2">
      <c r="A125" s="164">
        <v>22</v>
      </c>
      <c r="B125" s="165" t="s">
        <v>669</v>
      </c>
      <c r="C125" s="165" t="s">
        <v>670</v>
      </c>
      <c r="D125" s="165" t="s">
        <v>423</v>
      </c>
      <c r="E125" s="166">
        <v>150</v>
      </c>
      <c r="F125" s="167">
        <v>1488.2745</v>
      </c>
      <c r="G125" s="168">
        <v>3.2498900000000001E-3</v>
      </c>
      <c r="H125" s="167">
        <v>7.7549999999999999</v>
      </c>
      <c r="I125" s="167"/>
      <c r="K125" s="75"/>
    </row>
    <row r="126" spans="1:11" ht="25.5" x14ac:dyDescent="0.2">
      <c r="A126" s="164">
        <v>23</v>
      </c>
      <c r="B126" s="165" t="s">
        <v>448</v>
      </c>
      <c r="C126" s="165" t="s">
        <v>449</v>
      </c>
      <c r="D126" s="165" t="s">
        <v>423</v>
      </c>
      <c r="E126" s="166">
        <v>1500</v>
      </c>
      <c r="F126" s="167">
        <v>1479.6120000000001</v>
      </c>
      <c r="G126" s="168">
        <v>3.2309700000000001E-3</v>
      </c>
      <c r="H126" s="167">
        <v>7.5488</v>
      </c>
      <c r="I126" s="167"/>
      <c r="K126" s="75"/>
    </row>
    <row r="127" spans="1:11" x14ac:dyDescent="0.2">
      <c r="A127" s="164">
        <v>24</v>
      </c>
      <c r="B127" s="165" t="s">
        <v>671</v>
      </c>
      <c r="C127" s="165" t="s">
        <v>672</v>
      </c>
      <c r="D127" s="165" t="s">
        <v>423</v>
      </c>
      <c r="E127" s="166">
        <v>150</v>
      </c>
      <c r="F127" s="167">
        <v>1472.4749999999999</v>
      </c>
      <c r="G127" s="168">
        <v>3.2153899999999998E-3</v>
      </c>
      <c r="H127" s="167">
        <v>7.9749999999999996</v>
      </c>
      <c r="I127" s="167"/>
      <c r="K127" s="75"/>
    </row>
    <row r="128" spans="1:11" ht="25.5" x14ac:dyDescent="0.2">
      <c r="A128" s="164">
        <v>25</v>
      </c>
      <c r="B128" s="165" t="s">
        <v>673</v>
      </c>
      <c r="C128" s="165" t="s">
        <v>1089</v>
      </c>
      <c r="D128" s="165" t="s">
        <v>423</v>
      </c>
      <c r="E128" s="166">
        <v>150</v>
      </c>
      <c r="F128" s="167">
        <v>1457.895</v>
      </c>
      <c r="G128" s="168">
        <v>3.1835499999999998E-3</v>
      </c>
      <c r="H128" s="167">
        <v>6.7865000000000002</v>
      </c>
      <c r="I128" s="167">
        <v>8.42</v>
      </c>
      <c r="K128" s="75"/>
    </row>
    <row r="129" spans="1:11" x14ac:dyDescent="0.2">
      <c r="A129" s="164">
        <v>26</v>
      </c>
      <c r="B129" s="165" t="s">
        <v>674</v>
      </c>
      <c r="C129" s="165" t="s">
        <v>675</v>
      </c>
      <c r="D129" s="165" t="s">
        <v>423</v>
      </c>
      <c r="E129" s="166">
        <v>150</v>
      </c>
      <c r="F129" s="167">
        <v>1442.9159999999999</v>
      </c>
      <c r="G129" s="168">
        <v>3.1508399999999998E-3</v>
      </c>
      <c r="H129" s="167">
        <v>7.99</v>
      </c>
      <c r="I129" s="167"/>
      <c r="K129" s="75"/>
    </row>
    <row r="130" spans="1:11" x14ac:dyDescent="0.2">
      <c r="A130" s="164">
        <v>27</v>
      </c>
      <c r="B130" s="165" t="s">
        <v>676</v>
      </c>
      <c r="C130" s="165" t="s">
        <v>677</v>
      </c>
      <c r="D130" s="165" t="s">
        <v>423</v>
      </c>
      <c r="E130" s="166">
        <v>100</v>
      </c>
      <c r="F130" s="167">
        <v>1000.047</v>
      </c>
      <c r="G130" s="168">
        <v>2.1837599999999999E-3</v>
      </c>
      <c r="H130" s="167">
        <v>7.69</v>
      </c>
      <c r="I130" s="167"/>
      <c r="K130" s="75"/>
    </row>
    <row r="131" spans="1:11" x14ac:dyDescent="0.2">
      <c r="A131" s="164">
        <v>28</v>
      </c>
      <c r="B131" s="165" t="s">
        <v>678</v>
      </c>
      <c r="C131" s="165" t="s">
        <v>679</v>
      </c>
      <c r="D131" s="165" t="s">
        <v>423</v>
      </c>
      <c r="E131" s="166">
        <v>1000</v>
      </c>
      <c r="F131" s="167">
        <v>995.08699999999999</v>
      </c>
      <c r="G131" s="168">
        <v>2.17293E-3</v>
      </c>
      <c r="H131" s="167">
        <v>7.73</v>
      </c>
      <c r="I131" s="167"/>
      <c r="K131" s="75"/>
    </row>
    <row r="132" spans="1:11" x14ac:dyDescent="0.2">
      <c r="A132" s="164">
        <v>29</v>
      </c>
      <c r="B132" s="165" t="s">
        <v>428</v>
      </c>
      <c r="C132" s="165" t="s">
        <v>429</v>
      </c>
      <c r="D132" s="165" t="s">
        <v>423</v>
      </c>
      <c r="E132" s="166">
        <v>1000</v>
      </c>
      <c r="F132" s="167">
        <v>994.78800000000001</v>
      </c>
      <c r="G132" s="168">
        <v>2.17228E-3</v>
      </c>
      <c r="H132" s="167">
        <v>7.7259000000000002</v>
      </c>
      <c r="I132" s="167"/>
      <c r="K132" s="75"/>
    </row>
    <row r="133" spans="1:11" ht="25.5" x14ac:dyDescent="0.2">
      <c r="A133" s="164">
        <v>30</v>
      </c>
      <c r="B133" s="165" t="s">
        <v>452</v>
      </c>
      <c r="C133" s="165" t="s">
        <v>453</v>
      </c>
      <c r="D133" s="165" t="s">
        <v>432</v>
      </c>
      <c r="E133" s="166">
        <v>100</v>
      </c>
      <c r="F133" s="167">
        <v>994.33</v>
      </c>
      <c r="G133" s="168">
        <v>2.1712799999999998E-3</v>
      </c>
      <c r="H133" s="167">
        <v>7.8238000000000003</v>
      </c>
      <c r="I133" s="167"/>
      <c r="K133" s="75"/>
    </row>
    <row r="134" spans="1:11" ht="25.5" x14ac:dyDescent="0.2">
      <c r="A134" s="164">
        <v>31</v>
      </c>
      <c r="B134" s="165" t="s">
        <v>454</v>
      </c>
      <c r="C134" s="165" t="s">
        <v>455</v>
      </c>
      <c r="D134" s="165" t="s">
        <v>423</v>
      </c>
      <c r="E134" s="166">
        <v>100</v>
      </c>
      <c r="F134" s="167">
        <v>994.125</v>
      </c>
      <c r="G134" s="168">
        <v>2.1708299999999999E-3</v>
      </c>
      <c r="H134" s="167">
        <v>7.7549999999999999</v>
      </c>
      <c r="I134" s="167"/>
      <c r="K134" s="75"/>
    </row>
    <row r="135" spans="1:11" x14ac:dyDescent="0.2">
      <c r="A135" s="164">
        <v>32</v>
      </c>
      <c r="B135" s="165" t="s">
        <v>426</v>
      </c>
      <c r="C135" s="165" t="s">
        <v>427</v>
      </c>
      <c r="D135" s="165" t="s">
        <v>423</v>
      </c>
      <c r="E135" s="166">
        <v>1000</v>
      </c>
      <c r="F135" s="167">
        <v>993.68100000000004</v>
      </c>
      <c r="G135" s="168">
        <v>2.16986E-3</v>
      </c>
      <c r="H135" s="167">
        <v>7.71</v>
      </c>
      <c r="I135" s="167"/>
      <c r="K135" s="75"/>
    </row>
    <row r="136" spans="1:11" ht="25.5" x14ac:dyDescent="0.2">
      <c r="A136" s="164">
        <v>33</v>
      </c>
      <c r="B136" s="165" t="s">
        <v>446</v>
      </c>
      <c r="C136" s="165" t="s">
        <v>447</v>
      </c>
      <c r="D136" s="165" t="s">
        <v>423</v>
      </c>
      <c r="E136" s="166">
        <v>500</v>
      </c>
      <c r="F136" s="167">
        <v>498.72500000000002</v>
      </c>
      <c r="G136" s="168">
        <v>1.08905E-3</v>
      </c>
      <c r="H136" s="167">
        <v>8.0299999999999994</v>
      </c>
      <c r="I136" s="167"/>
      <c r="K136" s="75"/>
    </row>
    <row r="137" spans="1:11" ht="25.5" x14ac:dyDescent="0.2">
      <c r="A137" s="164">
        <v>34</v>
      </c>
      <c r="B137" s="165" t="s">
        <v>680</v>
      </c>
      <c r="C137" s="165" t="s">
        <v>681</v>
      </c>
      <c r="D137" s="165" t="s">
        <v>423</v>
      </c>
      <c r="E137" s="166">
        <v>20</v>
      </c>
      <c r="F137" s="167">
        <v>198.9246</v>
      </c>
      <c r="G137" s="168">
        <v>4.3438E-4</v>
      </c>
      <c r="H137" s="167">
        <v>7.38</v>
      </c>
      <c r="I137" s="167"/>
      <c r="K137" s="75"/>
    </row>
    <row r="138" spans="1:11" x14ac:dyDescent="0.2">
      <c r="A138" s="162"/>
      <c r="B138" s="162"/>
      <c r="C138" s="163" t="s">
        <v>152</v>
      </c>
      <c r="D138" s="162"/>
      <c r="E138" s="162" t="s">
        <v>153</v>
      </c>
      <c r="F138" s="169">
        <v>56637.920100000003</v>
      </c>
      <c r="G138" s="170">
        <v>0.123678</v>
      </c>
      <c r="H138" s="167"/>
      <c r="I138" s="167"/>
      <c r="K138" s="75"/>
    </row>
    <row r="139" spans="1:11" x14ac:dyDescent="0.2">
      <c r="A139" s="162"/>
      <c r="B139" s="162"/>
      <c r="C139" s="171"/>
      <c r="D139" s="162"/>
      <c r="E139" s="162"/>
      <c r="F139" s="172"/>
      <c r="G139" s="172"/>
      <c r="H139" s="167"/>
      <c r="I139" s="167"/>
      <c r="K139" s="75"/>
    </row>
    <row r="140" spans="1:11" x14ac:dyDescent="0.2">
      <c r="A140" s="162"/>
      <c r="B140" s="162"/>
      <c r="C140" s="163" t="s">
        <v>162</v>
      </c>
      <c r="D140" s="162"/>
      <c r="E140" s="162"/>
      <c r="F140" s="162"/>
      <c r="G140" s="162"/>
      <c r="H140" s="167"/>
      <c r="I140" s="167"/>
      <c r="K140" s="75"/>
    </row>
    <row r="141" spans="1:11" x14ac:dyDescent="0.2">
      <c r="A141" s="162"/>
      <c r="B141" s="162"/>
      <c r="C141" s="163" t="s">
        <v>152</v>
      </c>
      <c r="D141" s="162"/>
      <c r="E141" s="162" t="s">
        <v>153</v>
      </c>
      <c r="F141" s="173" t="s">
        <v>155</v>
      </c>
      <c r="G141" s="170">
        <v>0</v>
      </c>
      <c r="H141" s="167"/>
      <c r="I141" s="167"/>
      <c r="K141" s="75"/>
    </row>
    <row r="142" spans="1:11" x14ac:dyDescent="0.2">
      <c r="A142" s="162"/>
      <c r="B142" s="162"/>
      <c r="C142" s="171"/>
      <c r="D142" s="162"/>
      <c r="E142" s="162"/>
      <c r="F142" s="172"/>
      <c r="G142" s="172"/>
      <c r="H142" s="167"/>
      <c r="I142" s="167"/>
      <c r="K142" s="75"/>
    </row>
    <row r="143" spans="1:11" x14ac:dyDescent="0.2">
      <c r="A143" s="162"/>
      <c r="B143" s="162"/>
      <c r="C143" s="163" t="s">
        <v>163</v>
      </c>
      <c r="D143" s="162"/>
      <c r="E143" s="162"/>
      <c r="F143" s="162"/>
      <c r="G143" s="162"/>
      <c r="H143" s="167"/>
      <c r="I143" s="167"/>
      <c r="K143" s="75"/>
    </row>
    <row r="144" spans="1:11" x14ac:dyDescent="0.2">
      <c r="A144" s="164">
        <v>1</v>
      </c>
      <c r="B144" s="165" t="s">
        <v>439</v>
      </c>
      <c r="C144" s="165" t="s">
        <v>440</v>
      </c>
      <c r="D144" s="165" t="s">
        <v>441</v>
      </c>
      <c r="E144" s="166">
        <v>17900000</v>
      </c>
      <c r="F144" s="167">
        <v>17879.146499999999</v>
      </c>
      <c r="G144" s="168">
        <v>3.9041979999999997E-2</v>
      </c>
      <c r="H144" s="167">
        <v>7.3244999999999996</v>
      </c>
      <c r="I144" s="167"/>
      <c r="K144" s="75"/>
    </row>
    <row r="145" spans="1:11" ht="25.5" x14ac:dyDescent="0.2">
      <c r="A145" s="164">
        <v>2</v>
      </c>
      <c r="B145" s="165" t="s">
        <v>682</v>
      </c>
      <c r="C145" s="165" t="s">
        <v>683</v>
      </c>
      <c r="D145" s="165" t="s">
        <v>441</v>
      </c>
      <c r="E145" s="166">
        <v>8500000</v>
      </c>
      <c r="F145" s="167">
        <v>8616.7304999999997</v>
      </c>
      <c r="G145" s="168">
        <v>1.8816010000000001E-2</v>
      </c>
      <c r="H145" s="167">
        <v>7.3718000000000004</v>
      </c>
      <c r="I145" s="167"/>
      <c r="K145" s="75"/>
    </row>
    <row r="146" spans="1:11" ht="25.5" x14ac:dyDescent="0.2">
      <c r="A146" s="164">
        <v>3</v>
      </c>
      <c r="B146" s="165" t="s">
        <v>684</v>
      </c>
      <c r="C146" s="200" t="s">
        <v>685</v>
      </c>
      <c r="D146" s="165" t="s">
        <v>441</v>
      </c>
      <c r="E146" s="166">
        <v>4000000</v>
      </c>
      <c r="F146" s="167">
        <v>4020.6080000000002</v>
      </c>
      <c r="G146" s="168">
        <v>8.77964E-3</v>
      </c>
      <c r="H146" s="167">
        <v>7.3181000000000003</v>
      </c>
      <c r="I146" s="167"/>
      <c r="K146" s="75"/>
    </row>
    <row r="147" spans="1:11" ht="25.5" x14ac:dyDescent="0.2">
      <c r="A147" s="164">
        <v>4</v>
      </c>
      <c r="B147" s="165" t="s">
        <v>686</v>
      </c>
      <c r="C147" s="165" t="s">
        <v>687</v>
      </c>
      <c r="D147" s="165" t="s">
        <v>441</v>
      </c>
      <c r="E147" s="166">
        <v>3000000</v>
      </c>
      <c r="F147" s="167">
        <v>3008.0039999999999</v>
      </c>
      <c r="G147" s="168">
        <v>6.5684599999999999E-3</v>
      </c>
      <c r="H147" s="167">
        <v>7.3460999999999999</v>
      </c>
      <c r="I147" s="167"/>
      <c r="K147" s="75"/>
    </row>
    <row r="148" spans="1:11" x14ac:dyDescent="0.2">
      <c r="A148" s="164">
        <v>5</v>
      </c>
      <c r="B148" s="165" t="s">
        <v>688</v>
      </c>
      <c r="C148" s="165" t="s">
        <v>689</v>
      </c>
      <c r="D148" s="165" t="s">
        <v>441</v>
      </c>
      <c r="E148" s="166">
        <v>3000000</v>
      </c>
      <c r="F148" s="167">
        <v>2985.5219999999999</v>
      </c>
      <c r="G148" s="168">
        <v>6.51937E-3</v>
      </c>
      <c r="H148" s="167">
        <v>7.3662999999999998</v>
      </c>
      <c r="I148" s="167"/>
      <c r="K148" s="75"/>
    </row>
    <row r="149" spans="1:11" ht="25.5" x14ac:dyDescent="0.2">
      <c r="A149" s="164">
        <v>6</v>
      </c>
      <c r="B149" s="165" t="s">
        <v>690</v>
      </c>
      <c r="C149" s="200" t="s">
        <v>1073</v>
      </c>
      <c r="D149" s="165" t="s">
        <v>441</v>
      </c>
      <c r="E149" s="166">
        <v>2500000</v>
      </c>
      <c r="F149" s="167">
        <v>2489.87</v>
      </c>
      <c r="G149" s="168">
        <v>5.4370299999999998E-3</v>
      </c>
      <c r="H149" s="167">
        <v>7.327</v>
      </c>
      <c r="I149" s="167"/>
      <c r="K149" s="75"/>
    </row>
    <row r="150" spans="1:11" x14ac:dyDescent="0.2">
      <c r="A150" s="164">
        <v>7</v>
      </c>
      <c r="B150" s="165" t="s">
        <v>456</v>
      </c>
      <c r="C150" s="165" t="s">
        <v>457</v>
      </c>
      <c r="D150" s="165" t="s">
        <v>441</v>
      </c>
      <c r="E150" s="166">
        <v>1500000</v>
      </c>
      <c r="F150" s="167">
        <v>1509.693</v>
      </c>
      <c r="G150" s="168">
        <v>3.2966599999999999E-3</v>
      </c>
      <c r="H150" s="167">
        <v>7.3273999999999999</v>
      </c>
      <c r="I150" s="167"/>
      <c r="K150" s="75"/>
    </row>
    <row r="151" spans="1:11" ht="25.5" x14ac:dyDescent="0.2">
      <c r="A151" s="164">
        <v>8</v>
      </c>
      <c r="B151" s="165" t="s">
        <v>691</v>
      </c>
      <c r="C151" s="165" t="s">
        <v>1090</v>
      </c>
      <c r="D151" s="165" t="s">
        <v>441</v>
      </c>
      <c r="E151" s="166">
        <v>1500000</v>
      </c>
      <c r="F151" s="167">
        <v>1500.7380000000001</v>
      </c>
      <c r="G151" s="168">
        <v>3.2770999999999998E-3</v>
      </c>
      <c r="H151" s="167">
        <v>7.6718057164890148</v>
      </c>
      <c r="I151" s="167"/>
      <c r="K151" s="75"/>
    </row>
    <row r="152" spans="1:11" ht="25.5" x14ac:dyDescent="0.2">
      <c r="A152" s="164">
        <v>9</v>
      </c>
      <c r="B152" s="165" t="s">
        <v>692</v>
      </c>
      <c r="C152" s="165" t="s">
        <v>693</v>
      </c>
      <c r="D152" s="165" t="s">
        <v>441</v>
      </c>
      <c r="E152" s="166">
        <v>1270000</v>
      </c>
      <c r="F152" s="167">
        <v>1267.11329</v>
      </c>
      <c r="G152" s="168">
        <v>2.7669499999999998E-3</v>
      </c>
      <c r="H152" s="167">
        <v>7.6108000000000002</v>
      </c>
      <c r="I152" s="167"/>
      <c r="K152" s="75"/>
    </row>
    <row r="153" spans="1:11" x14ac:dyDescent="0.2">
      <c r="A153" s="164">
        <v>10</v>
      </c>
      <c r="B153" s="165" t="s">
        <v>694</v>
      </c>
      <c r="C153" s="165" t="s">
        <v>695</v>
      </c>
      <c r="D153" s="165" t="s">
        <v>441</v>
      </c>
      <c r="E153" s="166">
        <v>1000000</v>
      </c>
      <c r="F153" s="167">
        <v>1000.496</v>
      </c>
      <c r="G153" s="168">
        <v>2.1847400000000001E-3</v>
      </c>
      <c r="H153" s="167">
        <v>7.4278000000000004</v>
      </c>
      <c r="I153" s="167"/>
      <c r="K153" s="75"/>
    </row>
    <row r="154" spans="1:11" ht="25.5" x14ac:dyDescent="0.2">
      <c r="A154" s="164">
        <v>11</v>
      </c>
      <c r="B154" s="165" t="s">
        <v>696</v>
      </c>
      <c r="C154" s="165" t="s">
        <v>697</v>
      </c>
      <c r="D154" s="165" t="s">
        <v>441</v>
      </c>
      <c r="E154" s="166">
        <v>400000</v>
      </c>
      <c r="F154" s="167">
        <v>403.82479999999998</v>
      </c>
      <c r="G154" s="168">
        <v>8.8181999999999996E-4</v>
      </c>
      <c r="H154" s="167">
        <v>7.4581</v>
      </c>
      <c r="I154" s="167"/>
      <c r="K154" s="75"/>
    </row>
    <row r="155" spans="1:11" x14ac:dyDescent="0.2">
      <c r="A155" s="162"/>
      <c r="B155" s="162"/>
      <c r="C155" s="163" t="s">
        <v>152</v>
      </c>
      <c r="D155" s="162"/>
      <c r="E155" s="162" t="s">
        <v>153</v>
      </c>
      <c r="F155" s="169">
        <v>44681.746090000001</v>
      </c>
      <c r="G155" s="170">
        <v>9.7569760000000005E-2</v>
      </c>
      <c r="H155" s="167"/>
      <c r="I155" s="167"/>
      <c r="K155" s="75"/>
    </row>
    <row r="156" spans="1:11" x14ac:dyDescent="0.2">
      <c r="A156" s="162"/>
      <c r="B156" s="162"/>
      <c r="C156" s="171"/>
      <c r="D156" s="162"/>
      <c r="E156" s="162"/>
      <c r="F156" s="172"/>
      <c r="G156" s="172"/>
      <c r="H156" s="167"/>
      <c r="I156" s="167"/>
      <c r="K156" s="75"/>
    </row>
    <row r="157" spans="1:11" x14ac:dyDescent="0.2">
      <c r="A157" s="162"/>
      <c r="B157" s="162"/>
      <c r="C157" s="163" t="s">
        <v>164</v>
      </c>
      <c r="D157" s="162"/>
      <c r="E157" s="162"/>
      <c r="F157" s="172"/>
      <c r="G157" s="172"/>
      <c r="H157" s="167"/>
      <c r="I157" s="167"/>
      <c r="K157" s="75"/>
    </row>
    <row r="158" spans="1:11" x14ac:dyDescent="0.2">
      <c r="A158" s="162"/>
      <c r="B158" s="162"/>
      <c r="C158" s="163" t="s">
        <v>152</v>
      </c>
      <c r="D158" s="162"/>
      <c r="E158" s="162" t="s">
        <v>153</v>
      </c>
      <c r="F158" s="173" t="s">
        <v>155</v>
      </c>
      <c r="G158" s="170">
        <v>0</v>
      </c>
      <c r="H158" s="167"/>
      <c r="I158" s="167"/>
      <c r="K158" s="75"/>
    </row>
    <row r="159" spans="1:11" x14ac:dyDescent="0.2">
      <c r="A159" s="162"/>
      <c r="B159" s="162"/>
      <c r="C159" s="171"/>
      <c r="D159" s="162"/>
      <c r="E159" s="162"/>
      <c r="F159" s="172"/>
      <c r="G159" s="172"/>
      <c r="H159" s="167"/>
      <c r="I159" s="167"/>
      <c r="K159" s="75"/>
    </row>
    <row r="160" spans="1:11" x14ac:dyDescent="0.2">
      <c r="A160" s="162"/>
      <c r="B160" s="162"/>
      <c r="C160" s="163" t="s">
        <v>165</v>
      </c>
      <c r="D160" s="162"/>
      <c r="E160" s="162"/>
      <c r="F160" s="169">
        <v>101319.66619</v>
      </c>
      <c r="G160" s="170">
        <v>0.22124775999999999</v>
      </c>
      <c r="H160" s="167"/>
      <c r="I160" s="167"/>
      <c r="K160" s="75"/>
    </row>
    <row r="161" spans="1:11" x14ac:dyDescent="0.2">
      <c r="A161" s="162"/>
      <c r="B161" s="162"/>
      <c r="C161" s="171"/>
      <c r="D161" s="162"/>
      <c r="E161" s="162"/>
      <c r="F161" s="172"/>
      <c r="G161" s="172"/>
      <c r="H161" s="167"/>
      <c r="I161" s="167"/>
      <c r="K161" s="75"/>
    </row>
    <row r="162" spans="1:11" x14ac:dyDescent="0.2">
      <c r="A162" s="162"/>
      <c r="B162" s="162"/>
      <c r="C162" s="163" t="s">
        <v>166</v>
      </c>
      <c r="D162" s="162"/>
      <c r="E162" s="162"/>
      <c r="F162" s="172"/>
      <c r="G162" s="172"/>
      <c r="H162" s="167"/>
      <c r="I162" s="167"/>
      <c r="K162" s="75"/>
    </row>
    <row r="163" spans="1:11" x14ac:dyDescent="0.2">
      <c r="A163" s="162"/>
      <c r="B163" s="162"/>
      <c r="C163" s="163" t="s">
        <v>167</v>
      </c>
      <c r="D163" s="162"/>
      <c r="E163" s="162"/>
      <c r="F163" s="172"/>
      <c r="G163" s="172"/>
      <c r="H163" s="167"/>
      <c r="I163" s="167"/>
      <c r="K163" s="75"/>
    </row>
    <row r="164" spans="1:11" x14ac:dyDescent="0.2">
      <c r="A164" s="162"/>
      <c r="B164" s="162"/>
      <c r="C164" s="163" t="s">
        <v>152</v>
      </c>
      <c r="D164" s="162"/>
      <c r="E164" s="162" t="s">
        <v>153</v>
      </c>
      <c r="F164" s="173" t="s">
        <v>155</v>
      </c>
      <c r="G164" s="170">
        <v>0</v>
      </c>
      <c r="H164" s="167"/>
      <c r="I164" s="167"/>
      <c r="K164" s="75"/>
    </row>
    <row r="165" spans="1:11" x14ac:dyDescent="0.2">
      <c r="A165" s="162"/>
      <c r="B165" s="162"/>
      <c r="C165" s="171"/>
      <c r="D165" s="162"/>
      <c r="E165" s="162"/>
      <c r="F165" s="172"/>
      <c r="G165" s="172"/>
      <c r="H165" s="167"/>
      <c r="I165" s="167"/>
      <c r="K165" s="75"/>
    </row>
    <row r="166" spans="1:11" x14ac:dyDescent="0.2">
      <c r="A166" s="162"/>
      <c r="B166" s="162"/>
      <c r="C166" s="163" t="s">
        <v>168</v>
      </c>
      <c r="D166" s="162"/>
      <c r="E166" s="162"/>
      <c r="F166" s="172"/>
      <c r="G166" s="172"/>
      <c r="H166" s="167"/>
      <c r="I166" s="167"/>
      <c r="K166" s="75"/>
    </row>
    <row r="167" spans="1:11" x14ac:dyDescent="0.2">
      <c r="A167" s="164">
        <v>1</v>
      </c>
      <c r="B167" s="165" t="s">
        <v>614</v>
      </c>
      <c r="C167" s="165" t="s">
        <v>615</v>
      </c>
      <c r="D167" s="165" t="s">
        <v>458</v>
      </c>
      <c r="E167" s="166">
        <v>300</v>
      </c>
      <c r="F167" s="167">
        <v>1404.0329999999999</v>
      </c>
      <c r="G167" s="168">
        <v>3.0659300000000001E-3</v>
      </c>
      <c r="H167" s="167">
        <v>7.7</v>
      </c>
      <c r="I167" s="167"/>
      <c r="K167" s="75"/>
    </row>
    <row r="168" spans="1:11" x14ac:dyDescent="0.2">
      <c r="A168" s="162"/>
      <c r="B168" s="162"/>
      <c r="C168" s="163" t="s">
        <v>152</v>
      </c>
      <c r="D168" s="162"/>
      <c r="E168" s="162" t="s">
        <v>153</v>
      </c>
      <c r="F168" s="169">
        <v>1404.0329999999999</v>
      </c>
      <c r="G168" s="170">
        <v>3.0659300000000001E-3</v>
      </c>
      <c r="H168" s="167"/>
      <c r="I168" s="167"/>
      <c r="K168" s="75"/>
    </row>
    <row r="169" spans="1:11" x14ac:dyDescent="0.2">
      <c r="A169" s="162"/>
      <c r="B169" s="162"/>
      <c r="C169" s="171"/>
      <c r="D169" s="162"/>
      <c r="E169" s="162"/>
      <c r="F169" s="172"/>
      <c r="G169" s="172"/>
      <c r="H169" s="167"/>
      <c r="I169" s="167"/>
      <c r="K169" s="75"/>
    </row>
    <row r="170" spans="1:11" x14ac:dyDescent="0.2">
      <c r="A170" s="162"/>
      <c r="B170" s="162"/>
      <c r="C170" s="163" t="s">
        <v>169</v>
      </c>
      <c r="D170" s="162"/>
      <c r="E170" s="162"/>
      <c r="F170" s="172"/>
      <c r="G170" s="172"/>
      <c r="H170" s="167"/>
      <c r="I170" s="167"/>
      <c r="K170" s="75"/>
    </row>
    <row r="171" spans="1:11" x14ac:dyDescent="0.2">
      <c r="A171" s="162"/>
      <c r="B171" s="162"/>
      <c r="C171" s="163" t="s">
        <v>152</v>
      </c>
      <c r="D171" s="162"/>
      <c r="E171" s="162" t="s">
        <v>153</v>
      </c>
      <c r="F171" s="173" t="s">
        <v>155</v>
      </c>
      <c r="G171" s="170">
        <v>0</v>
      </c>
      <c r="H171" s="167"/>
      <c r="I171" s="167"/>
      <c r="K171" s="75"/>
    </row>
    <row r="172" spans="1:11" x14ac:dyDescent="0.2">
      <c r="A172" s="162"/>
      <c r="B172" s="162"/>
      <c r="C172" s="171"/>
      <c r="D172" s="162"/>
      <c r="E172" s="162"/>
      <c r="F172" s="172"/>
      <c r="G172" s="172"/>
      <c r="H172" s="167"/>
      <c r="I172" s="167"/>
      <c r="K172" s="75"/>
    </row>
    <row r="173" spans="1:11" x14ac:dyDescent="0.2">
      <c r="A173" s="162"/>
      <c r="B173" s="162"/>
      <c r="C173" s="163" t="s">
        <v>170</v>
      </c>
      <c r="D173" s="162"/>
      <c r="E173" s="162"/>
      <c r="F173" s="172"/>
      <c r="G173" s="172"/>
      <c r="H173" s="167"/>
      <c r="I173" s="167"/>
      <c r="K173" s="75"/>
    </row>
    <row r="174" spans="1:11" x14ac:dyDescent="0.2">
      <c r="A174" s="164">
        <v>1</v>
      </c>
      <c r="B174" s="165"/>
      <c r="C174" s="165" t="s">
        <v>171</v>
      </c>
      <c r="D174" s="165"/>
      <c r="E174" s="174"/>
      <c r="F174" s="167">
        <v>10410.157118232</v>
      </c>
      <c r="G174" s="168">
        <v>2.2732249999999999E-2</v>
      </c>
      <c r="H174" s="175">
        <v>6.66</v>
      </c>
      <c r="I174" s="175"/>
      <c r="K174" s="75"/>
    </row>
    <row r="175" spans="1:11" x14ac:dyDescent="0.2">
      <c r="A175" s="162"/>
      <c r="B175" s="162"/>
      <c r="C175" s="163" t="s">
        <v>152</v>
      </c>
      <c r="D175" s="162"/>
      <c r="E175" s="162" t="s">
        <v>153</v>
      </c>
      <c r="F175" s="169">
        <v>10410.157118232</v>
      </c>
      <c r="G175" s="170">
        <v>2.2732249999999999E-2</v>
      </c>
      <c r="H175" s="167"/>
      <c r="I175" s="167"/>
      <c r="K175" s="75"/>
    </row>
    <row r="176" spans="1:11" x14ac:dyDescent="0.2">
      <c r="A176" s="162"/>
      <c r="B176" s="162"/>
      <c r="C176" s="171"/>
      <c r="D176" s="162"/>
      <c r="E176" s="162"/>
      <c r="F176" s="172"/>
      <c r="G176" s="172"/>
      <c r="H176" s="167"/>
      <c r="I176" s="167"/>
      <c r="K176" s="75"/>
    </row>
    <row r="177" spans="1:11" x14ac:dyDescent="0.2">
      <c r="A177" s="162"/>
      <c r="B177" s="162"/>
      <c r="C177" s="163" t="s">
        <v>172</v>
      </c>
      <c r="D177" s="162"/>
      <c r="E177" s="162"/>
      <c r="F177" s="169">
        <v>11814.190118232</v>
      </c>
      <c r="G177" s="170">
        <v>2.579818E-2</v>
      </c>
      <c r="H177" s="167"/>
      <c r="I177" s="167"/>
      <c r="K177" s="75"/>
    </row>
    <row r="178" spans="1:11" x14ac:dyDescent="0.2">
      <c r="A178" s="162"/>
      <c r="B178" s="162"/>
      <c r="C178" s="172"/>
      <c r="D178" s="162"/>
      <c r="E178" s="162"/>
      <c r="F178" s="162"/>
      <c r="G178" s="162"/>
      <c r="H178" s="167"/>
      <c r="I178" s="167"/>
      <c r="K178" s="75"/>
    </row>
    <row r="179" spans="1:11" x14ac:dyDescent="0.2">
      <c r="A179" s="162"/>
      <c r="B179" s="162"/>
      <c r="C179" s="163" t="s">
        <v>173</v>
      </c>
      <c r="D179" s="162"/>
      <c r="E179" s="162"/>
      <c r="F179" s="162"/>
      <c r="G179" s="162"/>
      <c r="H179" s="167"/>
      <c r="I179" s="167"/>
      <c r="K179" s="75"/>
    </row>
    <row r="180" spans="1:11" x14ac:dyDescent="0.2">
      <c r="A180" s="162"/>
      <c r="B180" s="162"/>
      <c r="C180" s="163" t="s">
        <v>174</v>
      </c>
      <c r="D180" s="162"/>
      <c r="E180" s="162"/>
      <c r="F180" s="162"/>
      <c r="G180" s="162"/>
      <c r="H180" s="167"/>
      <c r="I180" s="167"/>
      <c r="K180" s="75"/>
    </row>
    <row r="181" spans="1:11" x14ac:dyDescent="0.2">
      <c r="A181" s="164">
        <v>1</v>
      </c>
      <c r="B181" s="165" t="s">
        <v>175</v>
      </c>
      <c r="C181" s="165" t="s">
        <v>176</v>
      </c>
      <c r="D181" s="165"/>
      <c r="E181" s="176">
        <v>467010.47399999999</v>
      </c>
      <c r="F181" s="167">
        <v>10021.283077956999</v>
      </c>
      <c r="G181" s="168">
        <v>2.1883079999999999E-2</v>
      </c>
      <c r="H181" s="167"/>
      <c r="I181" s="167"/>
      <c r="K181" s="75"/>
    </row>
    <row r="182" spans="1:11" x14ac:dyDescent="0.2">
      <c r="A182" s="162"/>
      <c r="B182" s="162"/>
      <c r="C182" s="163" t="s">
        <v>152</v>
      </c>
      <c r="D182" s="162"/>
      <c r="E182" s="162" t="s">
        <v>153</v>
      </c>
      <c r="F182" s="169">
        <v>10021.283077956999</v>
      </c>
      <c r="G182" s="170">
        <v>2.1883079999999999E-2</v>
      </c>
      <c r="H182" s="167"/>
      <c r="I182" s="167"/>
      <c r="K182" s="75"/>
    </row>
    <row r="183" spans="1:11" x14ac:dyDescent="0.2">
      <c r="A183" s="162"/>
      <c r="B183" s="162"/>
      <c r="C183" s="171"/>
      <c r="D183" s="162"/>
      <c r="E183" s="162"/>
      <c r="F183" s="172"/>
      <c r="G183" s="172"/>
      <c r="H183" s="167"/>
      <c r="I183" s="167"/>
      <c r="K183" s="75"/>
    </row>
    <row r="184" spans="1:11" x14ac:dyDescent="0.2">
      <c r="A184" s="162"/>
      <c r="B184" s="162"/>
      <c r="C184" s="163" t="s">
        <v>177</v>
      </c>
      <c r="D184" s="162"/>
      <c r="E184" s="162"/>
      <c r="F184" s="162"/>
      <c r="G184" s="162"/>
      <c r="H184" s="167"/>
      <c r="I184" s="167"/>
      <c r="K184" s="75"/>
    </row>
    <row r="185" spans="1:11" x14ac:dyDescent="0.2">
      <c r="A185" s="162"/>
      <c r="B185" s="162"/>
      <c r="C185" s="163" t="s">
        <v>178</v>
      </c>
      <c r="D185" s="162"/>
      <c r="E185" s="162"/>
      <c r="F185" s="162"/>
      <c r="G185" s="162"/>
      <c r="H185" s="167"/>
      <c r="I185" s="167"/>
      <c r="K185" s="75"/>
    </row>
    <row r="186" spans="1:11" x14ac:dyDescent="0.2">
      <c r="A186" s="162"/>
      <c r="B186" s="162"/>
      <c r="C186" s="163" t="s">
        <v>152</v>
      </c>
      <c r="D186" s="162"/>
      <c r="E186" s="162" t="s">
        <v>153</v>
      </c>
      <c r="F186" s="173" t="s">
        <v>155</v>
      </c>
      <c r="G186" s="170">
        <v>0</v>
      </c>
      <c r="H186" s="167"/>
      <c r="I186" s="167"/>
      <c r="K186" s="75"/>
    </row>
    <row r="187" spans="1:11" x14ac:dyDescent="0.2">
      <c r="A187" s="162"/>
      <c r="B187" s="162"/>
      <c r="C187" s="171"/>
      <c r="D187" s="162"/>
      <c r="E187" s="162"/>
      <c r="F187" s="172"/>
      <c r="G187" s="172"/>
      <c r="H187" s="167"/>
      <c r="I187" s="167"/>
      <c r="K187" s="75"/>
    </row>
    <row r="188" spans="1:11" x14ac:dyDescent="0.2">
      <c r="A188" s="162"/>
      <c r="B188" s="162"/>
      <c r="C188" s="163" t="s">
        <v>179</v>
      </c>
      <c r="D188" s="162"/>
      <c r="E188" s="162"/>
      <c r="F188" s="172"/>
      <c r="G188" s="172"/>
      <c r="H188" s="167"/>
      <c r="I188" s="167"/>
      <c r="K188" s="75"/>
    </row>
    <row r="189" spans="1:11" x14ac:dyDescent="0.2">
      <c r="A189" s="162"/>
      <c r="B189" s="162"/>
      <c r="C189" s="163" t="s">
        <v>152</v>
      </c>
      <c r="D189" s="162"/>
      <c r="E189" s="162" t="s">
        <v>153</v>
      </c>
      <c r="F189" s="173" t="s">
        <v>155</v>
      </c>
      <c r="G189" s="170">
        <v>0</v>
      </c>
      <c r="H189" s="167"/>
      <c r="I189" s="167"/>
      <c r="K189" s="75"/>
    </row>
    <row r="190" spans="1:11" x14ac:dyDescent="0.2">
      <c r="A190" s="162"/>
      <c r="B190" s="162"/>
      <c r="C190" s="171"/>
      <c r="D190" s="162"/>
      <c r="E190" s="162"/>
      <c r="F190" s="172"/>
      <c r="G190" s="172"/>
      <c r="H190" s="167"/>
      <c r="I190" s="167"/>
      <c r="K190" s="75"/>
    </row>
    <row r="191" spans="1:11" x14ac:dyDescent="0.2">
      <c r="A191" s="174"/>
      <c r="B191" s="165"/>
      <c r="C191" s="165" t="s">
        <v>698</v>
      </c>
      <c r="D191" s="165"/>
      <c r="E191" s="174"/>
      <c r="F191" s="167">
        <v>2013.6801522999999</v>
      </c>
      <c r="G191" s="168">
        <v>4.3971899999999996E-3</v>
      </c>
      <c r="H191" s="167"/>
      <c r="I191" s="167"/>
      <c r="K191" s="75"/>
    </row>
    <row r="192" spans="1:11" x14ac:dyDescent="0.2">
      <c r="A192" s="174"/>
      <c r="B192" s="165"/>
      <c r="C192" s="165" t="s">
        <v>1092</v>
      </c>
      <c r="D192" s="165"/>
      <c r="E192" s="174"/>
      <c r="F192" s="167">
        <v>-322.97966924000002</v>
      </c>
      <c r="G192" s="168">
        <v>-7.0527999999999997E-4</v>
      </c>
      <c r="H192" s="167"/>
      <c r="I192" s="167"/>
      <c r="K192" s="75"/>
    </row>
    <row r="193" spans="1:21" x14ac:dyDescent="0.2">
      <c r="A193" s="171"/>
      <c r="B193" s="171"/>
      <c r="C193" s="163" t="s">
        <v>181</v>
      </c>
      <c r="D193" s="172"/>
      <c r="E193" s="172"/>
      <c r="F193" s="169">
        <v>457946.67395854299</v>
      </c>
      <c r="G193" s="177">
        <v>1.0000088899999999</v>
      </c>
      <c r="H193" s="177"/>
      <c r="I193" s="177"/>
      <c r="K193" s="75"/>
    </row>
    <row r="194" spans="1:21" x14ac:dyDescent="0.2">
      <c r="A194" s="178"/>
      <c r="B194" s="178"/>
      <c r="C194" s="178"/>
      <c r="D194" s="179"/>
      <c r="E194" s="179"/>
      <c r="F194" s="179"/>
      <c r="G194" s="179"/>
      <c r="H194" s="179"/>
      <c r="I194" s="179"/>
      <c r="K194" s="75"/>
    </row>
    <row r="195" spans="1:21" ht="12.75" customHeight="1" x14ac:dyDescent="0.2">
      <c r="A195" s="180"/>
      <c r="B195" s="258" t="s">
        <v>882</v>
      </c>
      <c r="C195" s="258"/>
      <c r="D195" s="258"/>
      <c r="E195" s="258"/>
      <c r="F195" s="258"/>
      <c r="G195" s="258"/>
      <c r="H195" s="258"/>
      <c r="K195" s="75"/>
    </row>
    <row r="196" spans="1:21" ht="14.1" customHeight="1" x14ac:dyDescent="0.2">
      <c r="A196" s="180"/>
      <c r="B196" s="258" t="s">
        <v>883</v>
      </c>
      <c r="C196" s="258"/>
      <c r="D196" s="258"/>
      <c r="E196" s="258"/>
      <c r="F196" s="258"/>
      <c r="G196" s="258"/>
      <c r="H196" s="258"/>
      <c r="K196" s="75"/>
    </row>
    <row r="197" spans="1:21" ht="17.100000000000001" customHeight="1" x14ac:dyDescent="0.2">
      <c r="A197" s="180"/>
      <c r="B197" s="258" t="s">
        <v>884</v>
      </c>
      <c r="C197" s="258"/>
      <c r="D197" s="258"/>
      <c r="E197" s="258"/>
      <c r="F197" s="258"/>
      <c r="G197" s="258"/>
      <c r="H197" s="258"/>
      <c r="K197" s="75"/>
    </row>
    <row r="198" spans="1:21" s="34" customFormat="1" ht="54" customHeight="1" x14ac:dyDescent="0.25">
      <c r="A198" s="33"/>
      <c r="B198" s="259" t="s">
        <v>885</v>
      </c>
      <c r="C198" s="259"/>
      <c r="D198" s="259"/>
      <c r="E198" s="259"/>
      <c r="F198" s="259"/>
      <c r="G198" s="259"/>
      <c r="H198" s="259"/>
      <c r="I198" s="259"/>
      <c r="J198"/>
      <c r="K198" s="75"/>
      <c r="L198"/>
      <c r="M198"/>
      <c r="N198"/>
      <c r="O198"/>
      <c r="P198"/>
      <c r="Q198"/>
    </row>
    <row r="199" spans="1:21" ht="12.75" customHeight="1" x14ac:dyDescent="0.2">
      <c r="A199" s="180"/>
      <c r="B199" s="258" t="s">
        <v>886</v>
      </c>
      <c r="C199" s="258"/>
      <c r="D199" s="258"/>
      <c r="E199" s="258"/>
      <c r="F199" s="258"/>
      <c r="G199" s="258"/>
      <c r="H199" s="258"/>
      <c r="K199" s="75"/>
    </row>
    <row r="200" spans="1:21" x14ac:dyDescent="0.2">
      <c r="A200" s="181"/>
      <c r="B200" s="181"/>
      <c r="C200" s="181"/>
      <c r="D200" s="182"/>
      <c r="E200" s="182"/>
      <c r="F200" s="182"/>
      <c r="G200" s="182"/>
      <c r="H200" s="182"/>
      <c r="I200" s="182"/>
      <c r="K200" s="75"/>
    </row>
    <row r="201" spans="1:21" x14ac:dyDescent="0.2">
      <c r="A201" s="181"/>
      <c r="B201" s="255" t="s">
        <v>183</v>
      </c>
      <c r="C201" s="256"/>
      <c r="D201" s="257"/>
      <c r="E201" s="183"/>
      <c r="F201" s="182"/>
      <c r="G201" s="182"/>
      <c r="H201" s="182"/>
      <c r="I201" s="182"/>
      <c r="K201" s="75"/>
    </row>
    <row r="202" spans="1:21" x14ac:dyDescent="0.2">
      <c r="A202" s="181"/>
      <c r="B202" s="251" t="s">
        <v>184</v>
      </c>
      <c r="C202" s="252"/>
      <c r="D202" s="184" t="s">
        <v>904</v>
      </c>
      <c r="E202" s="183"/>
      <c r="F202" s="182"/>
      <c r="G202" s="182"/>
      <c r="H202" s="182"/>
      <c r="I202" s="182"/>
      <c r="K202" s="75"/>
    </row>
    <row r="203" spans="1:21" ht="15" x14ac:dyDescent="0.25">
      <c r="A203" s="181"/>
      <c r="B203" s="251" t="s">
        <v>898</v>
      </c>
      <c r="C203" s="252"/>
      <c r="D203" s="184" t="s">
        <v>905</v>
      </c>
      <c r="E203" s="183"/>
      <c r="F203" s="182"/>
      <c r="G203" s="182"/>
      <c r="H203" s="182"/>
      <c r="I203" s="182"/>
      <c r="K203" s="75"/>
      <c r="P203" s="34"/>
      <c r="Q203" s="34"/>
      <c r="R203" s="34"/>
    </row>
    <row r="204" spans="1:21" ht="15" x14ac:dyDescent="0.25">
      <c r="A204" s="181"/>
      <c r="B204" s="253" t="s">
        <v>187</v>
      </c>
      <c r="C204" s="254"/>
      <c r="D204" s="172" t="s">
        <v>153</v>
      </c>
      <c r="E204" s="183"/>
      <c r="F204" s="182"/>
      <c r="G204" s="182"/>
      <c r="H204" s="182"/>
      <c r="I204" s="182"/>
      <c r="K204" s="75"/>
      <c r="S204" s="34"/>
      <c r="T204" s="34"/>
      <c r="U204" s="34"/>
    </row>
    <row r="205" spans="1:21" x14ac:dyDescent="0.2">
      <c r="A205" s="185"/>
      <c r="B205" s="186" t="s">
        <v>153</v>
      </c>
      <c r="C205" s="186" t="s">
        <v>1088</v>
      </c>
      <c r="D205" s="186" t="s">
        <v>188</v>
      </c>
      <c r="E205" s="185"/>
      <c r="F205" s="185"/>
      <c r="G205" s="185"/>
      <c r="H205" s="185"/>
      <c r="I205" s="185"/>
      <c r="K205" s="75"/>
    </row>
    <row r="206" spans="1:21" x14ac:dyDescent="0.2">
      <c r="A206" s="185"/>
      <c r="B206" s="187" t="s">
        <v>189</v>
      </c>
      <c r="C206" s="186" t="s">
        <v>190</v>
      </c>
      <c r="D206" s="186" t="s">
        <v>191</v>
      </c>
      <c r="E206" s="185"/>
      <c r="F206" s="185"/>
      <c r="G206" s="185"/>
      <c r="H206" s="185"/>
      <c r="I206" s="185"/>
      <c r="K206" s="75"/>
    </row>
    <row r="207" spans="1:21" x14ac:dyDescent="0.2">
      <c r="A207" s="185"/>
      <c r="B207" s="165" t="s">
        <v>192</v>
      </c>
      <c r="C207" s="188">
        <v>160.38040000000001</v>
      </c>
      <c r="D207" s="188">
        <v>163.4375</v>
      </c>
      <c r="E207" s="185"/>
      <c r="F207" s="189"/>
      <c r="G207" s="190"/>
      <c r="H207" s="190"/>
      <c r="I207" s="190"/>
      <c r="K207" s="75"/>
    </row>
    <row r="208" spans="1:21" ht="25.5" x14ac:dyDescent="0.2">
      <c r="A208" s="185"/>
      <c r="B208" s="200" t="s">
        <v>1059</v>
      </c>
      <c r="C208" s="188">
        <v>42.338999999999999</v>
      </c>
      <c r="D208" s="188">
        <v>42.788600000000002</v>
      </c>
      <c r="E208" s="185"/>
      <c r="F208" s="189"/>
      <c r="G208" s="190"/>
      <c r="H208" s="190"/>
      <c r="I208" s="190"/>
      <c r="K208" s="75"/>
    </row>
    <row r="209" spans="1:16" x14ac:dyDescent="0.2">
      <c r="A209" s="185"/>
      <c r="B209" s="165" t="s">
        <v>193</v>
      </c>
      <c r="C209" s="188">
        <v>141.9701</v>
      </c>
      <c r="D209" s="188">
        <v>144.54050000000001</v>
      </c>
      <c r="E209" s="185"/>
      <c r="F209" s="189"/>
      <c r="G209" s="190"/>
      <c r="H209" s="190"/>
      <c r="I209" s="190"/>
      <c r="K209" s="75"/>
    </row>
    <row r="210" spans="1:16" ht="25.5" x14ac:dyDescent="0.2">
      <c r="A210" s="185"/>
      <c r="B210" s="200" t="s">
        <v>1061</v>
      </c>
      <c r="C210" s="188">
        <v>28.226500000000001</v>
      </c>
      <c r="D210" s="188">
        <v>28.482399999999998</v>
      </c>
      <c r="E210" s="185"/>
      <c r="F210" s="189"/>
      <c r="G210" s="190"/>
      <c r="H210" s="190"/>
      <c r="I210" s="190"/>
      <c r="K210" s="75"/>
    </row>
    <row r="211" spans="1:16" x14ac:dyDescent="0.2">
      <c r="A211" s="185"/>
      <c r="B211" s="185"/>
      <c r="C211" s="185"/>
      <c r="D211" s="185"/>
      <c r="E211" s="185"/>
      <c r="F211" s="185"/>
      <c r="G211" s="185"/>
      <c r="H211" s="185"/>
      <c r="I211" s="185"/>
      <c r="K211" s="75"/>
    </row>
    <row r="212" spans="1:16" x14ac:dyDescent="0.2">
      <c r="A212" s="185"/>
      <c r="B212" s="253" t="s">
        <v>1056</v>
      </c>
      <c r="C212" s="254"/>
      <c r="D212" s="163" t="s">
        <v>153</v>
      </c>
      <c r="E212" s="185"/>
      <c r="F212" s="185"/>
      <c r="G212" s="185"/>
      <c r="H212" s="185"/>
      <c r="I212" s="185"/>
      <c r="K212" s="75"/>
    </row>
    <row r="213" spans="1:16" x14ac:dyDescent="0.2">
      <c r="A213" s="185"/>
      <c r="B213" s="208" t="s">
        <v>189</v>
      </c>
      <c r="C213" s="209" t="s">
        <v>443</v>
      </c>
      <c r="D213" s="209" t="s">
        <v>444</v>
      </c>
      <c r="E213" s="185"/>
      <c r="F213" s="185"/>
      <c r="G213" s="185"/>
      <c r="H213" s="185"/>
      <c r="I213" s="185"/>
      <c r="K213" s="75"/>
    </row>
    <row r="214" spans="1:16" ht="25.5" x14ac:dyDescent="0.2">
      <c r="A214" s="185"/>
      <c r="B214" s="200" t="s">
        <v>1059</v>
      </c>
      <c r="C214" s="210">
        <v>0.35</v>
      </c>
      <c r="D214" s="210">
        <v>0.35</v>
      </c>
      <c r="E214" s="185"/>
      <c r="F214" s="189"/>
      <c r="G214" s="190"/>
      <c r="H214" s="190"/>
      <c r="I214" s="190"/>
      <c r="K214" s="75"/>
    </row>
    <row r="215" spans="1:16" ht="25.5" x14ac:dyDescent="0.2">
      <c r="A215" s="185"/>
      <c r="B215" s="200" t="s">
        <v>1061</v>
      </c>
      <c r="C215" s="210">
        <v>0.25</v>
      </c>
      <c r="D215" s="210">
        <v>0.25</v>
      </c>
      <c r="E215" s="185"/>
      <c r="F215" s="189"/>
      <c r="G215" s="190"/>
      <c r="H215" s="190"/>
      <c r="I215" s="190"/>
      <c r="K215" s="75"/>
    </row>
    <row r="216" spans="1:16" x14ac:dyDescent="0.2">
      <c r="A216" s="185"/>
      <c r="B216" s="211"/>
      <c r="C216" s="211"/>
      <c r="D216" s="212"/>
      <c r="E216" s="185"/>
      <c r="F216" s="189"/>
      <c r="G216" s="190"/>
      <c r="H216" s="190"/>
      <c r="I216" s="190"/>
      <c r="K216" s="75"/>
    </row>
    <row r="217" spans="1:16" x14ac:dyDescent="0.2">
      <c r="A217" s="185"/>
      <c r="B217" s="253" t="s">
        <v>194</v>
      </c>
      <c r="C217" s="254"/>
      <c r="D217" s="163" t="s">
        <v>934</v>
      </c>
      <c r="E217" s="191"/>
      <c r="F217" s="185"/>
      <c r="G217" s="185"/>
      <c r="H217" s="185"/>
      <c r="I217" s="185"/>
      <c r="K217" s="75"/>
    </row>
    <row r="218" spans="1:16" x14ac:dyDescent="0.2">
      <c r="A218" s="185"/>
      <c r="B218" s="253" t="s">
        <v>195</v>
      </c>
      <c r="C218" s="254"/>
      <c r="D218" s="163" t="s">
        <v>185</v>
      </c>
      <c r="E218" s="191"/>
      <c r="F218" s="185"/>
      <c r="G218" s="185"/>
      <c r="H218" s="185"/>
      <c r="I218" s="185"/>
      <c r="K218" s="75"/>
    </row>
    <row r="219" spans="1:16" x14ac:dyDescent="0.2">
      <c r="A219" s="185"/>
      <c r="B219" s="253" t="s">
        <v>196</v>
      </c>
      <c r="C219" s="254"/>
      <c r="D219" s="163" t="s">
        <v>185</v>
      </c>
      <c r="E219" s="191"/>
      <c r="F219" s="185"/>
      <c r="G219" s="185"/>
      <c r="H219" s="185"/>
      <c r="I219" s="185"/>
      <c r="K219" s="75"/>
    </row>
    <row r="220" spans="1:16" x14ac:dyDescent="0.2">
      <c r="A220" s="185"/>
      <c r="B220" s="253" t="s">
        <v>197</v>
      </c>
      <c r="C220" s="254"/>
      <c r="D220" s="192">
        <v>0.70125383686179954</v>
      </c>
      <c r="E220" s="185"/>
      <c r="F220" s="189"/>
      <c r="G220" s="190"/>
      <c r="H220" s="190"/>
      <c r="I220" s="190"/>
      <c r="K220" s="75"/>
    </row>
    <row r="221" spans="1:16" x14ac:dyDescent="0.2">
      <c r="K221" s="75"/>
    </row>
    <row r="222" spans="1:16" s="40" customFormat="1" x14ac:dyDescent="0.2">
      <c r="B222" s="213" t="s">
        <v>1002</v>
      </c>
      <c r="C222" s="41"/>
      <c r="D222" s="41"/>
      <c r="E222" s="41"/>
      <c r="F222" s="41"/>
      <c r="G222" s="41"/>
      <c r="J222"/>
      <c r="K222" s="75"/>
      <c r="L222"/>
      <c r="M222"/>
      <c r="N222"/>
      <c r="O222"/>
      <c r="P222"/>
    </row>
    <row r="223" spans="1:16" s="40" customFormat="1" ht="38.25" x14ac:dyDescent="0.2">
      <c r="B223" s="214" t="s">
        <v>906</v>
      </c>
      <c r="C223" s="214" t="s">
        <v>907</v>
      </c>
      <c r="D223" s="214" t="s">
        <v>908</v>
      </c>
      <c r="E223" s="214" t="s">
        <v>909</v>
      </c>
      <c r="F223" s="214" t="s">
        <v>910</v>
      </c>
      <c r="G223" s="41"/>
      <c r="J223"/>
      <c r="K223" s="75"/>
      <c r="L223"/>
      <c r="M223"/>
      <c r="N223"/>
      <c r="O223"/>
      <c r="P223"/>
    </row>
    <row r="224" spans="1:16" s="40" customFormat="1" ht="38.25" x14ac:dyDescent="0.2">
      <c r="B224" s="215" t="s">
        <v>911</v>
      </c>
      <c r="C224" s="216" t="s">
        <v>912</v>
      </c>
      <c r="D224" s="217">
        <v>0</v>
      </c>
      <c r="E224" s="42">
        <v>0</v>
      </c>
      <c r="F224" s="218">
        <v>1000</v>
      </c>
      <c r="G224" s="41"/>
      <c r="J224"/>
      <c r="K224" s="75"/>
      <c r="L224"/>
      <c r="M224"/>
      <c r="N224"/>
      <c r="O224"/>
      <c r="P224"/>
    </row>
    <row r="225" spans="2:16" s="40" customFormat="1" x14ac:dyDescent="0.2">
      <c r="B225" s="213"/>
      <c r="C225" s="41"/>
      <c r="D225" s="41"/>
      <c r="E225" s="41"/>
      <c r="F225" s="41"/>
      <c r="G225" s="41"/>
      <c r="J225"/>
      <c r="K225" s="75"/>
      <c r="L225"/>
      <c r="M225"/>
      <c r="N225"/>
      <c r="O225"/>
      <c r="P225"/>
    </row>
    <row r="226" spans="2:16" s="40" customFormat="1" x14ac:dyDescent="0.2">
      <c r="B226" s="219" t="s">
        <v>913</v>
      </c>
      <c r="C226" s="219" t="s">
        <v>914</v>
      </c>
      <c r="D226" s="261" t="s">
        <v>915</v>
      </c>
      <c r="E226" s="262"/>
      <c r="F226" s="263" t="s">
        <v>916</v>
      </c>
      <c r="G226" s="263"/>
      <c r="J226"/>
      <c r="K226" s="75"/>
      <c r="L226"/>
      <c r="M226"/>
      <c r="N226"/>
      <c r="O226"/>
      <c r="P226"/>
    </row>
    <row r="227" spans="2:16" s="40" customFormat="1" ht="25.5" x14ac:dyDescent="0.2">
      <c r="B227" s="220" t="s">
        <v>917</v>
      </c>
      <c r="C227" s="221" t="s">
        <v>918</v>
      </c>
      <c r="D227" s="264">
        <v>0</v>
      </c>
      <c r="E227" s="265"/>
      <c r="F227" s="264">
        <v>0</v>
      </c>
      <c r="G227" s="265"/>
      <c r="J227"/>
      <c r="K227" s="75"/>
      <c r="L227"/>
      <c r="M227"/>
      <c r="N227"/>
      <c r="O227"/>
      <c r="P227"/>
    </row>
    <row r="228" spans="2:16" s="40" customFormat="1" x14ac:dyDescent="0.2">
      <c r="B228" s="266" t="s">
        <v>919</v>
      </c>
      <c r="C228" s="267"/>
      <c r="D228" s="267"/>
      <c r="E228" s="267"/>
      <c r="F228" s="267"/>
      <c r="G228" s="268"/>
      <c r="J228"/>
      <c r="K228" s="75"/>
      <c r="L228"/>
      <c r="M228"/>
      <c r="N228"/>
      <c r="O228"/>
      <c r="P228"/>
    </row>
    <row r="229" spans="2:16" s="40" customFormat="1" x14ac:dyDescent="0.2">
      <c r="B229" s="263" t="s">
        <v>913</v>
      </c>
      <c r="C229" s="263" t="s">
        <v>914</v>
      </c>
      <c r="D229" s="266" t="s">
        <v>920</v>
      </c>
      <c r="E229" s="267"/>
      <c r="F229" s="268"/>
      <c r="G229" s="220"/>
      <c r="J229"/>
      <c r="K229" s="75"/>
      <c r="L229"/>
      <c r="M229"/>
      <c r="N229"/>
      <c r="O229"/>
      <c r="P229"/>
    </row>
    <row r="230" spans="2:16" s="40" customFormat="1" ht="38.25" x14ac:dyDescent="0.2">
      <c r="B230" s="263"/>
      <c r="C230" s="263"/>
      <c r="D230" s="222" t="s">
        <v>921</v>
      </c>
      <c r="E230" s="222" t="s">
        <v>922</v>
      </c>
      <c r="F230" s="222" t="s">
        <v>923</v>
      </c>
      <c r="G230" s="222" t="s">
        <v>1000</v>
      </c>
      <c r="H230" s="43"/>
      <c r="I230" s="43"/>
      <c r="J230" s="43"/>
      <c r="K230" s="75"/>
      <c r="L230"/>
      <c r="M230"/>
      <c r="N230"/>
      <c r="O230"/>
      <c r="P230"/>
    </row>
    <row r="231" spans="2:16" s="40" customFormat="1" ht="25.5" x14ac:dyDescent="0.2">
      <c r="B231" s="223" t="s">
        <v>917</v>
      </c>
      <c r="C231" s="221" t="s">
        <v>918</v>
      </c>
      <c r="D231" s="224">
        <v>700</v>
      </c>
      <c r="E231" s="224">
        <v>24.098357999999998</v>
      </c>
      <c r="F231" s="225">
        <v>724.09835799999996</v>
      </c>
      <c r="G231" s="44">
        <v>1.581184882817931E-3</v>
      </c>
      <c r="H231" s="45"/>
      <c r="I231" s="45"/>
      <c r="J231" s="45"/>
      <c r="K231" s="75"/>
      <c r="L231"/>
      <c r="M231"/>
      <c r="N231"/>
      <c r="O231"/>
      <c r="P231"/>
    </row>
    <row r="232" spans="2:16" s="40" customFormat="1" ht="29.25" customHeight="1" x14ac:dyDescent="0.2">
      <c r="B232" s="269" t="s">
        <v>924</v>
      </c>
      <c r="C232" s="270"/>
      <c r="D232" s="270"/>
      <c r="E232" s="270"/>
      <c r="F232" s="270"/>
      <c r="G232" s="271"/>
      <c r="J232"/>
      <c r="K232" s="75"/>
      <c r="L232"/>
      <c r="M232"/>
      <c r="N232"/>
      <c r="O232"/>
      <c r="P232"/>
    </row>
    <row r="233" spans="2:16" s="40" customFormat="1" x14ac:dyDescent="0.2">
      <c r="J233"/>
      <c r="K233" s="75"/>
      <c r="L233"/>
      <c r="M233"/>
      <c r="N233"/>
      <c r="O233"/>
      <c r="P233"/>
    </row>
    <row r="234" spans="2:16" s="40" customFormat="1" x14ac:dyDescent="0.2">
      <c r="B234" s="272" t="s">
        <v>925</v>
      </c>
      <c r="C234" s="273"/>
      <c r="D234" s="274"/>
      <c r="J234"/>
      <c r="K234" s="75"/>
      <c r="L234"/>
      <c r="M234"/>
      <c r="N234"/>
      <c r="O234"/>
      <c r="P234"/>
    </row>
    <row r="235" spans="2:16" s="40" customFormat="1" ht="38.25" x14ac:dyDescent="0.2">
      <c r="B235" s="275" t="s">
        <v>926</v>
      </c>
      <c r="C235" s="275"/>
      <c r="D235" s="226" t="s">
        <v>616</v>
      </c>
      <c r="J235"/>
      <c r="K235" s="75"/>
      <c r="L235"/>
      <c r="M235"/>
      <c r="N235"/>
      <c r="O235"/>
      <c r="P235"/>
    </row>
    <row r="236" spans="2:16" s="40" customFormat="1" x14ac:dyDescent="0.2">
      <c r="B236" s="275" t="s">
        <v>927</v>
      </c>
      <c r="C236" s="275"/>
      <c r="D236" s="226"/>
      <c r="J236"/>
      <c r="K236" s="75"/>
      <c r="L236"/>
      <c r="M236"/>
      <c r="N236"/>
      <c r="O236"/>
      <c r="P236"/>
    </row>
    <row r="237" spans="2:16" s="40" customFormat="1" x14ac:dyDescent="0.2">
      <c r="B237" s="276"/>
      <c r="C237" s="277"/>
      <c r="D237" s="227"/>
      <c r="J237"/>
      <c r="K237" s="75"/>
      <c r="L237"/>
      <c r="M237"/>
      <c r="N237"/>
      <c r="O237"/>
      <c r="P237"/>
    </row>
    <row r="238" spans="2:16" s="40" customFormat="1" x14ac:dyDescent="0.2">
      <c r="B238" s="275" t="s">
        <v>928</v>
      </c>
      <c r="C238" s="275"/>
      <c r="D238" s="228">
        <v>7.3483620272888457</v>
      </c>
      <c r="J238"/>
      <c r="K238" s="75"/>
      <c r="L238"/>
      <c r="M238"/>
      <c r="N238"/>
      <c r="O238"/>
      <c r="P238"/>
    </row>
    <row r="239" spans="2:16" s="40" customFormat="1" x14ac:dyDescent="0.2">
      <c r="B239" s="276"/>
      <c r="C239" s="277"/>
      <c r="D239" s="229"/>
      <c r="J239"/>
      <c r="K239" s="75"/>
      <c r="L239"/>
      <c r="M239"/>
      <c r="N239"/>
      <c r="O239"/>
      <c r="P239"/>
    </row>
    <row r="240" spans="2:16" s="40" customFormat="1" x14ac:dyDescent="0.2">
      <c r="B240" s="275" t="s">
        <v>929</v>
      </c>
      <c r="C240" s="275"/>
      <c r="D240" s="228">
        <v>3.9372090372260726</v>
      </c>
      <c r="J240"/>
      <c r="K240" s="75"/>
      <c r="L240"/>
      <c r="M240"/>
      <c r="N240"/>
      <c r="O240"/>
      <c r="P240"/>
    </row>
    <row r="241" spans="2:16" s="40" customFormat="1" x14ac:dyDescent="0.2">
      <c r="B241" s="275" t="s">
        <v>930</v>
      </c>
      <c r="C241" s="275"/>
      <c r="D241" s="228">
        <v>5.5082765889962504</v>
      </c>
      <c r="J241"/>
      <c r="K241" s="75"/>
      <c r="L241"/>
      <c r="M241"/>
      <c r="N241"/>
      <c r="O241"/>
      <c r="P241"/>
    </row>
    <row r="242" spans="2:16" s="40" customFormat="1" x14ac:dyDescent="0.2">
      <c r="B242" s="276"/>
      <c r="C242" s="277"/>
      <c r="D242" s="227"/>
      <c r="J242"/>
      <c r="K242" s="75"/>
      <c r="L242"/>
      <c r="M242"/>
      <c r="N242"/>
      <c r="O242"/>
      <c r="P242"/>
    </row>
    <row r="243" spans="2:16" s="40" customFormat="1" x14ac:dyDescent="0.2">
      <c r="B243" s="275" t="s">
        <v>931</v>
      </c>
      <c r="C243" s="275"/>
      <c r="D243" s="230" t="s">
        <v>1001</v>
      </c>
      <c r="J243"/>
      <c r="K243" s="75"/>
      <c r="L243"/>
      <c r="M243"/>
      <c r="N243"/>
      <c r="O243"/>
      <c r="P243"/>
    </row>
    <row r="244" spans="2:16" s="40" customFormat="1" x14ac:dyDescent="0.2">
      <c r="B244" s="276" t="s">
        <v>932</v>
      </c>
      <c r="C244" s="278"/>
      <c r="D244" s="277"/>
      <c r="J244"/>
      <c r="K244" s="75"/>
      <c r="L244"/>
      <c r="M244"/>
      <c r="N244"/>
      <c r="O244"/>
      <c r="P244"/>
    </row>
  </sheetData>
  <mergeCells count="37">
    <mergeCell ref="B244:D244"/>
    <mergeCell ref="B239:C239"/>
    <mergeCell ref="B240:C240"/>
    <mergeCell ref="B241:C241"/>
    <mergeCell ref="B242:C242"/>
    <mergeCell ref="B243:C243"/>
    <mergeCell ref="B234:D234"/>
    <mergeCell ref="B235:C235"/>
    <mergeCell ref="B236:C236"/>
    <mergeCell ref="B237:C237"/>
    <mergeCell ref="B238:C238"/>
    <mergeCell ref="B228:G228"/>
    <mergeCell ref="B229:B230"/>
    <mergeCell ref="C229:C230"/>
    <mergeCell ref="D229:F229"/>
    <mergeCell ref="B232:G232"/>
    <mergeCell ref="D226:E226"/>
    <mergeCell ref="F226:G226"/>
    <mergeCell ref="D227:E227"/>
    <mergeCell ref="F227:G227"/>
    <mergeCell ref="B201:D201"/>
    <mergeCell ref="B202:C202"/>
    <mergeCell ref="A1:I1"/>
    <mergeCell ref="B220:C220"/>
    <mergeCell ref="B203:C203"/>
    <mergeCell ref="B204:C204"/>
    <mergeCell ref="B212:C212"/>
    <mergeCell ref="B217:C217"/>
    <mergeCell ref="B218:C218"/>
    <mergeCell ref="B219:C219"/>
    <mergeCell ref="A3:I3"/>
    <mergeCell ref="B195:H195"/>
    <mergeCell ref="B196:H196"/>
    <mergeCell ref="A2:I2"/>
    <mergeCell ref="B197:H197"/>
    <mergeCell ref="B199:H199"/>
    <mergeCell ref="B198:I198"/>
  </mergeCells>
  <hyperlinks>
    <hyperlink ref="J1" location="Index!B15" display="Index" xr:uid="{83879960-71A7-4B32-B35E-87BACA0F6CE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T157"/>
  <sheetViews>
    <sheetView showGridLines="0" workbookViewId="0">
      <selection activeCell="D138" sqref="D138"/>
    </sheetView>
  </sheetViews>
  <sheetFormatPr defaultRowHeight="12.75" x14ac:dyDescent="0.2"/>
  <cols>
    <col min="1" max="1" width="5.85546875" bestFit="1" customWidth="1"/>
    <col min="2" max="2" width="20.140625" customWidth="1"/>
    <col min="3" max="3" width="39.140625" bestFit="1" customWidth="1"/>
    <col min="4" max="4" width="16.85546875" bestFit="1" customWidth="1"/>
    <col min="5" max="5" width="9.140625" bestFit="1" customWidth="1"/>
    <col min="6" max="6" width="19.140625" customWidth="1"/>
    <col min="7" max="7" width="14" bestFit="1" customWidth="1"/>
    <col min="8" max="8" width="8.42578125" bestFit="1" customWidth="1"/>
    <col min="9" max="9" width="5.7109375" bestFit="1" customWidth="1"/>
    <col min="10" max="10" width="50.7109375" style="76" customWidth="1"/>
  </cols>
  <sheetData>
    <row r="1" spans="1:17" ht="15" customHeight="1" x14ac:dyDescent="0.2">
      <c r="A1" s="250" t="s">
        <v>0</v>
      </c>
      <c r="B1" s="250"/>
      <c r="C1" s="250"/>
      <c r="D1" s="250"/>
      <c r="E1" s="250"/>
      <c r="F1" s="250"/>
      <c r="G1" s="250"/>
      <c r="H1" s="250"/>
      <c r="I1" s="35" t="s">
        <v>888</v>
      </c>
      <c r="J1" s="75"/>
    </row>
    <row r="2" spans="1:17" ht="15" x14ac:dyDescent="0.2">
      <c r="A2" s="250" t="s">
        <v>699</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x14ac:dyDescent="0.2">
      <c r="A7" s="164">
        <v>1</v>
      </c>
      <c r="B7" s="165" t="s">
        <v>110</v>
      </c>
      <c r="C7" s="165" t="s">
        <v>111</v>
      </c>
      <c r="D7" s="165" t="s">
        <v>19</v>
      </c>
      <c r="E7" s="166">
        <v>285600</v>
      </c>
      <c r="F7" s="167">
        <v>1013.3088</v>
      </c>
      <c r="G7" s="168">
        <v>9.57958E-2</v>
      </c>
      <c r="H7" s="167"/>
      <c r="J7" s="75"/>
    </row>
    <row r="8" spans="1:17" ht="25.5" x14ac:dyDescent="0.2">
      <c r="A8" s="164">
        <v>2</v>
      </c>
      <c r="B8" s="165" t="s">
        <v>119</v>
      </c>
      <c r="C8" s="165" t="s">
        <v>120</v>
      </c>
      <c r="D8" s="165" t="s">
        <v>25</v>
      </c>
      <c r="E8" s="166">
        <v>144000</v>
      </c>
      <c r="F8" s="167">
        <v>892.65599999999995</v>
      </c>
      <c r="G8" s="168">
        <v>8.4389569999999997E-2</v>
      </c>
      <c r="H8" s="167"/>
      <c r="J8" s="75"/>
    </row>
    <row r="9" spans="1:17" x14ac:dyDescent="0.2">
      <c r="A9" s="164">
        <v>3</v>
      </c>
      <c r="B9" s="165" t="s">
        <v>331</v>
      </c>
      <c r="C9" s="165" t="s">
        <v>332</v>
      </c>
      <c r="D9" s="165" t="s">
        <v>39</v>
      </c>
      <c r="E9" s="166">
        <v>55000</v>
      </c>
      <c r="F9" s="167">
        <v>836.05499999999995</v>
      </c>
      <c r="G9" s="168">
        <v>7.9038650000000002E-2</v>
      </c>
      <c r="H9" s="167"/>
      <c r="J9" s="75"/>
    </row>
    <row r="10" spans="1:17" x14ac:dyDescent="0.2">
      <c r="A10" s="164">
        <v>4</v>
      </c>
      <c r="B10" s="165" t="s">
        <v>14</v>
      </c>
      <c r="C10" s="165" t="s">
        <v>15</v>
      </c>
      <c r="D10" s="165" t="s">
        <v>16</v>
      </c>
      <c r="E10" s="166">
        <v>27500</v>
      </c>
      <c r="F10" s="167">
        <v>806.85</v>
      </c>
      <c r="G10" s="168">
        <v>7.627768E-2</v>
      </c>
      <c r="H10" s="167"/>
      <c r="J10" s="75"/>
    </row>
    <row r="11" spans="1:17" x14ac:dyDescent="0.2">
      <c r="A11" s="164">
        <v>5</v>
      </c>
      <c r="B11" s="165" t="s">
        <v>17</v>
      </c>
      <c r="C11" s="165" t="s">
        <v>18</v>
      </c>
      <c r="D11" s="165" t="s">
        <v>19</v>
      </c>
      <c r="E11" s="166">
        <v>59850</v>
      </c>
      <c r="F11" s="167">
        <v>791.39655000000005</v>
      </c>
      <c r="G11" s="168">
        <v>7.4816750000000001E-2</v>
      </c>
      <c r="H11" s="167"/>
      <c r="J11" s="75"/>
    </row>
    <row r="12" spans="1:17" ht="15" x14ac:dyDescent="0.2">
      <c r="A12" s="164">
        <v>6</v>
      </c>
      <c r="B12" s="165" t="s">
        <v>700</v>
      </c>
      <c r="C12" s="165" t="s">
        <v>701</v>
      </c>
      <c r="D12" s="165" t="s">
        <v>80</v>
      </c>
      <c r="E12" s="166">
        <v>85800</v>
      </c>
      <c r="F12" s="167">
        <v>765.20730000000003</v>
      </c>
      <c r="G12" s="168">
        <v>7.2340879999999996E-2</v>
      </c>
      <c r="H12" s="167"/>
      <c r="J12" s="71"/>
    </row>
    <row r="13" spans="1:17" x14ac:dyDescent="0.2">
      <c r="A13" s="164">
        <v>7</v>
      </c>
      <c r="B13" s="165" t="s">
        <v>702</v>
      </c>
      <c r="C13" s="165" t="s">
        <v>703</v>
      </c>
      <c r="D13" s="165" t="s">
        <v>53</v>
      </c>
      <c r="E13" s="166">
        <v>252000</v>
      </c>
      <c r="F13" s="167">
        <v>504.37799999999999</v>
      </c>
      <c r="G13" s="168">
        <v>4.7682700000000001E-2</v>
      </c>
      <c r="H13" s="167"/>
      <c r="J13" s="75"/>
    </row>
    <row r="14" spans="1:17" ht="25.5" x14ac:dyDescent="0.2">
      <c r="A14" s="164">
        <v>8</v>
      </c>
      <c r="B14" s="165" t="s">
        <v>704</v>
      </c>
      <c r="C14" s="165" t="s">
        <v>705</v>
      </c>
      <c r="D14" s="165" t="s">
        <v>25</v>
      </c>
      <c r="E14" s="166">
        <v>15300</v>
      </c>
      <c r="F14" s="167">
        <v>387.36540000000002</v>
      </c>
      <c r="G14" s="168">
        <v>3.6620600000000003E-2</v>
      </c>
      <c r="H14" s="167"/>
      <c r="J14" s="75" t="s">
        <v>933</v>
      </c>
    </row>
    <row r="15" spans="1:17" ht="25.5" x14ac:dyDescent="0.2">
      <c r="A15" s="164">
        <v>9</v>
      </c>
      <c r="B15" s="165" t="s">
        <v>346</v>
      </c>
      <c r="C15" s="165" t="s">
        <v>347</v>
      </c>
      <c r="D15" s="165" t="s">
        <v>216</v>
      </c>
      <c r="E15" s="166">
        <v>19600</v>
      </c>
      <c r="F15" s="167">
        <v>294.41160000000002</v>
      </c>
      <c r="G15" s="168">
        <v>2.7832969999999999E-2</v>
      </c>
      <c r="H15" s="167"/>
      <c r="J15" s="75"/>
    </row>
    <row r="16" spans="1:17" x14ac:dyDescent="0.2">
      <c r="A16" s="164">
        <v>10</v>
      </c>
      <c r="B16" s="165" t="s">
        <v>706</v>
      </c>
      <c r="C16" s="165" t="s">
        <v>707</v>
      </c>
      <c r="D16" s="165" t="s">
        <v>19</v>
      </c>
      <c r="E16" s="166">
        <v>2160000</v>
      </c>
      <c r="F16" s="167">
        <v>285.12</v>
      </c>
      <c r="G16" s="168">
        <v>2.6954570000000001E-2</v>
      </c>
      <c r="H16" s="167"/>
      <c r="J16" s="75"/>
    </row>
    <row r="17" spans="1:10" x14ac:dyDescent="0.2">
      <c r="A17" s="164">
        <v>11</v>
      </c>
      <c r="B17" s="165" t="s">
        <v>708</v>
      </c>
      <c r="C17" s="165" t="s">
        <v>709</v>
      </c>
      <c r="D17" s="165" t="s">
        <v>406</v>
      </c>
      <c r="E17" s="166">
        <v>53750</v>
      </c>
      <c r="F17" s="167">
        <v>272.91562499999998</v>
      </c>
      <c r="G17" s="168">
        <v>2.5800790000000001E-2</v>
      </c>
      <c r="H17" s="167"/>
      <c r="J17" s="75"/>
    </row>
    <row r="18" spans="1:10" x14ac:dyDescent="0.2">
      <c r="A18" s="164">
        <v>12</v>
      </c>
      <c r="B18" s="165" t="s">
        <v>537</v>
      </c>
      <c r="C18" s="165" t="s">
        <v>538</v>
      </c>
      <c r="D18" s="165" t="s">
        <v>232</v>
      </c>
      <c r="E18" s="166">
        <v>14700</v>
      </c>
      <c r="F18" s="167">
        <v>200.89019999999999</v>
      </c>
      <c r="G18" s="168">
        <v>1.899168E-2</v>
      </c>
      <c r="H18" s="167"/>
      <c r="J18" s="75"/>
    </row>
    <row r="19" spans="1:10" x14ac:dyDescent="0.2">
      <c r="A19" s="164">
        <v>13</v>
      </c>
      <c r="B19" s="165" t="s">
        <v>11</v>
      </c>
      <c r="C19" s="165" t="s">
        <v>12</v>
      </c>
      <c r="D19" s="165" t="s">
        <v>13</v>
      </c>
      <c r="E19" s="166">
        <v>4500</v>
      </c>
      <c r="F19" s="167">
        <v>161.74350000000001</v>
      </c>
      <c r="G19" s="168">
        <v>1.529085E-2</v>
      </c>
      <c r="H19" s="167"/>
      <c r="J19" s="75"/>
    </row>
    <row r="20" spans="1:10" ht="25.5" x14ac:dyDescent="0.2">
      <c r="A20" s="164">
        <v>14</v>
      </c>
      <c r="B20" s="165" t="s">
        <v>356</v>
      </c>
      <c r="C20" s="165" t="s">
        <v>357</v>
      </c>
      <c r="D20" s="165" t="s">
        <v>216</v>
      </c>
      <c r="E20" s="166">
        <v>13200</v>
      </c>
      <c r="F20" s="167">
        <v>152.262</v>
      </c>
      <c r="G20" s="168">
        <v>1.4394489999999999E-2</v>
      </c>
      <c r="H20" s="167"/>
      <c r="J20" s="75"/>
    </row>
    <row r="21" spans="1:10" x14ac:dyDescent="0.2">
      <c r="A21" s="164">
        <v>15</v>
      </c>
      <c r="B21" s="165" t="s">
        <v>545</v>
      </c>
      <c r="C21" s="165" t="s">
        <v>546</v>
      </c>
      <c r="D21" s="165" t="s">
        <v>39</v>
      </c>
      <c r="E21" s="166">
        <v>9200</v>
      </c>
      <c r="F21" s="167">
        <v>149.4034</v>
      </c>
      <c r="G21" s="168">
        <v>1.412424E-2</v>
      </c>
      <c r="H21" s="167"/>
      <c r="J21" s="75"/>
    </row>
    <row r="22" spans="1:10" ht="15" x14ac:dyDescent="0.2">
      <c r="A22" s="164">
        <v>16</v>
      </c>
      <c r="B22" s="165" t="s">
        <v>54</v>
      </c>
      <c r="C22" s="165" t="s">
        <v>55</v>
      </c>
      <c r="D22" s="165" t="s">
        <v>39</v>
      </c>
      <c r="E22" s="166">
        <v>13500</v>
      </c>
      <c r="F22" s="167">
        <v>111.54375</v>
      </c>
      <c r="G22" s="168">
        <v>1.054508E-2</v>
      </c>
      <c r="H22" s="167"/>
      <c r="J22" s="71"/>
    </row>
    <row r="23" spans="1:10" ht="51" x14ac:dyDescent="0.2">
      <c r="A23" s="164">
        <v>17</v>
      </c>
      <c r="B23" s="165" t="s">
        <v>386</v>
      </c>
      <c r="C23" s="165" t="s">
        <v>387</v>
      </c>
      <c r="D23" s="165" t="s">
        <v>388</v>
      </c>
      <c r="E23" s="166">
        <v>25000</v>
      </c>
      <c r="F23" s="167">
        <v>48.162500000000001</v>
      </c>
      <c r="G23" s="168">
        <v>4.5531699999999996E-3</v>
      </c>
      <c r="H23" s="167"/>
      <c r="J23" s="75"/>
    </row>
    <row r="24" spans="1:10" x14ac:dyDescent="0.2">
      <c r="A24" s="164">
        <v>18</v>
      </c>
      <c r="B24" s="165" t="s">
        <v>362</v>
      </c>
      <c r="C24" s="165" t="s">
        <v>363</v>
      </c>
      <c r="D24" s="165" t="s">
        <v>364</v>
      </c>
      <c r="E24" s="166">
        <v>9600</v>
      </c>
      <c r="F24" s="167">
        <v>41.822400000000002</v>
      </c>
      <c r="G24" s="168">
        <v>3.9537900000000004E-3</v>
      </c>
      <c r="H24" s="167"/>
      <c r="J24" s="75"/>
    </row>
    <row r="25" spans="1:10" x14ac:dyDescent="0.2">
      <c r="A25" s="164">
        <v>19</v>
      </c>
      <c r="B25" s="165" t="s">
        <v>420</v>
      </c>
      <c r="C25" s="165" t="s">
        <v>421</v>
      </c>
      <c r="D25" s="165" t="s">
        <v>53</v>
      </c>
      <c r="E25" s="166">
        <v>16200</v>
      </c>
      <c r="F25" s="167">
        <v>37.486800000000002</v>
      </c>
      <c r="G25" s="168">
        <v>3.5439099999999999E-3</v>
      </c>
      <c r="H25" s="167"/>
      <c r="J25" s="75"/>
    </row>
    <row r="26" spans="1:10" x14ac:dyDescent="0.2">
      <c r="A26" s="164">
        <v>20</v>
      </c>
      <c r="B26" s="165" t="s">
        <v>339</v>
      </c>
      <c r="C26" s="165" t="s">
        <v>340</v>
      </c>
      <c r="D26" s="165" t="s">
        <v>232</v>
      </c>
      <c r="E26" s="166">
        <v>875</v>
      </c>
      <c r="F26" s="167">
        <v>33.430687499999998</v>
      </c>
      <c r="G26" s="168">
        <v>3.1604599999999999E-3</v>
      </c>
      <c r="H26" s="167"/>
      <c r="J26" s="75"/>
    </row>
    <row r="27" spans="1:10" x14ac:dyDescent="0.2">
      <c r="A27" s="164">
        <v>21</v>
      </c>
      <c r="B27" s="165" t="s">
        <v>376</v>
      </c>
      <c r="C27" s="165" t="s">
        <v>377</v>
      </c>
      <c r="D27" s="165" t="s">
        <v>364</v>
      </c>
      <c r="E27" s="166">
        <v>600</v>
      </c>
      <c r="F27" s="167">
        <v>13.3827</v>
      </c>
      <c r="G27" s="168">
        <v>1.2651699999999999E-3</v>
      </c>
      <c r="H27" s="167"/>
      <c r="J27" s="75"/>
    </row>
    <row r="28" spans="1:10" x14ac:dyDescent="0.2">
      <c r="A28" s="162"/>
      <c r="B28" s="162"/>
      <c r="C28" s="163" t="s">
        <v>152</v>
      </c>
      <c r="D28" s="162"/>
      <c r="E28" s="162" t="s">
        <v>153</v>
      </c>
      <c r="F28" s="169">
        <v>7799.7922124999986</v>
      </c>
      <c r="G28" s="170">
        <v>0.73737379999999997</v>
      </c>
      <c r="H28" s="167"/>
      <c r="J28" s="75"/>
    </row>
    <row r="29" spans="1:10" x14ac:dyDescent="0.2">
      <c r="A29" s="162"/>
      <c r="B29" s="162"/>
      <c r="C29" s="171"/>
      <c r="D29" s="162"/>
      <c r="E29" s="162"/>
      <c r="F29" s="172"/>
      <c r="G29" s="172"/>
      <c r="H29" s="167"/>
      <c r="J29" s="75"/>
    </row>
    <row r="30" spans="1:10" x14ac:dyDescent="0.2">
      <c r="A30" s="162"/>
      <c r="B30" s="162"/>
      <c r="C30" s="163" t="s">
        <v>154</v>
      </c>
      <c r="D30" s="162"/>
      <c r="E30" s="162"/>
      <c r="F30" s="162"/>
      <c r="G30" s="162"/>
      <c r="H30" s="167"/>
      <c r="J30" s="75"/>
    </row>
    <row r="31" spans="1:10" x14ac:dyDescent="0.2">
      <c r="A31" s="162"/>
      <c r="B31" s="162"/>
      <c r="C31" s="163" t="s">
        <v>152</v>
      </c>
      <c r="D31" s="162"/>
      <c r="E31" s="162" t="s">
        <v>153</v>
      </c>
      <c r="F31" s="173" t="s">
        <v>155</v>
      </c>
      <c r="G31" s="170">
        <v>0</v>
      </c>
      <c r="H31" s="167"/>
      <c r="J31" s="75"/>
    </row>
    <row r="32" spans="1:10" x14ac:dyDescent="0.2">
      <c r="A32" s="162"/>
      <c r="B32" s="162"/>
      <c r="C32" s="171"/>
      <c r="D32" s="162"/>
      <c r="E32" s="162"/>
      <c r="F32" s="172"/>
      <c r="G32" s="172"/>
      <c r="H32" s="167"/>
      <c r="J32" s="75"/>
    </row>
    <row r="33" spans="1:10" x14ac:dyDescent="0.2">
      <c r="A33" s="162"/>
      <c r="B33" s="162"/>
      <c r="C33" s="163" t="s">
        <v>156</v>
      </c>
      <c r="D33" s="162"/>
      <c r="E33" s="162"/>
      <c r="F33" s="162"/>
      <c r="G33" s="162"/>
      <c r="H33" s="167"/>
      <c r="J33" s="75"/>
    </row>
    <row r="34" spans="1:10" x14ac:dyDescent="0.2">
      <c r="A34" s="162"/>
      <c r="B34" s="162"/>
      <c r="C34" s="163" t="s">
        <v>152</v>
      </c>
      <c r="D34" s="162"/>
      <c r="E34" s="162" t="s">
        <v>153</v>
      </c>
      <c r="F34" s="173" t="s">
        <v>155</v>
      </c>
      <c r="G34" s="170">
        <v>0</v>
      </c>
      <c r="H34" s="167"/>
      <c r="J34" s="75"/>
    </row>
    <row r="35" spans="1:10" x14ac:dyDescent="0.2">
      <c r="A35" s="162"/>
      <c r="B35" s="162"/>
      <c r="C35" s="171"/>
      <c r="D35" s="162"/>
      <c r="E35" s="162"/>
      <c r="F35" s="172"/>
      <c r="G35" s="172"/>
      <c r="H35" s="167"/>
      <c r="J35" s="75"/>
    </row>
    <row r="36" spans="1:10" x14ac:dyDescent="0.2">
      <c r="A36" s="162"/>
      <c r="B36" s="162"/>
      <c r="C36" s="163" t="s">
        <v>157</v>
      </c>
      <c r="D36" s="162"/>
      <c r="E36" s="162"/>
      <c r="F36" s="162"/>
      <c r="G36" s="162"/>
      <c r="H36" s="167"/>
      <c r="J36" s="75"/>
    </row>
    <row r="37" spans="1:10" x14ac:dyDescent="0.2">
      <c r="A37" s="162"/>
      <c r="B37" s="162"/>
      <c r="C37" s="163" t="s">
        <v>152</v>
      </c>
      <c r="D37" s="162"/>
      <c r="E37" s="162" t="s">
        <v>153</v>
      </c>
      <c r="F37" s="173" t="s">
        <v>155</v>
      </c>
      <c r="G37" s="170">
        <v>0</v>
      </c>
      <c r="H37" s="167"/>
      <c r="J37" s="75"/>
    </row>
    <row r="38" spans="1:10" x14ac:dyDescent="0.2">
      <c r="A38" s="162"/>
      <c r="B38" s="162"/>
      <c r="C38" s="171"/>
      <c r="D38" s="162"/>
      <c r="E38" s="162"/>
      <c r="F38" s="172"/>
      <c r="G38" s="172"/>
      <c r="H38" s="167"/>
      <c r="J38" s="75"/>
    </row>
    <row r="39" spans="1:10" x14ac:dyDescent="0.2">
      <c r="A39" s="162"/>
      <c r="B39" s="162"/>
      <c r="C39" s="163" t="s">
        <v>158</v>
      </c>
      <c r="D39" s="162"/>
      <c r="E39" s="162"/>
      <c r="F39" s="172"/>
      <c r="G39" s="172"/>
      <c r="H39" s="167"/>
      <c r="J39" s="75"/>
    </row>
    <row r="40" spans="1:10" x14ac:dyDescent="0.2">
      <c r="A40" s="162"/>
      <c r="B40" s="162"/>
      <c r="C40" s="163" t="s">
        <v>152</v>
      </c>
      <c r="D40" s="162"/>
      <c r="E40" s="162" t="s">
        <v>153</v>
      </c>
      <c r="F40" s="173" t="s">
        <v>155</v>
      </c>
      <c r="G40" s="170">
        <v>0</v>
      </c>
      <c r="H40" s="167"/>
      <c r="J40" s="75"/>
    </row>
    <row r="41" spans="1:10" x14ac:dyDescent="0.2">
      <c r="A41" s="162"/>
      <c r="B41" s="162"/>
      <c r="C41" s="171"/>
      <c r="D41" s="162"/>
      <c r="E41" s="162"/>
      <c r="F41" s="172"/>
      <c r="G41" s="172"/>
      <c r="H41" s="167"/>
      <c r="J41" s="75"/>
    </row>
    <row r="42" spans="1:10" x14ac:dyDescent="0.2">
      <c r="A42" s="162"/>
      <c r="B42" s="162"/>
      <c r="C42" s="163" t="s">
        <v>159</v>
      </c>
      <c r="D42" s="162"/>
      <c r="E42" s="162"/>
      <c r="F42" s="172"/>
      <c r="G42" s="172"/>
      <c r="H42" s="167"/>
      <c r="J42" s="75"/>
    </row>
    <row r="43" spans="1:10" x14ac:dyDescent="0.2">
      <c r="A43" s="164">
        <v>1</v>
      </c>
      <c r="B43" s="165"/>
      <c r="C43" s="165" t="s">
        <v>1004</v>
      </c>
      <c r="D43" s="165" t="s">
        <v>636</v>
      </c>
      <c r="E43" s="166">
        <v>-600</v>
      </c>
      <c r="F43" s="167">
        <v>-13.477499999999999</v>
      </c>
      <c r="G43" s="231">
        <v>-1.2741307484842937E-3</v>
      </c>
      <c r="H43" s="167"/>
      <c r="J43" s="75"/>
    </row>
    <row r="44" spans="1:10" x14ac:dyDescent="0.2">
      <c r="A44" s="164">
        <v>2</v>
      </c>
      <c r="B44" s="165"/>
      <c r="C44" s="165" t="s">
        <v>1005</v>
      </c>
      <c r="D44" s="165" t="s">
        <v>636</v>
      </c>
      <c r="E44" s="166">
        <v>-875</v>
      </c>
      <c r="F44" s="167">
        <v>-33.451687499999998</v>
      </c>
      <c r="G44" s="231">
        <v>-3.1624428590196767E-3</v>
      </c>
      <c r="H44" s="167"/>
      <c r="J44" s="75"/>
    </row>
    <row r="45" spans="1:10" x14ac:dyDescent="0.2">
      <c r="A45" s="164">
        <v>3</v>
      </c>
      <c r="B45" s="165"/>
      <c r="C45" s="165" t="s">
        <v>1006</v>
      </c>
      <c r="D45" s="165" t="s">
        <v>636</v>
      </c>
      <c r="E45" s="166">
        <v>-16200</v>
      </c>
      <c r="F45" s="167">
        <v>-37.705500000000001</v>
      </c>
      <c r="G45" s="231">
        <v>-3.564588160784607E-3</v>
      </c>
      <c r="H45" s="167"/>
      <c r="J45" s="75"/>
    </row>
    <row r="46" spans="1:10" x14ac:dyDescent="0.2">
      <c r="A46" s="164">
        <v>4</v>
      </c>
      <c r="B46" s="165"/>
      <c r="C46" s="165" t="s">
        <v>1007</v>
      </c>
      <c r="D46" s="165" t="s">
        <v>636</v>
      </c>
      <c r="E46" s="166">
        <v>-9600</v>
      </c>
      <c r="F46" s="167">
        <v>-41.990400000000001</v>
      </c>
      <c r="G46" s="231">
        <v>-3.9696724007534699E-3</v>
      </c>
      <c r="H46" s="167"/>
      <c r="J46" s="75"/>
    </row>
    <row r="47" spans="1:10" x14ac:dyDescent="0.2">
      <c r="A47" s="164">
        <v>5</v>
      </c>
      <c r="B47" s="165"/>
      <c r="C47" s="165" t="s">
        <v>1008</v>
      </c>
      <c r="D47" s="165" t="s">
        <v>636</v>
      </c>
      <c r="E47" s="166">
        <v>-25000</v>
      </c>
      <c r="F47" s="167">
        <v>-48.537500000000001</v>
      </c>
      <c r="G47" s="231">
        <v>-4.5886196404790512E-3</v>
      </c>
      <c r="H47" s="167"/>
      <c r="J47" s="75"/>
    </row>
    <row r="48" spans="1:10" x14ac:dyDescent="0.2">
      <c r="A48" s="164">
        <v>6</v>
      </c>
      <c r="B48" s="165"/>
      <c r="C48" s="165" t="s">
        <v>1009</v>
      </c>
      <c r="D48" s="165" t="s">
        <v>636</v>
      </c>
      <c r="E48" s="166">
        <v>-13500</v>
      </c>
      <c r="F48" s="167">
        <v>-111.3075</v>
      </c>
      <c r="G48" s="231">
        <v>-1.0522745931138234E-2</v>
      </c>
      <c r="H48" s="167"/>
      <c r="J48" s="75"/>
    </row>
    <row r="49" spans="1:10" x14ac:dyDescent="0.2">
      <c r="A49" s="164">
        <v>7</v>
      </c>
      <c r="B49" s="165"/>
      <c r="C49" s="165" t="s">
        <v>1010</v>
      </c>
      <c r="D49" s="165" t="s">
        <v>636</v>
      </c>
      <c r="E49" s="166">
        <v>-9200</v>
      </c>
      <c r="F49" s="167">
        <v>-150.5488</v>
      </c>
      <c r="G49" s="231">
        <v>-1.423252496586253E-2</v>
      </c>
      <c r="H49" s="167"/>
      <c r="J49" s="75"/>
    </row>
    <row r="50" spans="1:10" x14ac:dyDescent="0.2">
      <c r="A50" s="164">
        <v>8</v>
      </c>
      <c r="B50" s="165"/>
      <c r="C50" s="165" t="s">
        <v>1011</v>
      </c>
      <c r="D50" s="165" t="s">
        <v>636</v>
      </c>
      <c r="E50" s="166">
        <v>-13200</v>
      </c>
      <c r="F50" s="167">
        <v>-153.17939999999999</v>
      </c>
      <c r="G50" s="231">
        <v>-1.4481215624142091E-2</v>
      </c>
      <c r="H50" s="167"/>
      <c r="J50" s="75"/>
    </row>
    <row r="51" spans="1:10" x14ac:dyDescent="0.2">
      <c r="A51" s="164">
        <v>9</v>
      </c>
      <c r="B51" s="165"/>
      <c r="C51" s="165" t="s">
        <v>1012</v>
      </c>
      <c r="D51" s="165" t="s">
        <v>636</v>
      </c>
      <c r="E51" s="166">
        <v>-4500</v>
      </c>
      <c r="F51" s="167">
        <v>-162.78975</v>
      </c>
      <c r="G51" s="231">
        <v>-1.5389755222635583E-2</v>
      </c>
      <c r="H51" s="167"/>
      <c r="J51" s="75"/>
    </row>
    <row r="52" spans="1:10" x14ac:dyDescent="0.2">
      <c r="A52" s="164">
        <v>10</v>
      </c>
      <c r="B52" s="165"/>
      <c r="C52" s="165" t="s">
        <v>1013</v>
      </c>
      <c r="D52" s="165" t="s">
        <v>636</v>
      </c>
      <c r="E52" s="166">
        <v>-14700</v>
      </c>
      <c r="F52" s="167">
        <v>-199.75094999999999</v>
      </c>
      <c r="G52" s="231">
        <v>-1.8883979034238451E-2</v>
      </c>
      <c r="H52" s="167"/>
      <c r="J52" s="75"/>
    </row>
    <row r="53" spans="1:10" x14ac:dyDescent="0.2">
      <c r="A53" s="164">
        <v>11</v>
      </c>
      <c r="B53" s="165"/>
      <c r="C53" s="165" t="s">
        <v>1014</v>
      </c>
      <c r="D53" s="165" t="s">
        <v>636</v>
      </c>
      <c r="E53" s="166">
        <v>-53750</v>
      </c>
      <c r="F53" s="167">
        <v>-274.85062499999998</v>
      </c>
      <c r="G53" s="231">
        <v>-2.5983723431840175E-2</v>
      </c>
      <c r="H53" s="167"/>
      <c r="J53" s="75"/>
    </row>
    <row r="54" spans="1:10" x14ac:dyDescent="0.2">
      <c r="A54" s="164">
        <v>12</v>
      </c>
      <c r="B54" s="165"/>
      <c r="C54" s="165" t="s">
        <v>1015</v>
      </c>
      <c r="D54" s="165" t="s">
        <v>636</v>
      </c>
      <c r="E54" s="166">
        <v>-2160000</v>
      </c>
      <c r="F54" s="167">
        <v>-288.36</v>
      </c>
      <c r="G54" s="231">
        <v>-2.7260867566902689E-2</v>
      </c>
      <c r="H54" s="167"/>
      <c r="J54" s="75"/>
    </row>
    <row r="55" spans="1:10" ht="25.5" x14ac:dyDescent="0.2">
      <c r="A55" s="164">
        <v>13</v>
      </c>
      <c r="B55" s="165"/>
      <c r="C55" s="165" t="s">
        <v>1016</v>
      </c>
      <c r="D55" s="165" t="s">
        <v>636</v>
      </c>
      <c r="E55" s="166">
        <v>-19600</v>
      </c>
      <c r="F55" s="167">
        <v>-296.55779999999999</v>
      </c>
      <c r="G55" s="231">
        <v>-2.8035868052892265E-2</v>
      </c>
      <c r="H55" s="167"/>
      <c r="J55" s="75"/>
    </row>
    <row r="56" spans="1:10" x14ac:dyDescent="0.2">
      <c r="A56" s="164">
        <v>14</v>
      </c>
      <c r="B56" s="165"/>
      <c r="C56" s="165" t="s">
        <v>1017</v>
      </c>
      <c r="D56" s="165" t="s">
        <v>636</v>
      </c>
      <c r="E56" s="166">
        <v>-15300</v>
      </c>
      <c r="F56" s="167">
        <v>-389.07900000000001</v>
      </c>
      <c r="G56" s="231">
        <v>-3.6782601928363613E-2</v>
      </c>
      <c r="H56" s="167"/>
      <c r="J56" s="75"/>
    </row>
    <row r="57" spans="1:10" x14ac:dyDescent="0.2">
      <c r="A57" s="164">
        <v>15</v>
      </c>
      <c r="B57" s="165"/>
      <c r="C57" s="165" t="s">
        <v>1018</v>
      </c>
      <c r="D57" s="165" t="s">
        <v>636</v>
      </c>
      <c r="E57" s="166">
        <v>-252000</v>
      </c>
      <c r="F57" s="167">
        <v>-507.27600000000001</v>
      </c>
      <c r="G57" s="231">
        <v>-4.7956664779678623E-2</v>
      </c>
      <c r="H57" s="167"/>
      <c r="J57" s="75"/>
    </row>
    <row r="58" spans="1:10" x14ac:dyDescent="0.2">
      <c r="A58" s="164">
        <v>16</v>
      </c>
      <c r="B58" s="165"/>
      <c r="C58" s="165" t="s">
        <v>1019</v>
      </c>
      <c r="D58" s="165" t="s">
        <v>636</v>
      </c>
      <c r="E58" s="166">
        <v>-85800</v>
      </c>
      <c r="F58" s="167">
        <v>-769.197</v>
      </c>
      <c r="G58" s="231">
        <v>-7.2718052260573054E-2</v>
      </c>
      <c r="H58" s="167"/>
      <c r="J58" s="75"/>
    </row>
    <row r="59" spans="1:10" x14ac:dyDescent="0.2">
      <c r="A59" s="164">
        <v>17</v>
      </c>
      <c r="B59" s="165"/>
      <c r="C59" s="165" t="s">
        <v>1020</v>
      </c>
      <c r="D59" s="165" t="s">
        <v>636</v>
      </c>
      <c r="E59" s="166">
        <v>-59850</v>
      </c>
      <c r="F59" s="167">
        <v>-797.59102499999995</v>
      </c>
      <c r="G59" s="231">
        <v>-7.540235575348582E-2</v>
      </c>
      <c r="H59" s="167"/>
      <c r="J59" s="75"/>
    </row>
    <row r="60" spans="1:10" x14ac:dyDescent="0.2">
      <c r="A60" s="164">
        <v>18</v>
      </c>
      <c r="B60" s="165"/>
      <c r="C60" s="165" t="s">
        <v>1021</v>
      </c>
      <c r="D60" s="165" t="s">
        <v>636</v>
      </c>
      <c r="E60" s="166">
        <v>-27500</v>
      </c>
      <c r="F60" s="167">
        <v>-812.30875000000003</v>
      </c>
      <c r="G60" s="231">
        <v>-7.6793734419428022E-2</v>
      </c>
      <c r="H60" s="167"/>
      <c r="J60" s="75"/>
    </row>
    <row r="61" spans="1:10" x14ac:dyDescent="0.2">
      <c r="A61" s="164">
        <v>19</v>
      </c>
      <c r="B61" s="165"/>
      <c r="C61" s="165" t="s">
        <v>1022</v>
      </c>
      <c r="D61" s="165" t="s">
        <v>636</v>
      </c>
      <c r="E61" s="166">
        <v>-55000</v>
      </c>
      <c r="F61" s="167">
        <v>-832.26</v>
      </c>
      <c r="G61" s="231">
        <v>-7.8679878073347309E-2</v>
      </c>
      <c r="H61" s="167"/>
      <c r="J61" s="75"/>
    </row>
    <row r="62" spans="1:10" x14ac:dyDescent="0.2">
      <c r="A62" s="164">
        <v>20</v>
      </c>
      <c r="B62" s="165"/>
      <c r="C62" s="165" t="s">
        <v>1023</v>
      </c>
      <c r="D62" s="165" t="s">
        <v>636</v>
      </c>
      <c r="E62" s="166">
        <v>-144000</v>
      </c>
      <c r="F62" s="167">
        <v>-896.4</v>
      </c>
      <c r="G62" s="231">
        <v>-8.4743520900858543E-2</v>
      </c>
      <c r="H62" s="167"/>
      <c r="J62" s="75"/>
    </row>
    <row r="63" spans="1:10" x14ac:dyDescent="0.2">
      <c r="A63" s="164">
        <v>21</v>
      </c>
      <c r="B63" s="165"/>
      <c r="C63" s="165" t="s">
        <v>1024</v>
      </c>
      <c r="D63" s="165" t="s">
        <v>636</v>
      </c>
      <c r="E63" s="166">
        <v>-285600</v>
      </c>
      <c r="F63" s="167">
        <v>-1019.3064000000001</v>
      </c>
      <c r="G63" s="231">
        <v>-9.6362799211042932E-2</v>
      </c>
      <c r="H63" s="167"/>
      <c r="J63" s="75"/>
    </row>
    <row r="64" spans="1:10" x14ac:dyDescent="0.2">
      <c r="A64" s="162"/>
      <c r="B64" s="162"/>
      <c r="C64" s="163" t="s">
        <v>152</v>
      </c>
      <c r="D64" s="162"/>
      <c r="E64" s="162" t="s">
        <v>153</v>
      </c>
      <c r="F64" s="169">
        <v>-7835.9255874999999</v>
      </c>
      <c r="G64" s="170">
        <v>-0.74078975999999996</v>
      </c>
      <c r="H64" s="167"/>
      <c r="J64" s="75"/>
    </row>
    <row r="65" spans="1:10" x14ac:dyDescent="0.2">
      <c r="A65" s="162"/>
      <c r="B65" s="162"/>
      <c r="C65" s="171"/>
      <c r="D65" s="162"/>
      <c r="E65" s="162"/>
      <c r="F65" s="172"/>
      <c r="G65" s="172"/>
      <c r="H65" s="167"/>
      <c r="J65" s="75"/>
    </row>
    <row r="66" spans="1:10" x14ac:dyDescent="0.2">
      <c r="A66" s="162"/>
      <c r="B66" s="162"/>
      <c r="C66" s="163" t="s">
        <v>160</v>
      </c>
      <c r="D66" s="162"/>
      <c r="E66" s="162"/>
      <c r="F66" s="169">
        <v>7799.7922124999986</v>
      </c>
      <c r="G66" s="170">
        <v>0.73737379999999997</v>
      </c>
      <c r="H66" s="167"/>
      <c r="J66" s="75"/>
    </row>
    <row r="67" spans="1:10" x14ac:dyDescent="0.2">
      <c r="A67" s="162"/>
      <c r="B67" s="162"/>
      <c r="C67" s="171"/>
      <c r="D67" s="162"/>
      <c r="E67" s="162"/>
      <c r="F67" s="172"/>
      <c r="G67" s="172"/>
      <c r="H67" s="167"/>
      <c r="J67" s="75"/>
    </row>
    <row r="68" spans="1:10" x14ac:dyDescent="0.2">
      <c r="A68" s="162"/>
      <c r="B68" s="162"/>
      <c r="C68" s="163" t="s">
        <v>161</v>
      </c>
      <c r="D68" s="162"/>
      <c r="E68" s="162"/>
      <c r="F68" s="172"/>
      <c r="G68" s="172"/>
      <c r="H68" s="167"/>
      <c r="J68" s="75"/>
    </row>
    <row r="69" spans="1:10" x14ac:dyDescent="0.2">
      <c r="A69" s="162"/>
      <c r="B69" s="162"/>
      <c r="C69" s="163" t="s">
        <v>10</v>
      </c>
      <c r="D69" s="162"/>
      <c r="E69" s="162"/>
      <c r="F69" s="172"/>
      <c r="G69" s="172"/>
      <c r="H69" s="167"/>
      <c r="J69" s="75"/>
    </row>
    <row r="70" spans="1:10" x14ac:dyDescent="0.2">
      <c r="A70" s="162"/>
      <c r="B70" s="162"/>
      <c r="C70" s="163" t="s">
        <v>152</v>
      </c>
      <c r="D70" s="162"/>
      <c r="E70" s="162" t="s">
        <v>153</v>
      </c>
      <c r="F70" s="173" t="s">
        <v>155</v>
      </c>
      <c r="G70" s="170">
        <v>0</v>
      </c>
      <c r="H70" s="167"/>
      <c r="J70" s="75"/>
    </row>
    <row r="71" spans="1:10" x14ac:dyDescent="0.2">
      <c r="A71" s="162"/>
      <c r="B71" s="162"/>
      <c r="C71" s="171"/>
      <c r="D71" s="162"/>
      <c r="E71" s="162"/>
      <c r="F71" s="172"/>
      <c r="G71" s="172"/>
      <c r="H71" s="167"/>
      <c r="J71" s="75"/>
    </row>
    <row r="72" spans="1:10" x14ac:dyDescent="0.2">
      <c r="A72" s="162"/>
      <c r="B72" s="162"/>
      <c r="C72" s="163" t="s">
        <v>162</v>
      </c>
      <c r="D72" s="162"/>
      <c r="E72" s="162"/>
      <c r="F72" s="162"/>
      <c r="G72" s="162"/>
      <c r="H72" s="167"/>
      <c r="J72" s="75"/>
    </row>
    <row r="73" spans="1:10" x14ac:dyDescent="0.2">
      <c r="A73" s="162"/>
      <c r="B73" s="162"/>
      <c r="C73" s="163" t="s">
        <v>152</v>
      </c>
      <c r="D73" s="162"/>
      <c r="E73" s="162" t="s">
        <v>153</v>
      </c>
      <c r="F73" s="173" t="s">
        <v>155</v>
      </c>
      <c r="G73" s="170">
        <v>0</v>
      </c>
      <c r="H73" s="167"/>
      <c r="J73" s="75"/>
    </row>
    <row r="74" spans="1:10" x14ac:dyDescent="0.2">
      <c r="A74" s="162"/>
      <c r="B74" s="162"/>
      <c r="C74" s="171"/>
      <c r="D74" s="162"/>
      <c r="E74" s="162"/>
      <c r="F74" s="172"/>
      <c r="G74" s="172"/>
      <c r="H74" s="167"/>
      <c r="J74" s="75"/>
    </row>
    <row r="75" spans="1:10" x14ac:dyDescent="0.2">
      <c r="A75" s="162"/>
      <c r="B75" s="162"/>
      <c r="C75" s="163" t="s">
        <v>163</v>
      </c>
      <c r="D75" s="162"/>
      <c r="E75" s="162"/>
      <c r="F75" s="162"/>
      <c r="G75" s="162"/>
      <c r="H75" s="167"/>
      <c r="J75" s="75"/>
    </row>
    <row r="76" spans="1:10" ht="25.5" x14ac:dyDescent="0.2">
      <c r="A76" s="164">
        <v>1</v>
      </c>
      <c r="B76" s="165" t="s">
        <v>684</v>
      </c>
      <c r="C76" s="200" t="s">
        <v>1074</v>
      </c>
      <c r="D76" s="165" t="s">
        <v>441</v>
      </c>
      <c r="E76" s="166">
        <v>500000</v>
      </c>
      <c r="F76" s="167">
        <v>502.57600000000002</v>
      </c>
      <c r="G76" s="168">
        <v>4.751234E-2</v>
      </c>
      <c r="H76" s="167">
        <v>7.3181000000000003</v>
      </c>
      <c r="J76" s="75"/>
    </row>
    <row r="77" spans="1:10" x14ac:dyDescent="0.2">
      <c r="A77" s="164">
        <v>2</v>
      </c>
      <c r="B77" s="165" t="s">
        <v>710</v>
      </c>
      <c r="C77" s="200" t="s">
        <v>1075</v>
      </c>
      <c r="D77" s="165" t="s">
        <v>441</v>
      </c>
      <c r="E77" s="166">
        <v>500000</v>
      </c>
      <c r="F77" s="167">
        <v>502.05399999999997</v>
      </c>
      <c r="G77" s="168">
        <v>4.7462989999999997E-2</v>
      </c>
      <c r="H77" s="167">
        <v>7.2750000000000004</v>
      </c>
      <c r="J77" s="75"/>
    </row>
    <row r="78" spans="1:10" x14ac:dyDescent="0.2">
      <c r="A78" s="162"/>
      <c r="B78" s="162"/>
      <c r="C78" s="163" t="s">
        <v>152</v>
      </c>
      <c r="D78" s="162"/>
      <c r="E78" s="162" t="s">
        <v>153</v>
      </c>
      <c r="F78" s="169">
        <v>1004.63</v>
      </c>
      <c r="G78" s="170">
        <v>9.4975329999999997E-2</v>
      </c>
      <c r="H78" s="167"/>
      <c r="J78" s="75"/>
    </row>
    <row r="79" spans="1:10" x14ac:dyDescent="0.2">
      <c r="A79" s="162"/>
      <c r="B79" s="162"/>
      <c r="C79" s="171"/>
      <c r="D79" s="162"/>
      <c r="E79" s="162"/>
      <c r="F79" s="172"/>
      <c r="G79" s="172"/>
      <c r="H79" s="167"/>
      <c r="J79" s="75"/>
    </row>
    <row r="80" spans="1:10" x14ac:dyDescent="0.2">
      <c r="A80" s="162"/>
      <c r="B80" s="162"/>
      <c r="C80" s="163" t="s">
        <v>164</v>
      </c>
      <c r="D80" s="162"/>
      <c r="E80" s="162"/>
      <c r="F80" s="172"/>
      <c r="G80" s="172"/>
      <c r="H80" s="167"/>
      <c r="J80" s="75"/>
    </row>
    <row r="81" spans="1:10" x14ac:dyDescent="0.2">
      <c r="A81" s="162"/>
      <c r="B81" s="162"/>
      <c r="C81" s="163" t="s">
        <v>152</v>
      </c>
      <c r="D81" s="162"/>
      <c r="E81" s="162" t="s">
        <v>153</v>
      </c>
      <c r="F81" s="173" t="s">
        <v>155</v>
      </c>
      <c r="G81" s="170">
        <v>0</v>
      </c>
      <c r="H81" s="167"/>
      <c r="J81" s="75"/>
    </row>
    <row r="82" spans="1:10" x14ac:dyDescent="0.2">
      <c r="A82" s="162"/>
      <c r="B82" s="162"/>
      <c r="C82" s="171"/>
      <c r="D82" s="162"/>
      <c r="E82" s="162"/>
      <c r="F82" s="172"/>
      <c r="G82" s="172"/>
      <c r="H82" s="167"/>
      <c r="J82" s="75"/>
    </row>
    <row r="83" spans="1:10" x14ac:dyDescent="0.2">
      <c r="A83" s="162"/>
      <c r="B83" s="162"/>
      <c r="C83" s="163" t="s">
        <v>165</v>
      </c>
      <c r="D83" s="162"/>
      <c r="E83" s="162"/>
      <c r="F83" s="169">
        <v>1004.63</v>
      </c>
      <c r="G83" s="170">
        <v>9.4975329999999997E-2</v>
      </c>
      <c r="H83" s="167"/>
      <c r="J83" s="75"/>
    </row>
    <row r="84" spans="1:10" x14ac:dyDescent="0.2">
      <c r="A84" s="162"/>
      <c r="B84" s="162"/>
      <c r="C84" s="171"/>
      <c r="D84" s="162"/>
      <c r="E84" s="162"/>
      <c r="F84" s="172"/>
      <c r="G84" s="172"/>
      <c r="H84" s="167"/>
      <c r="J84" s="75"/>
    </row>
    <row r="85" spans="1:10" x14ac:dyDescent="0.2">
      <c r="A85" s="162"/>
      <c r="B85" s="162"/>
      <c r="C85" s="163" t="s">
        <v>166</v>
      </c>
      <c r="D85" s="162"/>
      <c r="E85" s="162"/>
      <c r="F85" s="172"/>
      <c r="G85" s="172"/>
      <c r="H85" s="167"/>
      <c r="J85" s="75"/>
    </row>
    <row r="86" spans="1:10" x14ac:dyDescent="0.2">
      <c r="A86" s="162"/>
      <c r="B86" s="162"/>
      <c r="C86" s="163" t="s">
        <v>167</v>
      </c>
      <c r="D86" s="162"/>
      <c r="E86" s="162"/>
      <c r="F86" s="172"/>
      <c r="G86" s="172"/>
      <c r="H86" s="167"/>
      <c r="J86" s="75"/>
    </row>
    <row r="87" spans="1:10" x14ac:dyDescent="0.2">
      <c r="A87" s="162"/>
      <c r="B87" s="162"/>
      <c r="C87" s="163" t="s">
        <v>152</v>
      </c>
      <c r="D87" s="162"/>
      <c r="E87" s="162" t="s">
        <v>153</v>
      </c>
      <c r="F87" s="173" t="s">
        <v>155</v>
      </c>
      <c r="G87" s="170">
        <v>0</v>
      </c>
      <c r="H87" s="167"/>
      <c r="J87" s="75"/>
    </row>
    <row r="88" spans="1:10" x14ac:dyDescent="0.2">
      <c r="A88" s="162"/>
      <c r="B88" s="162"/>
      <c r="C88" s="171"/>
      <c r="D88" s="162"/>
      <c r="E88" s="162"/>
      <c r="F88" s="172"/>
      <c r="G88" s="172"/>
      <c r="H88" s="167"/>
      <c r="J88" s="75"/>
    </row>
    <row r="89" spans="1:10" x14ac:dyDescent="0.2">
      <c r="A89" s="162"/>
      <c r="B89" s="162"/>
      <c r="C89" s="163" t="s">
        <v>168</v>
      </c>
      <c r="D89" s="162"/>
      <c r="E89" s="162"/>
      <c r="F89" s="172"/>
      <c r="G89" s="172"/>
      <c r="H89" s="167"/>
      <c r="J89" s="75"/>
    </row>
    <row r="90" spans="1:10" x14ac:dyDescent="0.2">
      <c r="A90" s="162"/>
      <c r="B90" s="162"/>
      <c r="C90" s="163" t="s">
        <v>152</v>
      </c>
      <c r="D90" s="162"/>
      <c r="E90" s="162" t="s">
        <v>153</v>
      </c>
      <c r="F90" s="173" t="s">
        <v>155</v>
      </c>
      <c r="G90" s="170">
        <v>0</v>
      </c>
      <c r="H90" s="167"/>
      <c r="J90" s="75"/>
    </row>
    <row r="91" spans="1:10" x14ac:dyDescent="0.2">
      <c r="A91" s="162"/>
      <c r="B91" s="162"/>
      <c r="C91" s="171"/>
      <c r="D91" s="162"/>
      <c r="E91" s="162"/>
      <c r="F91" s="172"/>
      <c r="G91" s="172"/>
      <c r="H91" s="167"/>
      <c r="J91" s="75"/>
    </row>
    <row r="92" spans="1:10" x14ac:dyDescent="0.2">
      <c r="A92" s="162"/>
      <c r="B92" s="162"/>
      <c r="C92" s="163" t="s">
        <v>169</v>
      </c>
      <c r="D92" s="162"/>
      <c r="E92" s="162"/>
      <c r="F92" s="172"/>
      <c r="G92" s="172"/>
      <c r="H92" s="167"/>
      <c r="J92" s="75"/>
    </row>
    <row r="93" spans="1:10" x14ac:dyDescent="0.2">
      <c r="A93" s="164">
        <v>1</v>
      </c>
      <c r="B93" s="165" t="s">
        <v>711</v>
      </c>
      <c r="C93" s="200" t="s">
        <v>1076</v>
      </c>
      <c r="D93" s="165" t="s">
        <v>441</v>
      </c>
      <c r="E93" s="166">
        <v>500000</v>
      </c>
      <c r="F93" s="167">
        <v>486.81</v>
      </c>
      <c r="G93" s="168">
        <v>4.6021859999999998E-2</v>
      </c>
      <c r="H93" s="167">
        <v>7.0138999999999996</v>
      </c>
      <c r="J93" s="75"/>
    </row>
    <row r="94" spans="1:10" x14ac:dyDescent="0.2">
      <c r="A94" s="164">
        <v>2</v>
      </c>
      <c r="B94" s="165" t="s">
        <v>712</v>
      </c>
      <c r="C94" s="200" t="s">
        <v>1077</v>
      </c>
      <c r="D94" s="165" t="s">
        <v>441</v>
      </c>
      <c r="E94" s="166">
        <v>500000</v>
      </c>
      <c r="F94" s="167">
        <v>484.88049999999998</v>
      </c>
      <c r="G94" s="168">
        <v>4.5839449999999997E-2</v>
      </c>
      <c r="H94" s="167">
        <v>7.0256999999999996</v>
      </c>
      <c r="J94" s="75"/>
    </row>
    <row r="95" spans="1:10" x14ac:dyDescent="0.2">
      <c r="A95" s="164">
        <v>3</v>
      </c>
      <c r="B95" s="165" t="s">
        <v>713</v>
      </c>
      <c r="C95" s="200" t="s">
        <v>1078</v>
      </c>
      <c r="D95" s="165" t="s">
        <v>441</v>
      </c>
      <c r="E95" s="166">
        <v>500000</v>
      </c>
      <c r="F95" s="167">
        <v>484.25700000000001</v>
      </c>
      <c r="G95" s="168">
        <v>4.5780500000000002E-2</v>
      </c>
      <c r="H95" s="167">
        <v>7.0213000000000001</v>
      </c>
      <c r="J95" s="75"/>
    </row>
    <row r="96" spans="1:10" x14ac:dyDescent="0.2">
      <c r="A96" s="162"/>
      <c r="B96" s="162"/>
      <c r="C96" s="163" t="s">
        <v>152</v>
      </c>
      <c r="D96" s="162"/>
      <c r="E96" s="162" t="s">
        <v>153</v>
      </c>
      <c r="F96" s="169">
        <v>1455.9475</v>
      </c>
      <c r="G96" s="170">
        <v>0.13764181</v>
      </c>
      <c r="H96" s="167"/>
      <c r="J96" s="75"/>
    </row>
    <row r="97" spans="1:10" x14ac:dyDescent="0.2">
      <c r="A97" s="162"/>
      <c r="B97" s="162"/>
      <c r="C97" s="171"/>
      <c r="D97" s="162"/>
      <c r="E97" s="162"/>
      <c r="F97" s="172"/>
      <c r="G97" s="172"/>
      <c r="H97" s="167"/>
      <c r="J97" s="75"/>
    </row>
    <row r="98" spans="1:10" x14ac:dyDescent="0.2">
      <c r="A98" s="162"/>
      <c r="B98" s="162"/>
      <c r="C98" s="163" t="s">
        <v>170</v>
      </c>
      <c r="D98" s="162"/>
      <c r="E98" s="162"/>
      <c r="F98" s="172"/>
      <c r="G98" s="172"/>
      <c r="H98" s="167"/>
      <c r="J98" s="75"/>
    </row>
    <row r="99" spans="1:10" x14ac:dyDescent="0.2">
      <c r="A99" s="164">
        <v>1</v>
      </c>
      <c r="B99" s="165"/>
      <c r="C99" s="165" t="s">
        <v>171</v>
      </c>
      <c r="D99" s="165"/>
      <c r="E99" s="174"/>
      <c r="F99" s="167">
        <v>316.675232601</v>
      </c>
      <c r="G99" s="168">
        <v>2.9937720000000001E-2</v>
      </c>
      <c r="H99" s="175">
        <v>6.66</v>
      </c>
      <c r="J99" s="75"/>
    </row>
    <row r="100" spans="1:10" x14ac:dyDescent="0.2">
      <c r="A100" s="162"/>
      <c r="B100" s="162"/>
      <c r="C100" s="163" t="s">
        <v>152</v>
      </c>
      <c r="D100" s="162"/>
      <c r="E100" s="162" t="s">
        <v>153</v>
      </c>
      <c r="F100" s="169">
        <v>316.675232601</v>
      </c>
      <c r="G100" s="170">
        <v>2.9937720000000001E-2</v>
      </c>
      <c r="H100" s="167"/>
      <c r="J100" s="75"/>
    </row>
    <row r="101" spans="1:10" x14ac:dyDescent="0.2">
      <c r="A101" s="162"/>
      <c r="B101" s="162"/>
      <c r="C101" s="171"/>
      <c r="D101" s="162"/>
      <c r="E101" s="162"/>
      <c r="F101" s="172"/>
      <c r="G101" s="172"/>
      <c r="H101" s="167"/>
      <c r="J101" s="75"/>
    </row>
    <row r="102" spans="1:10" x14ac:dyDescent="0.2">
      <c r="A102" s="162"/>
      <c r="B102" s="162"/>
      <c r="C102" s="163" t="s">
        <v>172</v>
      </c>
      <c r="D102" s="162"/>
      <c r="E102" s="162"/>
      <c r="F102" s="169">
        <v>1772.6227326010001</v>
      </c>
      <c r="G102" s="170">
        <v>0.16757953</v>
      </c>
      <c r="H102" s="167"/>
      <c r="J102" s="75"/>
    </row>
    <row r="103" spans="1:10" x14ac:dyDescent="0.2">
      <c r="A103" s="162"/>
      <c r="B103" s="162"/>
      <c r="C103" s="172"/>
      <c r="D103" s="162"/>
      <c r="E103" s="162"/>
      <c r="F103" s="162"/>
      <c r="G103" s="162"/>
      <c r="H103" s="167"/>
      <c r="J103" s="75"/>
    </row>
    <row r="104" spans="1:10" x14ac:dyDescent="0.2">
      <c r="A104" s="162"/>
      <c r="B104" s="162"/>
      <c r="C104" s="163" t="s">
        <v>173</v>
      </c>
      <c r="D104" s="162"/>
      <c r="E104" s="162"/>
      <c r="F104" s="162"/>
      <c r="G104" s="162"/>
      <c r="H104" s="167"/>
      <c r="J104" s="75"/>
    </row>
    <row r="105" spans="1:10" x14ac:dyDescent="0.2">
      <c r="A105" s="162"/>
      <c r="B105" s="162"/>
      <c r="C105" s="163" t="s">
        <v>174</v>
      </c>
      <c r="D105" s="162"/>
      <c r="E105" s="162"/>
      <c r="F105" s="162"/>
      <c r="G105" s="162"/>
      <c r="H105" s="167"/>
      <c r="J105" s="75"/>
    </row>
    <row r="106" spans="1:10" x14ac:dyDescent="0.2">
      <c r="A106" s="162"/>
      <c r="B106" s="162"/>
      <c r="C106" s="163" t="s">
        <v>152</v>
      </c>
      <c r="D106" s="162"/>
      <c r="E106" s="162" t="s">
        <v>153</v>
      </c>
      <c r="F106" s="173" t="s">
        <v>155</v>
      </c>
      <c r="G106" s="170">
        <v>0</v>
      </c>
      <c r="H106" s="167"/>
      <c r="J106" s="75"/>
    </row>
    <row r="107" spans="1:10" x14ac:dyDescent="0.2">
      <c r="A107" s="162"/>
      <c r="B107" s="162"/>
      <c r="C107" s="171"/>
      <c r="D107" s="162"/>
      <c r="E107" s="162"/>
      <c r="F107" s="172"/>
      <c r="G107" s="172"/>
      <c r="H107" s="167"/>
      <c r="J107" s="75"/>
    </row>
    <row r="108" spans="1:10" x14ac:dyDescent="0.2">
      <c r="A108" s="162"/>
      <c r="B108" s="162"/>
      <c r="C108" s="163" t="s">
        <v>177</v>
      </c>
      <c r="D108" s="162"/>
      <c r="E108" s="162"/>
      <c r="F108" s="162"/>
      <c r="G108" s="162"/>
      <c r="H108" s="167"/>
      <c r="J108" s="75"/>
    </row>
    <row r="109" spans="1:10" x14ac:dyDescent="0.2">
      <c r="A109" s="162"/>
      <c r="B109" s="162"/>
      <c r="C109" s="163" t="s">
        <v>178</v>
      </c>
      <c r="D109" s="162"/>
      <c r="E109" s="162"/>
      <c r="F109" s="162"/>
      <c r="G109" s="162"/>
      <c r="H109" s="167"/>
      <c r="J109" s="75"/>
    </row>
    <row r="110" spans="1:10" x14ac:dyDescent="0.2">
      <c r="A110" s="162"/>
      <c r="B110" s="162"/>
      <c r="C110" s="163" t="s">
        <v>152</v>
      </c>
      <c r="D110" s="162"/>
      <c r="E110" s="162" t="s">
        <v>153</v>
      </c>
      <c r="F110" s="173" t="s">
        <v>155</v>
      </c>
      <c r="G110" s="170">
        <v>0</v>
      </c>
      <c r="H110" s="167"/>
      <c r="J110" s="75"/>
    </row>
    <row r="111" spans="1:10" x14ac:dyDescent="0.2">
      <c r="A111" s="162"/>
      <c r="B111" s="162"/>
      <c r="C111" s="171"/>
      <c r="D111" s="162"/>
      <c r="E111" s="162"/>
      <c r="F111" s="172"/>
      <c r="G111" s="172"/>
      <c r="H111" s="167"/>
      <c r="J111" s="75"/>
    </row>
    <row r="112" spans="1:10" x14ac:dyDescent="0.2">
      <c r="A112" s="162"/>
      <c r="B112" s="162"/>
      <c r="C112" s="163" t="s">
        <v>179</v>
      </c>
      <c r="D112" s="162"/>
      <c r="E112" s="162"/>
      <c r="F112" s="172"/>
      <c r="G112" s="172"/>
      <c r="H112" s="167"/>
      <c r="J112" s="75"/>
    </row>
    <row r="113" spans="1:20" x14ac:dyDescent="0.2">
      <c r="A113" s="162"/>
      <c r="B113" s="162"/>
      <c r="C113" s="163" t="s">
        <v>152</v>
      </c>
      <c r="D113" s="162"/>
      <c r="E113" s="162" t="s">
        <v>153</v>
      </c>
      <c r="F113" s="173" t="s">
        <v>155</v>
      </c>
      <c r="G113" s="170">
        <v>0</v>
      </c>
      <c r="H113" s="167"/>
      <c r="J113" s="75"/>
    </row>
    <row r="114" spans="1:20" x14ac:dyDescent="0.2">
      <c r="A114" s="162"/>
      <c r="B114" s="162"/>
      <c r="C114" s="171"/>
      <c r="D114" s="162"/>
      <c r="E114" s="162"/>
      <c r="F114" s="172"/>
      <c r="G114" s="172"/>
      <c r="H114" s="167"/>
      <c r="J114" s="75"/>
    </row>
    <row r="115" spans="1:20" x14ac:dyDescent="0.2">
      <c r="A115" s="174"/>
      <c r="B115" s="165"/>
      <c r="C115" s="165" t="s">
        <v>698</v>
      </c>
      <c r="D115" s="165"/>
      <c r="E115" s="174"/>
      <c r="F115" s="167">
        <v>44.2238246</v>
      </c>
      <c r="G115" s="168">
        <v>4.18082E-3</v>
      </c>
      <c r="H115" s="167"/>
      <c r="J115" s="75"/>
    </row>
    <row r="116" spans="1:20" x14ac:dyDescent="0.2">
      <c r="A116" s="174"/>
      <c r="B116" s="165"/>
      <c r="C116" s="232" t="s">
        <v>1092</v>
      </c>
      <c r="D116" s="165"/>
      <c r="E116" s="174"/>
      <c r="F116" s="167">
        <v>-43.468951249999918</v>
      </c>
      <c r="G116" s="168">
        <v>-4.1094699999999484E-3</v>
      </c>
      <c r="H116" s="167"/>
      <c r="J116" s="75"/>
    </row>
    <row r="117" spans="1:20" x14ac:dyDescent="0.2">
      <c r="A117" s="171"/>
      <c r="B117" s="171"/>
      <c r="C117" s="163" t="s">
        <v>181</v>
      </c>
      <c r="D117" s="172"/>
      <c r="E117" s="172"/>
      <c r="F117" s="169">
        <v>10577.799818451</v>
      </c>
      <c r="G117" s="177">
        <v>1.0000000099999999</v>
      </c>
      <c r="H117" s="177"/>
      <c r="J117" s="75"/>
      <c r="K117" s="30"/>
      <c r="L117" s="30"/>
      <c r="M117" s="30"/>
      <c r="N117" s="30"/>
    </row>
    <row r="118" spans="1:20" ht="15" x14ac:dyDescent="0.2">
      <c r="A118" s="178"/>
      <c r="B118" s="178"/>
      <c r="C118" s="178"/>
      <c r="D118" s="179"/>
      <c r="E118" s="179"/>
      <c r="F118" s="179"/>
      <c r="G118" s="179"/>
      <c r="H118" s="179"/>
      <c r="J118" s="75"/>
      <c r="K118" s="46"/>
      <c r="L118" s="46"/>
      <c r="M118" s="46"/>
      <c r="N118" s="46"/>
    </row>
    <row r="119" spans="1:20" ht="12.75" customHeight="1" x14ac:dyDescent="0.2">
      <c r="A119" s="180"/>
      <c r="B119" s="258" t="s">
        <v>882</v>
      </c>
      <c r="C119" s="258"/>
      <c r="D119" s="258"/>
      <c r="E119" s="258"/>
      <c r="F119" s="258"/>
      <c r="G119" s="258"/>
      <c r="H119" s="258"/>
      <c r="J119" s="75"/>
    </row>
    <row r="120" spans="1:20" ht="14.1" customHeight="1" x14ac:dyDescent="0.2">
      <c r="A120" s="180"/>
      <c r="B120" s="258" t="s">
        <v>883</v>
      </c>
      <c r="C120" s="258"/>
      <c r="D120" s="258"/>
      <c r="E120" s="258"/>
      <c r="F120" s="258"/>
      <c r="G120" s="258"/>
      <c r="H120" s="258"/>
      <c r="J120" s="75"/>
    </row>
    <row r="121" spans="1:20" ht="17.100000000000001" customHeight="1" x14ac:dyDescent="0.2">
      <c r="A121" s="180"/>
      <c r="B121" s="258" t="s">
        <v>884</v>
      </c>
      <c r="C121" s="258"/>
      <c r="D121" s="258"/>
      <c r="E121" s="258"/>
      <c r="F121" s="258"/>
      <c r="G121" s="258"/>
      <c r="H121" s="258"/>
      <c r="J121" s="75"/>
    </row>
    <row r="122" spans="1:20" s="34" customFormat="1" ht="62.25" customHeight="1" x14ac:dyDescent="0.25">
      <c r="A122" s="33"/>
      <c r="B122" s="259" t="s">
        <v>885</v>
      </c>
      <c r="C122" s="259"/>
      <c r="D122" s="259"/>
      <c r="E122" s="259"/>
      <c r="F122" s="259"/>
      <c r="G122" s="259"/>
      <c r="H122" s="259"/>
      <c r="I122"/>
      <c r="J122" s="75"/>
      <c r="K122"/>
      <c r="L122"/>
      <c r="M122"/>
      <c r="N122"/>
      <c r="O122"/>
      <c r="P122"/>
      <c r="Q122"/>
    </row>
    <row r="123" spans="1:20" ht="12.75" customHeight="1" x14ac:dyDescent="0.2">
      <c r="A123" s="180"/>
      <c r="B123" s="258" t="s">
        <v>886</v>
      </c>
      <c r="C123" s="258"/>
      <c r="D123" s="258"/>
      <c r="E123" s="258"/>
      <c r="F123" s="258"/>
      <c r="G123" s="258"/>
      <c r="H123" s="258"/>
      <c r="J123" s="75"/>
    </row>
    <row r="124" spans="1:20" x14ac:dyDescent="0.2">
      <c r="A124" s="181"/>
      <c r="B124" s="181"/>
      <c r="C124" s="181"/>
      <c r="D124" s="182"/>
      <c r="E124" s="182"/>
      <c r="F124" s="182"/>
      <c r="G124" s="182"/>
      <c r="H124" s="182"/>
      <c r="J124" s="75"/>
    </row>
    <row r="125" spans="1:20" x14ac:dyDescent="0.2">
      <c r="A125" s="181"/>
      <c r="B125" s="255" t="s">
        <v>183</v>
      </c>
      <c r="C125" s="256"/>
      <c r="D125" s="257"/>
      <c r="E125" s="183"/>
      <c r="F125" s="182"/>
      <c r="G125" s="182"/>
      <c r="H125" s="182"/>
      <c r="J125" s="75"/>
    </row>
    <row r="126" spans="1:20" ht="24" customHeight="1" x14ac:dyDescent="0.25">
      <c r="A126" s="181"/>
      <c r="B126" s="251" t="s">
        <v>184</v>
      </c>
      <c r="C126" s="252"/>
      <c r="D126" s="233" t="s">
        <v>904</v>
      </c>
      <c r="E126" s="183"/>
      <c r="F126" s="182"/>
      <c r="G126" s="182"/>
      <c r="H126" s="182"/>
      <c r="J126" s="75"/>
      <c r="R126" s="34"/>
      <c r="S126" s="34"/>
      <c r="T126" s="34"/>
    </row>
    <row r="127" spans="1:20" x14ac:dyDescent="0.2">
      <c r="A127" s="181"/>
      <c r="B127" s="251" t="s">
        <v>186</v>
      </c>
      <c r="C127" s="252"/>
      <c r="D127" s="184" t="s">
        <v>185</v>
      </c>
      <c r="E127" s="183"/>
      <c r="F127" s="182"/>
      <c r="G127" s="182"/>
      <c r="H127" s="182"/>
      <c r="J127" s="75"/>
    </row>
    <row r="128" spans="1:20" x14ac:dyDescent="0.2">
      <c r="A128" s="181"/>
      <c r="B128" s="253" t="s">
        <v>187</v>
      </c>
      <c r="C128" s="254"/>
      <c r="D128" s="172" t="s">
        <v>153</v>
      </c>
      <c r="E128" s="183"/>
      <c r="F128" s="182"/>
      <c r="G128" s="182"/>
      <c r="H128" s="182"/>
      <c r="J128" s="75"/>
    </row>
    <row r="129" spans="1:17" x14ac:dyDescent="0.2">
      <c r="A129" s="185"/>
      <c r="B129" s="186" t="s">
        <v>153</v>
      </c>
      <c r="C129" s="186" t="s">
        <v>1088</v>
      </c>
      <c r="D129" s="186" t="s">
        <v>188</v>
      </c>
      <c r="E129" s="185"/>
      <c r="F129" s="185"/>
      <c r="G129" s="185"/>
      <c r="H129" s="185"/>
      <c r="J129" s="75"/>
    </row>
    <row r="130" spans="1:17" x14ac:dyDescent="0.2">
      <c r="A130" s="185"/>
      <c r="B130" s="187" t="s">
        <v>189</v>
      </c>
      <c r="C130" s="186" t="s">
        <v>190</v>
      </c>
      <c r="D130" s="186" t="s">
        <v>191</v>
      </c>
      <c r="E130" s="185"/>
      <c r="F130" s="185"/>
      <c r="G130" s="185"/>
      <c r="H130" s="185"/>
      <c r="J130" s="75"/>
    </row>
    <row r="131" spans="1:17" x14ac:dyDescent="0.2">
      <c r="A131" s="185"/>
      <c r="B131" s="165" t="s">
        <v>192</v>
      </c>
      <c r="C131" s="188">
        <v>13.889699999999999</v>
      </c>
      <c r="D131" s="188">
        <v>13.9764</v>
      </c>
      <c r="E131" s="185"/>
      <c r="F131" s="189"/>
      <c r="G131" s="190"/>
      <c r="H131" s="190"/>
      <c r="J131" s="75"/>
    </row>
    <row r="132" spans="1:17" ht="25.5" x14ac:dyDescent="0.2">
      <c r="A132" s="185"/>
      <c r="B132" s="200" t="s">
        <v>1059</v>
      </c>
      <c r="C132" s="188">
        <v>12.0108</v>
      </c>
      <c r="D132" s="188">
        <v>12.085800000000001</v>
      </c>
      <c r="E132" s="185"/>
      <c r="F132" s="189"/>
      <c r="G132" s="190"/>
      <c r="H132" s="190"/>
      <c r="J132" s="75"/>
    </row>
    <row r="133" spans="1:17" x14ac:dyDescent="0.2">
      <c r="A133" s="185"/>
      <c r="B133" s="165" t="s">
        <v>193</v>
      </c>
      <c r="C133" s="188">
        <v>13.2933</v>
      </c>
      <c r="D133" s="188">
        <v>13.3711</v>
      </c>
      <c r="E133" s="185"/>
      <c r="F133" s="189"/>
      <c r="G133" s="190"/>
      <c r="H133" s="190"/>
      <c r="J133" s="75"/>
    </row>
    <row r="134" spans="1:17" ht="25.5" x14ac:dyDescent="0.2">
      <c r="A134" s="185"/>
      <c r="B134" s="200" t="s">
        <v>1061</v>
      </c>
      <c r="C134" s="188">
        <v>11.6875</v>
      </c>
      <c r="D134" s="188">
        <v>11.755800000000001</v>
      </c>
      <c r="E134" s="185"/>
      <c r="F134" s="189"/>
      <c r="G134" s="190"/>
      <c r="H134" s="190"/>
      <c r="J134" s="75"/>
      <c r="P134" s="40"/>
      <c r="Q134" s="40"/>
    </row>
    <row r="135" spans="1:17" x14ac:dyDescent="0.2">
      <c r="A135" s="185"/>
      <c r="B135" s="185"/>
      <c r="C135" s="185"/>
      <c r="D135" s="185"/>
      <c r="E135" s="185"/>
      <c r="F135" s="185"/>
      <c r="G135" s="185"/>
      <c r="H135" s="185"/>
      <c r="J135" s="75"/>
      <c r="P135" s="40"/>
      <c r="Q135" s="40"/>
    </row>
    <row r="136" spans="1:17" x14ac:dyDescent="0.2">
      <c r="A136" s="185"/>
      <c r="B136" s="253" t="s">
        <v>1056</v>
      </c>
      <c r="C136" s="254"/>
      <c r="D136" s="163" t="s">
        <v>185</v>
      </c>
      <c r="E136" s="185"/>
      <c r="F136" s="185"/>
      <c r="G136" s="185"/>
      <c r="H136" s="185"/>
      <c r="J136" s="75"/>
      <c r="P136" s="40"/>
      <c r="Q136" s="40"/>
    </row>
    <row r="137" spans="1:17" x14ac:dyDescent="0.2">
      <c r="A137" s="185"/>
      <c r="B137" s="189"/>
      <c r="C137" s="189"/>
      <c r="D137" s="185"/>
      <c r="E137" s="185"/>
      <c r="F137" s="185"/>
      <c r="G137" s="185"/>
      <c r="H137" s="185"/>
      <c r="J137" s="75"/>
      <c r="P137" s="40"/>
      <c r="Q137" s="40"/>
    </row>
    <row r="138" spans="1:17" x14ac:dyDescent="0.2">
      <c r="A138" s="185"/>
      <c r="B138" s="253" t="s">
        <v>194</v>
      </c>
      <c r="C138" s="254"/>
      <c r="D138" s="184" t="s">
        <v>934</v>
      </c>
      <c r="E138" s="191"/>
      <c r="F138" s="185"/>
      <c r="G138" s="185"/>
      <c r="H138" s="185"/>
      <c r="J138" s="75"/>
      <c r="P138" s="40"/>
      <c r="Q138" s="40"/>
    </row>
    <row r="139" spans="1:17" x14ac:dyDescent="0.2">
      <c r="A139" s="185"/>
      <c r="B139" s="253" t="s">
        <v>195</v>
      </c>
      <c r="C139" s="254"/>
      <c r="D139" s="163" t="s">
        <v>185</v>
      </c>
      <c r="E139" s="191"/>
      <c r="F139" s="185"/>
      <c r="G139" s="185"/>
      <c r="H139" s="185"/>
      <c r="J139" s="75"/>
      <c r="O139" s="47"/>
      <c r="P139" s="40"/>
      <c r="Q139" s="40"/>
    </row>
    <row r="140" spans="1:17" x14ac:dyDescent="0.2">
      <c r="A140" s="185"/>
      <c r="B140" s="253" t="s">
        <v>196</v>
      </c>
      <c r="C140" s="254"/>
      <c r="D140" s="163" t="s">
        <v>185</v>
      </c>
      <c r="E140" s="191"/>
      <c r="F140" s="185"/>
      <c r="G140" s="185"/>
      <c r="H140" s="185"/>
      <c r="J140" s="75"/>
      <c r="P140" s="40"/>
      <c r="Q140" s="40"/>
    </row>
    <row r="141" spans="1:17" x14ac:dyDescent="0.2">
      <c r="A141" s="185"/>
      <c r="B141" s="253" t="s">
        <v>197</v>
      </c>
      <c r="C141" s="254"/>
      <c r="D141" s="192">
        <v>9.9002810366696732</v>
      </c>
      <c r="E141" s="185"/>
      <c r="F141" s="189"/>
      <c r="G141" s="190"/>
      <c r="H141" s="190"/>
      <c r="J141" s="75"/>
      <c r="P141" s="40"/>
      <c r="Q141" s="40"/>
    </row>
    <row r="142" spans="1:17" x14ac:dyDescent="0.2">
      <c r="J142" s="75"/>
      <c r="K142" s="47"/>
      <c r="L142" s="47"/>
      <c r="M142" s="47"/>
      <c r="N142" s="47"/>
      <c r="P142" s="40"/>
      <c r="Q142" s="40"/>
    </row>
    <row r="143" spans="1:17" s="40" customFormat="1" x14ac:dyDescent="0.2">
      <c r="B143" s="234" t="s">
        <v>1002</v>
      </c>
      <c r="C143" s="234"/>
      <c r="D143" s="234"/>
      <c r="E143" s="48"/>
      <c r="F143" s="49"/>
      <c r="I143"/>
      <c r="J143" s="75"/>
      <c r="K143"/>
      <c r="L143"/>
      <c r="M143"/>
      <c r="N143"/>
      <c r="O143"/>
    </row>
    <row r="144" spans="1:17" s="40" customFormat="1" ht="38.25" x14ac:dyDescent="0.2">
      <c r="B144" s="214" t="s">
        <v>906</v>
      </c>
      <c r="C144" s="214" t="s">
        <v>907</v>
      </c>
      <c r="D144" s="214" t="s">
        <v>908</v>
      </c>
      <c r="E144" s="214" t="s">
        <v>909</v>
      </c>
      <c r="F144" s="214" t="s">
        <v>910</v>
      </c>
      <c r="I144"/>
      <c r="J144" s="75"/>
      <c r="K144"/>
      <c r="L144"/>
      <c r="M144"/>
      <c r="N144"/>
      <c r="O144"/>
    </row>
    <row r="145" spans="2:17" s="41" customFormat="1" ht="38.25" x14ac:dyDescent="0.2">
      <c r="B145" s="215" t="s">
        <v>911</v>
      </c>
      <c r="C145" s="216" t="s">
        <v>912</v>
      </c>
      <c r="D145" s="217">
        <v>0</v>
      </c>
      <c r="E145" s="42">
        <v>0</v>
      </c>
      <c r="F145" s="218">
        <v>50</v>
      </c>
      <c r="I145" s="47"/>
      <c r="J145" s="75"/>
      <c r="K145"/>
      <c r="L145"/>
      <c r="M145"/>
      <c r="N145"/>
      <c r="O145"/>
      <c r="P145" s="40"/>
      <c r="Q145" s="40"/>
    </row>
    <row r="146" spans="2:17" s="40" customFormat="1" x14ac:dyDescent="0.2">
      <c r="I146"/>
      <c r="J146" s="75"/>
      <c r="K146"/>
      <c r="L146"/>
      <c r="M146"/>
      <c r="N146"/>
      <c r="O146"/>
      <c r="P146"/>
      <c r="Q146"/>
    </row>
    <row r="147" spans="2:17" s="40" customFormat="1" x14ac:dyDescent="0.2">
      <c r="B147" s="272" t="s">
        <v>925</v>
      </c>
      <c r="C147" s="273"/>
      <c r="D147" s="274"/>
      <c r="I147"/>
      <c r="J147" s="75"/>
      <c r="K147"/>
      <c r="L147"/>
      <c r="M147"/>
      <c r="N147"/>
      <c r="O147"/>
      <c r="P147"/>
      <c r="Q147"/>
    </row>
    <row r="148" spans="2:17" s="40" customFormat="1" ht="25.5" x14ac:dyDescent="0.2">
      <c r="B148" s="275" t="s">
        <v>926</v>
      </c>
      <c r="C148" s="275"/>
      <c r="D148" s="226" t="s">
        <v>699</v>
      </c>
      <c r="I148"/>
      <c r="J148" s="75"/>
      <c r="K148"/>
      <c r="L148"/>
      <c r="M148"/>
      <c r="N148"/>
      <c r="O148"/>
      <c r="P148"/>
      <c r="Q148"/>
    </row>
    <row r="149" spans="2:17" s="40" customFormat="1" x14ac:dyDescent="0.2">
      <c r="B149" s="275" t="s">
        <v>927</v>
      </c>
      <c r="C149" s="275"/>
      <c r="D149" s="235"/>
      <c r="I149"/>
      <c r="J149" s="75"/>
      <c r="K149"/>
      <c r="L149"/>
      <c r="M149"/>
      <c r="N149"/>
      <c r="O149"/>
      <c r="P149"/>
      <c r="Q149"/>
    </row>
    <row r="150" spans="2:17" s="40" customFormat="1" x14ac:dyDescent="0.2">
      <c r="B150" s="276"/>
      <c r="C150" s="277"/>
      <c r="D150" s="227"/>
      <c r="I150"/>
      <c r="J150" s="75"/>
      <c r="K150"/>
      <c r="L150"/>
      <c r="M150"/>
      <c r="N150"/>
      <c r="O150"/>
      <c r="P150"/>
      <c r="Q150"/>
    </row>
    <row r="151" spans="2:17" s="40" customFormat="1" x14ac:dyDescent="0.2">
      <c r="B151" s="275" t="s">
        <v>928</v>
      </c>
      <c r="C151" s="275"/>
      <c r="D151" s="228">
        <v>7.0822342303717294</v>
      </c>
      <c r="I151"/>
      <c r="J151" s="75"/>
      <c r="K151"/>
      <c r="L151"/>
      <c r="M151"/>
      <c r="N151"/>
      <c r="O151"/>
      <c r="P151"/>
      <c r="Q151"/>
    </row>
    <row r="152" spans="2:17" s="40" customFormat="1" x14ac:dyDescent="0.2">
      <c r="B152" s="276"/>
      <c r="C152" s="277"/>
      <c r="D152" s="227"/>
      <c r="I152"/>
      <c r="J152" s="75"/>
      <c r="K152"/>
      <c r="L152"/>
      <c r="M152"/>
      <c r="N152"/>
      <c r="O152"/>
      <c r="P152"/>
      <c r="Q152"/>
    </row>
    <row r="153" spans="2:17" s="40" customFormat="1" x14ac:dyDescent="0.2">
      <c r="B153" s="275" t="s">
        <v>929</v>
      </c>
      <c r="C153" s="275"/>
      <c r="D153" s="228">
        <v>1.1667495852953667</v>
      </c>
      <c r="I153"/>
      <c r="J153" s="75"/>
      <c r="K153"/>
      <c r="L153"/>
      <c r="M153"/>
      <c r="N153"/>
      <c r="O153"/>
      <c r="P153"/>
      <c r="Q153"/>
    </row>
    <row r="154" spans="2:17" s="40" customFormat="1" x14ac:dyDescent="0.2">
      <c r="B154" s="275" t="s">
        <v>930</v>
      </c>
      <c r="C154" s="275"/>
      <c r="D154" s="228">
        <v>1.2639610530736594</v>
      </c>
      <c r="I154"/>
      <c r="J154" s="75"/>
      <c r="K154"/>
      <c r="L154"/>
      <c r="M154"/>
      <c r="N154"/>
      <c r="O154"/>
      <c r="P154"/>
      <c r="Q154"/>
    </row>
    <row r="155" spans="2:17" s="40" customFormat="1" x14ac:dyDescent="0.2">
      <c r="B155" s="276"/>
      <c r="C155" s="277"/>
      <c r="D155" s="227"/>
      <c r="I155"/>
      <c r="J155" s="75"/>
      <c r="K155"/>
      <c r="L155"/>
      <c r="M155"/>
      <c r="N155"/>
      <c r="O155"/>
      <c r="P155"/>
      <c r="Q155"/>
    </row>
    <row r="156" spans="2:17" s="40" customFormat="1" x14ac:dyDescent="0.2">
      <c r="B156" s="275" t="s">
        <v>931</v>
      </c>
      <c r="C156" s="275"/>
      <c r="D156" s="230" t="s">
        <v>1001</v>
      </c>
      <c r="I156"/>
      <c r="J156" s="75"/>
      <c r="K156"/>
      <c r="L156"/>
      <c r="M156"/>
      <c r="N156"/>
      <c r="O156"/>
      <c r="P156"/>
      <c r="Q156"/>
    </row>
    <row r="157" spans="2:17" s="40" customFormat="1" x14ac:dyDescent="0.2">
      <c r="B157" s="276" t="s">
        <v>932</v>
      </c>
      <c r="C157" s="278"/>
      <c r="D157" s="277"/>
      <c r="I157"/>
      <c r="J157" s="75"/>
      <c r="K157"/>
      <c r="L157"/>
      <c r="M157"/>
      <c r="N157"/>
      <c r="O157"/>
      <c r="P157"/>
      <c r="Q157"/>
    </row>
  </sheetData>
  <mergeCells count="28">
    <mergeCell ref="B157:D157"/>
    <mergeCell ref="B152:C152"/>
    <mergeCell ref="B153:C153"/>
    <mergeCell ref="B154:C154"/>
    <mergeCell ref="B155:C155"/>
    <mergeCell ref="B156:C156"/>
    <mergeCell ref="B136:C136"/>
    <mergeCell ref="B138:C138"/>
    <mergeCell ref="B139:C139"/>
    <mergeCell ref="B140:C140"/>
    <mergeCell ref="B151:C151"/>
    <mergeCell ref="B147:D147"/>
    <mergeCell ref="B148:C148"/>
    <mergeCell ref="B149:C149"/>
    <mergeCell ref="B150:C150"/>
    <mergeCell ref="B141:C141"/>
    <mergeCell ref="A1:H1"/>
    <mergeCell ref="A2:H2"/>
    <mergeCell ref="A3:H3"/>
    <mergeCell ref="B127:C127"/>
    <mergeCell ref="B128:C128"/>
    <mergeCell ref="B125:D125"/>
    <mergeCell ref="B126:C126"/>
    <mergeCell ref="B119:H119"/>
    <mergeCell ref="B120:H120"/>
    <mergeCell ref="B121:H121"/>
    <mergeCell ref="B122:H122"/>
    <mergeCell ref="B123:H123"/>
  </mergeCells>
  <hyperlinks>
    <hyperlink ref="I1" location="Index!B16" display="Index" xr:uid="{37222720-1371-4B0F-8752-A8EB39FE810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U210"/>
  <sheetViews>
    <sheetView showGridLines="0" workbookViewId="0">
      <selection activeCell="D195" sqref="D195"/>
    </sheetView>
  </sheetViews>
  <sheetFormatPr defaultRowHeight="12.75" x14ac:dyDescent="0.2"/>
  <cols>
    <col min="1" max="1" width="6.85546875" customWidth="1"/>
    <col min="2" max="2" width="20.5703125" customWidth="1"/>
    <col min="3" max="3" width="41.85546875" customWidth="1"/>
    <col min="4" max="4" width="16.85546875" bestFit="1" customWidth="1"/>
    <col min="5" max="6" width="10.140625" bestFit="1" customWidth="1"/>
    <col min="7" max="7" width="14" bestFit="1" customWidth="1"/>
    <col min="8" max="8" width="8.42578125" bestFit="1" customWidth="1"/>
    <col min="10" max="10" width="50.7109375" style="76" customWidth="1"/>
  </cols>
  <sheetData>
    <row r="1" spans="1:19" ht="15" x14ac:dyDescent="0.2">
      <c r="A1" s="250" t="s">
        <v>0</v>
      </c>
      <c r="B1" s="250"/>
      <c r="C1" s="250"/>
      <c r="D1" s="250"/>
      <c r="E1" s="250"/>
      <c r="F1" s="250"/>
      <c r="G1" s="250"/>
      <c r="H1" s="250"/>
      <c r="I1" s="50" t="s">
        <v>888</v>
      </c>
      <c r="J1" s="75"/>
      <c r="K1" s="30"/>
      <c r="L1" s="30"/>
      <c r="M1" s="30"/>
      <c r="N1" s="30"/>
    </row>
    <row r="2" spans="1:19" ht="15" customHeight="1" x14ac:dyDescent="0.2">
      <c r="A2" s="250" t="s">
        <v>714</v>
      </c>
      <c r="B2" s="250"/>
      <c r="C2" s="250"/>
      <c r="D2" s="250"/>
      <c r="E2" s="250"/>
      <c r="F2" s="250"/>
      <c r="G2" s="250"/>
      <c r="H2" s="250"/>
      <c r="J2" s="70" t="s">
        <v>889</v>
      </c>
      <c r="K2" s="66"/>
      <c r="L2" s="66"/>
      <c r="M2" s="66"/>
      <c r="N2" s="66"/>
    </row>
    <row r="3" spans="1:19" ht="15" x14ac:dyDescent="0.2">
      <c r="A3" s="250" t="s">
        <v>873</v>
      </c>
      <c r="B3" s="250"/>
      <c r="C3" s="250"/>
      <c r="D3" s="250"/>
      <c r="E3" s="250"/>
      <c r="F3" s="250"/>
      <c r="G3" s="250"/>
      <c r="H3" s="250"/>
      <c r="J3" s="75"/>
      <c r="K3" s="30"/>
      <c r="L3" s="30"/>
      <c r="M3" s="30"/>
      <c r="N3" s="30"/>
    </row>
    <row r="4" spans="1:19" s="28" customFormat="1" ht="30" x14ac:dyDescent="0.2">
      <c r="A4" s="161" t="s">
        <v>2</v>
      </c>
      <c r="B4" s="161" t="s">
        <v>3</v>
      </c>
      <c r="C4" s="161" t="s">
        <v>4</v>
      </c>
      <c r="D4" s="161" t="s">
        <v>5</v>
      </c>
      <c r="E4" s="161" t="s">
        <v>6</v>
      </c>
      <c r="F4" s="161" t="s">
        <v>7</v>
      </c>
      <c r="G4" s="161" t="s">
        <v>8</v>
      </c>
      <c r="H4" s="161" t="s">
        <v>872</v>
      </c>
      <c r="J4" s="75"/>
      <c r="K4" s="37"/>
      <c r="L4" s="37"/>
      <c r="M4" s="37"/>
      <c r="N4" s="37"/>
      <c r="P4"/>
      <c r="Q4"/>
      <c r="R4"/>
      <c r="S4"/>
    </row>
    <row r="5" spans="1:19" x14ac:dyDescent="0.2">
      <c r="A5" s="162"/>
      <c r="B5" s="162"/>
      <c r="C5" s="163" t="s">
        <v>9</v>
      </c>
      <c r="D5" s="162"/>
      <c r="E5" s="162"/>
      <c r="F5" s="162"/>
      <c r="G5" s="162"/>
      <c r="H5" s="162"/>
      <c r="J5" s="75"/>
      <c r="K5" s="30"/>
      <c r="L5" s="30"/>
      <c r="M5" s="30"/>
      <c r="N5" s="30"/>
    </row>
    <row r="6" spans="1:19" x14ac:dyDescent="0.2">
      <c r="A6" s="162"/>
      <c r="B6" s="162"/>
      <c r="C6" s="163" t="s">
        <v>10</v>
      </c>
      <c r="D6" s="162"/>
      <c r="E6" s="162"/>
      <c r="F6" s="162"/>
      <c r="G6" s="162"/>
      <c r="H6" s="162"/>
      <c r="J6" s="75"/>
      <c r="K6" s="30"/>
      <c r="L6" s="30"/>
      <c r="M6" s="30"/>
      <c r="N6" s="30"/>
    </row>
    <row r="7" spans="1:19" x14ac:dyDescent="0.2">
      <c r="A7" s="164">
        <v>1</v>
      </c>
      <c r="B7" s="165" t="s">
        <v>331</v>
      </c>
      <c r="C7" s="165" t="s">
        <v>332</v>
      </c>
      <c r="D7" s="165" t="s">
        <v>39</v>
      </c>
      <c r="E7" s="166">
        <v>682050</v>
      </c>
      <c r="F7" s="167">
        <v>10367.842049999999</v>
      </c>
      <c r="G7" s="168">
        <v>6.781819E-2</v>
      </c>
      <c r="H7" s="167"/>
      <c r="J7" s="75"/>
      <c r="K7" s="30"/>
      <c r="L7" s="30"/>
      <c r="M7" s="30"/>
      <c r="N7" s="30"/>
    </row>
    <row r="8" spans="1:19" x14ac:dyDescent="0.2">
      <c r="A8" s="164">
        <v>2</v>
      </c>
      <c r="B8" s="165" t="s">
        <v>14</v>
      </c>
      <c r="C8" s="165" t="s">
        <v>15</v>
      </c>
      <c r="D8" s="165" t="s">
        <v>16</v>
      </c>
      <c r="E8" s="166">
        <v>307750</v>
      </c>
      <c r="F8" s="167">
        <v>9029.3850000000002</v>
      </c>
      <c r="G8" s="168">
        <v>5.9063070000000002E-2</v>
      </c>
      <c r="H8" s="167"/>
      <c r="J8" s="75"/>
      <c r="K8" s="30"/>
      <c r="L8" s="30"/>
      <c r="M8" s="30"/>
      <c r="N8" s="30"/>
    </row>
    <row r="9" spans="1:19" x14ac:dyDescent="0.2">
      <c r="A9" s="164">
        <v>3</v>
      </c>
      <c r="B9" s="165" t="s">
        <v>37</v>
      </c>
      <c r="C9" s="165" t="s">
        <v>38</v>
      </c>
      <c r="D9" s="165" t="s">
        <v>39</v>
      </c>
      <c r="E9" s="166">
        <v>700000</v>
      </c>
      <c r="F9" s="167">
        <v>8052.8</v>
      </c>
      <c r="G9" s="168">
        <v>5.2675020000000003E-2</v>
      </c>
      <c r="H9" s="167"/>
      <c r="J9" s="75"/>
      <c r="K9" s="30"/>
      <c r="L9" s="30"/>
      <c r="M9" s="30"/>
      <c r="N9" s="30"/>
    </row>
    <row r="10" spans="1:19" x14ac:dyDescent="0.2">
      <c r="A10" s="164">
        <v>4</v>
      </c>
      <c r="B10" s="165" t="s">
        <v>337</v>
      </c>
      <c r="C10" s="165" t="s">
        <v>338</v>
      </c>
      <c r="D10" s="165" t="s">
        <v>232</v>
      </c>
      <c r="E10" s="166">
        <v>443200</v>
      </c>
      <c r="F10" s="167">
        <v>6295.8775999999998</v>
      </c>
      <c r="G10" s="168">
        <v>4.1182629999999998E-2</v>
      </c>
      <c r="H10" s="167"/>
      <c r="J10" s="75"/>
      <c r="K10" s="30"/>
      <c r="L10" s="30"/>
      <c r="M10" s="30"/>
      <c r="N10" s="30"/>
    </row>
    <row r="11" spans="1:19" x14ac:dyDescent="0.2">
      <c r="A11" s="164">
        <v>5</v>
      </c>
      <c r="B11" s="165" t="s">
        <v>17</v>
      </c>
      <c r="C11" s="165" t="s">
        <v>18</v>
      </c>
      <c r="D11" s="165" t="s">
        <v>19</v>
      </c>
      <c r="E11" s="166">
        <v>275000</v>
      </c>
      <c r="F11" s="167">
        <v>3636.3249999999998</v>
      </c>
      <c r="G11" s="168">
        <v>2.378595E-2</v>
      </c>
      <c r="H11" s="167"/>
      <c r="J11" s="75"/>
      <c r="K11" s="51"/>
      <c r="L11" s="51"/>
      <c r="M11" s="51"/>
      <c r="N11" s="51"/>
    </row>
    <row r="12" spans="1:19" ht="15" x14ac:dyDescent="0.2">
      <c r="A12" s="203">
        <v>6</v>
      </c>
      <c r="B12" s="200" t="s">
        <v>880</v>
      </c>
      <c r="C12" s="200" t="s">
        <v>881</v>
      </c>
      <c r="D12" s="200" t="s">
        <v>80</v>
      </c>
      <c r="E12" s="204">
        <v>1008699</v>
      </c>
      <c r="F12" s="175">
        <v>3628.0886</v>
      </c>
      <c r="G12" s="205">
        <v>2.3699999999999999E-2</v>
      </c>
      <c r="H12" s="175"/>
      <c r="J12" s="71"/>
      <c r="N12" s="30"/>
    </row>
    <row r="13" spans="1:19" x14ac:dyDescent="0.2">
      <c r="A13" s="164">
        <v>7</v>
      </c>
      <c r="B13" s="165" t="s">
        <v>11</v>
      </c>
      <c r="C13" s="165" t="s">
        <v>12</v>
      </c>
      <c r="D13" s="165" t="s">
        <v>13</v>
      </c>
      <c r="E13" s="166">
        <v>90000</v>
      </c>
      <c r="F13" s="167">
        <v>3234.87</v>
      </c>
      <c r="G13" s="168">
        <v>2.115995E-2</v>
      </c>
      <c r="H13" s="167"/>
      <c r="J13" s="75"/>
      <c r="K13" s="30"/>
      <c r="L13" s="30"/>
      <c r="M13" s="30"/>
      <c r="N13" s="30"/>
    </row>
    <row r="14" spans="1:19" x14ac:dyDescent="0.2">
      <c r="A14" s="164">
        <v>8</v>
      </c>
      <c r="B14" s="165" t="s">
        <v>335</v>
      </c>
      <c r="C14" s="165" t="s">
        <v>336</v>
      </c>
      <c r="D14" s="165" t="s">
        <v>39</v>
      </c>
      <c r="E14" s="166">
        <v>271250</v>
      </c>
      <c r="F14" s="167">
        <v>3162.5037499999999</v>
      </c>
      <c r="G14" s="168">
        <v>2.0686590000000001E-2</v>
      </c>
      <c r="H14" s="167"/>
      <c r="J14" s="75"/>
      <c r="K14" s="30"/>
      <c r="L14" s="30"/>
      <c r="M14" s="30"/>
      <c r="N14" s="30"/>
    </row>
    <row r="15" spans="1:19" x14ac:dyDescent="0.2">
      <c r="A15" s="164">
        <v>9</v>
      </c>
      <c r="B15" s="165" t="s">
        <v>204</v>
      </c>
      <c r="C15" s="165" t="s">
        <v>205</v>
      </c>
      <c r="D15" s="165" t="s">
        <v>75</v>
      </c>
      <c r="E15" s="166">
        <v>725000</v>
      </c>
      <c r="F15" s="167">
        <v>3002.2249999999999</v>
      </c>
      <c r="G15" s="168">
        <v>1.963817E-2</v>
      </c>
      <c r="H15" s="167"/>
      <c r="J15" s="75"/>
      <c r="K15" s="30"/>
      <c r="L15" s="30"/>
      <c r="M15" s="30"/>
      <c r="N15" s="30"/>
    </row>
    <row r="16" spans="1:19" ht="25.5" x14ac:dyDescent="0.2">
      <c r="A16" s="164">
        <v>10</v>
      </c>
      <c r="B16" s="165" t="s">
        <v>54</v>
      </c>
      <c r="C16" s="165" t="s">
        <v>55</v>
      </c>
      <c r="D16" s="165" t="s">
        <v>39</v>
      </c>
      <c r="E16" s="166">
        <v>355000</v>
      </c>
      <c r="F16" s="167">
        <v>2933.1875</v>
      </c>
      <c r="G16" s="168">
        <v>1.9186580000000002E-2</v>
      </c>
      <c r="H16" s="167"/>
      <c r="J16" s="75" t="s">
        <v>935</v>
      </c>
      <c r="K16" s="30"/>
      <c r="L16" s="30"/>
      <c r="M16" s="30"/>
      <c r="N16" s="51"/>
    </row>
    <row r="17" spans="1:14" x14ac:dyDescent="0.2">
      <c r="A17" s="164">
        <v>11</v>
      </c>
      <c r="B17" s="165" t="s">
        <v>715</v>
      </c>
      <c r="C17" s="165" t="s">
        <v>716</v>
      </c>
      <c r="D17" s="165" t="s">
        <v>417</v>
      </c>
      <c r="E17" s="166">
        <v>1833000</v>
      </c>
      <c r="F17" s="167">
        <v>2693.5934999999999</v>
      </c>
      <c r="G17" s="168">
        <v>1.7619349999999999E-2</v>
      </c>
      <c r="H17" s="167"/>
      <c r="J17" s="75"/>
      <c r="K17" s="51"/>
      <c r="L17" s="51"/>
      <c r="M17" s="51"/>
      <c r="N17" s="30"/>
    </row>
    <row r="18" spans="1:14" x14ac:dyDescent="0.2">
      <c r="A18" s="164">
        <v>12</v>
      </c>
      <c r="B18" s="165" t="s">
        <v>533</v>
      </c>
      <c r="C18" s="165" t="s">
        <v>534</v>
      </c>
      <c r="D18" s="165" t="s">
        <v>39</v>
      </c>
      <c r="E18" s="166">
        <v>930150</v>
      </c>
      <c r="F18" s="167">
        <v>2618.3722499999999</v>
      </c>
      <c r="G18" s="168">
        <v>1.712731E-2</v>
      </c>
      <c r="H18" s="167"/>
      <c r="J18" s="75"/>
      <c r="K18" s="30"/>
      <c r="L18" s="30"/>
      <c r="M18" s="30"/>
      <c r="N18" s="30"/>
    </row>
    <row r="19" spans="1:14" x14ac:dyDescent="0.2">
      <c r="A19" s="164">
        <v>13</v>
      </c>
      <c r="B19" s="165" t="s">
        <v>545</v>
      </c>
      <c r="C19" s="165" t="s">
        <v>546</v>
      </c>
      <c r="D19" s="165" t="s">
        <v>39</v>
      </c>
      <c r="E19" s="166">
        <v>159600</v>
      </c>
      <c r="F19" s="167">
        <v>2591.8242</v>
      </c>
      <c r="G19" s="168">
        <v>1.6953659999999999E-2</v>
      </c>
      <c r="H19" s="167"/>
      <c r="J19" s="75"/>
      <c r="K19" s="30"/>
      <c r="L19" s="30"/>
      <c r="M19" s="30"/>
      <c r="N19" s="30"/>
    </row>
    <row r="20" spans="1:14" x14ac:dyDescent="0.2">
      <c r="A20" s="164">
        <v>14</v>
      </c>
      <c r="B20" s="165" t="s">
        <v>352</v>
      </c>
      <c r="C20" s="165" t="s">
        <v>353</v>
      </c>
      <c r="D20" s="165" t="s">
        <v>39</v>
      </c>
      <c r="E20" s="166">
        <v>383400</v>
      </c>
      <c r="F20" s="167">
        <v>2384.5563000000002</v>
      </c>
      <c r="G20" s="168">
        <v>1.559787E-2</v>
      </c>
      <c r="H20" s="167"/>
      <c r="J20" s="75"/>
      <c r="K20" s="30"/>
      <c r="L20" s="30"/>
      <c r="M20" s="30"/>
      <c r="N20" s="30"/>
    </row>
    <row r="21" spans="1:14" x14ac:dyDescent="0.2">
      <c r="A21" s="164">
        <v>15</v>
      </c>
      <c r="B21" s="165" t="s">
        <v>532</v>
      </c>
      <c r="C21" s="165" t="s">
        <v>1053</v>
      </c>
      <c r="D21" s="165" t="s">
        <v>285</v>
      </c>
      <c r="E21" s="166">
        <v>300000</v>
      </c>
      <c r="F21" s="167">
        <v>2046.75</v>
      </c>
      <c r="G21" s="168">
        <v>1.3388209999999999E-2</v>
      </c>
      <c r="H21" s="167"/>
      <c r="J21" s="75"/>
      <c r="K21" s="30"/>
      <c r="L21" s="30"/>
      <c r="M21" s="30"/>
      <c r="N21" s="30"/>
    </row>
    <row r="22" spans="1:14" ht="15" x14ac:dyDescent="0.2">
      <c r="A22" s="164">
        <v>16</v>
      </c>
      <c r="B22" s="165" t="s">
        <v>226</v>
      </c>
      <c r="C22" s="165" t="s">
        <v>227</v>
      </c>
      <c r="D22" s="165" t="s">
        <v>53</v>
      </c>
      <c r="E22" s="166">
        <v>80000</v>
      </c>
      <c r="F22" s="167">
        <v>2041.36</v>
      </c>
      <c r="G22" s="168">
        <v>1.3352960000000001E-2</v>
      </c>
      <c r="H22" s="167"/>
      <c r="J22" s="71"/>
      <c r="K22" s="30"/>
      <c r="L22" s="30"/>
      <c r="M22" s="30"/>
    </row>
    <row r="23" spans="1:14" x14ac:dyDescent="0.2">
      <c r="A23" s="164">
        <v>17</v>
      </c>
      <c r="B23" s="165" t="s">
        <v>339</v>
      </c>
      <c r="C23" s="165" t="s">
        <v>340</v>
      </c>
      <c r="D23" s="165" t="s">
        <v>232</v>
      </c>
      <c r="E23" s="166">
        <v>53102</v>
      </c>
      <c r="F23" s="167">
        <v>2028.841563</v>
      </c>
      <c r="G23" s="168">
        <v>1.3271069999999999E-2</v>
      </c>
      <c r="H23" s="167"/>
      <c r="J23" s="75"/>
    </row>
    <row r="24" spans="1:14" x14ac:dyDescent="0.2">
      <c r="A24" s="164">
        <v>18</v>
      </c>
      <c r="B24" s="165" t="s">
        <v>20</v>
      </c>
      <c r="C24" s="165" t="s">
        <v>21</v>
      </c>
      <c r="D24" s="165" t="s">
        <v>22</v>
      </c>
      <c r="E24" s="166">
        <v>550000</v>
      </c>
      <c r="F24" s="167">
        <v>1997.6</v>
      </c>
      <c r="G24" s="168">
        <v>1.306671E-2</v>
      </c>
      <c r="H24" s="167"/>
      <c r="J24" s="75"/>
      <c r="K24" s="30"/>
      <c r="L24" s="30"/>
      <c r="M24" s="30"/>
      <c r="N24" s="30"/>
    </row>
    <row r="25" spans="1:14" ht="25.5" x14ac:dyDescent="0.2">
      <c r="A25" s="164">
        <v>19</v>
      </c>
      <c r="B25" s="165" t="s">
        <v>214</v>
      </c>
      <c r="C25" s="165" t="s">
        <v>215</v>
      </c>
      <c r="D25" s="165" t="s">
        <v>216</v>
      </c>
      <c r="E25" s="166">
        <v>197927</v>
      </c>
      <c r="F25" s="167">
        <v>1887.3329085</v>
      </c>
      <c r="G25" s="168">
        <v>1.2345429999999999E-2</v>
      </c>
      <c r="H25" s="167"/>
      <c r="J25" s="75"/>
      <c r="K25" s="30"/>
      <c r="L25" s="30"/>
      <c r="M25" s="30"/>
      <c r="N25" s="30"/>
    </row>
    <row r="26" spans="1:14" x14ac:dyDescent="0.2">
      <c r="A26" s="164">
        <v>20</v>
      </c>
      <c r="B26" s="165" t="s">
        <v>206</v>
      </c>
      <c r="C26" s="165" t="s">
        <v>207</v>
      </c>
      <c r="D26" s="165" t="s">
        <v>104</v>
      </c>
      <c r="E26" s="166">
        <v>50000</v>
      </c>
      <c r="F26" s="167">
        <v>1871.3</v>
      </c>
      <c r="G26" s="168">
        <v>1.2240559999999999E-2</v>
      </c>
      <c r="H26" s="167"/>
      <c r="J26" s="75"/>
      <c r="K26" s="30"/>
      <c r="L26" s="30"/>
      <c r="M26" s="30"/>
      <c r="N26" s="30"/>
    </row>
    <row r="27" spans="1:14" x14ac:dyDescent="0.2">
      <c r="A27" s="164">
        <v>21</v>
      </c>
      <c r="B27" s="165" t="s">
        <v>706</v>
      </c>
      <c r="C27" s="165" t="s">
        <v>707</v>
      </c>
      <c r="D27" s="165" t="s">
        <v>19</v>
      </c>
      <c r="E27" s="166">
        <v>14000000</v>
      </c>
      <c r="F27" s="167">
        <v>1848</v>
      </c>
      <c r="G27" s="168">
        <v>1.2088150000000001E-2</v>
      </c>
      <c r="H27" s="167"/>
      <c r="J27" s="75"/>
      <c r="K27" s="30"/>
      <c r="L27" s="30"/>
      <c r="M27" s="30"/>
      <c r="N27" s="30"/>
    </row>
    <row r="28" spans="1:14" ht="25.5" x14ac:dyDescent="0.2">
      <c r="A28" s="164">
        <v>22</v>
      </c>
      <c r="B28" s="165" t="s">
        <v>346</v>
      </c>
      <c r="C28" s="165" t="s">
        <v>347</v>
      </c>
      <c r="D28" s="165" t="s">
        <v>216</v>
      </c>
      <c r="E28" s="166">
        <v>112500</v>
      </c>
      <c r="F28" s="167">
        <v>1689.8625</v>
      </c>
      <c r="G28" s="168">
        <v>1.1053739999999999E-2</v>
      </c>
      <c r="H28" s="167"/>
      <c r="J28" s="75"/>
      <c r="K28" s="30"/>
      <c r="L28" s="30"/>
      <c r="M28" s="30"/>
      <c r="N28" s="30"/>
    </row>
    <row r="29" spans="1:14" x14ac:dyDescent="0.2">
      <c r="A29" s="164">
        <v>23</v>
      </c>
      <c r="B29" s="165" t="s">
        <v>348</v>
      </c>
      <c r="C29" s="165" t="s">
        <v>349</v>
      </c>
      <c r="D29" s="165" t="s">
        <v>285</v>
      </c>
      <c r="E29" s="166">
        <v>162450</v>
      </c>
      <c r="F29" s="167">
        <v>1637.3335500000001</v>
      </c>
      <c r="G29" s="168">
        <v>1.071014E-2</v>
      </c>
      <c r="H29" s="167"/>
      <c r="J29" s="75"/>
      <c r="K29" s="30"/>
      <c r="L29" s="30"/>
      <c r="M29" s="30"/>
      <c r="N29" s="30"/>
    </row>
    <row r="30" spans="1:14" ht="25.5" x14ac:dyDescent="0.2">
      <c r="A30" s="164">
        <v>24</v>
      </c>
      <c r="B30" s="165" t="s">
        <v>539</v>
      </c>
      <c r="C30" s="165" t="s">
        <v>540</v>
      </c>
      <c r="D30" s="165" t="s">
        <v>216</v>
      </c>
      <c r="E30" s="166">
        <v>115200</v>
      </c>
      <c r="F30" s="167">
        <v>1612.8</v>
      </c>
      <c r="G30" s="168">
        <v>1.0549660000000001E-2</v>
      </c>
      <c r="H30" s="167"/>
      <c r="J30" s="75"/>
      <c r="K30" s="30"/>
      <c r="L30" s="30"/>
      <c r="M30" s="30"/>
      <c r="N30" s="30"/>
    </row>
    <row r="31" spans="1:14" x14ac:dyDescent="0.2">
      <c r="A31" s="164">
        <v>25</v>
      </c>
      <c r="B31" s="165" t="s">
        <v>537</v>
      </c>
      <c r="C31" s="165" t="s">
        <v>538</v>
      </c>
      <c r="D31" s="165" t="s">
        <v>232</v>
      </c>
      <c r="E31" s="166">
        <v>116000</v>
      </c>
      <c r="F31" s="167">
        <v>1585.2560000000001</v>
      </c>
      <c r="G31" s="168">
        <v>1.036949E-2</v>
      </c>
      <c r="H31" s="167"/>
      <c r="J31" s="75"/>
      <c r="K31" s="30"/>
      <c r="L31" s="30"/>
      <c r="M31" s="30"/>
      <c r="N31" s="30"/>
    </row>
    <row r="32" spans="1:14" x14ac:dyDescent="0.2">
      <c r="A32" s="164">
        <v>26</v>
      </c>
      <c r="B32" s="165" t="s">
        <v>619</v>
      </c>
      <c r="C32" s="165" t="s">
        <v>620</v>
      </c>
      <c r="D32" s="165" t="s">
        <v>285</v>
      </c>
      <c r="E32" s="166">
        <v>17687</v>
      </c>
      <c r="F32" s="167">
        <v>1574.7885755</v>
      </c>
      <c r="G32" s="168">
        <v>1.0301019999999999E-2</v>
      </c>
      <c r="H32" s="167"/>
      <c r="J32" s="75"/>
      <c r="K32" s="30"/>
      <c r="L32" s="30"/>
      <c r="M32" s="30"/>
      <c r="N32" s="30"/>
    </row>
    <row r="33" spans="1:14" x14ac:dyDescent="0.2">
      <c r="A33" s="164">
        <v>27</v>
      </c>
      <c r="B33" s="165" t="s">
        <v>360</v>
      </c>
      <c r="C33" s="165" t="s">
        <v>361</v>
      </c>
      <c r="D33" s="165" t="s">
        <v>39</v>
      </c>
      <c r="E33" s="166">
        <v>102500</v>
      </c>
      <c r="F33" s="167">
        <v>1553.5925</v>
      </c>
      <c r="G33" s="168">
        <v>1.016237E-2</v>
      </c>
      <c r="H33" s="167"/>
      <c r="J33" s="75"/>
      <c r="K33" s="30"/>
      <c r="L33" s="30"/>
      <c r="M33" s="30"/>
      <c r="N33" s="30"/>
    </row>
    <row r="34" spans="1:14" x14ac:dyDescent="0.2">
      <c r="A34" s="164">
        <v>28</v>
      </c>
      <c r="B34" s="165" t="s">
        <v>621</v>
      </c>
      <c r="C34" s="165" t="s">
        <v>622</v>
      </c>
      <c r="D34" s="165" t="s">
        <v>285</v>
      </c>
      <c r="E34" s="166">
        <v>12050</v>
      </c>
      <c r="F34" s="167">
        <v>1544.50875</v>
      </c>
      <c r="G34" s="168">
        <v>1.0102949999999999E-2</v>
      </c>
      <c r="H34" s="167"/>
      <c r="J34" s="75"/>
      <c r="K34" s="30"/>
      <c r="L34" s="30"/>
      <c r="M34" s="30"/>
      <c r="N34" s="30"/>
    </row>
    <row r="35" spans="1:14" x14ac:dyDescent="0.2">
      <c r="A35" s="164">
        <v>29</v>
      </c>
      <c r="B35" s="165" t="s">
        <v>362</v>
      </c>
      <c r="C35" s="165" t="s">
        <v>363</v>
      </c>
      <c r="D35" s="165" t="s">
        <v>364</v>
      </c>
      <c r="E35" s="166">
        <v>350000</v>
      </c>
      <c r="F35" s="167">
        <v>1524.7750000000001</v>
      </c>
      <c r="G35" s="168">
        <v>9.9738699999999993E-3</v>
      </c>
      <c r="H35" s="167"/>
      <c r="J35" s="75"/>
    </row>
    <row r="36" spans="1:14" x14ac:dyDescent="0.2">
      <c r="A36" s="164">
        <v>30</v>
      </c>
      <c r="B36" s="165" t="s">
        <v>341</v>
      </c>
      <c r="C36" s="165" t="s">
        <v>342</v>
      </c>
      <c r="D36" s="165" t="s">
        <v>273</v>
      </c>
      <c r="E36" s="166">
        <v>100000</v>
      </c>
      <c r="F36" s="167">
        <v>1479.45</v>
      </c>
      <c r="G36" s="168">
        <v>9.6773899999999993E-3</v>
      </c>
      <c r="H36" s="167"/>
      <c r="J36" s="75"/>
    </row>
    <row r="37" spans="1:14" x14ac:dyDescent="0.2">
      <c r="A37" s="164">
        <v>31</v>
      </c>
      <c r="B37" s="165" t="s">
        <v>396</v>
      </c>
      <c r="C37" s="165" t="s">
        <v>397</v>
      </c>
      <c r="D37" s="165" t="s">
        <v>53</v>
      </c>
      <c r="E37" s="166">
        <v>81500</v>
      </c>
      <c r="F37" s="167">
        <v>1316.2249999999999</v>
      </c>
      <c r="G37" s="168">
        <v>8.6096999999999996E-3</v>
      </c>
      <c r="H37" s="167"/>
      <c r="J37" s="75"/>
    </row>
    <row r="38" spans="1:14" ht="25.5" x14ac:dyDescent="0.2">
      <c r="A38" s="164">
        <v>32</v>
      </c>
      <c r="B38" s="165" t="s">
        <v>23</v>
      </c>
      <c r="C38" s="165" t="s">
        <v>24</v>
      </c>
      <c r="D38" s="165" t="s">
        <v>25</v>
      </c>
      <c r="E38" s="166">
        <v>12700</v>
      </c>
      <c r="F38" s="167">
        <v>1266.4249500000001</v>
      </c>
      <c r="G38" s="168">
        <v>8.28395E-3</v>
      </c>
      <c r="H38" s="167"/>
      <c r="J38" s="75"/>
    </row>
    <row r="39" spans="1:14" x14ac:dyDescent="0.2">
      <c r="A39" s="164">
        <v>33</v>
      </c>
      <c r="B39" s="165" t="s">
        <v>63</v>
      </c>
      <c r="C39" s="165" t="s">
        <v>64</v>
      </c>
      <c r="D39" s="165" t="s">
        <v>65</v>
      </c>
      <c r="E39" s="166">
        <v>600000</v>
      </c>
      <c r="F39" s="167">
        <v>1254.5999999999999</v>
      </c>
      <c r="G39" s="168">
        <v>8.2065999999999997E-3</v>
      </c>
      <c r="H39" s="167"/>
      <c r="J39" s="75"/>
    </row>
    <row r="40" spans="1:14" ht="25.5" x14ac:dyDescent="0.2">
      <c r="A40" s="164">
        <v>34</v>
      </c>
      <c r="B40" s="165" t="s">
        <v>219</v>
      </c>
      <c r="C40" s="165" t="s">
        <v>220</v>
      </c>
      <c r="D40" s="165" t="s">
        <v>221</v>
      </c>
      <c r="E40" s="166">
        <v>100000</v>
      </c>
      <c r="F40" s="167">
        <v>1207.8499999999999</v>
      </c>
      <c r="G40" s="168">
        <v>7.9007999999999995E-3</v>
      </c>
      <c r="H40" s="167"/>
      <c r="J40" s="75"/>
    </row>
    <row r="41" spans="1:14" x14ac:dyDescent="0.2">
      <c r="A41" s="164">
        <v>35</v>
      </c>
      <c r="B41" s="165" t="s">
        <v>260</v>
      </c>
      <c r="C41" s="165" t="s">
        <v>261</v>
      </c>
      <c r="D41" s="165" t="s">
        <v>262</v>
      </c>
      <c r="E41" s="166">
        <v>36118</v>
      </c>
      <c r="F41" s="167">
        <v>1156.751186</v>
      </c>
      <c r="G41" s="168">
        <v>7.56655E-3</v>
      </c>
      <c r="H41" s="167"/>
      <c r="J41" s="75"/>
    </row>
    <row r="42" spans="1:14" x14ac:dyDescent="0.2">
      <c r="A42" s="164">
        <v>36</v>
      </c>
      <c r="B42" s="165" t="s">
        <v>365</v>
      </c>
      <c r="C42" s="165" t="s">
        <v>366</v>
      </c>
      <c r="D42" s="165" t="s">
        <v>114</v>
      </c>
      <c r="E42" s="166">
        <v>700000</v>
      </c>
      <c r="F42" s="167">
        <v>1155</v>
      </c>
      <c r="G42" s="168">
        <v>7.5550900000000004E-3</v>
      </c>
      <c r="H42" s="167"/>
      <c r="J42" s="75"/>
    </row>
    <row r="43" spans="1:14" x14ac:dyDescent="0.2">
      <c r="A43" s="164">
        <v>37</v>
      </c>
      <c r="B43" s="165" t="s">
        <v>389</v>
      </c>
      <c r="C43" s="165" t="s">
        <v>390</v>
      </c>
      <c r="D43" s="165" t="s">
        <v>53</v>
      </c>
      <c r="E43" s="166">
        <v>16250</v>
      </c>
      <c r="F43" s="167">
        <v>1125.076875</v>
      </c>
      <c r="G43" s="168">
        <v>7.3593599999999997E-3</v>
      </c>
      <c r="H43" s="167"/>
      <c r="J43" s="75"/>
    </row>
    <row r="44" spans="1:14" ht="25.5" x14ac:dyDescent="0.2">
      <c r="A44" s="164">
        <v>38</v>
      </c>
      <c r="B44" s="165" t="s">
        <v>541</v>
      </c>
      <c r="C44" s="165" t="s">
        <v>542</v>
      </c>
      <c r="D44" s="165" t="s">
        <v>414</v>
      </c>
      <c r="E44" s="166">
        <v>100000</v>
      </c>
      <c r="F44" s="167">
        <v>1108.3499999999999</v>
      </c>
      <c r="G44" s="168">
        <v>7.2499499999999998E-3</v>
      </c>
      <c r="H44" s="167"/>
      <c r="J44" s="75"/>
    </row>
    <row r="45" spans="1:14" x14ac:dyDescent="0.2">
      <c r="A45" s="164">
        <v>39</v>
      </c>
      <c r="B45" s="165" t="s">
        <v>222</v>
      </c>
      <c r="C45" s="165" t="s">
        <v>223</v>
      </c>
      <c r="D45" s="165" t="s">
        <v>75</v>
      </c>
      <c r="E45" s="166">
        <v>75000</v>
      </c>
      <c r="F45" s="167">
        <v>1106.0625</v>
      </c>
      <c r="G45" s="168">
        <v>7.2349800000000002E-3</v>
      </c>
      <c r="H45" s="167"/>
      <c r="J45" s="75"/>
    </row>
    <row r="46" spans="1:14" x14ac:dyDescent="0.2">
      <c r="A46" s="164">
        <v>40</v>
      </c>
      <c r="B46" s="165" t="s">
        <v>236</v>
      </c>
      <c r="C46" s="165" t="s">
        <v>237</v>
      </c>
      <c r="D46" s="165" t="s">
        <v>36</v>
      </c>
      <c r="E46" s="166">
        <v>18000</v>
      </c>
      <c r="F46" s="167">
        <v>1019.979</v>
      </c>
      <c r="G46" s="168">
        <v>6.6718899999999998E-3</v>
      </c>
      <c r="H46" s="167"/>
      <c r="J46" s="75"/>
    </row>
    <row r="47" spans="1:14" x14ac:dyDescent="0.2">
      <c r="A47" s="164">
        <v>41</v>
      </c>
      <c r="B47" s="165" t="s">
        <v>258</v>
      </c>
      <c r="C47" s="165" t="s">
        <v>259</v>
      </c>
      <c r="D47" s="165" t="s">
        <v>39</v>
      </c>
      <c r="E47" s="166">
        <v>660000</v>
      </c>
      <c r="F47" s="167">
        <v>1017.72</v>
      </c>
      <c r="G47" s="168">
        <v>6.6571199999999999E-3</v>
      </c>
      <c r="H47" s="167"/>
      <c r="J47" s="75"/>
    </row>
    <row r="48" spans="1:14" x14ac:dyDescent="0.2">
      <c r="A48" s="164">
        <v>42</v>
      </c>
      <c r="B48" s="200" t="s">
        <v>874</v>
      </c>
      <c r="C48" s="200" t="s">
        <v>875</v>
      </c>
      <c r="D48" s="200" t="s">
        <v>22</v>
      </c>
      <c r="E48" s="204">
        <v>1000916</v>
      </c>
      <c r="F48" s="175">
        <v>980.3972</v>
      </c>
      <c r="G48" s="205">
        <v>6.4000000000000003E-3</v>
      </c>
      <c r="H48" s="175"/>
      <c r="J48" s="75"/>
    </row>
    <row r="49" spans="1:10" x14ac:dyDescent="0.2">
      <c r="A49" s="164">
        <v>43</v>
      </c>
      <c r="B49" s="165" t="s">
        <v>71</v>
      </c>
      <c r="C49" s="165" t="s">
        <v>72</v>
      </c>
      <c r="D49" s="165" t="s">
        <v>36</v>
      </c>
      <c r="E49" s="166">
        <v>45000</v>
      </c>
      <c r="F49" s="167">
        <v>956.99249999999995</v>
      </c>
      <c r="G49" s="168">
        <v>6.2598899999999997E-3</v>
      </c>
      <c r="H49" s="167"/>
      <c r="J49" s="75"/>
    </row>
    <row r="50" spans="1:10" ht="25.5" x14ac:dyDescent="0.2">
      <c r="A50" s="164">
        <v>44</v>
      </c>
      <c r="B50" s="165" t="s">
        <v>415</v>
      </c>
      <c r="C50" s="165" t="s">
        <v>416</v>
      </c>
      <c r="D50" s="165" t="s">
        <v>25</v>
      </c>
      <c r="E50" s="166">
        <v>38095</v>
      </c>
      <c r="F50" s="167">
        <v>918.71806749999996</v>
      </c>
      <c r="G50" s="168">
        <v>6.00952E-3</v>
      </c>
      <c r="H50" s="167"/>
      <c r="J50" s="75"/>
    </row>
    <row r="51" spans="1:10" x14ac:dyDescent="0.2">
      <c r="A51" s="164">
        <v>45</v>
      </c>
      <c r="B51" s="165" t="s">
        <v>617</v>
      </c>
      <c r="C51" s="165" t="s">
        <v>618</v>
      </c>
      <c r="D51" s="165" t="s">
        <v>273</v>
      </c>
      <c r="E51" s="166">
        <v>77500</v>
      </c>
      <c r="F51" s="167">
        <v>912.17499999999995</v>
      </c>
      <c r="G51" s="168">
        <v>5.96673E-3</v>
      </c>
      <c r="H51" s="167"/>
      <c r="J51" s="75"/>
    </row>
    <row r="52" spans="1:10" ht="25.5" x14ac:dyDescent="0.2">
      <c r="A52" s="164">
        <v>46</v>
      </c>
      <c r="B52" s="165" t="s">
        <v>354</v>
      </c>
      <c r="C52" s="165" t="s">
        <v>355</v>
      </c>
      <c r="D52" s="165" t="s">
        <v>216</v>
      </c>
      <c r="E52" s="166">
        <v>14000</v>
      </c>
      <c r="F52" s="167">
        <v>868.60199999999998</v>
      </c>
      <c r="G52" s="168">
        <v>5.6817100000000004E-3</v>
      </c>
      <c r="H52" s="167"/>
      <c r="J52" s="75"/>
    </row>
    <row r="53" spans="1:10" x14ac:dyDescent="0.2">
      <c r="A53" s="164">
        <v>47</v>
      </c>
      <c r="B53" s="165" t="s">
        <v>627</v>
      </c>
      <c r="C53" s="165" t="s">
        <v>628</v>
      </c>
      <c r="D53" s="165" t="s">
        <v>235</v>
      </c>
      <c r="E53" s="166">
        <v>150000</v>
      </c>
      <c r="F53" s="167">
        <v>859.35</v>
      </c>
      <c r="G53" s="168">
        <v>5.6211899999999999E-3</v>
      </c>
      <c r="H53" s="167"/>
      <c r="J53" s="75"/>
    </row>
    <row r="54" spans="1:10" x14ac:dyDescent="0.2">
      <c r="A54" s="164">
        <v>48</v>
      </c>
      <c r="B54" s="165" t="s">
        <v>127</v>
      </c>
      <c r="C54" s="165" t="s">
        <v>128</v>
      </c>
      <c r="D54" s="165" t="s">
        <v>16</v>
      </c>
      <c r="E54" s="166">
        <v>140000</v>
      </c>
      <c r="F54" s="167">
        <v>850.29</v>
      </c>
      <c r="G54" s="168">
        <v>5.5619199999999997E-3</v>
      </c>
      <c r="H54" s="167"/>
      <c r="J54" s="75"/>
    </row>
    <row r="55" spans="1:10" ht="25.5" x14ac:dyDescent="0.2">
      <c r="A55" s="164">
        <v>49</v>
      </c>
      <c r="B55" s="165" t="s">
        <v>246</v>
      </c>
      <c r="C55" s="165" t="s">
        <v>247</v>
      </c>
      <c r="D55" s="165" t="s">
        <v>216</v>
      </c>
      <c r="E55" s="166">
        <v>16587</v>
      </c>
      <c r="F55" s="167">
        <v>801.65800349999995</v>
      </c>
      <c r="G55" s="168">
        <v>5.2438099999999998E-3</v>
      </c>
      <c r="H55" s="167"/>
      <c r="J55" s="75"/>
    </row>
    <row r="56" spans="1:10" x14ac:dyDescent="0.2">
      <c r="A56" s="164">
        <v>50</v>
      </c>
      <c r="B56" s="165" t="s">
        <v>535</v>
      </c>
      <c r="C56" s="165" t="s">
        <v>536</v>
      </c>
      <c r="D56" s="165" t="s">
        <v>235</v>
      </c>
      <c r="E56" s="166">
        <v>50000</v>
      </c>
      <c r="F56" s="167">
        <v>718.27499999999998</v>
      </c>
      <c r="G56" s="168">
        <v>4.6983900000000002E-3</v>
      </c>
      <c r="H56" s="167"/>
      <c r="J56" s="75"/>
    </row>
    <row r="57" spans="1:10" x14ac:dyDescent="0.2">
      <c r="A57" s="164">
        <v>51</v>
      </c>
      <c r="B57" s="165" t="s">
        <v>274</v>
      </c>
      <c r="C57" s="165" t="s">
        <v>275</v>
      </c>
      <c r="D57" s="165" t="s">
        <v>276</v>
      </c>
      <c r="E57" s="166">
        <v>65100</v>
      </c>
      <c r="F57" s="167">
        <v>716.94629999999995</v>
      </c>
      <c r="G57" s="168">
        <v>4.6896899999999998E-3</v>
      </c>
      <c r="H57" s="167"/>
      <c r="J57" s="75"/>
    </row>
    <row r="58" spans="1:10" ht="25.5" x14ac:dyDescent="0.2">
      <c r="A58" s="164">
        <v>52</v>
      </c>
      <c r="B58" s="165" t="s">
        <v>224</v>
      </c>
      <c r="C58" s="165" t="s">
        <v>225</v>
      </c>
      <c r="D58" s="165" t="s">
        <v>216</v>
      </c>
      <c r="E58" s="166">
        <v>40000</v>
      </c>
      <c r="F58" s="167">
        <v>658.36</v>
      </c>
      <c r="G58" s="168">
        <v>4.3064699999999997E-3</v>
      </c>
      <c r="H58" s="167"/>
      <c r="J58" s="75"/>
    </row>
    <row r="59" spans="1:10" x14ac:dyDescent="0.2">
      <c r="A59" s="164">
        <v>53</v>
      </c>
      <c r="B59" s="165" t="s">
        <v>143</v>
      </c>
      <c r="C59" s="165" t="s">
        <v>144</v>
      </c>
      <c r="D59" s="165" t="s">
        <v>104</v>
      </c>
      <c r="E59" s="166">
        <v>100000</v>
      </c>
      <c r="F59" s="167">
        <v>625.35</v>
      </c>
      <c r="G59" s="168">
        <v>4.0905400000000001E-3</v>
      </c>
      <c r="H59" s="167"/>
      <c r="J59" s="75"/>
    </row>
    <row r="60" spans="1:10" x14ac:dyDescent="0.2">
      <c r="A60" s="164">
        <v>54</v>
      </c>
      <c r="B60" s="165" t="s">
        <v>211</v>
      </c>
      <c r="C60" s="165" t="s">
        <v>212</v>
      </c>
      <c r="D60" s="165" t="s">
        <v>213</v>
      </c>
      <c r="E60" s="166">
        <v>140000</v>
      </c>
      <c r="F60" s="167">
        <v>613.97</v>
      </c>
      <c r="G60" s="168">
        <v>4.0160999999999999E-3</v>
      </c>
      <c r="H60" s="167"/>
      <c r="J60" s="75"/>
    </row>
    <row r="61" spans="1:10" ht="25.5" x14ac:dyDescent="0.2">
      <c r="A61" s="164">
        <v>55</v>
      </c>
      <c r="B61" s="165" t="s">
        <v>141</v>
      </c>
      <c r="C61" s="165" t="s">
        <v>142</v>
      </c>
      <c r="D61" s="165" t="s">
        <v>25</v>
      </c>
      <c r="E61" s="166">
        <v>32000</v>
      </c>
      <c r="F61" s="167">
        <v>588.20799999999997</v>
      </c>
      <c r="G61" s="168">
        <v>3.8475900000000001E-3</v>
      </c>
      <c r="H61" s="167"/>
      <c r="J61" s="75"/>
    </row>
    <row r="62" spans="1:10" x14ac:dyDescent="0.2">
      <c r="A62" s="164">
        <v>56</v>
      </c>
      <c r="B62" s="165" t="s">
        <v>108</v>
      </c>
      <c r="C62" s="165" t="s">
        <v>109</v>
      </c>
      <c r="D62" s="165" t="s">
        <v>62</v>
      </c>
      <c r="E62" s="166">
        <v>120000</v>
      </c>
      <c r="F62" s="167">
        <v>538.79999999999995</v>
      </c>
      <c r="G62" s="168">
        <v>3.5244E-3</v>
      </c>
      <c r="H62" s="167"/>
      <c r="J62" s="75"/>
    </row>
    <row r="63" spans="1:10" x14ac:dyDescent="0.2">
      <c r="A63" s="164">
        <v>57</v>
      </c>
      <c r="B63" s="165" t="s">
        <v>633</v>
      </c>
      <c r="C63" s="165" t="s">
        <v>634</v>
      </c>
      <c r="D63" s="165" t="s">
        <v>232</v>
      </c>
      <c r="E63" s="166">
        <v>34000</v>
      </c>
      <c r="F63" s="167">
        <v>429.59</v>
      </c>
      <c r="G63" s="168">
        <v>2.8100400000000002E-3</v>
      </c>
      <c r="H63" s="167"/>
      <c r="J63" s="75"/>
    </row>
    <row r="64" spans="1:10" x14ac:dyDescent="0.2">
      <c r="A64" s="164">
        <v>58</v>
      </c>
      <c r="B64" s="165" t="s">
        <v>51</v>
      </c>
      <c r="C64" s="165" t="s">
        <v>52</v>
      </c>
      <c r="D64" s="165" t="s">
        <v>53</v>
      </c>
      <c r="E64" s="166">
        <v>80000</v>
      </c>
      <c r="F64" s="167">
        <v>405.72</v>
      </c>
      <c r="G64" s="168">
        <v>2.6538999999999998E-3</v>
      </c>
      <c r="H64" s="167"/>
      <c r="J64" s="75"/>
    </row>
    <row r="65" spans="1:10" x14ac:dyDescent="0.2">
      <c r="A65" s="164">
        <v>59</v>
      </c>
      <c r="B65" s="165" t="s">
        <v>217</v>
      </c>
      <c r="C65" s="165" t="s">
        <v>218</v>
      </c>
      <c r="D65" s="165" t="s">
        <v>39</v>
      </c>
      <c r="E65" s="166">
        <v>60000</v>
      </c>
      <c r="F65" s="167">
        <v>328.95</v>
      </c>
      <c r="G65" s="168">
        <v>2.1517300000000001E-3</v>
      </c>
      <c r="H65" s="167"/>
      <c r="J65" s="75"/>
    </row>
    <row r="66" spans="1:10" ht="25.5" x14ac:dyDescent="0.2">
      <c r="A66" s="164">
        <v>60</v>
      </c>
      <c r="B66" s="165" t="s">
        <v>717</v>
      </c>
      <c r="C66" s="165" t="s">
        <v>718</v>
      </c>
      <c r="D66" s="165" t="s">
        <v>221</v>
      </c>
      <c r="E66" s="166">
        <v>7800</v>
      </c>
      <c r="F66" s="167">
        <v>39.557699999999997</v>
      </c>
      <c r="G66" s="168">
        <v>2.5876000000000002E-4</v>
      </c>
      <c r="H66" s="167"/>
      <c r="J66" s="75"/>
    </row>
    <row r="67" spans="1:10" x14ac:dyDescent="0.2">
      <c r="A67" s="162"/>
      <c r="B67" s="162"/>
      <c r="C67" s="163" t="s">
        <v>152</v>
      </c>
      <c r="D67" s="162"/>
      <c r="E67" s="162" t="s">
        <v>153</v>
      </c>
      <c r="F67" s="169">
        <v>117100.95137900001</v>
      </c>
      <c r="G67" s="170">
        <v>0.76593643</v>
      </c>
      <c r="H67" s="167"/>
      <c r="J67" s="75"/>
    </row>
    <row r="68" spans="1:10" x14ac:dyDescent="0.2">
      <c r="A68" s="162"/>
      <c r="B68" s="162"/>
      <c r="C68" s="171"/>
      <c r="D68" s="162"/>
      <c r="E68" s="162"/>
      <c r="F68" s="172"/>
      <c r="G68" s="172"/>
      <c r="H68" s="167"/>
      <c r="J68" s="75"/>
    </row>
    <row r="69" spans="1:10" x14ac:dyDescent="0.2">
      <c r="A69" s="162"/>
      <c r="B69" s="162"/>
      <c r="C69" s="163" t="s">
        <v>154</v>
      </c>
      <c r="D69" s="162"/>
      <c r="E69" s="162"/>
      <c r="F69" s="162"/>
      <c r="G69" s="162"/>
      <c r="H69" s="167"/>
      <c r="J69" s="75"/>
    </row>
    <row r="70" spans="1:10" x14ac:dyDescent="0.2">
      <c r="A70" s="162"/>
      <c r="B70" s="162"/>
      <c r="C70" s="163" t="s">
        <v>152</v>
      </c>
      <c r="D70" s="162"/>
      <c r="E70" s="162" t="s">
        <v>153</v>
      </c>
      <c r="F70" s="173" t="s">
        <v>155</v>
      </c>
      <c r="G70" s="170">
        <v>0</v>
      </c>
      <c r="H70" s="167"/>
      <c r="J70" s="75"/>
    </row>
    <row r="71" spans="1:10" x14ac:dyDescent="0.2">
      <c r="A71" s="162"/>
      <c r="B71" s="162"/>
      <c r="C71" s="171"/>
      <c r="D71" s="162"/>
      <c r="E71" s="162"/>
      <c r="F71" s="172"/>
      <c r="G71" s="172"/>
      <c r="H71" s="167"/>
      <c r="J71" s="75"/>
    </row>
    <row r="72" spans="1:10" x14ac:dyDescent="0.2">
      <c r="A72" s="162"/>
      <c r="B72" s="162"/>
      <c r="C72" s="163" t="s">
        <v>156</v>
      </c>
      <c r="D72" s="162"/>
      <c r="E72" s="162"/>
      <c r="F72" s="162"/>
      <c r="G72" s="162"/>
      <c r="H72" s="167"/>
      <c r="J72" s="75"/>
    </row>
    <row r="73" spans="1:10" x14ac:dyDescent="0.2">
      <c r="A73" s="162"/>
      <c r="B73" s="162"/>
      <c r="C73" s="163" t="s">
        <v>152</v>
      </c>
      <c r="D73" s="162"/>
      <c r="E73" s="162" t="s">
        <v>153</v>
      </c>
      <c r="F73" s="173" t="s">
        <v>155</v>
      </c>
      <c r="G73" s="170">
        <v>0</v>
      </c>
      <c r="H73" s="167"/>
      <c r="J73" s="75"/>
    </row>
    <row r="74" spans="1:10" x14ac:dyDescent="0.2">
      <c r="A74" s="162"/>
      <c r="B74" s="162"/>
      <c r="C74" s="171"/>
      <c r="D74" s="162"/>
      <c r="E74" s="162"/>
      <c r="F74" s="172"/>
      <c r="G74" s="172"/>
      <c r="H74" s="167"/>
      <c r="J74" s="75"/>
    </row>
    <row r="75" spans="1:10" x14ac:dyDescent="0.2">
      <c r="A75" s="162"/>
      <c r="B75" s="162"/>
      <c r="C75" s="163" t="s">
        <v>157</v>
      </c>
      <c r="D75" s="162"/>
      <c r="E75" s="162"/>
      <c r="F75" s="162"/>
      <c r="G75" s="162"/>
      <c r="H75" s="167"/>
      <c r="J75" s="75"/>
    </row>
    <row r="76" spans="1:10" x14ac:dyDescent="0.2">
      <c r="A76" s="162"/>
      <c r="B76" s="162"/>
      <c r="C76" s="163" t="s">
        <v>152</v>
      </c>
      <c r="D76" s="162"/>
      <c r="E76" s="162" t="s">
        <v>153</v>
      </c>
      <c r="F76" s="173" t="s">
        <v>155</v>
      </c>
      <c r="G76" s="170">
        <v>0</v>
      </c>
      <c r="H76" s="167"/>
      <c r="J76" s="75"/>
    </row>
    <row r="77" spans="1:10" x14ac:dyDescent="0.2">
      <c r="A77" s="162"/>
      <c r="B77" s="162"/>
      <c r="C77" s="171"/>
      <c r="D77" s="162"/>
      <c r="E77" s="162"/>
      <c r="F77" s="172"/>
      <c r="G77" s="172"/>
      <c r="H77" s="167"/>
      <c r="J77" s="75"/>
    </row>
    <row r="78" spans="1:10" x14ac:dyDescent="0.2">
      <c r="A78" s="162"/>
      <c r="B78" s="162"/>
      <c r="C78" s="163" t="s">
        <v>158</v>
      </c>
      <c r="D78" s="162"/>
      <c r="E78" s="162"/>
      <c r="F78" s="172"/>
      <c r="G78" s="172"/>
      <c r="H78" s="167"/>
      <c r="J78" s="75"/>
    </row>
    <row r="79" spans="1:10" x14ac:dyDescent="0.2">
      <c r="A79" s="162"/>
      <c r="B79" s="162"/>
      <c r="C79" s="163" t="s">
        <v>152</v>
      </c>
      <c r="D79" s="162"/>
      <c r="E79" s="162" t="s">
        <v>153</v>
      </c>
      <c r="F79" s="173" t="s">
        <v>155</v>
      </c>
      <c r="G79" s="170">
        <v>0</v>
      </c>
      <c r="H79" s="167"/>
      <c r="J79" s="75"/>
    </row>
    <row r="80" spans="1:10" x14ac:dyDescent="0.2">
      <c r="A80" s="162"/>
      <c r="B80" s="162"/>
      <c r="C80" s="163"/>
      <c r="D80" s="162"/>
      <c r="E80" s="162"/>
      <c r="F80" s="173"/>
      <c r="G80" s="170"/>
      <c r="H80" s="167"/>
      <c r="J80" s="75"/>
    </row>
    <row r="81" spans="1:10" x14ac:dyDescent="0.2">
      <c r="A81" s="201"/>
      <c r="B81" s="201"/>
      <c r="C81" s="184" t="s">
        <v>876</v>
      </c>
      <c r="D81" s="201"/>
      <c r="E81" s="201"/>
      <c r="F81" s="202"/>
      <c r="G81" s="202"/>
      <c r="H81" s="175"/>
      <c r="J81" s="75"/>
    </row>
    <row r="82" spans="1:10" ht="25.5" x14ac:dyDescent="0.2">
      <c r="A82" s="203">
        <v>1</v>
      </c>
      <c r="B82" s="200" t="s">
        <v>877</v>
      </c>
      <c r="C82" s="200" t="s">
        <v>878</v>
      </c>
      <c r="D82" s="200" t="s">
        <v>879</v>
      </c>
      <c r="E82" s="204">
        <v>1750</v>
      </c>
      <c r="F82" s="175">
        <v>744.06</v>
      </c>
      <c r="G82" s="205">
        <v>4.8999999999999998E-3</v>
      </c>
      <c r="H82" s="175">
        <v>8.5449999999999999</v>
      </c>
      <c r="J82" s="75"/>
    </row>
    <row r="83" spans="1:10" x14ac:dyDescent="0.2">
      <c r="A83" s="201"/>
      <c r="B83" s="201"/>
      <c r="C83" s="184" t="s">
        <v>152</v>
      </c>
      <c r="D83" s="201"/>
      <c r="E83" s="201" t="s">
        <v>153</v>
      </c>
      <c r="F83" s="206">
        <v>744.06</v>
      </c>
      <c r="G83" s="207">
        <v>4.8999999999999998E-3</v>
      </c>
      <c r="H83" s="175"/>
      <c r="J83" s="75"/>
    </row>
    <row r="84" spans="1:10" x14ac:dyDescent="0.2">
      <c r="A84" s="162"/>
      <c r="B84" s="162"/>
      <c r="C84" s="171"/>
      <c r="D84" s="162"/>
      <c r="E84" s="162"/>
      <c r="F84" s="172"/>
      <c r="G84" s="172"/>
      <c r="H84" s="167"/>
      <c r="J84" s="75"/>
    </row>
    <row r="85" spans="1:10" x14ac:dyDescent="0.2">
      <c r="A85" s="162"/>
      <c r="B85" s="162"/>
      <c r="C85" s="163" t="s">
        <v>1214</v>
      </c>
      <c r="D85" s="162"/>
      <c r="E85" s="162"/>
      <c r="F85" s="172"/>
      <c r="G85" s="172"/>
      <c r="H85" s="167"/>
      <c r="J85" s="75"/>
    </row>
    <row r="86" spans="1:10" x14ac:dyDescent="0.2">
      <c r="A86" s="164">
        <v>1</v>
      </c>
      <c r="B86" s="165"/>
      <c r="C86" s="165" t="s">
        <v>1025</v>
      </c>
      <c r="D86" s="165" t="s">
        <v>636</v>
      </c>
      <c r="E86" s="166">
        <v>-7800</v>
      </c>
      <c r="F86" s="167">
        <v>-39.8658</v>
      </c>
      <c r="G86" s="231">
        <v>-2.6077041094997567E-4</v>
      </c>
      <c r="H86" s="167"/>
      <c r="J86" s="75"/>
    </row>
    <row r="87" spans="1:10" x14ac:dyDescent="0.2">
      <c r="A87" s="164">
        <v>2</v>
      </c>
      <c r="B87" s="165"/>
      <c r="C87" s="165" t="s">
        <v>1026</v>
      </c>
      <c r="D87" s="165" t="s">
        <v>636</v>
      </c>
      <c r="E87" s="166">
        <v>-1050</v>
      </c>
      <c r="F87" s="167">
        <v>-135.212175</v>
      </c>
      <c r="G87" s="231">
        <v>-8.8445069308003429E-4</v>
      </c>
      <c r="H87" s="167"/>
      <c r="J87" s="75"/>
    </row>
    <row r="88" spans="1:10" x14ac:dyDescent="0.2">
      <c r="A88" s="164">
        <v>3</v>
      </c>
      <c r="B88" s="165"/>
      <c r="C88" s="165" t="s">
        <v>1027</v>
      </c>
      <c r="D88" s="165" t="s">
        <v>636</v>
      </c>
      <c r="E88" s="166">
        <v>-45000</v>
      </c>
      <c r="F88" s="167">
        <v>-164.25</v>
      </c>
      <c r="G88" s="231">
        <v>-1.0743930887761818E-3</v>
      </c>
      <c r="H88" s="167"/>
      <c r="J88" s="75"/>
    </row>
    <row r="89" spans="1:10" x14ac:dyDescent="0.2">
      <c r="A89" s="164">
        <v>4</v>
      </c>
      <c r="B89" s="165"/>
      <c r="C89" s="165" t="s">
        <v>1028</v>
      </c>
      <c r="D89" s="165" t="s">
        <v>636</v>
      </c>
      <c r="E89" s="166">
        <v>-31000</v>
      </c>
      <c r="F89" s="167">
        <v>-503.85849999999999</v>
      </c>
      <c r="G89" s="231">
        <v>-3.2958422534011189E-3</v>
      </c>
      <c r="H89" s="167"/>
      <c r="J89" s="75"/>
    </row>
    <row r="90" spans="1:10" x14ac:dyDescent="0.2">
      <c r="A90" s="164">
        <v>5</v>
      </c>
      <c r="B90" s="165"/>
      <c r="C90" s="165" t="s">
        <v>1029</v>
      </c>
      <c r="D90" s="165" t="s">
        <v>636</v>
      </c>
      <c r="E90" s="166">
        <v>-32000</v>
      </c>
      <c r="F90" s="167">
        <v>-590.89599999999996</v>
      </c>
      <c r="G90" s="231">
        <v>-3.8651724723621959E-3</v>
      </c>
      <c r="H90" s="167"/>
      <c r="J90" s="75"/>
    </row>
    <row r="91" spans="1:10" x14ac:dyDescent="0.2">
      <c r="A91" s="164">
        <v>6</v>
      </c>
      <c r="B91" s="165"/>
      <c r="C91" s="165" t="s">
        <v>1030</v>
      </c>
      <c r="D91" s="165" t="s">
        <v>636</v>
      </c>
      <c r="E91" s="166">
        <v>-40000</v>
      </c>
      <c r="F91" s="167">
        <v>-610.16</v>
      </c>
      <c r="G91" s="231">
        <v>-3.9911822651304413E-3</v>
      </c>
      <c r="H91" s="167"/>
      <c r="J91" s="75"/>
    </row>
    <row r="92" spans="1:10" x14ac:dyDescent="0.2">
      <c r="A92" s="164">
        <v>7</v>
      </c>
      <c r="B92" s="165"/>
      <c r="C92" s="165" t="s">
        <v>1031</v>
      </c>
      <c r="D92" s="165" t="s">
        <v>636</v>
      </c>
      <c r="E92" s="166">
        <v>-16250</v>
      </c>
      <c r="F92" s="167">
        <v>-1132.5518750000001</v>
      </c>
      <c r="G92" s="231">
        <v>-7.4082551426514842E-3</v>
      </c>
      <c r="H92" s="167"/>
      <c r="J92" s="75"/>
    </row>
    <row r="93" spans="1:10" x14ac:dyDescent="0.2">
      <c r="A93" s="164">
        <v>8</v>
      </c>
      <c r="B93" s="165"/>
      <c r="C93" s="165" t="s">
        <v>1032</v>
      </c>
      <c r="D93" s="165" t="s">
        <v>636</v>
      </c>
      <c r="E93" s="166">
        <v>-83200</v>
      </c>
      <c r="F93" s="167">
        <v>-1173.7023999999999</v>
      </c>
      <c r="G93" s="231">
        <v>-7.6774292045054338E-3</v>
      </c>
      <c r="H93" s="167"/>
      <c r="J93" s="75"/>
    </row>
    <row r="94" spans="1:10" x14ac:dyDescent="0.2">
      <c r="A94" s="164">
        <v>9</v>
      </c>
      <c r="B94" s="165"/>
      <c r="C94" s="165" t="s">
        <v>1033</v>
      </c>
      <c r="D94" s="165" t="s">
        <v>636</v>
      </c>
      <c r="E94" s="166">
        <v>-115200</v>
      </c>
      <c r="F94" s="167">
        <v>-1648.6271999999999</v>
      </c>
      <c r="G94" s="231">
        <v>-1.0784010165287232E-2</v>
      </c>
      <c r="H94" s="167"/>
      <c r="J94" s="75"/>
    </row>
    <row r="95" spans="1:10" x14ac:dyDescent="0.2">
      <c r="A95" s="164">
        <v>10</v>
      </c>
      <c r="B95" s="165"/>
      <c r="C95" s="165" t="s">
        <v>1034</v>
      </c>
      <c r="D95" s="165" t="s">
        <v>636</v>
      </c>
      <c r="E95" s="166">
        <v>-162450</v>
      </c>
      <c r="F95" s="167">
        <v>-1650.0046500000001</v>
      </c>
      <c r="G95" s="231">
        <v>-1.0793020349519409E-2</v>
      </c>
      <c r="H95" s="167"/>
      <c r="J95" s="75"/>
    </row>
    <row r="96" spans="1:10" x14ac:dyDescent="0.2">
      <c r="A96" s="164">
        <v>11</v>
      </c>
      <c r="B96" s="165"/>
      <c r="C96" s="165" t="s">
        <v>1015</v>
      </c>
      <c r="D96" s="165" t="s">
        <v>636</v>
      </c>
      <c r="E96" s="166">
        <v>-14000000</v>
      </c>
      <c r="F96" s="167">
        <v>-1869</v>
      </c>
      <c r="G96" s="231">
        <v>-1.2225514051279657E-2</v>
      </c>
      <c r="H96" s="167"/>
      <c r="J96" s="75"/>
    </row>
    <row r="97" spans="1:10" x14ac:dyDescent="0.2">
      <c r="A97" s="164">
        <v>12</v>
      </c>
      <c r="B97" s="165"/>
      <c r="C97" s="165" t="s">
        <v>1035</v>
      </c>
      <c r="D97" s="165" t="s">
        <v>636</v>
      </c>
      <c r="E97" s="166">
        <v>-383400</v>
      </c>
      <c r="F97" s="167">
        <v>-2402.9594999999999</v>
      </c>
      <c r="G97" s="231">
        <v>-1.5718253147087181E-2</v>
      </c>
      <c r="H97" s="167"/>
      <c r="J97" s="75"/>
    </row>
    <row r="98" spans="1:10" x14ac:dyDescent="0.2">
      <c r="A98" s="164">
        <v>13</v>
      </c>
      <c r="B98" s="165"/>
      <c r="C98" s="165" t="s">
        <v>1010</v>
      </c>
      <c r="D98" s="165" t="s">
        <v>636</v>
      </c>
      <c r="E98" s="166">
        <v>-159600</v>
      </c>
      <c r="F98" s="167">
        <v>-2611.6943999999999</v>
      </c>
      <c r="G98" s="231">
        <v>-1.7083631131540072E-2</v>
      </c>
      <c r="H98" s="167"/>
      <c r="J98" s="75"/>
    </row>
    <row r="99" spans="1:10" x14ac:dyDescent="0.2">
      <c r="A99" s="164">
        <v>14</v>
      </c>
      <c r="B99" s="165"/>
      <c r="C99" s="165" t="s">
        <v>1036</v>
      </c>
      <c r="D99" s="165" t="s">
        <v>636</v>
      </c>
      <c r="E99" s="166">
        <v>-930150</v>
      </c>
      <c r="F99" s="167">
        <v>-2636.0450999999998</v>
      </c>
      <c r="G99" s="231">
        <v>-1.7242914076969977E-2</v>
      </c>
      <c r="H99" s="167"/>
      <c r="J99" s="75"/>
    </row>
    <row r="100" spans="1:10" x14ac:dyDescent="0.2">
      <c r="A100" s="164">
        <v>15</v>
      </c>
      <c r="B100" s="165"/>
      <c r="C100" s="165" t="s">
        <v>1037</v>
      </c>
      <c r="D100" s="165" t="s">
        <v>636</v>
      </c>
      <c r="E100" s="166">
        <v>-1833000</v>
      </c>
      <c r="F100" s="167">
        <v>-2707.3409999999999</v>
      </c>
      <c r="G100" s="231">
        <v>-1.7709275247247469E-2</v>
      </c>
      <c r="H100" s="167"/>
      <c r="J100" s="75"/>
    </row>
    <row r="101" spans="1:10" x14ac:dyDescent="0.2">
      <c r="A101" s="164">
        <v>16</v>
      </c>
      <c r="B101" s="165"/>
      <c r="C101" s="165" t="s">
        <v>1022</v>
      </c>
      <c r="D101" s="165" t="s">
        <v>636</v>
      </c>
      <c r="E101" s="166">
        <v>-182050</v>
      </c>
      <c r="F101" s="167">
        <v>-2754.7806</v>
      </c>
      <c r="G101" s="231">
        <v>-1.8019587444351313E-2</v>
      </c>
      <c r="H101" s="167"/>
      <c r="J101" s="75"/>
    </row>
    <row r="102" spans="1:10" x14ac:dyDescent="0.2">
      <c r="A102" s="162"/>
      <c r="B102" s="162"/>
      <c r="C102" s="163" t="s">
        <v>152</v>
      </c>
      <c r="D102" s="162"/>
      <c r="E102" s="162" t="s">
        <v>153</v>
      </c>
      <c r="F102" s="169">
        <v>-22630.949199999999</v>
      </c>
      <c r="G102" s="170">
        <v>-0.14803369</v>
      </c>
      <c r="H102" s="167"/>
      <c r="J102" s="75"/>
    </row>
    <row r="103" spans="1:10" x14ac:dyDescent="0.2">
      <c r="A103" s="162"/>
      <c r="B103" s="162"/>
      <c r="C103" s="171"/>
      <c r="D103" s="162"/>
      <c r="E103" s="162"/>
      <c r="F103" s="172"/>
      <c r="G103" s="172"/>
      <c r="H103" s="167"/>
      <c r="J103" s="75"/>
    </row>
    <row r="104" spans="1:10" x14ac:dyDescent="0.2">
      <c r="A104" s="162"/>
      <c r="B104" s="162"/>
      <c r="C104" s="163" t="s">
        <v>160</v>
      </c>
      <c r="D104" s="162"/>
      <c r="E104" s="162"/>
      <c r="F104" s="169">
        <v>117845.011379</v>
      </c>
      <c r="G104" s="170">
        <v>0.77083643000000002</v>
      </c>
      <c r="H104" s="167"/>
      <c r="J104" s="75"/>
    </row>
    <row r="105" spans="1:10" x14ac:dyDescent="0.2">
      <c r="A105" s="162"/>
      <c r="B105" s="162"/>
      <c r="C105" s="171"/>
      <c r="D105" s="162"/>
      <c r="E105" s="162"/>
      <c r="F105" s="172"/>
      <c r="G105" s="172"/>
      <c r="H105" s="167"/>
      <c r="J105" s="75"/>
    </row>
    <row r="106" spans="1:10" x14ac:dyDescent="0.2">
      <c r="A106" s="162"/>
      <c r="B106" s="162"/>
      <c r="C106" s="163" t="s">
        <v>161</v>
      </c>
      <c r="D106" s="162"/>
      <c r="E106" s="162"/>
      <c r="F106" s="172"/>
      <c r="G106" s="172"/>
      <c r="H106" s="167"/>
      <c r="J106" s="75"/>
    </row>
    <row r="107" spans="1:10" x14ac:dyDescent="0.2">
      <c r="A107" s="162"/>
      <c r="B107" s="162"/>
      <c r="C107" s="163" t="s">
        <v>10</v>
      </c>
      <c r="D107" s="162"/>
      <c r="E107" s="162"/>
      <c r="F107" s="172"/>
      <c r="G107" s="172"/>
      <c r="H107" s="167"/>
      <c r="J107" s="75"/>
    </row>
    <row r="108" spans="1:10" ht="25.5" x14ac:dyDescent="0.2">
      <c r="A108" s="164">
        <v>1</v>
      </c>
      <c r="B108" s="165" t="s">
        <v>719</v>
      </c>
      <c r="C108" s="165" t="s">
        <v>720</v>
      </c>
      <c r="D108" s="165" t="s">
        <v>432</v>
      </c>
      <c r="E108" s="166">
        <v>250</v>
      </c>
      <c r="F108" s="167">
        <v>2483.6224999999999</v>
      </c>
      <c r="G108" s="168">
        <v>1.6245889999999999E-2</v>
      </c>
      <c r="H108" s="167">
        <v>8.0299999999999994</v>
      </c>
      <c r="J108" s="75"/>
    </row>
    <row r="109" spans="1:10" x14ac:dyDescent="0.2">
      <c r="A109" s="164">
        <v>2</v>
      </c>
      <c r="B109" s="165" t="s">
        <v>639</v>
      </c>
      <c r="C109" s="165" t="s">
        <v>640</v>
      </c>
      <c r="D109" s="165" t="s">
        <v>423</v>
      </c>
      <c r="E109" s="166">
        <v>150</v>
      </c>
      <c r="F109" s="167">
        <v>1525.3965000000001</v>
      </c>
      <c r="G109" s="168">
        <v>9.9779299999999994E-3</v>
      </c>
      <c r="H109" s="167">
        <v>7.75</v>
      </c>
      <c r="J109" s="75"/>
    </row>
    <row r="110" spans="1:10" ht="25.5" x14ac:dyDescent="0.2">
      <c r="A110" s="164">
        <v>3</v>
      </c>
      <c r="B110" s="165" t="s">
        <v>435</v>
      </c>
      <c r="C110" s="165" t="s">
        <v>436</v>
      </c>
      <c r="D110" s="165" t="s">
        <v>423</v>
      </c>
      <c r="E110" s="166">
        <v>1500</v>
      </c>
      <c r="F110" s="167">
        <v>1492.1745000000001</v>
      </c>
      <c r="G110" s="168">
        <v>9.7606199999999994E-3</v>
      </c>
      <c r="H110" s="167">
        <v>7.8150000000000004</v>
      </c>
      <c r="J110" s="75"/>
    </row>
    <row r="111" spans="1:10" ht="25.5" x14ac:dyDescent="0.2">
      <c r="A111" s="164">
        <v>4</v>
      </c>
      <c r="B111" s="165" t="s">
        <v>649</v>
      </c>
      <c r="C111" s="165" t="s">
        <v>650</v>
      </c>
      <c r="D111" s="165" t="s">
        <v>432</v>
      </c>
      <c r="E111" s="166">
        <v>1500</v>
      </c>
      <c r="F111" s="167">
        <v>1492.134</v>
      </c>
      <c r="G111" s="168">
        <v>9.7603599999999992E-3</v>
      </c>
      <c r="H111" s="167">
        <v>7.7649999999999997</v>
      </c>
      <c r="J111" s="75"/>
    </row>
    <row r="112" spans="1:10" ht="25.5" x14ac:dyDescent="0.2">
      <c r="A112" s="164">
        <v>5</v>
      </c>
      <c r="B112" s="165" t="s">
        <v>653</v>
      </c>
      <c r="C112" s="165" t="s">
        <v>654</v>
      </c>
      <c r="D112" s="165" t="s">
        <v>423</v>
      </c>
      <c r="E112" s="166">
        <v>1000</v>
      </c>
      <c r="F112" s="167">
        <v>1022.481</v>
      </c>
      <c r="G112" s="168">
        <v>6.6882599999999997E-3</v>
      </c>
      <c r="H112" s="167">
        <v>7.47</v>
      </c>
      <c r="J112" s="75"/>
    </row>
    <row r="113" spans="1:10" x14ac:dyDescent="0.2">
      <c r="A113" s="164">
        <v>6</v>
      </c>
      <c r="B113" s="165" t="s">
        <v>433</v>
      </c>
      <c r="C113" s="165" t="s">
        <v>434</v>
      </c>
      <c r="D113" s="165" t="s">
        <v>423</v>
      </c>
      <c r="E113" s="166">
        <v>1000</v>
      </c>
      <c r="F113" s="167">
        <v>1001.245</v>
      </c>
      <c r="G113" s="168">
        <v>6.5493499999999998E-3</v>
      </c>
      <c r="H113" s="167">
        <v>7.78</v>
      </c>
      <c r="J113" s="75"/>
    </row>
    <row r="114" spans="1:10" x14ac:dyDescent="0.2">
      <c r="A114" s="164">
        <v>7</v>
      </c>
      <c r="B114" s="165" t="s">
        <v>663</v>
      </c>
      <c r="C114" s="165" t="s">
        <v>664</v>
      </c>
      <c r="D114" s="165" t="s">
        <v>423</v>
      </c>
      <c r="E114" s="166">
        <v>100</v>
      </c>
      <c r="F114" s="167">
        <v>997.05499999999995</v>
      </c>
      <c r="G114" s="168">
        <v>6.5219400000000004E-3</v>
      </c>
      <c r="H114" s="167">
        <v>7.9749999999999996</v>
      </c>
      <c r="J114" s="75"/>
    </row>
    <row r="115" spans="1:10" x14ac:dyDescent="0.2">
      <c r="A115" s="164">
        <v>8</v>
      </c>
      <c r="B115" s="165" t="s">
        <v>678</v>
      </c>
      <c r="C115" s="165" t="s">
        <v>679</v>
      </c>
      <c r="D115" s="165" t="s">
        <v>423</v>
      </c>
      <c r="E115" s="166">
        <v>1000</v>
      </c>
      <c r="F115" s="167">
        <v>995.08699999999999</v>
      </c>
      <c r="G115" s="168">
        <v>6.5090699999999996E-3</v>
      </c>
      <c r="H115" s="167">
        <v>7.73</v>
      </c>
      <c r="J115" s="75"/>
    </row>
    <row r="116" spans="1:10" ht="25.5" x14ac:dyDescent="0.2">
      <c r="A116" s="164">
        <v>9</v>
      </c>
      <c r="B116" s="165" t="s">
        <v>454</v>
      </c>
      <c r="C116" s="165" t="s">
        <v>455</v>
      </c>
      <c r="D116" s="165" t="s">
        <v>423</v>
      </c>
      <c r="E116" s="166">
        <v>100</v>
      </c>
      <c r="F116" s="167">
        <v>994.125</v>
      </c>
      <c r="G116" s="168">
        <v>6.5027799999999997E-3</v>
      </c>
      <c r="H116" s="167">
        <v>7.7549999999999999</v>
      </c>
      <c r="J116" s="75"/>
    </row>
    <row r="117" spans="1:10" x14ac:dyDescent="0.2">
      <c r="A117" s="164">
        <v>10</v>
      </c>
      <c r="B117" s="165" t="s">
        <v>651</v>
      </c>
      <c r="C117" s="165" t="s">
        <v>652</v>
      </c>
      <c r="D117" s="165" t="s">
        <v>432</v>
      </c>
      <c r="E117" s="166">
        <v>50</v>
      </c>
      <c r="F117" s="167">
        <v>502.2475</v>
      </c>
      <c r="G117" s="168">
        <v>3.2853000000000001E-3</v>
      </c>
      <c r="H117" s="167">
        <v>7.71</v>
      </c>
      <c r="J117" s="75"/>
    </row>
    <row r="118" spans="1:10" x14ac:dyDescent="0.2">
      <c r="A118" s="164">
        <v>11</v>
      </c>
      <c r="B118" s="165" t="s">
        <v>674</v>
      </c>
      <c r="C118" s="165" t="s">
        <v>675</v>
      </c>
      <c r="D118" s="165" t="s">
        <v>423</v>
      </c>
      <c r="E118" s="166">
        <v>50</v>
      </c>
      <c r="F118" s="167">
        <v>480.97199999999998</v>
      </c>
      <c r="G118" s="168">
        <v>3.14614E-3</v>
      </c>
      <c r="H118" s="167">
        <v>7.99</v>
      </c>
      <c r="J118" s="75"/>
    </row>
    <row r="119" spans="1:10" ht="25.5" x14ac:dyDescent="0.2">
      <c r="A119" s="164">
        <v>12</v>
      </c>
      <c r="B119" s="165" t="s">
        <v>680</v>
      </c>
      <c r="C119" s="165" t="s">
        <v>681</v>
      </c>
      <c r="D119" s="165" t="s">
        <v>423</v>
      </c>
      <c r="E119" s="166">
        <v>30</v>
      </c>
      <c r="F119" s="167">
        <v>298.38690000000003</v>
      </c>
      <c r="G119" s="168">
        <v>1.95181E-3</v>
      </c>
      <c r="H119" s="167">
        <v>7.38</v>
      </c>
      <c r="J119" s="75"/>
    </row>
    <row r="120" spans="1:10" x14ac:dyDescent="0.2">
      <c r="A120" s="162"/>
      <c r="B120" s="162"/>
      <c r="C120" s="163" t="s">
        <v>152</v>
      </c>
      <c r="D120" s="162"/>
      <c r="E120" s="162" t="s">
        <v>153</v>
      </c>
      <c r="F120" s="169">
        <v>13284.9269</v>
      </c>
      <c r="G120" s="170">
        <v>8.6899450000000003E-2</v>
      </c>
      <c r="H120" s="167"/>
      <c r="J120" s="75"/>
    </row>
    <row r="121" spans="1:10" x14ac:dyDescent="0.2">
      <c r="A121" s="162"/>
      <c r="B121" s="162"/>
      <c r="C121" s="171"/>
      <c r="D121" s="162"/>
      <c r="E121" s="162"/>
      <c r="F121" s="172"/>
      <c r="G121" s="172"/>
      <c r="H121" s="167"/>
      <c r="J121" s="75"/>
    </row>
    <row r="122" spans="1:10" x14ac:dyDescent="0.2">
      <c r="A122" s="162"/>
      <c r="B122" s="162"/>
      <c r="C122" s="163" t="s">
        <v>162</v>
      </c>
      <c r="D122" s="162"/>
      <c r="E122" s="162"/>
      <c r="F122" s="162"/>
      <c r="G122" s="162"/>
      <c r="H122" s="167"/>
      <c r="J122" s="75"/>
    </row>
    <row r="123" spans="1:10" x14ac:dyDescent="0.2">
      <c r="A123" s="162"/>
      <c r="B123" s="162"/>
      <c r="C123" s="163" t="s">
        <v>152</v>
      </c>
      <c r="D123" s="162"/>
      <c r="E123" s="162" t="s">
        <v>153</v>
      </c>
      <c r="F123" s="173" t="s">
        <v>155</v>
      </c>
      <c r="G123" s="170">
        <v>0</v>
      </c>
      <c r="H123" s="167"/>
      <c r="J123" s="75"/>
    </row>
    <row r="124" spans="1:10" x14ac:dyDescent="0.2">
      <c r="A124" s="162"/>
      <c r="B124" s="162"/>
      <c r="C124" s="171"/>
      <c r="D124" s="162"/>
      <c r="E124" s="162"/>
      <c r="F124" s="172"/>
      <c r="G124" s="172"/>
      <c r="H124" s="167"/>
      <c r="J124" s="75"/>
    </row>
    <row r="125" spans="1:10" x14ac:dyDescent="0.2">
      <c r="A125" s="162"/>
      <c r="B125" s="162"/>
      <c r="C125" s="163" t="s">
        <v>163</v>
      </c>
      <c r="D125" s="162"/>
      <c r="E125" s="162"/>
      <c r="F125" s="162"/>
      <c r="G125" s="162"/>
      <c r="H125" s="167"/>
      <c r="J125" s="75"/>
    </row>
    <row r="126" spans="1:10" ht="25.5" x14ac:dyDescent="0.2">
      <c r="A126" s="164">
        <v>1</v>
      </c>
      <c r="B126" s="165" t="s">
        <v>684</v>
      </c>
      <c r="C126" s="165" t="s">
        <v>1074</v>
      </c>
      <c r="D126" s="165" t="s">
        <v>441</v>
      </c>
      <c r="E126" s="166">
        <v>4000000</v>
      </c>
      <c r="F126" s="167">
        <v>4020.6080000000002</v>
      </c>
      <c r="G126" s="168">
        <v>2.6299630000000001E-2</v>
      </c>
      <c r="H126" s="167">
        <v>7.3181000000000003</v>
      </c>
      <c r="J126" s="75"/>
    </row>
    <row r="127" spans="1:10" x14ac:dyDescent="0.2">
      <c r="A127" s="164">
        <v>2</v>
      </c>
      <c r="B127" s="165" t="s">
        <v>682</v>
      </c>
      <c r="C127" s="165" t="s">
        <v>683</v>
      </c>
      <c r="D127" s="165" t="s">
        <v>441</v>
      </c>
      <c r="E127" s="166">
        <v>3000000</v>
      </c>
      <c r="F127" s="167">
        <v>3041.1990000000001</v>
      </c>
      <c r="G127" s="168">
        <v>1.9893109999999999E-2</v>
      </c>
      <c r="H127" s="167">
        <v>7.3718000000000004</v>
      </c>
      <c r="J127" s="75"/>
    </row>
    <row r="128" spans="1:10" x14ac:dyDescent="0.2">
      <c r="A128" s="164">
        <v>3</v>
      </c>
      <c r="B128" s="165" t="s">
        <v>442</v>
      </c>
      <c r="C128" s="200" t="s">
        <v>1079</v>
      </c>
      <c r="D128" s="165" t="s">
        <v>441</v>
      </c>
      <c r="E128" s="166">
        <v>3000000</v>
      </c>
      <c r="F128" s="167">
        <v>3018.489</v>
      </c>
      <c r="G128" s="168">
        <v>1.9744560000000001E-2</v>
      </c>
      <c r="H128" s="167">
        <v>7.3289</v>
      </c>
      <c r="J128" s="75"/>
    </row>
    <row r="129" spans="1:10" x14ac:dyDescent="0.2">
      <c r="A129" s="164">
        <v>4</v>
      </c>
      <c r="B129" s="165" t="s">
        <v>439</v>
      </c>
      <c r="C129" s="165" t="s">
        <v>440</v>
      </c>
      <c r="D129" s="165" t="s">
        <v>441</v>
      </c>
      <c r="E129" s="166">
        <v>3000000</v>
      </c>
      <c r="F129" s="167">
        <v>2996.5050000000001</v>
      </c>
      <c r="G129" s="168">
        <v>1.9600759999999998E-2</v>
      </c>
      <c r="H129" s="167">
        <v>7.3244999999999996</v>
      </c>
      <c r="J129" s="75"/>
    </row>
    <row r="130" spans="1:10" x14ac:dyDescent="0.2">
      <c r="A130" s="164">
        <v>5</v>
      </c>
      <c r="B130" s="165" t="s">
        <v>686</v>
      </c>
      <c r="C130" s="165" t="s">
        <v>687</v>
      </c>
      <c r="D130" s="165" t="s">
        <v>441</v>
      </c>
      <c r="E130" s="166">
        <v>2500000</v>
      </c>
      <c r="F130" s="167">
        <v>2506.67</v>
      </c>
      <c r="G130" s="168">
        <v>1.6396649999999999E-2</v>
      </c>
      <c r="H130" s="167">
        <v>7.3460999999999999</v>
      </c>
      <c r="J130" s="75"/>
    </row>
    <row r="131" spans="1:10" x14ac:dyDescent="0.2">
      <c r="A131" s="164">
        <v>6</v>
      </c>
      <c r="B131" s="165" t="s">
        <v>721</v>
      </c>
      <c r="C131" s="165" t="s">
        <v>722</v>
      </c>
      <c r="D131" s="165" t="s">
        <v>441</v>
      </c>
      <c r="E131" s="166">
        <v>1000000</v>
      </c>
      <c r="F131" s="167">
        <v>997.91</v>
      </c>
      <c r="G131" s="168">
        <v>6.5275400000000001E-3</v>
      </c>
      <c r="H131" s="167">
        <v>7.3429000000000002</v>
      </c>
      <c r="J131" s="75"/>
    </row>
    <row r="132" spans="1:10" ht="25.5" x14ac:dyDescent="0.2">
      <c r="A132" s="164">
        <v>7</v>
      </c>
      <c r="B132" s="165" t="s">
        <v>691</v>
      </c>
      <c r="C132" s="165" t="s">
        <v>1091</v>
      </c>
      <c r="D132" s="165" t="s">
        <v>441</v>
      </c>
      <c r="E132" s="166">
        <v>500000</v>
      </c>
      <c r="F132" s="167">
        <v>500.24599999999998</v>
      </c>
      <c r="G132" s="168">
        <v>3.2722099999999998E-3</v>
      </c>
      <c r="H132" s="167">
        <v>7.6718057164890148</v>
      </c>
      <c r="J132" s="75"/>
    </row>
    <row r="133" spans="1:10" ht="25.5" x14ac:dyDescent="0.2">
      <c r="A133" s="164">
        <v>8</v>
      </c>
      <c r="B133" s="165" t="s">
        <v>692</v>
      </c>
      <c r="C133" s="165" t="s">
        <v>693</v>
      </c>
      <c r="D133" s="165" t="s">
        <v>441</v>
      </c>
      <c r="E133" s="166">
        <v>500000</v>
      </c>
      <c r="F133" s="167">
        <v>498.86349999999999</v>
      </c>
      <c r="G133" s="168">
        <v>3.2631700000000001E-3</v>
      </c>
      <c r="H133" s="167">
        <v>7.6108000000000002</v>
      </c>
      <c r="J133" s="75"/>
    </row>
    <row r="134" spans="1:10" ht="25.5" x14ac:dyDescent="0.2">
      <c r="A134" s="164">
        <v>9</v>
      </c>
      <c r="B134" s="165" t="s">
        <v>696</v>
      </c>
      <c r="C134" s="165" t="s">
        <v>697</v>
      </c>
      <c r="D134" s="165" t="s">
        <v>441</v>
      </c>
      <c r="E134" s="166">
        <v>100000</v>
      </c>
      <c r="F134" s="167">
        <v>100.9562</v>
      </c>
      <c r="G134" s="168">
        <v>6.6038000000000002E-4</v>
      </c>
      <c r="H134" s="167">
        <v>7.4581</v>
      </c>
      <c r="J134" s="75"/>
    </row>
    <row r="135" spans="1:10" x14ac:dyDescent="0.2">
      <c r="A135" s="162"/>
      <c r="B135" s="162"/>
      <c r="C135" s="163" t="s">
        <v>152</v>
      </c>
      <c r="D135" s="162"/>
      <c r="E135" s="162" t="s">
        <v>153</v>
      </c>
      <c r="F135" s="169">
        <v>17681.4467</v>
      </c>
      <c r="G135" s="170">
        <v>0.11565801000000001</v>
      </c>
      <c r="H135" s="167"/>
      <c r="J135" s="75"/>
    </row>
    <row r="136" spans="1:10" x14ac:dyDescent="0.2">
      <c r="A136" s="162"/>
      <c r="B136" s="162"/>
      <c r="C136" s="171"/>
      <c r="D136" s="162"/>
      <c r="E136" s="162"/>
      <c r="F136" s="172"/>
      <c r="G136" s="172"/>
      <c r="H136" s="167"/>
      <c r="J136" s="75"/>
    </row>
    <row r="137" spans="1:10" x14ac:dyDescent="0.2">
      <c r="A137" s="162"/>
      <c r="B137" s="162"/>
      <c r="C137" s="163" t="s">
        <v>164</v>
      </c>
      <c r="D137" s="162"/>
      <c r="E137" s="162"/>
      <c r="F137" s="172"/>
      <c r="G137" s="172"/>
      <c r="H137" s="167"/>
      <c r="J137" s="75"/>
    </row>
    <row r="138" spans="1:10" x14ac:dyDescent="0.2">
      <c r="A138" s="162"/>
      <c r="B138" s="162"/>
      <c r="C138" s="163" t="s">
        <v>152</v>
      </c>
      <c r="D138" s="162"/>
      <c r="E138" s="162" t="s">
        <v>153</v>
      </c>
      <c r="F138" s="173" t="s">
        <v>155</v>
      </c>
      <c r="G138" s="170">
        <v>0</v>
      </c>
      <c r="H138" s="167"/>
      <c r="J138" s="75"/>
    </row>
    <row r="139" spans="1:10" x14ac:dyDescent="0.2">
      <c r="A139" s="162"/>
      <c r="B139" s="162"/>
      <c r="C139" s="171"/>
      <c r="D139" s="162"/>
      <c r="E139" s="162"/>
      <c r="F139" s="172"/>
      <c r="G139" s="172"/>
      <c r="H139" s="167"/>
      <c r="J139" s="75"/>
    </row>
    <row r="140" spans="1:10" x14ac:dyDescent="0.2">
      <c r="A140" s="162"/>
      <c r="B140" s="162"/>
      <c r="C140" s="163" t="s">
        <v>165</v>
      </c>
      <c r="D140" s="162"/>
      <c r="E140" s="162"/>
      <c r="F140" s="169">
        <v>30966.373599999999</v>
      </c>
      <c r="G140" s="170">
        <v>0.20255746000000002</v>
      </c>
      <c r="H140" s="167"/>
      <c r="J140" s="75"/>
    </row>
    <row r="141" spans="1:10" x14ac:dyDescent="0.2">
      <c r="A141" s="162"/>
      <c r="B141" s="162"/>
      <c r="C141" s="171"/>
      <c r="D141" s="162"/>
      <c r="E141" s="162"/>
      <c r="F141" s="172"/>
      <c r="G141" s="172"/>
      <c r="H141" s="167"/>
      <c r="J141" s="75"/>
    </row>
    <row r="142" spans="1:10" x14ac:dyDescent="0.2">
      <c r="A142" s="162"/>
      <c r="B142" s="162"/>
      <c r="C142" s="163" t="s">
        <v>166</v>
      </c>
      <c r="D142" s="162"/>
      <c r="E142" s="162"/>
      <c r="F142" s="172"/>
      <c r="G142" s="172"/>
      <c r="H142" s="167"/>
      <c r="J142" s="75"/>
    </row>
    <row r="143" spans="1:10" x14ac:dyDescent="0.2">
      <c r="A143" s="162"/>
      <c r="B143" s="162"/>
      <c r="C143" s="163" t="s">
        <v>167</v>
      </c>
      <c r="D143" s="162"/>
      <c r="E143" s="162"/>
      <c r="F143" s="172"/>
      <c r="G143" s="172"/>
      <c r="H143" s="167"/>
      <c r="J143" s="75"/>
    </row>
    <row r="144" spans="1:10" x14ac:dyDescent="0.2">
      <c r="A144" s="162"/>
      <c r="B144" s="162"/>
      <c r="C144" s="163" t="s">
        <v>152</v>
      </c>
      <c r="D144" s="162"/>
      <c r="E144" s="162" t="s">
        <v>153</v>
      </c>
      <c r="F144" s="173" t="s">
        <v>155</v>
      </c>
      <c r="G144" s="170">
        <v>0</v>
      </c>
      <c r="H144" s="167"/>
      <c r="J144" s="75"/>
    </row>
    <row r="145" spans="1:10" x14ac:dyDescent="0.2">
      <c r="A145" s="162"/>
      <c r="B145" s="162"/>
      <c r="C145" s="171"/>
      <c r="D145" s="162"/>
      <c r="E145" s="162"/>
      <c r="F145" s="172"/>
      <c r="G145" s="172"/>
      <c r="H145" s="167"/>
      <c r="J145" s="75"/>
    </row>
    <row r="146" spans="1:10" x14ac:dyDescent="0.2">
      <c r="A146" s="162"/>
      <c r="B146" s="162"/>
      <c r="C146" s="163" t="s">
        <v>168</v>
      </c>
      <c r="D146" s="162"/>
      <c r="E146" s="162"/>
      <c r="F146" s="172"/>
      <c r="G146" s="172"/>
      <c r="H146" s="167"/>
      <c r="J146" s="75"/>
    </row>
    <row r="147" spans="1:10" x14ac:dyDescent="0.2">
      <c r="A147" s="162"/>
      <c r="B147" s="162"/>
      <c r="C147" s="163" t="s">
        <v>152</v>
      </c>
      <c r="D147" s="162"/>
      <c r="E147" s="162" t="s">
        <v>153</v>
      </c>
      <c r="F147" s="173" t="s">
        <v>155</v>
      </c>
      <c r="G147" s="170">
        <v>0</v>
      </c>
      <c r="H147" s="167"/>
      <c r="J147" s="75"/>
    </row>
    <row r="148" spans="1:10" x14ac:dyDescent="0.2">
      <c r="A148" s="162"/>
      <c r="B148" s="162"/>
      <c r="C148" s="171"/>
      <c r="D148" s="162"/>
      <c r="E148" s="162"/>
      <c r="F148" s="172"/>
      <c r="G148" s="172"/>
      <c r="H148" s="167"/>
      <c r="J148" s="75"/>
    </row>
    <row r="149" spans="1:10" x14ac:dyDescent="0.2">
      <c r="A149" s="162"/>
      <c r="B149" s="162"/>
      <c r="C149" s="163" t="s">
        <v>169</v>
      </c>
      <c r="D149" s="162"/>
      <c r="E149" s="162"/>
      <c r="F149" s="172"/>
      <c r="G149" s="172"/>
      <c r="H149" s="167"/>
      <c r="J149" s="75"/>
    </row>
    <row r="150" spans="1:10" x14ac:dyDescent="0.2">
      <c r="A150" s="162"/>
      <c r="B150" s="162"/>
      <c r="C150" s="163" t="s">
        <v>152</v>
      </c>
      <c r="D150" s="162"/>
      <c r="E150" s="162" t="s">
        <v>153</v>
      </c>
      <c r="F150" s="173" t="s">
        <v>155</v>
      </c>
      <c r="G150" s="170">
        <v>0</v>
      </c>
      <c r="H150" s="167"/>
      <c r="J150" s="75"/>
    </row>
    <row r="151" spans="1:10" x14ac:dyDescent="0.2">
      <c r="A151" s="162"/>
      <c r="B151" s="162"/>
      <c r="C151" s="171"/>
      <c r="D151" s="162"/>
      <c r="E151" s="162"/>
      <c r="F151" s="172"/>
      <c r="G151" s="172"/>
      <c r="H151" s="167"/>
      <c r="J151" s="75"/>
    </row>
    <row r="152" spans="1:10" x14ac:dyDescent="0.2">
      <c r="A152" s="162"/>
      <c r="B152" s="162"/>
      <c r="C152" s="163" t="s">
        <v>170</v>
      </c>
      <c r="D152" s="162"/>
      <c r="E152" s="162"/>
      <c r="F152" s="172"/>
      <c r="G152" s="172"/>
      <c r="H152" s="167"/>
      <c r="J152" s="75"/>
    </row>
    <row r="153" spans="1:10" x14ac:dyDescent="0.2">
      <c r="A153" s="164">
        <v>1</v>
      </c>
      <c r="B153" s="165"/>
      <c r="C153" s="165" t="s">
        <v>171</v>
      </c>
      <c r="D153" s="165"/>
      <c r="E153" s="174"/>
      <c r="F153" s="167">
        <v>2618.1624823890002</v>
      </c>
      <c r="G153" s="168">
        <v>1.7125939999999999E-2</v>
      </c>
      <c r="H153" s="175">
        <v>6.66</v>
      </c>
      <c r="J153" s="75"/>
    </row>
    <row r="154" spans="1:10" x14ac:dyDescent="0.2">
      <c r="A154" s="162"/>
      <c r="B154" s="162"/>
      <c r="C154" s="163" t="s">
        <v>152</v>
      </c>
      <c r="D154" s="162"/>
      <c r="E154" s="162" t="s">
        <v>153</v>
      </c>
      <c r="F154" s="169">
        <v>2618.1624823890002</v>
      </c>
      <c r="G154" s="170">
        <v>1.7125939999999999E-2</v>
      </c>
      <c r="H154" s="167"/>
      <c r="J154" s="75"/>
    </row>
    <row r="155" spans="1:10" x14ac:dyDescent="0.2">
      <c r="A155" s="162"/>
      <c r="B155" s="162"/>
      <c r="C155" s="171"/>
      <c r="D155" s="162"/>
      <c r="E155" s="162"/>
      <c r="F155" s="172"/>
      <c r="G155" s="172"/>
      <c r="H155" s="167"/>
      <c r="J155" s="75"/>
    </row>
    <row r="156" spans="1:10" x14ac:dyDescent="0.2">
      <c r="A156" s="162"/>
      <c r="B156" s="162"/>
      <c r="C156" s="163" t="s">
        <v>172</v>
      </c>
      <c r="D156" s="162"/>
      <c r="E156" s="162"/>
      <c r="F156" s="169">
        <v>2618.1624823890002</v>
      </c>
      <c r="G156" s="170">
        <v>1.7125939999999999E-2</v>
      </c>
      <c r="H156" s="167"/>
      <c r="J156" s="75"/>
    </row>
    <row r="157" spans="1:10" x14ac:dyDescent="0.2">
      <c r="A157" s="162"/>
      <c r="B157" s="162"/>
      <c r="C157" s="172"/>
      <c r="D157" s="162"/>
      <c r="E157" s="162"/>
      <c r="F157" s="162"/>
      <c r="G157" s="162"/>
      <c r="H157" s="167"/>
      <c r="J157" s="75"/>
    </row>
    <row r="158" spans="1:10" x14ac:dyDescent="0.2">
      <c r="A158" s="162"/>
      <c r="B158" s="162"/>
      <c r="C158" s="163" t="s">
        <v>173</v>
      </c>
      <c r="D158" s="162"/>
      <c r="E158" s="162"/>
      <c r="F158" s="162"/>
      <c r="G158" s="162"/>
      <c r="H158" s="167"/>
      <c r="J158" s="75"/>
    </row>
    <row r="159" spans="1:10" x14ac:dyDescent="0.2">
      <c r="A159" s="162"/>
      <c r="B159" s="162"/>
      <c r="C159" s="163" t="s">
        <v>174</v>
      </c>
      <c r="D159" s="162"/>
      <c r="E159" s="162"/>
      <c r="F159" s="162"/>
      <c r="G159" s="162"/>
      <c r="H159" s="167"/>
      <c r="J159" s="75"/>
    </row>
    <row r="160" spans="1:10" x14ac:dyDescent="0.2">
      <c r="A160" s="162"/>
      <c r="B160" s="162"/>
      <c r="C160" s="163" t="s">
        <v>152</v>
      </c>
      <c r="D160" s="162"/>
      <c r="E160" s="162" t="s">
        <v>153</v>
      </c>
      <c r="F160" s="173" t="s">
        <v>155</v>
      </c>
      <c r="G160" s="170">
        <v>0</v>
      </c>
      <c r="H160" s="167"/>
      <c r="J160" s="75"/>
    </row>
    <row r="161" spans="1:17" x14ac:dyDescent="0.2">
      <c r="A161" s="162"/>
      <c r="B161" s="162"/>
      <c r="C161" s="171"/>
      <c r="D161" s="162"/>
      <c r="E161" s="162"/>
      <c r="F161" s="172"/>
      <c r="G161" s="172"/>
      <c r="H161" s="167"/>
      <c r="J161" s="75"/>
    </row>
    <row r="162" spans="1:17" x14ac:dyDescent="0.2">
      <c r="A162" s="162"/>
      <c r="B162" s="162"/>
      <c r="C162" s="163" t="s">
        <v>177</v>
      </c>
      <c r="D162" s="162"/>
      <c r="E162" s="162"/>
      <c r="F162" s="162"/>
      <c r="G162" s="162"/>
      <c r="H162" s="167"/>
      <c r="J162" s="75"/>
    </row>
    <row r="163" spans="1:17" x14ac:dyDescent="0.2">
      <c r="A163" s="162"/>
      <c r="B163" s="162"/>
      <c r="C163" s="163" t="s">
        <v>178</v>
      </c>
      <c r="D163" s="162"/>
      <c r="E163" s="162"/>
      <c r="F163" s="162"/>
      <c r="G163" s="162"/>
      <c r="H163" s="167"/>
      <c r="J163" s="75"/>
    </row>
    <row r="164" spans="1:17" x14ac:dyDescent="0.2">
      <c r="A164" s="162"/>
      <c r="B164" s="162"/>
      <c r="C164" s="163" t="s">
        <v>152</v>
      </c>
      <c r="D164" s="162"/>
      <c r="E164" s="162" t="s">
        <v>153</v>
      </c>
      <c r="F164" s="173" t="s">
        <v>155</v>
      </c>
      <c r="G164" s="170">
        <v>0</v>
      </c>
      <c r="H164" s="167"/>
      <c r="J164" s="75"/>
    </row>
    <row r="165" spans="1:17" x14ac:dyDescent="0.2">
      <c r="A165" s="162"/>
      <c r="B165" s="162"/>
      <c r="C165" s="171"/>
      <c r="D165" s="162"/>
      <c r="E165" s="162"/>
      <c r="F165" s="172"/>
      <c r="G165" s="172"/>
      <c r="H165" s="167"/>
      <c r="J165" s="75"/>
    </row>
    <row r="166" spans="1:17" x14ac:dyDescent="0.2">
      <c r="A166" s="162"/>
      <c r="B166" s="162"/>
      <c r="C166" s="163" t="s">
        <v>179</v>
      </c>
      <c r="D166" s="162"/>
      <c r="E166" s="162"/>
      <c r="F166" s="172"/>
      <c r="G166" s="172"/>
      <c r="H166" s="167"/>
      <c r="J166" s="75"/>
    </row>
    <row r="167" spans="1:17" x14ac:dyDescent="0.2">
      <c r="A167" s="162"/>
      <c r="B167" s="162"/>
      <c r="C167" s="163" t="s">
        <v>152</v>
      </c>
      <c r="D167" s="162"/>
      <c r="E167" s="162" t="s">
        <v>153</v>
      </c>
      <c r="F167" s="173" t="s">
        <v>155</v>
      </c>
      <c r="G167" s="170">
        <v>0</v>
      </c>
      <c r="H167" s="167"/>
      <c r="J167" s="75"/>
    </row>
    <row r="168" spans="1:17" x14ac:dyDescent="0.2">
      <c r="A168" s="162"/>
      <c r="B168" s="162"/>
      <c r="C168" s="171"/>
      <c r="D168" s="162"/>
      <c r="E168" s="162"/>
      <c r="F168" s="172"/>
      <c r="G168" s="172"/>
      <c r="H168" s="167"/>
      <c r="J168" s="75"/>
    </row>
    <row r="169" spans="1:17" x14ac:dyDescent="0.2">
      <c r="A169" s="174"/>
      <c r="B169" s="165"/>
      <c r="C169" s="165" t="s">
        <v>698</v>
      </c>
      <c r="D169" s="165"/>
      <c r="E169" s="174"/>
      <c r="F169" s="167">
        <v>740.86338969999997</v>
      </c>
      <c r="G169" s="168">
        <v>4.8461399999999996E-3</v>
      </c>
      <c r="H169" s="167"/>
      <c r="J169" s="75"/>
    </row>
    <row r="170" spans="1:17" x14ac:dyDescent="0.2">
      <c r="A170" s="174"/>
      <c r="B170" s="165"/>
      <c r="C170" s="232" t="s">
        <v>1092</v>
      </c>
      <c r="D170" s="165"/>
      <c r="E170" s="174"/>
      <c r="F170" s="236">
        <v>706.59637826099106</v>
      </c>
      <c r="G170" s="168">
        <v>4.6219924831530559E-3</v>
      </c>
      <c r="H170" s="167"/>
      <c r="J170" s="75"/>
    </row>
    <row r="171" spans="1:17" x14ac:dyDescent="0.2">
      <c r="A171" s="171"/>
      <c r="B171" s="171"/>
      <c r="C171" s="163" t="s">
        <v>181</v>
      </c>
      <c r="D171" s="172"/>
      <c r="E171" s="172"/>
      <c r="F171" s="169">
        <v>152877.00722934998</v>
      </c>
      <c r="G171" s="177">
        <v>0.99998796248315314</v>
      </c>
      <c r="H171" s="177"/>
      <c r="J171" s="75"/>
    </row>
    <row r="172" spans="1:17" x14ac:dyDescent="0.2">
      <c r="A172" s="178"/>
      <c r="B172" s="178"/>
      <c r="C172" s="178"/>
      <c r="D172" s="179"/>
      <c r="E172" s="179"/>
      <c r="F172" s="179"/>
      <c r="G172" s="179"/>
      <c r="H172" s="179"/>
      <c r="J172" s="75"/>
    </row>
    <row r="173" spans="1:17" ht="12.75" customHeight="1" x14ac:dyDescent="0.2">
      <c r="A173" s="180"/>
      <c r="B173" s="258" t="s">
        <v>882</v>
      </c>
      <c r="C173" s="258"/>
      <c r="D173" s="258"/>
      <c r="E173" s="258"/>
      <c r="F173" s="258"/>
      <c r="G173" s="258"/>
      <c r="H173" s="258"/>
      <c r="J173" s="75"/>
    </row>
    <row r="174" spans="1:17" ht="14.1" customHeight="1" x14ac:dyDescent="0.2">
      <c r="A174" s="180"/>
      <c r="B174" s="258" t="s">
        <v>883</v>
      </c>
      <c r="C174" s="258"/>
      <c r="D174" s="258"/>
      <c r="E174" s="258"/>
      <c r="F174" s="258"/>
      <c r="G174" s="258"/>
      <c r="H174" s="258"/>
      <c r="J174" s="75"/>
    </row>
    <row r="175" spans="1:17" ht="17.100000000000001" customHeight="1" x14ac:dyDescent="0.2">
      <c r="A175" s="180"/>
      <c r="B175" s="258" t="s">
        <v>884</v>
      </c>
      <c r="C175" s="258"/>
      <c r="D175" s="258"/>
      <c r="E175" s="258"/>
      <c r="F175" s="258"/>
      <c r="G175" s="258"/>
      <c r="H175" s="258"/>
      <c r="J175" s="75"/>
    </row>
    <row r="176" spans="1:17" s="34" customFormat="1" ht="62.25" customHeight="1" x14ac:dyDescent="0.25">
      <c r="A176" s="33"/>
      <c r="B176" s="259" t="s">
        <v>885</v>
      </c>
      <c r="C176" s="259"/>
      <c r="D176" s="259"/>
      <c r="E176" s="259"/>
      <c r="F176" s="259"/>
      <c r="G176" s="259"/>
      <c r="H176" s="259"/>
      <c r="I176"/>
      <c r="J176" s="75"/>
      <c r="K176"/>
      <c r="L176"/>
      <c r="M176"/>
      <c r="N176"/>
      <c r="O176"/>
      <c r="P176"/>
      <c r="Q176"/>
    </row>
    <row r="177" spans="1:21" ht="12.75" customHeight="1" x14ac:dyDescent="0.2">
      <c r="A177" s="180"/>
      <c r="B177" s="258" t="s">
        <v>886</v>
      </c>
      <c r="C177" s="258"/>
      <c r="D177" s="258"/>
      <c r="E177" s="258"/>
      <c r="F177" s="258"/>
      <c r="G177" s="258"/>
      <c r="H177" s="258"/>
      <c r="J177" s="75"/>
    </row>
    <row r="178" spans="1:21" x14ac:dyDescent="0.2">
      <c r="A178" s="181"/>
      <c r="B178" s="181"/>
      <c r="C178" s="181"/>
      <c r="D178" s="182"/>
      <c r="E178" s="182"/>
      <c r="F178" s="182"/>
      <c r="G178" s="182"/>
      <c r="H178" s="182"/>
      <c r="J178" s="75"/>
    </row>
    <row r="179" spans="1:21" ht="15" x14ac:dyDescent="0.25">
      <c r="A179" s="181"/>
      <c r="B179" s="255" t="s">
        <v>183</v>
      </c>
      <c r="C179" s="256"/>
      <c r="D179" s="257"/>
      <c r="E179" s="183"/>
      <c r="F179" s="182"/>
      <c r="G179" s="182"/>
      <c r="H179" s="182"/>
      <c r="J179" s="75"/>
      <c r="O179" s="34"/>
    </row>
    <row r="180" spans="1:21" ht="27" customHeight="1" x14ac:dyDescent="0.25">
      <c r="A180" s="181"/>
      <c r="B180" s="253" t="s">
        <v>184</v>
      </c>
      <c r="C180" s="254"/>
      <c r="D180" s="163" t="s">
        <v>185</v>
      </c>
      <c r="E180" s="183"/>
      <c r="F180" s="182"/>
      <c r="G180" s="182"/>
      <c r="H180" s="182"/>
      <c r="J180" s="75"/>
      <c r="T180" s="34"/>
      <c r="U180" s="34"/>
    </row>
    <row r="181" spans="1:21" ht="15" x14ac:dyDescent="0.25">
      <c r="A181" s="181"/>
      <c r="B181" s="253" t="s">
        <v>186</v>
      </c>
      <c r="C181" s="254"/>
      <c r="D181" s="163" t="s">
        <v>185</v>
      </c>
      <c r="E181" s="183"/>
      <c r="F181" s="182"/>
      <c r="G181" s="182"/>
      <c r="H181" s="182"/>
      <c r="I181" s="34"/>
      <c r="J181" s="75"/>
    </row>
    <row r="182" spans="1:21" x14ac:dyDescent="0.2">
      <c r="A182" s="181"/>
      <c r="B182" s="253" t="s">
        <v>187</v>
      </c>
      <c r="C182" s="254"/>
      <c r="D182" s="172" t="s">
        <v>153</v>
      </c>
      <c r="E182" s="183"/>
      <c r="F182" s="182"/>
      <c r="G182" s="182"/>
      <c r="H182" s="182"/>
      <c r="J182" s="75"/>
    </row>
    <row r="183" spans="1:21" x14ac:dyDescent="0.2">
      <c r="A183" s="185"/>
      <c r="B183" s="186" t="s">
        <v>153</v>
      </c>
      <c r="C183" s="186" t="s">
        <v>1088</v>
      </c>
      <c r="D183" s="186" t="s">
        <v>188</v>
      </c>
      <c r="E183" s="185"/>
      <c r="F183" s="185"/>
      <c r="G183" s="185"/>
      <c r="H183" s="185"/>
      <c r="J183" s="75"/>
    </row>
    <row r="184" spans="1:21" x14ac:dyDescent="0.2">
      <c r="A184" s="185"/>
      <c r="B184" s="187" t="s">
        <v>189</v>
      </c>
      <c r="C184" s="186" t="s">
        <v>190</v>
      </c>
      <c r="D184" s="186" t="s">
        <v>191</v>
      </c>
      <c r="E184" s="185"/>
      <c r="F184" s="185"/>
      <c r="G184" s="185"/>
      <c r="H184" s="185"/>
      <c r="J184" s="75"/>
    </row>
    <row r="185" spans="1:21" x14ac:dyDescent="0.2">
      <c r="A185" s="185"/>
      <c r="B185" s="165" t="s">
        <v>192</v>
      </c>
      <c r="C185" s="188">
        <v>36.193399999999997</v>
      </c>
      <c r="D185" s="188">
        <v>36.6738</v>
      </c>
      <c r="E185" s="185"/>
      <c r="F185" s="189"/>
      <c r="G185" s="190"/>
      <c r="H185" s="190"/>
      <c r="J185" s="75"/>
    </row>
    <row r="186" spans="1:21" ht="25.5" x14ac:dyDescent="0.2">
      <c r="A186" s="185"/>
      <c r="B186" s="200" t="s">
        <v>1059</v>
      </c>
      <c r="C186" s="188">
        <v>18.5535</v>
      </c>
      <c r="D186" s="188">
        <v>18.702999999999999</v>
      </c>
      <c r="E186" s="185"/>
      <c r="F186" s="189"/>
      <c r="G186" s="190"/>
      <c r="H186" s="190"/>
      <c r="J186" s="75"/>
    </row>
    <row r="187" spans="1:21" x14ac:dyDescent="0.2">
      <c r="A187" s="185"/>
      <c r="B187" s="165" t="s">
        <v>193</v>
      </c>
      <c r="C187" s="188">
        <v>31.446300000000001</v>
      </c>
      <c r="D187" s="188">
        <v>31.8232</v>
      </c>
      <c r="E187" s="185"/>
      <c r="F187" s="189"/>
      <c r="G187" s="190"/>
      <c r="H187" s="190"/>
      <c r="J187" s="75"/>
    </row>
    <row r="188" spans="1:21" ht="25.5" x14ac:dyDescent="0.2">
      <c r="A188" s="185"/>
      <c r="B188" s="200" t="s">
        <v>1061</v>
      </c>
      <c r="C188" s="188">
        <v>15.473599999999999</v>
      </c>
      <c r="D188" s="188">
        <v>15.5777</v>
      </c>
      <c r="E188" s="185"/>
      <c r="F188" s="189"/>
      <c r="G188" s="190"/>
      <c r="H188" s="190"/>
      <c r="J188" s="75"/>
    </row>
    <row r="189" spans="1:21" x14ac:dyDescent="0.2">
      <c r="A189" s="185"/>
      <c r="B189" s="185"/>
      <c r="C189" s="185"/>
      <c r="D189" s="185"/>
      <c r="E189" s="185"/>
      <c r="F189" s="185"/>
      <c r="G189" s="185"/>
      <c r="H189" s="185"/>
      <c r="J189" s="75"/>
    </row>
    <row r="190" spans="1:21" x14ac:dyDescent="0.2">
      <c r="A190" s="185"/>
      <c r="B190" s="253" t="s">
        <v>1056</v>
      </c>
      <c r="C190" s="254"/>
      <c r="D190" s="163" t="s">
        <v>153</v>
      </c>
      <c r="E190" s="185"/>
      <c r="F190" s="185"/>
      <c r="G190" s="185"/>
      <c r="H190" s="185"/>
      <c r="J190" s="75"/>
    </row>
    <row r="191" spans="1:21" x14ac:dyDescent="0.2">
      <c r="A191" s="185"/>
      <c r="B191" s="208" t="s">
        <v>189</v>
      </c>
      <c r="C191" s="209" t="s">
        <v>443</v>
      </c>
      <c r="D191" s="209" t="s">
        <v>444</v>
      </c>
      <c r="E191" s="185"/>
      <c r="F191" s="185"/>
      <c r="G191" s="185"/>
      <c r="H191" s="185"/>
      <c r="J191" s="75"/>
    </row>
    <row r="192" spans="1:21" ht="25.5" x14ac:dyDescent="0.2">
      <c r="A192" s="185"/>
      <c r="B192" s="200" t="s">
        <v>1059</v>
      </c>
      <c r="C192" s="210">
        <v>9.5000000000000001E-2</v>
      </c>
      <c r="D192" s="174" t="s">
        <v>445</v>
      </c>
      <c r="E192" s="185"/>
      <c r="F192" s="189"/>
      <c r="G192" s="190"/>
      <c r="H192" s="190"/>
      <c r="J192" s="75"/>
    </row>
    <row r="193" spans="1:10" ht="25.5" x14ac:dyDescent="0.2">
      <c r="A193" s="185"/>
      <c r="B193" s="200" t="s">
        <v>1061</v>
      </c>
      <c r="C193" s="210">
        <v>0.08</v>
      </c>
      <c r="D193" s="210">
        <v>0.08</v>
      </c>
      <c r="E193" s="185"/>
      <c r="F193" s="189"/>
      <c r="G193" s="190"/>
      <c r="H193" s="190"/>
      <c r="J193" s="75"/>
    </row>
    <row r="194" spans="1:10" x14ac:dyDescent="0.2">
      <c r="A194" s="185"/>
      <c r="B194" s="189"/>
      <c r="C194" s="189"/>
      <c r="D194" s="185"/>
      <c r="E194" s="185"/>
      <c r="F194" s="185"/>
      <c r="G194" s="185"/>
      <c r="H194" s="185"/>
      <c r="J194" s="75"/>
    </row>
    <row r="195" spans="1:10" x14ac:dyDescent="0.2">
      <c r="A195" s="185"/>
      <c r="B195" s="253" t="s">
        <v>194</v>
      </c>
      <c r="C195" s="254"/>
      <c r="D195" s="163" t="s">
        <v>934</v>
      </c>
      <c r="E195" s="191"/>
      <c r="F195" s="185"/>
      <c r="G195" s="185"/>
      <c r="H195" s="185"/>
      <c r="J195" s="75"/>
    </row>
    <row r="196" spans="1:10" x14ac:dyDescent="0.2">
      <c r="A196" s="185"/>
      <c r="B196" s="253" t="s">
        <v>195</v>
      </c>
      <c r="C196" s="254"/>
      <c r="D196" s="163" t="s">
        <v>185</v>
      </c>
      <c r="E196" s="191"/>
      <c r="F196" s="185"/>
      <c r="G196" s="185"/>
      <c r="H196" s="185"/>
      <c r="J196" s="75"/>
    </row>
    <row r="197" spans="1:10" x14ac:dyDescent="0.2">
      <c r="A197" s="185"/>
      <c r="B197" s="253" t="s">
        <v>196</v>
      </c>
      <c r="C197" s="254"/>
      <c r="D197" s="163" t="s">
        <v>185</v>
      </c>
      <c r="E197" s="191"/>
      <c r="F197" s="185"/>
      <c r="G197" s="185"/>
      <c r="H197" s="185"/>
      <c r="J197" s="75"/>
    </row>
    <row r="198" spans="1:10" ht="12.75" customHeight="1" x14ac:dyDescent="0.2">
      <c r="A198" s="185"/>
      <c r="B198" s="253" t="s">
        <v>197</v>
      </c>
      <c r="C198" s="254"/>
      <c r="D198" s="192">
        <v>2.4435642810362976</v>
      </c>
      <c r="E198" s="185"/>
      <c r="F198" s="189"/>
      <c r="G198" s="190"/>
      <c r="H198" s="190"/>
      <c r="J198" s="75"/>
    </row>
    <row r="199" spans="1:10" x14ac:dyDescent="0.2">
      <c r="J199" s="75"/>
    </row>
    <row r="200" spans="1:10" x14ac:dyDescent="0.2">
      <c r="B200" s="272" t="s">
        <v>925</v>
      </c>
      <c r="C200" s="273"/>
      <c r="D200" s="274"/>
      <c r="E200" s="191"/>
      <c r="F200" s="185"/>
      <c r="G200" s="185"/>
      <c r="H200" s="185"/>
      <c r="J200" s="75"/>
    </row>
    <row r="201" spans="1:10" ht="25.5" x14ac:dyDescent="0.2">
      <c r="B201" s="275" t="s">
        <v>926</v>
      </c>
      <c r="C201" s="275"/>
      <c r="D201" s="226" t="s">
        <v>714</v>
      </c>
      <c r="J201" s="75"/>
    </row>
    <row r="202" spans="1:10" x14ac:dyDescent="0.2">
      <c r="B202" s="275" t="s">
        <v>927</v>
      </c>
      <c r="C202" s="275"/>
      <c r="D202" s="235"/>
      <c r="J202" s="75"/>
    </row>
    <row r="203" spans="1:10" x14ac:dyDescent="0.2">
      <c r="B203" s="276"/>
      <c r="C203" s="277"/>
      <c r="D203" s="227"/>
      <c r="J203" s="75"/>
    </row>
    <row r="204" spans="1:10" x14ac:dyDescent="0.2">
      <c r="B204" s="275" t="s">
        <v>928</v>
      </c>
      <c r="C204" s="275"/>
      <c r="D204" s="228">
        <v>7.4939488381749486</v>
      </c>
      <c r="J204" s="75"/>
    </row>
    <row r="205" spans="1:10" x14ac:dyDescent="0.2">
      <c r="B205" s="276"/>
      <c r="C205" s="277"/>
      <c r="D205" s="227"/>
      <c r="J205" s="75"/>
    </row>
    <row r="206" spans="1:10" x14ac:dyDescent="0.2">
      <c r="B206" s="275" t="s">
        <v>929</v>
      </c>
      <c r="C206" s="275"/>
      <c r="D206" s="228">
        <v>4.039893053489612</v>
      </c>
      <c r="J206" s="75"/>
    </row>
    <row r="207" spans="1:10" x14ac:dyDescent="0.2">
      <c r="B207" s="275" t="s">
        <v>930</v>
      </c>
      <c r="C207" s="275"/>
      <c r="D207" s="228">
        <v>5.4624721973195962</v>
      </c>
      <c r="J207" s="75"/>
    </row>
    <row r="208" spans="1:10" x14ac:dyDescent="0.2">
      <c r="B208" s="276"/>
      <c r="C208" s="277"/>
      <c r="D208" s="227"/>
      <c r="J208" s="75"/>
    </row>
    <row r="209" spans="2:10" x14ac:dyDescent="0.2">
      <c r="B209" s="275" t="s">
        <v>931</v>
      </c>
      <c r="C209" s="275"/>
      <c r="D209" s="230" t="s">
        <v>1001</v>
      </c>
      <c r="J209" s="75"/>
    </row>
    <row r="210" spans="2:10" x14ac:dyDescent="0.2">
      <c r="B210" s="276" t="s">
        <v>932</v>
      </c>
      <c r="C210" s="278"/>
      <c r="D210" s="277"/>
      <c r="J210" s="75"/>
    </row>
  </sheetData>
  <mergeCells count="28">
    <mergeCell ref="B201:C201"/>
    <mergeCell ref="B202:C202"/>
    <mergeCell ref="B203:C203"/>
    <mergeCell ref="B204:C204"/>
    <mergeCell ref="B210:D210"/>
    <mergeCell ref="B205:C205"/>
    <mergeCell ref="B206:C206"/>
    <mergeCell ref="B207:C207"/>
    <mergeCell ref="B208:C208"/>
    <mergeCell ref="B209:C209"/>
    <mergeCell ref="B190:C190"/>
    <mergeCell ref="B195:C195"/>
    <mergeCell ref="B196:C196"/>
    <mergeCell ref="B197:C197"/>
    <mergeCell ref="B200:D200"/>
    <mergeCell ref="B198:C198"/>
    <mergeCell ref="A1:H1"/>
    <mergeCell ref="A2:H2"/>
    <mergeCell ref="A3:H3"/>
    <mergeCell ref="B181:C181"/>
    <mergeCell ref="B182:C182"/>
    <mergeCell ref="B179:D179"/>
    <mergeCell ref="B180:C180"/>
    <mergeCell ref="B173:H173"/>
    <mergeCell ref="B174:H174"/>
    <mergeCell ref="B175:H175"/>
    <mergeCell ref="B176:H176"/>
    <mergeCell ref="B177:H177"/>
  </mergeCells>
  <hyperlinks>
    <hyperlink ref="I1" location="Index!B17" display="Index" xr:uid="{8E25733B-0594-4217-A9D7-69AD0FA4695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T171"/>
  <sheetViews>
    <sheetView showGridLines="0" workbookViewId="0">
      <selection activeCell="C78" sqref="C78"/>
    </sheetView>
  </sheetViews>
  <sheetFormatPr defaultRowHeight="12.75" x14ac:dyDescent="0.2"/>
  <cols>
    <col min="1" max="1" width="6.85546875" customWidth="1"/>
    <col min="2" max="2" width="20.5703125" customWidth="1"/>
    <col min="3" max="3" width="39.140625" bestFit="1" customWidth="1"/>
    <col min="4" max="4" width="17.85546875" customWidth="1"/>
    <col min="5" max="5" width="10.42578125" bestFit="1" customWidth="1"/>
    <col min="6" max="6" width="19.140625" customWidth="1"/>
    <col min="7" max="7" width="14" bestFit="1" customWidth="1"/>
    <col min="8" max="8" width="8.42578125" bestFit="1" customWidth="1"/>
    <col min="10" max="10" width="50.7109375" style="76" customWidth="1"/>
  </cols>
  <sheetData>
    <row r="1" spans="1:19" ht="15" x14ac:dyDescent="0.2">
      <c r="A1" s="250" t="s">
        <v>0</v>
      </c>
      <c r="B1" s="250"/>
      <c r="C1" s="250"/>
      <c r="D1" s="250"/>
      <c r="E1" s="250"/>
      <c r="F1" s="250"/>
      <c r="G1" s="250"/>
      <c r="H1" s="250"/>
      <c r="I1" s="35" t="s">
        <v>888</v>
      </c>
      <c r="J1" s="75"/>
    </row>
    <row r="2" spans="1:19" ht="15" customHeight="1" x14ac:dyDescent="0.2">
      <c r="A2" s="279" t="s">
        <v>723</v>
      </c>
      <c r="B2" s="250"/>
      <c r="C2" s="250"/>
      <c r="D2" s="250"/>
      <c r="E2" s="250"/>
      <c r="F2" s="250"/>
      <c r="G2" s="250"/>
      <c r="H2" s="250"/>
      <c r="J2" s="70" t="s">
        <v>889</v>
      </c>
      <c r="K2" s="66"/>
      <c r="L2" s="66"/>
      <c r="M2" s="66"/>
      <c r="N2" s="66"/>
    </row>
    <row r="3" spans="1:19" ht="15" x14ac:dyDescent="0.2">
      <c r="A3" s="250" t="s">
        <v>873</v>
      </c>
      <c r="B3" s="250"/>
      <c r="C3" s="250"/>
      <c r="D3" s="250"/>
      <c r="E3" s="250"/>
      <c r="F3" s="250"/>
      <c r="G3" s="250"/>
      <c r="H3" s="250"/>
      <c r="J3" s="75"/>
    </row>
    <row r="4" spans="1:19" s="28" customFormat="1" ht="30" x14ac:dyDescent="0.2">
      <c r="A4" s="161" t="s">
        <v>2</v>
      </c>
      <c r="B4" s="161" t="s">
        <v>3</v>
      </c>
      <c r="C4" s="161" t="s">
        <v>4</v>
      </c>
      <c r="D4" s="161" t="s">
        <v>5</v>
      </c>
      <c r="E4" s="161" t="s">
        <v>6</v>
      </c>
      <c r="F4" s="161" t="s">
        <v>7</v>
      </c>
      <c r="G4" s="161" t="s">
        <v>8</v>
      </c>
      <c r="H4" s="161" t="s">
        <v>872</v>
      </c>
      <c r="J4" s="75"/>
      <c r="P4"/>
      <c r="Q4"/>
      <c r="R4"/>
      <c r="S4"/>
    </row>
    <row r="5" spans="1:19" x14ac:dyDescent="0.2">
      <c r="A5" s="162"/>
      <c r="B5" s="162"/>
      <c r="C5" s="163" t="s">
        <v>9</v>
      </c>
      <c r="D5" s="162"/>
      <c r="E5" s="162"/>
      <c r="F5" s="162"/>
      <c r="G5" s="162"/>
      <c r="H5" s="162"/>
      <c r="J5" s="75"/>
    </row>
    <row r="6" spans="1:19" x14ac:dyDescent="0.2">
      <c r="A6" s="162"/>
      <c r="B6" s="162"/>
      <c r="C6" s="163" t="s">
        <v>10</v>
      </c>
      <c r="D6" s="162"/>
      <c r="E6" s="162"/>
      <c r="F6" s="162"/>
      <c r="G6" s="162"/>
      <c r="H6" s="162"/>
      <c r="J6" s="75"/>
    </row>
    <row r="7" spans="1:19" x14ac:dyDescent="0.2">
      <c r="A7" s="164">
        <v>1</v>
      </c>
      <c r="B7" s="165" t="s">
        <v>331</v>
      </c>
      <c r="C7" s="165" t="s">
        <v>332</v>
      </c>
      <c r="D7" s="165" t="s">
        <v>39</v>
      </c>
      <c r="E7" s="166">
        <v>286000</v>
      </c>
      <c r="F7" s="167">
        <v>4347.4859999999999</v>
      </c>
      <c r="G7" s="168">
        <v>5.0497189999999997E-2</v>
      </c>
      <c r="H7" s="167"/>
      <c r="J7" s="75"/>
    </row>
    <row r="8" spans="1:19" x14ac:dyDescent="0.2">
      <c r="A8" s="164">
        <v>2</v>
      </c>
      <c r="B8" s="165" t="s">
        <v>14</v>
      </c>
      <c r="C8" s="165" t="s">
        <v>15</v>
      </c>
      <c r="D8" s="165" t="s">
        <v>16</v>
      </c>
      <c r="E8" s="166">
        <v>140000</v>
      </c>
      <c r="F8" s="167">
        <v>4107.6000000000004</v>
      </c>
      <c r="G8" s="168">
        <v>4.7710849999999999E-2</v>
      </c>
      <c r="H8" s="167"/>
      <c r="J8" s="75"/>
    </row>
    <row r="9" spans="1:19" x14ac:dyDescent="0.2">
      <c r="A9" s="164">
        <v>3</v>
      </c>
      <c r="B9" s="165" t="s">
        <v>20</v>
      </c>
      <c r="C9" s="165" t="s">
        <v>21</v>
      </c>
      <c r="D9" s="165" t="s">
        <v>22</v>
      </c>
      <c r="E9" s="166">
        <v>1100000</v>
      </c>
      <c r="F9" s="167">
        <v>3995.2</v>
      </c>
      <c r="G9" s="168">
        <v>4.6405299999999997E-2</v>
      </c>
      <c r="H9" s="167"/>
      <c r="J9" s="75"/>
    </row>
    <row r="10" spans="1:19" x14ac:dyDescent="0.2">
      <c r="A10" s="164">
        <v>4</v>
      </c>
      <c r="B10" s="165" t="s">
        <v>37</v>
      </c>
      <c r="C10" s="165" t="s">
        <v>38</v>
      </c>
      <c r="D10" s="165" t="s">
        <v>39</v>
      </c>
      <c r="E10" s="166">
        <v>270000</v>
      </c>
      <c r="F10" s="167">
        <v>3106.08</v>
      </c>
      <c r="G10" s="168">
        <v>3.6077940000000003E-2</v>
      </c>
      <c r="H10" s="167"/>
      <c r="J10" s="75"/>
    </row>
    <row r="11" spans="1:19" x14ac:dyDescent="0.2">
      <c r="A11" s="164">
        <v>5</v>
      </c>
      <c r="B11" s="165" t="s">
        <v>337</v>
      </c>
      <c r="C11" s="165" t="s">
        <v>338</v>
      </c>
      <c r="D11" s="165" t="s">
        <v>232</v>
      </c>
      <c r="E11" s="166">
        <v>165000</v>
      </c>
      <c r="F11" s="167">
        <v>2343.9074999999998</v>
      </c>
      <c r="G11" s="168">
        <v>2.7225099999999999E-2</v>
      </c>
      <c r="H11" s="167"/>
      <c r="J11" s="75"/>
    </row>
    <row r="12" spans="1:19" ht="15" x14ac:dyDescent="0.2">
      <c r="A12" s="164">
        <v>6</v>
      </c>
      <c r="B12" s="165" t="s">
        <v>54</v>
      </c>
      <c r="C12" s="165" t="s">
        <v>55</v>
      </c>
      <c r="D12" s="165" t="s">
        <v>39</v>
      </c>
      <c r="E12" s="166">
        <v>275000</v>
      </c>
      <c r="F12" s="167">
        <v>2272.1875</v>
      </c>
      <c r="G12" s="168">
        <v>2.639205E-2</v>
      </c>
      <c r="H12" s="167"/>
      <c r="J12" s="71"/>
    </row>
    <row r="13" spans="1:19" x14ac:dyDescent="0.2">
      <c r="A13" s="164">
        <v>7</v>
      </c>
      <c r="B13" s="165" t="s">
        <v>339</v>
      </c>
      <c r="C13" s="165" t="s">
        <v>340</v>
      </c>
      <c r="D13" s="165" t="s">
        <v>232</v>
      </c>
      <c r="E13" s="166">
        <v>59000</v>
      </c>
      <c r="F13" s="167">
        <v>2254.1835000000001</v>
      </c>
      <c r="G13" s="168">
        <v>2.618293E-2</v>
      </c>
      <c r="H13" s="167"/>
      <c r="J13" s="75"/>
    </row>
    <row r="14" spans="1:19" x14ac:dyDescent="0.2">
      <c r="A14" s="164">
        <v>8</v>
      </c>
      <c r="B14" s="165" t="s">
        <v>26</v>
      </c>
      <c r="C14" s="165" t="s">
        <v>27</v>
      </c>
      <c r="D14" s="165" t="s">
        <v>28</v>
      </c>
      <c r="E14" s="166">
        <v>940000</v>
      </c>
      <c r="F14" s="167">
        <v>2197.25</v>
      </c>
      <c r="G14" s="168">
        <v>2.5521640000000002E-2</v>
      </c>
      <c r="H14" s="167"/>
      <c r="J14" s="75"/>
    </row>
    <row r="15" spans="1:19" x14ac:dyDescent="0.2">
      <c r="A15" s="164">
        <v>9</v>
      </c>
      <c r="B15" s="165" t="s">
        <v>11</v>
      </c>
      <c r="C15" s="165" t="s">
        <v>12</v>
      </c>
      <c r="D15" s="165" t="s">
        <v>13</v>
      </c>
      <c r="E15" s="166">
        <v>60000</v>
      </c>
      <c r="F15" s="167">
        <v>2156.58</v>
      </c>
      <c r="G15" s="168">
        <v>2.504924E-2</v>
      </c>
      <c r="H15" s="167"/>
      <c r="J15" s="75"/>
    </row>
    <row r="16" spans="1:19" x14ac:dyDescent="0.2">
      <c r="A16" s="164">
        <v>10</v>
      </c>
      <c r="B16" s="165" t="s">
        <v>362</v>
      </c>
      <c r="C16" s="165" t="s">
        <v>363</v>
      </c>
      <c r="D16" s="165" t="s">
        <v>364</v>
      </c>
      <c r="E16" s="166">
        <v>455000</v>
      </c>
      <c r="F16" s="167">
        <v>1982.2075</v>
      </c>
      <c r="G16" s="168">
        <v>2.302386E-2</v>
      </c>
      <c r="H16" s="167"/>
      <c r="J16" s="75" t="s">
        <v>947</v>
      </c>
    </row>
    <row r="17" spans="1:10" x14ac:dyDescent="0.2">
      <c r="A17" s="164">
        <v>11</v>
      </c>
      <c r="B17" s="165" t="s">
        <v>29</v>
      </c>
      <c r="C17" s="165" t="s">
        <v>30</v>
      </c>
      <c r="D17" s="165" t="s">
        <v>22</v>
      </c>
      <c r="E17" s="166">
        <v>625000</v>
      </c>
      <c r="F17" s="167">
        <v>1886.5625</v>
      </c>
      <c r="G17" s="168">
        <v>2.1912919999999999E-2</v>
      </c>
      <c r="H17" s="167"/>
      <c r="J17" s="75"/>
    </row>
    <row r="18" spans="1:10" x14ac:dyDescent="0.2">
      <c r="A18" s="164">
        <v>12</v>
      </c>
      <c r="B18" s="165" t="s">
        <v>105</v>
      </c>
      <c r="C18" s="165" t="s">
        <v>106</v>
      </c>
      <c r="D18" s="165" t="s">
        <v>107</v>
      </c>
      <c r="E18" s="166">
        <v>400000</v>
      </c>
      <c r="F18" s="167">
        <v>1817.2</v>
      </c>
      <c r="G18" s="168">
        <v>2.1107259999999999E-2</v>
      </c>
      <c r="H18" s="167"/>
      <c r="J18" s="75"/>
    </row>
    <row r="19" spans="1:10" x14ac:dyDescent="0.2">
      <c r="A19" s="164">
        <v>13</v>
      </c>
      <c r="B19" s="165" t="s">
        <v>633</v>
      </c>
      <c r="C19" s="165" t="s">
        <v>634</v>
      </c>
      <c r="D19" s="165" t="s">
        <v>232</v>
      </c>
      <c r="E19" s="166">
        <v>135000</v>
      </c>
      <c r="F19" s="167">
        <v>1705.7249999999999</v>
      </c>
      <c r="G19" s="168">
        <v>1.9812440000000001E-2</v>
      </c>
      <c r="H19" s="167"/>
      <c r="J19" s="75"/>
    </row>
    <row r="20" spans="1:10" x14ac:dyDescent="0.2">
      <c r="A20" s="164">
        <v>14</v>
      </c>
      <c r="B20" s="165" t="s">
        <v>17</v>
      </c>
      <c r="C20" s="165" t="s">
        <v>18</v>
      </c>
      <c r="D20" s="165" t="s">
        <v>19</v>
      </c>
      <c r="E20" s="166">
        <v>120000</v>
      </c>
      <c r="F20" s="167">
        <v>1586.76</v>
      </c>
      <c r="G20" s="168">
        <v>1.843063E-2</v>
      </c>
      <c r="H20" s="167"/>
      <c r="J20" s="75"/>
    </row>
    <row r="21" spans="1:10" x14ac:dyDescent="0.2">
      <c r="A21" s="164">
        <v>15</v>
      </c>
      <c r="B21" s="165" t="s">
        <v>125</v>
      </c>
      <c r="C21" s="165" t="s">
        <v>126</v>
      </c>
      <c r="D21" s="165" t="s">
        <v>53</v>
      </c>
      <c r="E21" s="166">
        <v>350000</v>
      </c>
      <c r="F21" s="167">
        <v>1545.425</v>
      </c>
      <c r="G21" s="168">
        <v>1.7950520000000001E-2</v>
      </c>
      <c r="H21" s="167"/>
      <c r="J21" s="75"/>
    </row>
    <row r="22" spans="1:10" ht="15" x14ac:dyDescent="0.2">
      <c r="A22" s="164">
        <v>16</v>
      </c>
      <c r="B22" s="165" t="s">
        <v>44</v>
      </c>
      <c r="C22" s="165" t="s">
        <v>45</v>
      </c>
      <c r="D22" s="165" t="s">
        <v>46</v>
      </c>
      <c r="E22" s="166">
        <v>530000</v>
      </c>
      <c r="F22" s="167">
        <v>1499.105</v>
      </c>
      <c r="G22" s="168">
        <v>1.7412500000000001E-2</v>
      </c>
      <c r="H22" s="167"/>
      <c r="J22" s="71"/>
    </row>
    <row r="23" spans="1:10" x14ac:dyDescent="0.2">
      <c r="A23" s="164">
        <v>17</v>
      </c>
      <c r="B23" s="165" t="s">
        <v>378</v>
      </c>
      <c r="C23" s="165" t="s">
        <v>379</v>
      </c>
      <c r="D23" s="165" t="s">
        <v>39</v>
      </c>
      <c r="E23" s="166">
        <v>850000</v>
      </c>
      <c r="F23" s="167">
        <v>1318.35</v>
      </c>
      <c r="G23" s="168">
        <v>1.531298E-2</v>
      </c>
      <c r="H23" s="167"/>
      <c r="J23" s="75"/>
    </row>
    <row r="24" spans="1:10" x14ac:dyDescent="0.2">
      <c r="A24" s="164">
        <v>18</v>
      </c>
      <c r="B24" s="165" t="s">
        <v>352</v>
      </c>
      <c r="C24" s="165" t="s">
        <v>353</v>
      </c>
      <c r="D24" s="165" t="s">
        <v>39</v>
      </c>
      <c r="E24" s="166">
        <v>207000</v>
      </c>
      <c r="F24" s="167">
        <v>1287.4365</v>
      </c>
      <c r="G24" s="168">
        <v>1.4953910000000001E-2</v>
      </c>
      <c r="H24" s="167"/>
      <c r="J24" s="75"/>
    </row>
    <row r="25" spans="1:10" x14ac:dyDescent="0.2">
      <c r="A25" s="164">
        <v>19</v>
      </c>
      <c r="B25" s="165" t="s">
        <v>537</v>
      </c>
      <c r="C25" s="165" t="s">
        <v>538</v>
      </c>
      <c r="D25" s="165" t="s">
        <v>232</v>
      </c>
      <c r="E25" s="166">
        <v>90000</v>
      </c>
      <c r="F25" s="167">
        <v>1229.94</v>
      </c>
      <c r="G25" s="168">
        <v>1.428608E-2</v>
      </c>
      <c r="H25" s="167"/>
      <c r="J25" s="75"/>
    </row>
    <row r="26" spans="1:10" ht="25.5" x14ac:dyDescent="0.2">
      <c r="A26" s="164">
        <v>20</v>
      </c>
      <c r="B26" s="165" t="s">
        <v>23</v>
      </c>
      <c r="C26" s="165" t="s">
        <v>24</v>
      </c>
      <c r="D26" s="165" t="s">
        <v>25</v>
      </c>
      <c r="E26" s="166">
        <v>12000</v>
      </c>
      <c r="F26" s="167">
        <v>1196.6220000000001</v>
      </c>
      <c r="G26" s="168">
        <v>1.3899079999999999E-2</v>
      </c>
      <c r="H26" s="167"/>
      <c r="J26" s="75"/>
    </row>
    <row r="27" spans="1:10" x14ac:dyDescent="0.2">
      <c r="A27" s="164">
        <v>21</v>
      </c>
      <c r="B27" s="165" t="s">
        <v>121</v>
      </c>
      <c r="C27" s="165" t="s">
        <v>122</v>
      </c>
      <c r="D27" s="165" t="s">
        <v>16</v>
      </c>
      <c r="E27" s="166">
        <v>700000</v>
      </c>
      <c r="F27" s="167">
        <v>1181.95</v>
      </c>
      <c r="G27" s="168">
        <v>1.372866E-2</v>
      </c>
      <c r="H27" s="167"/>
      <c r="J27" s="75"/>
    </row>
    <row r="28" spans="1:10" x14ac:dyDescent="0.2">
      <c r="A28" s="164">
        <v>22</v>
      </c>
      <c r="B28" s="165" t="s">
        <v>724</v>
      </c>
      <c r="C28" s="165" t="s">
        <v>725</v>
      </c>
      <c r="D28" s="165" t="s">
        <v>22</v>
      </c>
      <c r="E28" s="166">
        <v>1200000</v>
      </c>
      <c r="F28" s="167">
        <v>1154.4000000000001</v>
      </c>
      <c r="G28" s="168">
        <v>1.3408659999999999E-2</v>
      </c>
      <c r="H28" s="167"/>
      <c r="J28" s="75"/>
    </row>
    <row r="29" spans="1:10" ht="25.5" x14ac:dyDescent="0.2">
      <c r="A29" s="164">
        <v>23</v>
      </c>
      <c r="B29" s="165" t="s">
        <v>623</v>
      </c>
      <c r="C29" s="165" t="s">
        <v>624</v>
      </c>
      <c r="D29" s="165" t="s">
        <v>285</v>
      </c>
      <c r="E29" s="166">
        <v>53000</v>
      </c>
      <c r="F29" s="167">
        <v>1142.8655000000001</v>
      </c>
      <c r="G29" s="168">
        <v>1.3274680000000001E-2</v>
      </c>
      <c r="H29" s="167"/>
      <c r="J29" s="75" t="s">
        <v>1087</v>
      </c>
    </row>
    <row r="30" spans="1:10" ht="25.5" x14ac:dyDescent="0.2">
      <c r="A30" s="164">
        <v>24</v>
      </c>
      <c r="B30" s="165" t="s">
        <v>346</v>
      </c>
      <c r="C30" s="165" t="s">
        <v>347</v>
      </c>
      <c r="D30" s="165" t="s">
        <v>216</v>
      </c>
      <c r="E30" s="166">
        <v>75000</v>
      </c>
      <c r="F30" s="167">
        <v>1126.575</v>
      </c>
      <c r="G30" s="168">
        <v>1.308546E-2</v>
      </c>
      <c r="H30" s="167"/>
      <c r="J30" s="75"/>
    </row>
    <row r="31" spans="1:10" ht="25.5" x14ac:dyDescent="0.2">
      <c r="A31" s="164">
        <v>25</v>
      </c>
      <c r="B31" s="165" t="s">
        <v>356</v>
      </c>
      <c r="C31" s="165" t="s">
        <v>357</v>
      </c>
      <c r="D31" s="165" t="s">
        <v>216</v>
      </c>
      <c r="E31" s="166">
        <v>97000</v>
      </c>
      <c r="F31" s="167">
        <v>1118.895</v>
      </c>
      <c r="G31" s="168">
        <v>1.2996260000000001E-2</v>
      </c>
      <c r="H31" s="167"/>
      <c r="J31" s="75"/>
    </row>
    <row r="32" spans="1:10" x14ac:dyDescent="0.2">
      <c r="A32" s="164">
        <v>26</v>
      </c>
      <c r="B32" s="165" t="s">
        <v>81</v>
      </c>
      <c r="C32" s="165" t="s">
        <v>82</v>
      </c>
      <c r="D32" s="165" t="s">
        <v>36</v>
      </c>
      <c r="E32" s="166">
        <v>34000</v>
      </c>
      <c r="F32" s="167">
        <v>1113.653</v>
      </c>
      <c r="G32" s="168">
        <v>1.293537E-2</v>
      </c>
      <c r="H32" s="167"/>
      <c r="J32" s="75"/>
    </row>
    <row r="33" spans="1:10" x14ac:dyDescent="0.2">
      <c r="A33" s="164">
        <v>27</v>
      </c>
      <c r="B33" s="165" t="s">
        <v>726</v>
      </c>
      <c r="C33" s="165" t="s">
        <v>727</v>
      </c>
      <c r="D33" s="165" t="s">
        <v>75</v>
      </c>
      <c r="E33" s="166">
        <v>73000</v>
      </c>
      <c r="F33" s="167">
        <v>1092.1895</v>
      </c>
      <c r="G33" s="168">
        <v>1.2686070000000001E-2</v>
      </c>
      <c r="H33" s="167"/>
      <c r="J33" s="75"/>
    </row>
    <row r="34" spans="1:10" x14ac:dyDescent="0.2">
      <c r="A34" s="164">
        <v>28</v>
      </c>
      <c r="B34" s="165" t="s">
        <v>365</v>
      </c>
      <c r="C34" s="165" t="s">
        <v>366</v>
      </c>
      <c r="D34" s="165" t="s">
        <v>114</v>
      </c>
      <c r="E34" s="166">
        <v>650000</v>
      </c>
      <c r="F34" s="167">
        <v>1072.5</v>
      </c>
      <c r="G34" s="168">
        <v>1.2457370000000001E-2</v>
      </c>
      <c r="H34" s="167"/>
      <c r="J34" s="75"/>
    </row>
    <row r="35" spans="1:10" x14ac:dyDescent="0.2">
      <c r="A35" s="164">
        <v>29</v>
      </c>
      <c r="B35" s="165" t="s">
        <v>350</v>
      </c>
      <c r="C35" s="165" t="s">
        <v>351</v>
      </c>
      <c r="D35" s="165" t="s">
        <v>262</v>
      </c>
      <c r="E35" s="166">
        <v>26000</v>
      </c>
      <c r="F35" s="167">
        <v>1068.3399999999999</v>
      </c>
      <c r="G35" s="168">
        <v>1.240905E-2</v>
      </c>
      <c r="H35" s="167"/>
      <c r="J35" s="75"/>
    </row>
    <row r="36" spans="1:10" x14ac:dyDescent="0.2">
      <c r="A36" s="164">
        <v>30</v>
      </c>
      <c r="B36" s="165" t="s">
        <v>63</v>
      </c>
      <c r="C36" s="165" t="s">
        <v>64</v>
      </c>
      <c r="D36" s="165" t="s">
        <v>65</v>
      </c>
      <c r="E36" s="166">
        <v>505000</v>
      </c>
      <c r="F36" s="167">
        <v>1055.9549999999999</v>
      </c>
      <c r="G36" s="168">
        <v>1.22652E-2</v>
      </c>
      <c r="H36" s="167"/>
      <c r="J36" s="75"/>
    </row>
    <row r="37" spans="1:10" x14ac:dyDescent="0.2">
      <c r="A37" s="164">
        <v>31</v>
      </c>
      <c r="B37" s="165" t="s">
        <v>335</v>
      </c>
      <c r="C37" s="165" t="s">
        <v>336</v>
      </c>
      <c r="D37" s="165" t="s">
        <v>39</v>
      </c>
      <c r="E37" s="166">
        <v>90000</v>
      </c>
      <c r="F37" s="167">
        <v>1049.31</v>
      </c>
      <c r="G37" s="168">
        <v>1.2188010000000001E-2</v>
      </c>
      <c r="H37" s="167"/>
      <c r="J37" s="75"/>
    </row>
    <row r="38" spans="1:10" x14ac:dyDescent="0.2">
      <c r="A38" s="164">
        <v>32</v>
      </c>
      <c r="B38" s="165" t="s">
        <v>728</v>
      </c>
      <c r="C38" s="165" t="s">
        <v>729</v>
      </c>
      <c r="D38" s="165" t="s">
        <v>22</v>
      </c>
      <c r="E38" s="166">
        <v>710000</v>
      </c>
      <c r="F38" s="167">
        <v>1046.1849999999999</v>
      </c>
      <c r="G38" s="168">
        <v>1.215171E-2</v>
      </c>
      <c r="H38" s="167"/>
      <c r="J38" s="75"/>
    </row>
    <row r="39" spans="1:10" ht="25.5" x14ac:dyDescent="0.2">
      <c r="A39" s="164">
        <v>33</v>
      </c>
      <c r="B39" s="165" t="s">
        <v>597</v>
      </c>
      <c r="C39" s="165" t="s">
        <v>598</v>
      </c>
      <c r="D39" s="165" t="s">
        <v>599</v>
      </c>
      <c r="E39" s="166">
        <v>208000</v>
      </c>
      <c r="F39" s="167">
        <v>1039.376</v>
      </c>
      <c r="G39" s="168">
        <v>1.2072630000000001E-2</v>
      </c>
      <c r="H39" s="167"/>
      <c r="J39" s="75"/>
    </row>
    <row r="40" spans="1:10" x14ac:dyDescent="0.2">
      <c r="A40" s="164">
        <v>34</v>
      </c>
      <c r="B40" s="165" t="s">
        <v>571</v>
      </c>
      <c r="C40" s="165" t="s">
        <v>572</v>
      </c>
      <c r="D40" s="165" t="s">
        <v>496</v>
      </c>
      <c r="E40" s="166">
        <v>56000</v>
      </c>
      <c r="F40" s="167">
        <v>1011.64</v>
      </c>
      <c r="G40" s="168">
        <v>1.1750460000000001E-2</v>
      </c>
      <c r="H40" s="167"/>
      <c r="J40" s="75"/>
    </row>
    <row r="41" spans="1:10" x14ac:dyDescent="0.2">
      <c r="A41" s="164">
        <v>35</v>
      </c>
      <c r="B41" s="165" t="s">
        <v>376</v>
      </c>
      <c r="C41" s="165" t="s">
        <v>377</v>
      </c>
      <c r="D41" s="165" t="s">
        <v>364</v>
      </c>
      <c r="E41" s="166">
        <v>45000</v>
      </c>
      <c r="F41" s="167">
        <v>1003.7025</v>
      </c>
      <c r="G41" s="168">
        <v>1.165827E-2</v>
      </c>
      <c r="H41" s="167"/>
      <c r="J41" s="75"/>
    </row>
    <row r="42" spans="1:10" ht="25.5" x14ac:dyDescent="0.2">
      <c r="A42" s="164">
        <v>36</v>
      </c>
      <c r="B42" s="165" t="s">
        <v>539</v>
      </c>
      <c r="C42" s="165" t="s">
        <v>540</v>
      </c>
      <c r="D42" s="165" t="s">
        <v>216</v>
      </c>
      <c r="E42" s="166">
        <v>70000</v>
      </c>
      <c r="F42" s="167">
        <v>980</v>
      </c>
      <c r="G42" s="168">
        <v>1.1382959999999999E-2</v>
      </c>
      <c r="H42" s="167"/>
      <c r="J42" s="75"/>
    </row>
    <row r="43" spans="1:10" x14ac:dyDescent="0.2">
      <c r="A43" s="164">
        <v>37</v>
      </c>
      <c r="B43" s="165" t="s">
        <v>619</v>
      </c>
      <c r="C43" s="165" t="s">
        <v>620</v>
      </c>
      <c r="D43" s="165" t="s">
        <v>285</v>
      </c>
      <c r="E43" s="166">
        <v>11000</v>
      </c>
      <c r="F43" s="167">
        <v>979.40150000000006</v>
      </c>
      <c r="G43" s="168">
        <v>1.1376010000000001E-2</v>
      </c>
      <c r="H43" s="167"/>
      <c r="J43" s="75"/>
    </row>
    <row r="44" spans="1:10" x14ac:dyDescent="0.2">
      <c r="A44" s="164">
        <v>38</v>
      </c>
      <c r="B44" s="165" t="s">
        <v>608</v>
      </c>
      <c r="C44" s="165" t="s">
        <v>609</v>
      </c>
      <c r="D44" s="165" t="s">
        <v>232</v>
      </c>
      <c r="E44" s="166">
        <v>62000</v>
      </c>
      <c r="F44" s="167">
        <v>926.404</v>
      </c>
      <c r="G44" s="168">
        <v>1.076043E-2</v>
      </c>
      <c r="H44" s="167"/>
      <c r="J44" s="75"/>
    </row>
    <row r="45" spans="1:10" x14ac:dyDescent="0.2">
      <c r="A45" s="164">
        <v>39</v>
      </c>
      <c r="B45" s="165" t="s">
        <v>51</v>
      </c>
      <c r="C45" s="165" t="s">
        <v>52</v>
      </c>
      <c r="D45" s="165" t="s">
        <v>53</v>
      </c>
      <c r="E45" s="166">
        <v>180000</v>
      </c>
      <c r="F45" s="167">
        <v>912.87</v>
      </c>
      <c r="G45" s="168">
        <v>1.060323E-2</v>
      </c>
      <c r="H45" s="167"/>
      <c r="J45" s="75"/>
    </row>
    <row r="46" spans="1:10" x14ac:dyDescent="0.2">
      <c r="A46" s="164">
        <v>40</v>
      </c>
      <c r="B46" s="165" t="s">
        <v>503</v>
      </c>
      <c r="C46" s="165" t="s">
        <v>504</v>
      </c>
      <c r="D46" s="165" t="s">
        <v>36</v>
      </c>
      <c r="E46" s="166">
        <v>63000</v>
      </c>
      <c r="F46" s="167">
        <v>896.04899999999998</v>
      </c>
      <c r="G46" s="168">
        <v>1.040784E-2</v>
      </c>
      <c r="H46" s="167"/>
      <c r="J46" s="75"/>
    </row>
    <row r="47" spans="1:10" x14ac:dyDescent="0.2">
      <c r="A47" s="164">
        <v>41</v>
      </c>
      <c r="B47" s="165" t="s">
        <v>85</v>
      </c>
      <c r="C47" s="165" t="s">
        <v>86</v>
      </c>
      <c r="D47" s="165" t="s">
        <v>33</v>
      </c>
      <c r="E47" s="166">
        <v>260000</v>
      </c>
      <c r="F47" s="167">
        <v>872.17</v>
      </c>
      <c r="G47" s="168">
        <v>1.0130480000000001E-2</v>
      </c>
      <c r="H47" s="167"/>
      <c r="J47" s="75"/>
    </row>
    <row r="48" spans="1:10" x14ac:dyDescent="0.2">
      <c r="A48" s="164">
        <v>42</v>
      </c>
      <c r="B48" s="165" t="s">
        <v>360</v>
      </c>
      <c r="C48" s="165" t="s">
        <v>361</v>
      </c>
      <c r="D48" s="165" t="s">
        <v>39</v>
      </c>
      <c r="E48" s="166">
        <v>56533</v>
      </c>
      <c r="F48" s="167">
        <v>856.87068099999999</v>
      </c>
      <c r="G48" s="168">
        <v>9.9527799999999996E-3</v>
      </c>
      <c r="H48" s="167"/>
      <c r="J48" s="75"/>
    </row>
    <row r="49" spans="1:10" ht="25.5" x14ac:dyDescent="0.2">
      <c r="A49" s="164">
        <v>43</v>
      </c>
      <c r="B49" s="165" t="s">
        <v>415</v>
      </c>
      <c r="C49" s="165" t="s">
        <v>416</v>
      </c>
      <c r="D49" s="165" t="s">
        <v>25</v>
      </c>
      <c r="E49" s="166">
        <v>35000</v>
      </c>
      <c r="F49" s="167">
        <v>844.07749999999999</v>
      </c>
      <c r="G49" s="168">
        <v>9.8041799999999991E-3</v>
      </c>
      <c r="H49" s="167"/>
      <c r="J49" s="75"/>
    </row>
    <row r="50" spans="1:10" x14ac:dyDescent="0.2">
      <c r="A50" s="164">
        <v>44</v>
      </c>
      <c r="B50" s="165" t="s">
        <v>89</v>
      </c>
      <c r="C50" s="165" t="s">
        <v>90</v>
      </c>
      <c r="D50" s="165" t="s">
        <v>62</v>
      </c>
      <c r="E50" s="166">
        <v>21000</v>
      </c>
      <c r="F50" s="167">
        <v>836.28300000000002</v>
      </c>
      <c r="G50" s="168">
        <v>9.7136500000000008E-3</v>
      </c>
      <c r="H50" s="167"/>
      <c r="J50" s="75"/>
    </row>
    <row r="51" spans="1:10" x14ac:dyDescent="0.2">
      <c r="A51" s="164">
        <v>45</v>
      </c>
      <c r="B51" s="165" t="s">
        <v>470</v>
      </c>
      <c r="C51" s="165" t="s">
        <v>471</v>
      </c>
      <c r="D51" s="165" t="s">
        <v>262</v>
      </c>
      <c r="E51" s="166">
        <v>30000</v>
      </c>
      <c r="F51" s="167">
        <v>835.98</v>
      </c>
      <c r="G51" s="168">
        <v>9.7101300000000008E-3</v>
      </c>
      <c r="H51" s="167"/>
      <c r="J51" s="75"/>
    </row>
    <row r="52" spans="1:10" x14ac:dyDescent="0.2">
      <c r="A52" s="164">
        <v>46</v>
      </c>
      <c r="B52" s="165" t="s">
        <v>532</v>
      </c>
      <c r="C52" s="165" t="s">
        <v>1053</v>
      </c>
      <c r="D52" s="165" t="s">
        <v>285</v>
      </c>
      <c r="E52" s="166">
        <v>120000</v>
      </c>
      <c r="F52" s="167">
        <v>818.7</v>
      </c>
      <c r="G52" s="168">
        <v>9.5094199999999993E-3</v>
      </c>
      <c r="H52" s="167"/>
      <c r="J52" s="75"/>
    </row>
    <row r="53" spans="1:10" x14ac:dyDescent="0.2">
      <c r="A53" s="164">
        <v>47</v>
      </c>
      <c r="B53" s="165" t="s">
        <v>478</v>
      </c>
      <c r="C53" s="165" t="s">
        <v>479</v>
      </c>
      <c r="D53" s="165" t="s">
        <v>53</v>
      </c>
      <c r="E53" s="166">
        <v>105000</v>
      </c>
      <c r="F53" s="167">
        <v>800.78250000000003</v>
      </c>
      <c r="G53" s="168">
        <v>9.3013000000000002E-3</v>
      </c>
      <c r="H53" s="167"/>
      <c r="J53" s="75"/>
    </row>
    <row r="54" spans="1:10" x14ac:dyDescent="0.2">
      <c r="A54" s="164">
        <v>48</v>
      </c>
      <c r="B54" s="165" t="s">
        <v>382</v>
      </c>
      <c r="C54" s="165" t="s">
        <v>383</v>
      </c>
      <c r="D54" s="165" t="s">
        <v>75</v>
      </c>
      <c r="E54" s="166">
        <v>22000</v>
      </c>
      <c r="F54" s="167">
        <v>789.63499999999999</v>
      </c>
      <c r="G54" s="168">
        <v>9.1718200000000007E-3</v>
      </c>
      <c r="H54" s="167"/>
      <c r="J54" s="75"/>
    </row>
    <row r="55" spans="1:10" x14ac:dyDescent="0.2">
      <c r="A55" s="164">
        <v>49</v>
      </c>
      <c r="B55" s="165" t="s">
        <v>369</v>
      </c>
      <c r="C55" s="165" t="s">
        <v>370</v>
      </c>
      <c r="D55" s="165" t="s">
        <v>285</v>
      </c>
      <c r="E55" s="166">
        <v>17000</v>
      </c>
      <c r="F55" s="167">
        <v>772.31849999999997</v>
      </c>
      <c r="G55" s="168">
        <v>8.97068E-3</v>
      </c>
      <c r="H55" s="167"/>
      <c r="J55" s="75"/>
    </row>
    <row r="56" spans="1:10" x14ac:dyDescent="0.2">
      <c r="A56" s="164">
        <v>50</v>
      </c>
      <c r="B56" s="165" t="s">
        <v>621</v>
      </c>
      <c r="C56" s="165" t="s">
        <v>622</v>
      </c>
      <c r="D56" s="165" t="s">
        <v>285</v>
      </c>
      <c r="E56" s="166">
        <v>6000</v>
      </c>
      <c r="F56" s="167">
        <v>769.05</v>
      </c>
      <c r="G56" s="168">
        <v>8.9327199999999999E-3</v>
      </c>
      <c r="H56" s="167"/>
      <c r="J56" s="75"/>
    </row>
    <row r="57" spans="1:10" ht="25.5" x14ac:dyDescent="0.2">
      <c r="A57" s="164">
        <v>51</v>
      </c>
      <c r="B57" s="165" t="s">
        <v>565</v>
      </c>
      <c r="C57" s="165" t="s">
        <v>566</v>
      </c>
      <c r="D57" s="165" t="s">
        <v>216</v>
      </c>
      <c r="E57" s="166">
        <v>115000</v>
      </c>
      <c r="F57" s="167">
        <v>759.51750000000004</v>
      </c>
      <c r="G57" s="168">
        <v>8.822E-3</v>
      </c>
      <c r="H57" s="167"/>
      <c r="J57" s="75"/>
    </row>
    <row r="58" spans="1:10" x14ac:dyDescent="0.2">
      <c r="A58" s="164">
        <v>52</v>
      </c>
      <c r="B58" s="165" t="s">
        <v>730</v>
      </c>
      <c r="C58" s="165" t="s">
        <v>731</v>
      </c>
      <c r="D58" s="165" t="s">
        <v>235</v>
      </c>
      <c r="E58" s="166">
        <v>75000</v>
      </c>
      <c r="F58" s="167">
        <v>733.6875</v>
      </c>
      <c r="G58" s="168">
        <v>8.5219700000000002E-3</v>
      </c>
      <c r="H58" s="167"/>
      <c r="J58" s="75"/>
    </row>
    <row r="59" spans="1:10" x14ac:dyDescent="0.2">
      <c r="A59" s="164">
        <v>53</v>
      </c>
      <c r="B59" s="165" t="s">
        <v>617</v>
      </c>
      <c r="C59" s="165" t="s">
        <v>618</v>
      </c>
      <c r="D59" s="165" t="s">
        <v>273</v>
      </c>
      <c r="E59" s="166">
        <v>60000</v>
      </c>
      <c r="F59" s="167">
        <v>706.2</v>
      </c>
      <c r="G59" s="168">
        <v>8.2027000000000003E-3</v>
      </c>
      <c r="H59" s="167"/>
      <c r="J59" s="75"/>
    </row>
    <row r="60" spans="1:10" x14ac:dyDescent="0.2">
      <c r="A60" s="164">
        <v>54</v>
      </c>
      <c r="B60" s="165" t="s">
        <v>60</v>
      </c>
      <c r="C60" s="165" t="s">
        <v>61</v>
      </c>
      <c r="D60" s="165" t="s">
        <v>62</v>
      </c>
      <c r="E60" s="166">
        <v>68282</v>
      </c>
      <c r="F60" s="167">
        <v>701.93895999999995</v>
      </c>
      <c r="G60" s="168">
        <v>8.1532099999999993E-3</v>
      </c>
      <c r="H60" s="167"/>
      <c r="J60" s="75"/>
    </row>
    <row r="61" spans="1:10" x14ac:dyDescent="0.2">
      <c r="A61" s="164">
        <v>55</v>
      </c>
      <c r="B61" s="165" t="s">
        <v>238</v>
      </c>
      <c r="C61" s="165" t="s">
        <v>239</v>
      </c>
      <c r="D61" s="165" t="s">
        <v>104</v>
      </c>
      <c r="E61" s="166">
        <v>7500</v>
      </c>
      <c r="F61" s="167">
        <v>651.67499999999995</v>
      </c>
      <c r="G61" s="168">
        <v>7.5693799999999997E-3</v>
      </c>
      <c r="H61" s="167"/>
      <c r="J61" s="75"/>
    </row>
    <row r="62" spans="1:10" x14ac:dyDescent="0.2">
      <c r="A62" s="164">
        <v>56</v>
      </c>
      <c r="B62" s="165" t="s">
        <v>202</v>
      </c>
      <c r="C62" s="165" t="s">
        <v>203</v>
      </c>
      <c r="D62" s="165" t="s">
        <v>39</v>
      </c>
      <c r="E62" s="166">
        <v>375000</v>
      </c>
      <c r="F62" s="167">
        <v>609.75</v>
      </c>
      <c r="G62" s="168">
        <v>7.0824099999999999E-3</v>
      </c>
      <c r="H62" s="167"/>
      <c r="J62" s="75"/>
    </row>
    <row r="63" spans="1:10" x14ac:dyDescent="0.2">
      <c r="A63" s="164">
        <v>57</v>
      </c>
      <c r="B63" s="165" t="s">
        <v>732</v>
      </c>
      <c r="C63" s="165" t="s">
        <v>733</v>
      </c>
      <c r="D63" s="165" t="s">
        <v>36</v>
      </c>
      <c r="E63" s="166">
        <v>16000</v>
      </c>
      <c r="F63" s="167">
        <v>607.55200000000002</v>
      </c>
      <c r="G63" s="168">
        <v>7.0568799999999998E-3</v>
      </c>
      <c r="H63" s="167"/>
      <c r="J63" s="75"/>
    </row>
    <row r="64" spans="1:10" x14ac:dyDescent="0.2">
      <c r="A64" s="164">
        <v>58</v>
      </c>
      <c r="B64" s="165" t="s">
        <v>256</v>
      </c>
      <c r="C64" s="165" t="s">
        <v>257</v>
      </c>
      <c r="D64" s="165" t="s">
        <v>65</v>
      </c>
      <c r="E64" s="166">
        <v>200000</v>
      </c>
      <c r="F64" s="167">
        <v>592</v>
      </c>
      <c r="G64" s="168">
        <v>6.8762399999999996E-3</v>
      </c>
      <c r="H64" s="167"/>
      <c r="J64" s="75"/>
    </row>
    <row r="65" spans="1:10" ht="25.5" x14ac:dyDescent="0.2">
      <c r="A65" s="164">
        <v>59</v>
      </c>
      <c r="B65" s="165" t="s">
        <v>219</v>
      </c>
      <c r="C65" s="165" t="s">
        <v>220</v>
      </c>
      <c r="D65" s="165" t="s">
        <v>221</v>
      </c>
      <c r="E65" s="166">
        <v>45000</v>
      </c>
      <c r="F65" s="167">
        <v>543.53250000000003</v>
      </c>
      <c r="G65" s="168">
        <v>6.3132700000000002E-3</v>
      </c>
      <c r="H65" s="167"/>
      <c r="J65" s="75"/>
    </row>
    <row r="66" spans="1:10" x14ac:dyDescent="0.2">
      <c r="A66" s="164">
        <v>60</v>
      </c>
      <c r="B66" s="165" t="s">
        <v>734</v>
      </c>
      <c r="C66" s="165" t="s">
        <v>735</v>
      </c>
      <c r="D66" s="165" t="s">
        <v>276</v>
      </c>
      <c r="E66" s="166">
        <v>9850</v>
      </c>
      <c r="F66" s="167">
        <v>470.43107500000002</v>
      </c>
      <c r="G66" s="168">
        <v>5.4641799999999999E-3</v>
      </c>
      <c r="H66" s="167"/>
      <c r="J66" s="75"/>
    </row>
    <row r="67" spans="1:10" x14ac:dyDescent="0.2">
      <c r="A67" s="164">
        <v>61</v>
      </c>
      <c r="B67" s="165" t="s">
        <v>269</v>
      </c>
      <c r="C67" s="165" t="s">
        <v>270</v>
      </c>
      <c r="D67" s="165" t="s">
        <v>232</v>
      </c>
      <c r="E67" s="166">
        <v>9000</v>
      </c>
      <c r="F67" s="167">
        <v>459.29250000000002</v>
      </c>
      <c r="G67" s="168">
        <v>5.3347999999999998E-3</v>
      </c>
      <c r="H67" s="167"/>
      <c r="J67" s="75"/>
    </row>
    <row r="68" spans="1:10" ht="25.5" x14ac:dyDescent="0.2">
      <c r="A68" s="164">
        <v>62</v>
      </c>
      <c r="B68" s="165" t="s">
        <v>736</v>
      </c>
      <c r="C68" s="165" t="s">
        <v>737</v>
      </c>
      <c r="D68" s="165" t="s">
        <v>738</v>
      </c>
      <c r="E68" s="166">
        <v>10516</v>
      </c>
      <c r="F68" s="167">
        <v>423.73696200000001</v>
      </c>
      <c r="G68" s="168">
        <v>4.9218200000000004E-3</v>
      </c>
      <c r="H68" s="167"/>
      <c r="J68" s="75"/>
    </row>
    <row r="69" spans="1:10" x14ac:dyDescent="0.2">
      <c r="A69" s="164">
        <v>63</v>
      </c>
      <c r="B69" s="165" t="s">
        <v>391</v>
      </c>
      <c r="C69" s="165" t="s">
        <v>392</v>
      </c>
      <c r="D69" s="165" t="s">
        <v>393</v>
      </c>
      <c r="E69" s="166">
        <v>1200</v>
      </c>
      <c r="F69" s="167">
        <v>417.40859999999998</v>
      </c>
      <c r="G69" s="168">
        <v>4.8483099999999998E-3</v>
      </c>
      <c r="H69" s="167"/>
      <c r="J69" s="75"/>
    </row>
    <row r="70" spans="1:10" x14ac:dyDescent="0.2">
      <c r="A70" s="164">
        <v>64</v>
      </c>
      <c r="B70" s="165" t="s">
        <v>226</v>
      </c>
      <c r="C70" s="165" t="s">
        <v>227</v>
      </c>
      <c r="D70" s="165" t="s">
        <v>53</v>
      </c>
      <c r="E70" s="166">
        <v>15000</v>
      </c>
      <c r="F70" s="167">
        <v>382.755</v>
      </c>
      <c r="G70" s="168">
        <v>4.4457999999999998E-3</v>
      </c>
      <c r="H70" s="167"/>
      <c r="J70" s="75"/>
    </row>
    <row r="71" spans="1:10" ht="25.5" x14ac:dyDescent="0.2">
      <c r="A71" s="164">
        <v>65</v>
      </c>
      <c r="B71" s="165" t="s">
        <v>317</v>
      </c>
      <c r="C71" s="165" t="s">
        <v>318</v>
      </c>
      <c r="D71" s="165" t="s">
        <v>216</v>
      </c>
      <c r="E71" s="166">
        <v>4400</v>
      </c>
      <c r="F71" s="167">
        <v>366.32420000000002</v>
      </c>
      <c r="G71" s="168">
        <v>4.2549500000000004E-3</v>
      </c>
      <c r="H71" s="167"/>
      <c r="J71" s="75"/>
    </row>
    <row r="72" spans="1:10" x14ac:dyDescent="0.2">
      <c r="A72" s="164">
        <v>66</v>
      </c>
      <c r="B72" s="165" t="s">
        <v>499</v>
      </c>
      <c r="C72" s="165" t="s">
        <v>500</v>
      </c>
      <c r="D72" s="165" t="s">
        <v>75</v>
      </c>
      <c r="E72" s="166">
        <v>32278</v>
      </c>
      <c r="F72" s="167">
        <v>270.55419599999999</v>
      </c>
      <c r="G72" s="168">
        <v>3.14256E-3</v>
      </c>
      <c r="H72" s="167"/>
      <c r="J72" s="75"/>
    </row>
    <row r="73" spans="1:10" x14ac:dyDescent="0.2">
      <c r="A73" s="162"/>
      <c r="B73" s="162"/>
      <c r="C73" s="163" t="s">
        <v>152</v>
      </c>
      <c r="D73" s="162"/>
      <c r="E73" s="162" t="s">
        <v>153</v>
      </c>
      <c r="F73" s="169">
        <v>81700.292173999973</v>
      </c>
      <c r="G73" s="170">
        <v>0.94897039000000005</v>
      </c>
      <c r="H73" s="167"/>
      <c r="J73" s="75"/>
    </row>
    <row r="74" spans="1:10" x14ac:dyDescent="0.2">
      <c r="A74" s="162"/>
      <c r="B74" s="162"/>
      <c r="C74" s="171"/>
      <c r="D74" s="162"/>
      <c r="E74" s="162"/>
      <c r="F74" s="172"/>
      <c r="G74" s="172"/>
      <c r="H74" s="167"/>
      <c r="J74" s="75"/>
    </row>
    <row r="75" spans="1:10" x14ac:dyDescent="0.2">
      <c r="A75" s="162"/>
      <c r="B75" s="162"/>
      <c r="C75" s="163" t="s">
        <v>154</v>
      </c>
      <c r="D75" s="162"/>
      <c r="E75" s="162"/>
      <c r="F75" s="162"/>
      <c r="G75" s="162"/>
      <c r="H75" s="167"/>
      <c r="J75" s="75"/>
    </row>
    <row r="76" spans="1:10" x14ac:dyDescent="0.2">
      <c r="A76" s="162"/>
      <c r="B76" s="162"/>
      <c r="C76" s="163" t="s">
        <v>152</v>
      </c>
      <c r="D76" s="162"/>
      <c r="E76" s="162" t="s">
        <v>153</v>
      </c>
      <c r="F76" s="173" t="s">
        <v>155</v>
      </c>
      <c r="G76" s="170">
        <v>0</v>
      </c>
      <c r="H76" s="167"/>
      <c r="J76" s="75"/>
    </row>
    <row r="77" spans="1:10" x14ac:dyDescent="0.2">
      <c r="A77" s="162"/>
      <c r="B77" s="162"/>
      <c r="C77" s="171"/>
      <c r="D77" s="162"/>
      <c r="E77" s="162"/>
      <c r="F77" s="172"/>
      <c r="G77" s="172"/>
      <c r="H77" s="167"/>
      <c r="J77" s="75"/>
    </row>
    <row r="78" spans="1:10" x14ac:dyDescent="0.2">
      <c r="A78" s="162"/>
      <c r="B78" s="162"/>
      <c r="C78" s="163" t="s">
        <v>156</v>
      </c>
      <c r="D78" s="162"/>
      <c r="E78" s="162"/>
      <c r="F78" s="162"/>
      <c r="G78" s="162"/>
      <c r="H78" s="167"/>
      <c r="J78" s="75"/>
    </row>
    <row r="79" spans="1:10" x14ac:dyDescent="0.2">
      <c r="A79" s="164">
        <v>67</v>
      </c>
      <c r="B79" s="165" t="s">
        <v>739</v>
      </c>
      <c r="C79" s="165" t="s">
        <v>1203</v>
      </c>
      <c r="D79" s="165"/>
      <c r="E79" s="166">
        <v>20</v>
      </c>
      <c r="F79" s="167">
        <v>0</v>
      </c>
      <c r="G79" s="174" t="s">
        <v>151</v>
      </c>
      <c r="H79" s="167"/>
      <c r="J79" s="75"/>
    </row>
    <row r="80" spans="1:10" x14ac:dyDescent="0.2">
      <c r="A80" s="164">
        <v>68</v>
      </c>
      <c r="B80" s="165" t="s">
        <v>740</v>
      </c>
      <c r="C80" s="165" t="s">
        <v>1204</v>
      </c>
      <c r="D80" s="165"/>
      <c r="E80" s="166">
        <v>50000</v>
      </c>
      <c r="F80" s="167">
        <v>4.9999999999999998E-7</v>
      </c>
      <c r="G80" s="174" t="s">
        <v>151</v>
      </c>
      <c r="H80" s="167"/>
      <c r="J80" s="75"/>
    </row>
    <row r="81" spans="1:10" x14ac:dyDescent="0.2">
      <c r="A81" s="164">
        <v>69</v>
      </c>
      <c r="B81" s="165" t="s">
        <v>741</v>
      </c>
      <c r="C81" s="165" t="s">
        <v>1205</v>
      </c>
      <c r="D81" s="165"/>
      <c r="E81" s="166">
        <v>200000</v>
      </c>
      <c r="F81" s="167">
        <v>1.9999999999999999E-6</v>
      </c>
      <c r="G81" s="174" t="s">
        <v>151</v>
      </c>
      <c r="H81" s="167"/>
      <c r="J81" s="75"/>
    </row>
    <row r="82" spans="1:10" x14ac:dyDescent="0.2">
      <c r="A82" s="164">
        <v>70</v>
      </c>
      <c r="B82" s="165" t="s">
        <v>742</v>
      </c>
      <c r="C82" s="165" t="s">
        <v>1206</v>
      </c>
      <c r="D82" s="165"/>
      <c r="E82" s="166">
        <v>50000</v>
      </c>
      <c r="F82" s="167">
        <v>4.9999999999999998E-7</v>
      </c>
      <c r="G82" s="174" t="s">
        <v>151</v>
      </c>
      <c r="H82" s="167"/>
      <c r="J82" s="75"/>
    </row>
    <row r="83" spans="1:10" x14ac:dyDescent="0.2">
      <c r="A83" s="162"/>
      <c r="B83" s="162"/>
      <c r="C83" s="163" t="s">
        <v>152</v>
      </c>
      <c r="D83" s="162"/>
      <c r="E83" s="162" t="s">
        <v>153</v>
      </c>
      <c r="F83" s="169">
        <v>2.9999999999999997E-6</v>
      </c>
      <c r="G83" s="170">
        <v>0</v>
      </c>
      <c r="H83" s="167"/>
      <c r="J83" s="75"/>
    </row>
    <row r="84" spans="1:10" x14ac:dyDescent="0.2">
      <c r="A84" s="162"/>
      <c r="B84" s="162"/>
      <c r="C84" s="171"/>
      <c r="D84" s="162"/>
      <c r="E84" s="162"/>
      <c r="F84" s="172"/>
      <c r="G84" s="172"/>
      <c r="H84" s="167"/>
      <c r="J84" s="75"/>
    </row>
    <row r="85" spans="1:10" x14ac:dyDescent="0.2">
      <c r="A85" s="162"/>
      <c r="B85" s="162"/>
      <c r="C85" s="163" t="s">
        <v>157</v>
      </c>
      <c r="D85" s="162"/>
      <c r="E85" s="162"/>
      <c r="F85" s="162"/>
      <c r="G85" s="162"/>
      <c r="H85" s="167"/>
      <c r="J85" s="75"/>
    </row>
    <row r="86" spans="1:10" ht="25.5" x14ac:dyDescent="0.2">
      <c r="A86" s="164">
        <v>1</v>
      </c>
      <c r="B86" s="165" t="s">
        <v>329</v>
      </c>
      <c r="C86" s="165" t="s">
        <v>1202</v>
      </c>
      <c r="D86" s="165" t="s">
        <v>36</v>
      </c>
      <c r="E86" s="166">
        <v>697</v>
      </c>
      <c r="F86" s="167">
        <v>6.9723698000000001E-2</v>
      </c>
      <c r="G86" s="168" t="s">
        <v>151</v>
      </c>
      <c r="H86" s="167"/>
      <c r="J86" s="75"/>
    </row>
    <row r="87" spans="1:10" x14ac:dyDescent="0.2">
      <c r="A87" s="162"/>
      <c r="B87" s="162"/>
      <c r="C87" s="163" t="s">
        <v>152</v>
      </c>
      <c r="D87" s="162"/>
      <c r="E87" s="162" t="s">
        <v>153</v>
      </c>
      <c r="F87" s="169">
        <v>6.9723698000000001E-2</v>
      </c>
      <c r="G87" s="170">
        <v>8.0999999999999997E-7</v>
      </c>
      <c r="H87" s="167"/>
      <c r="J87" s="75"/>
    </row>
    <row r="88" spans="1:10" x14ac:dyDescent="0.2">
      <c r="A88" s="162"/>
      <c r="B88" s="162"/>
      <c r="C88" s="171"/>
      <c r="D88" s="162"/>
      <c r="E88" s="162"/>
      <c r="F88" s="172"/>
      <c r="G88" s="172"/>
      <c r="H88" s="167"/>
      <c r="J88" s="75"/>
    </row>
    <row r="89" spans="1:10" x14ac:dyDescent="0.2">
      <c r="A89" s="162"/>
      <c r="B89" s="162"/>
      <c r="C89" s="163" t="s">
        <v>158</v>
      </c>
      <c r="D89" s="162"/>
      <c r="E89" s="162"/>
      <c r="F89" s="172"/>
      <c r="G89" s="172"/>
      <c r="H89" s="167"/>
      <c r="J89" s="75"/>
    </row>
    <row r="90" spans="1:10" x14ac:dyDescent="0.2">
      <c r="A90" s="162"/>
      <c r="B90" s="162"/>
      <c r="C90" s="163" t="s">
        <v>152</v>
      </c>
      <c r="D90" s="162"/>
      <c r="E90" s="162" t="s">
        <v>153</v>
      </c>
      <c r="F90" s="173" t="s">
        <v>155</v>
      </c>
      <c r="G90" s="170">
        <v>0</v>
      </c>
      <c r="H90" s="167"/>
      <c r="J90" s="75"/>
    </row>
    <row r="91" spans="1:10" x14ac:dyDescent="0.2">
      <c r="A91" s="162"/>
      <c r="B91" s="162"/>
      <c r="C91" s="171"/>
      <c r="D91" s="162"/>
      <c r="E91" s="162"/>
      <c r="F91" s="172"/>
      <c r="G91" s="172"/>
      <c r="H91" s="167"/>
      <c r="J91" s="75"/>
    </row>
    <row r="92" spans="1:10" x14ac:dyDescent="0.2">
      <c r="A92" s="162"/>
      <c r="B92" s="162"/>
      <c r="C92" s="163" t="s">
        <v>159</v>
      </c>
      <c r="D92" s="162"/>
      <c r="E92" s="162"/>
      <c r="F92" s="172"/>
      <c r="G92" s="172"/>
      <c r="H92" s="167"/>
      <c r="J92" s="75"/>
    </row>
    <row r="93" spans="1:10" x14ac:dyDescent="0.2">
      <c r="A93" s="162"/>
      <c r="B93" s="162"/>
      <c r="C93" s="163" t="s">
        <v>152</v>
      </c>
      <c r="D93" s="162"/>
      <c r="E93" s="162" t="s">
        <v>153</v>
      </c>
      <c r="F93" s="173" t="s">
        <v>155</v>
      </c>
      <c r="G93" s="170">
        <v>0</v>
      </c>
      <c r="H93" s="167"/>
      <c r="J93" s="75"/>
    </row>
    <row r="94" spans="1:10" x14ac:dyDescent="0.2">
      <c r="A94" s="162"/>
      <c r="B94" s="162"/>
      <c r="C94" s="171"/>
      <c r="D94" s="162"/>
      <c r="E94" s="162"/>
      <c r="F94" s="172"/>
      <c r="G94" s="172"/>
      <c r="H94" s="167"/>
      <c r="J94" s="75"/>
    </row>
    <row r="95" spans="1:10" x14ac:dyDescent="0.2">
      <c r="A95" s="162"/>
      <c r="B95" s="162"/>
      <c r="C95" s="163" t="s">
        <v>160</v>
      </c>
      <c r="D95" s="162"/>
      <c r="E95" s="162"/>
      <c r="F95" s="169">
        <v>81700.361900698001</v>
      </c>
      <c r="G95" s="170">
        <v>0.94897120000000001</v>
      </c>
      <c r="H95" s="167"/>
      <c r="J95" s="75"/>
    </row>
    <row r="96" spans="1:10" x14ac:dyDescent="0.2">
      <c r="A96" s="162"/>
      <c r="B96" s="162"/>
      <c r="C96" s="171"/>
      <c r="D96" s="162"/>
      <c r="E96" s="162"/>
      <c r="F96" s="172"/>
      <c r="G96" s="172"/>
      <c r="H96" s="167"/>
      <c r="J96" s="75"/>
    </row>
    <row r="97" spans="1:10" x14ac:dyDescent="0.2">
      <c r="A97" s="162"/>
      <c r="B97" s="162"/>
      <c r="C97" s="163" t="s">
        <v>161</v>
      </c>
      <c r="D97" s="162"/>
      <c r="E97" s="162"/>
      <c r="F97" s="172"/>
      <c r="G97" s="172"/>
      <c r="H97" s="167"/>
      <c r="J97" s="75"/>
    </row>
    <row r="98" spans="1:10" x14ac:dyDescent="0.2">
      <c r="A98" s="162"/>
      <c r="B98" s="162"/>
      <c r="C98" s="163" t="s">
        <v>10</v>
      </c>
      <c r="D98" s="162"/>
      <c r="E98" s="162"/>
      <c r="F98" s="172"/>
      <c r="G98" s="172"/>
      <c r="H98" s="167"/>
      <c r="J98" s="75"/>
    </row>
    <row r="99" spans="1:10" x14ac:dyDescent="0.2">
      <c r="A99" s="164">
        <v>1</v>
      </c>
      <c r="B99" s="165" t="s">
        <v>743</v>
      </c>
      <c r="C99" s="165" t="s">
        <v>744</v>
      </c>
      <c r="D99" s="165" t="s">
        <v>432</v>
      </c>
      <c r="E99" s="166">
        <v>4200</v>
      </c>
      <c r="F99" s="167">
        <v>1.215311874</v>
      </c>
      <c r="G99" s="168" t="s">
        <v>151</v>
      </c>
      <c r="H99" s="167">
        <v>7.585</v>
      </c>
      <c r="J99" s="75"/>
    </row>
    <row r="100" spans="1:10" x14ac:dyDescent="0.2">
      <c r="A100" s="162"/>
      <c r="B100" s="162"/>
      <c r="C100" s="163" t="s">
        <v>152</v>
      </c>
      <c r="D100" s="162"/>
      <c r="E100" s="162" t="s">
        <v>153</v>
      </c>
      <c r="F100" s="169">
        <v>1.215311874</v>
      </c>
      <c r="G100" s="170">
        <v>1.412E-5</v>
      </c>
      <c r="H100" s="167"/>
      <c r="J100" s="75"/>
    </row>
    <row r="101" spans="1:10" x14ac:dyDescent="0.2">
      <c r="A101" s="162"/>
      <c r="B101" s="162"/>
      <c r="C101" s="171"/>
      <c r="D101" s="162"/>
      <c r="E101" s="162"/>
      <c r="F101" s="172"/>
      <c r="G101" s="172"/>
      <c r="H101" s="167"/>
      <c r="J101" s="75"/>
    </row>
    <row r="102" spans="1:10" x14ac:dyDescent="0.2">
      <c r="A102" s="162"/>
      <c r="B102" s="162"/>
      <c r="C102" s="163" t="s">
        <v>162</v>
      </c>
      <c r="D102" s="162"/>
      <c r="E102" s="162"/>
      <c r="F102" s="162"/>
      <c r="G102" s="162"/>
      <c r="H102" s="167"/>
      <c r="J102" s="75"/>
    </row>
    <row r="103" spans="1:10" x14ac:dyDescent="0.2">
      <c r="A103" s="162"/>
      <c r="B103" s="162"/>
      <c r="C103" s="163" t="s">
        <v>152</v>
      </c>
      <c r="D103" s="162"/>
      <c r="E103" s="162" t="s">
        <v>153</v>
      </c>
      <c r="F103" s="173" t="s">
        <v>155</v>
      </c>
      <c r="G103" s="170">
        <v>0</v>
      </c>
      <c r="H103" s="167"/>
      <c r="J103" s="75"/>
    </row>
    <row r="104" spans="1:10" x14ac:dyDescent="0.2">
      <c r="A104" s="162"/>
      <c r="B104" s="162"/>
      <c r="C104" s="171"/>
      <c r="D104" s="162"/>
      <c r="E104" s="162"/>
      <c r="F104" s="172"/>
      <c r="G104" s="172"/>
      <c r="H104" s="167"/>
      <c r="J104" s="75"/>
    </row>
    <row r="105" spans="1:10" x14ac:dyDescent="0.2">
      <c r="A105" s="162"/>
      <c r="B105" s="162"/>
      <c r="C105" s="163" t="s">
        <v>163</v>
      </c>
      <c r="D105" s="162"/>
      <c r="E105" s="162"/>
      <c r="F105" s="162"/>
      <c r="G105" s="162"/>
      <c r="H105" s="167"/>
      <c r="J105" s="75"/>
    </row>
    <row r="106" spans="1:10" x14ac:dyDescent="0.2">
      <c r="A106" s="162"/>
      <c r="B106" s="162"/>
      <c r="C106" s="163" t="s">
        <v>152</v>
      </c>
      <c r="D106" s="162"/>
      <c r="E106" s="162" t="s">
        <v>153</v>
      </c>
      <c r="F106" s="173" t="s">
        <v>155</v>
      </c>
      <c r="G106" s="170">
        <v>0</v>
      </c>
      <c r="H106" s="167"/>
      <c r="J106" s="75"/>
    </row>
    <row r="107" spans="1:10" x14ac:dyDescent="0.2">
      <c r="A107" s="162"/>
      <c r="B107" s="162"/>
      <c r="C107" s="171"/>
      <c r="D107" s="162"/>
      <c r="E107" s="162"/>
      <c r="F107" s="172"/>
      <c r="G107" s="172"/>
      <c r="H107" s="167"/>
      <c r="J107" s="75"/>
    </row>
    <row r="108" spans="1:10" x14ac:dyDescent="0.2">
      <c r="A108" s="162"/>
      <c r="B108" s="162"/>
      <c r="C108" s="163" t="s">
        <v>164</v>
      </c>
      <c r="D108" s="162"/>
      <c r="E108" s="162"/>
      <c r="F108" s="172"/>
      <c r="G108" s="172"/>
      <c r="H108" s="167"/>
      <c r="J108" s="75"/>
    </row>
    <row r="109" spans="1:10" x14ac:dyDescent="0.2">
      <c r="A109" s="162"/>
      <c r="B109" s="162"/>
      <c r="C109" s="163" t="s">
        <v>152</v>
      </c>
      <c r="D109" s="162"/>
      <c r="E109" s="162" t="s">
        <v>153</v>
      </c>
      <c r="F109" s="173" t="s">
        <v>155</v>
      </c>
      <c r="G109" s="170">
        <v>0</v>
      </c>
      <c r="H109" s="167"/>
      <c r="J109" s="75"/>
    </row>
    <row r="110" spans="1:10" x14ac:dyDescent="0.2">
      <c r="A110" s="162"/>
      <c r="B110" s="162"/>
      <c r="C110" s="171"/>
      <c r="D110" s="162"/>
      <c r="E110" s="162"/>
      <c r="F110" s="172"/>
      <c r="G110" s="172"/>
      <c r="H110" s="167"/>
      <c r="J110" s="75"/>
    </row>
    <row r="111" spans="1:10" x14ac:dyDescent="0.2">
      <c r="A111" s="162"/>
      <c r="B111" s="162"/>
      <c r="C111" s="163" t="s">
        <v>165</v>
      </c>
      <c r="D111" s="162"/>
      <c r="E111" s="162"/>
      <c r="F111" s="169">
        <v>1.215311874</v>
      </c>
      <c r="G111" s="170">
        <v>1.412E-5</v>
      </c>
      <c r="H111" s="167"/>
      <c r="J111" s="75"/>
    </row>
    <row r="112" spans="1:10" x14ac:dyDescent="0.2">
      <c r="A112" s="162"/>
      <c r="B112" s="162"/>
      <c r="C112" s="171"/>
      <c r="D112" s="162"/>
      <c r="E112" s="162"/>
      <c r="F112" s="172"/>
      <c r="G112" s="172"/>
      <c r="H112" s="167"/>
      <c r="J112" s="75"/>
    </row>
    <row r="113" spans="1:14" x14ac:dyDescent="0.2">
      <c r="A113" s="162"/>
      <c r="B113" s="162"/>
      <c r="C113" s="163" t="s">
        <v>166</v>
      </c>
      <c r="D113" s="162"/>
      <c r="E113" s="162"/>
      <c r="F113" s="172"/>
      <c r="G113" s="172"/>
      <c r="H113" s="167"/>
      <c r="J113" s="75"/>
    </row>
    <row r="114" spans="1:14" x14ac:dyDescent="0.2">
      <c r="A114" s="162"/>
      <c r="B114" s="162"/>
      <c r="C114" s="163" t="s">
        <v>167</v>
      </c>
      <c r="D114" s="162"/>
      <c r="E114" s="162"/>
      <c r="F114" s="172"/>
      <c r="G114" s="172"/>
      <c r="H114" s="167"/>
      <c r="J114" s="75"/>
    </row>
    <row r="115" spans="1:14" x14ac:dyDescent="0.2">
      <c r="A115" s="162"/>
      <c r="B115" s="162"/>
      <c r="C115" s="163" t="s">
        <v>152</v>
      </c>
      <c r="D115" s="162"/>
      <c r="E115" s="162" t="s">
        <v>153</v>
      </c>
      <c r="F115" s="173" t="s">
        <v>155</v>
      </c>
      <c r="G115" s="170">
        <v>0</v>
      </c>
      <c r="H115" s="167"/>
      <c r="J115" s="75"/>
    </row>
    <row r="116" spans="1:14" x14ac:dyDescent="0.2">
      <c r="A116" s="162"/>
      <c r="B116" s="162"/>
      <c r="C116" s="171"/>
      <c r="D116" s="162"/>
      <c r="E116" s="162"/>
      <c r="F116" s="172"/>
      <c r="G116" s="172"/>
      <c r="H116" s="167"/>
      <c r="J116" s="75"/>
    </row>
    <row r="117" spans="1:14" x14ac:dyDescent="0.2">
      <c r="A117" s="162"/>
      <c r="B117" s="162"/>
      <c r="C117" s="163" t="s">
        <v>168</v>
      </c>
      <c r="D117" s="162"/>
      <c r="E117" s="162"/>
      <c r="F117" s="172"/>
      <c r="G117" s="172"/>
      <c r="H117" s="167"/>
      <c r="J117" s="75"/>
    </row>
    <row r="118" spans="1:14" x14ac:dyDescent="0.2">
      <c r="A118" s="162"/>
      <c r="B118" s="162"/>
      <c r="C118" s="163" t="s">
        <v>152</v>
      </c>
      <c r="D118" s="162"/>
      <c r="E118" s="162" t="s">
        <v>153</v>
      </c>
      <c r="F118" s="173" t="s">
        <v>155</v>
      </c>
      <c r="G118" s="170">
        <v>0</v>
      </c>
      <c r="H118" s="167"/>
      <c r="J118" s="75"/>
    </row>
    <row r="119" spans="1:14" x14ac:dyDescent="0.2">
      <c r="A119" s="162"/>
      <c r="B119" s="162"/>
      <c r="C119" s="171"/>
      <c r="D119" s="162"/>
      <c r="E119" s="162"/>
      <c r="F119" s="172"/>
      <c r="G119" s="172"/>
      <c r="H119" s="167"/>
      <c r="J119" s="75"/>
    </row>
    <row r="120" spans="1:14" x14ac:dyDescent="0.2">
      <c r="A120" s="162"/>
      <c r="B120" s="162"/>
      <c r="C120" s="163" t="s">
        <v>169</v>
      </c>
      <c r="D120" s="162"/>
      <c r="E120" s="162"/>
      <c r="F120" s="172"/>
      <c r="G120" s="172"/>
      <c r="H120" s="167"/>
      <c r="J120" s="75"/>
    </row>
    <row r="121" spans="1:14" x14ac:dyDescent="0.2">
      <c r="A121" s="162"/>
      <c r="B121" s="162"/>
      <c r="C121" s="163" t="s">
        <v>152</v>
      </c>
      <c r="D121" s="162"/>
      <c r="E121" s="162" t="s">
        <v>153</v>
      </c>
      <c r="F121" s="173" t="s">
        <v>155</v>
      </c>
      <c r="G121" s="170">
        <v>0</v>
      </c>
      <c r="H121" s="167"/>
      <c r="J121" s="75"/>
      <c r="K121" s="30"/>
      <c r="L121" s="30"/>
      <c r="M121" s="30"/>
      <c r="N121" s="30"/>
    </row>
    <row r="122" spans="1:14" x14ac:dyDescent="0.2">
      <c r="A122" s="162"/>
      <c r="B122" s="162"/>
      <c r="C122" s="171"/>
      <c r="D122" s="162"/>
      <c r="E122" s="162"/>
      <c r="F122" s="172"/>
      <c r="G122" s="172"/>
      <c r="H122" s="167"/>
      <c r="J122" s="75"/>
    </row>
    <row r="123" spans="1:14" x14ac:dyDescent="0.2">
      <c r="A123" s="162"/>
      <c r="B123" s="162"/>
      <c r="C123" s="163" t="s">
        <v>170</v>
      </c>
      <c r="D123" s="162"/>
      <c r="E123" s="162"/>
      <c r="F123" s="172"/>
      <c r="G123" s="172"/>
      <c r="H123" s="167"/>
      <c r="J123" s="75"/>
    </row>
    <row r="124" spans="1:14" x14ac:dyDescent="0.2">
      <c r="A124" s="164">
        <v>1</v>
      </c>
      <c r="B124" s="165"/>
      <c r="C124" s="165" t="s">
        <v>171</v>
      </c>
      <c r="D124" s="165"/>
      <c r="E124" s="174"/>
      <c r="F124" s="167">
        <v>3370.8222163159999</v>
      </c>
      <c r="G124" s="168">
        <v>3.9152989999999999E-2</v>
      </c>
      <c r="H124" s="175">
        <v>6.66</v>
      </c>
      <c r="J124" s="75"/>
    </row>
    <row r="125" spans="1:14" x14ac:dyDescent="0.2">
      <c r="A125" s="162"/>
      <c r="B125" s="162"/>
      <c r="C125" s="163" t="s">
        <v>152</v>
      </c>
      <c r="D125" s="162"/>
      <c r="E125" s="162" t="s">
        <v>153</v>
      </c>
      <c r="F125" s="169">
        <v>3370.8222163159999</v>
      </c>
      <c r="G125" s="170">
        <v>3.9152989999999999E-2</v>
      </c>
      <c r="H125" s="167"/>
      <c r="J125" s="75"/>
    </row>
    <row r="126" spans="1:14" x14ac:dyDescent="0.2">
      <c r="A126" s="162"/>
      <c r="B126" s="162"/>
      <c r="C126" s="171"/>
      <c r="D126" s="162"/>
      <c r="E126" s="162"/>
      <c r="F126" s="172"/>
      <c r="G126" s="172"/>
      <c r="H126" s="167"/>
      <c r="J126" s="75"/>
    </row>
    <row r="127" spans="1:14" x14ac:dyDescent="0.2">
      <c r="A127" s="162"/>
      <c r="B127" s="162"/>
      <c r="C127" s="163" t="s">
        <v>172</v>
      </c>
      <c r="D127" s="162"/>
      <c r="E127" s="162"/>
      <c r="F127" s="169">
        <v>3370.8222163159999</v>
      </c>
      <c r="G127" s="170">
        <v>3.9152989999999999E-2</v>
      </c>
      <c r="H127" s="167"/>
      <c r="J127" s="75"/>
    </row>
    <row r="128" spans="1:14" x14ac:dyDescent="0.2">
      <c r="A128" s="162"/>
      <c r="B128" s="162"/>
      <c r="C128" s="172"/>
      <c r="D128" s="162"/>
      <c r="E128" s="162"/>
      <c r="F128" s="162"/>
      <c r="G128" s="162"/>
      <c r="H128" s="167"/>
      <c r="J128" s="75"/>
    </row>
    <row r="129" spans="1:10" x14ac:dyDescent="0.2">
      <c r="A129" s="162"/>
      <c r="B129" s="162"/>
      <c r="C129" s="163" t="s">
        <v>173</v>
      </c>
      <c r="D129" s="162"/>
      <c r="E129" s="162"/>
      <c r="F129" s="162"/>
      <c r="G129" s="162"/>
      <c r="H129" s="167"/>
      <c r="J129" s="75"/>
    </row>
    <row r="130" spans="1:10" x14ac:dyDescent="0.2">
      <c r="A130" s="162"/>
      <c r="B130" s="162"/>
      <c r="C130" s="163" t="s">
        <v>174</v>
      </c>
      <c r="D130" s="162"/>
      <c r="E130" s="162"/>
      <c r="F130" s="162"/>
      <c r="G130" s="162"/>
      <c r="H130" s="167"/>
      <c r="J130" s="75"/>
    </row>
    <row r="131" spans="1:10" x14ac:dyDescent="0.2">
      <c r="A131" s="164">
        <v>1</v>
      </c>
      <c r="B131" s="165" t="s">
        <v>175</v>
      </c>
      <c r="C131" s="165" t="s">
        <v>176</v>
      </c>
      <c r="D131" s="165"/>
      <c r="E131" s="176">
        <v>72992.875</v>
      </c>
      <c r="F131" s="167">
        <v>1566.308046121</v>
      </c>
      <c r="G131" s="168">
        <v>1.819308E-2</v>
      </c>
      <c r="H131" s="167"/>
      <c r="J131" s="75"/>
    </row>
    <row r="132" spans="1:10" x14ac:dyDescent="0.2">
      <c r="A132" s="162"/>
      <c r="B132" s="162"/>
      <c r="C132" s="163" t="s">
        <v>152</v>
      </c>
      <c r="D132" s="162"/>
      <c r="E132" s="162" t="s">
        <v>153</v>
      </c>
      <c r="F132" s="169">
        <v>1566.308046121</v>
      </c>
      <c r="G132" s="170">
        <v>1.819308E-2</v>
      </c>
      <c r="H132" s="167"/>
      <c r="J132" s="75"/>
    </row>
    <row r="133" spans="1:10" x14ac:dyDescent="0.2">
      <c r="A133" s="162"/>
      <c r="B133" s="162"/>
      <c r="C133" s="171"/>
      <c r="D133" s="162"/>
      <c r="E133" s="162"/>
      <c r="F133" s="172"/>
      <c r="G133" s="172"/>
      <c r="H133" s="167"/>
      <c r="J133" s="75"/>
    </row>
    <row r="134" spans="1:10" x14ac:dyDescent="0.2">
      <c r="A134" s="162"/>
      <c r="B134" s="162"/>
      <c r="C134" s="163" t="s">
        <v>177</v>
      </c>
      <c r="D134" s="162"/>
      <c r="E134" s="162"/>
      <c r="F134" s="162"/>
      <c r="G134" s="162"/>
      <c r="H134" s="167"/>
      <c r="J134" s="75"/>
    </row>
    <row r="135" spans="1:10" x14ac:dyDescent="0.2">
      <c r="A135" s="162"/>
      <c r="B135" s="162"/>
      <c r="C135" s="163" t="s">
        <v>178</v>
      </c>
      <c r="D135" s="162"/>
      <c r="E135" s="162"/>
      <c r="F135" s="162"/>
      <c r="G135" s="162"/>
      <c r="H135" s="167"/>
      <c r="J135" s="75"/>
    </row>
    <row r="136" spans="1:10" x14ac:dyDescent="0.2">
      <c r="A136" s="162"/>
      <c r="B136" s="162"/>
      <c r="C136" s="163" t="s">
        <v>152</v>
      </c>
      <c r="D136" s="162"/>
      <c r="E136" s="162" t="s">
        <v>153</v>
      </c>
      <c r="F136" s="173" t="s">
        <v>155</v>
      </c>
      <c r="G136" s="170">
        <v>0</v>
      </c>
      <c r="H136" s="167"/>
      <c r="J136" s="75"/>
    </row>
    <row r="137" spans="1:10" x14ac:dyDescent="0.2">
      <c r="A137" s="162"/>
      <c r="B137" s="162"/>
      <c r="C137" s="171"/>
      <c r="D137" s="162"/>
      <c r="E137" s="162"/>
      <c r="F137" s="172"/>
      <c r="G137" s="172"/>
      <c r="H137" s="167"/>
      <c r="J137" s="75"/>
    </row>
    <row r="138" spans="1:10" x14ac:dyDescent="0.2">
      <c r="A138" s="162"/>
      <c r="B138" s="162"/>
      <c r="C138" s="163" t="s">
        <v>179</v>
      </c>
      <c r="D138" s="162"/>
      <c r="E138" s="162"/>
      <c r="F138" s="172"/>
      <c r="G138" s="172"/>
      <c r="H138" s="167"/>
      <c r="J138" s="75"/>
    </row>
    <row r="139" spans="1:10" x14ac:dyDescent="0.2">
      <c r="A139" s="162"/>
      <c r="B139" s="162"/>
      <c r="C139" s="163" t="s">
        <v>152</v>
      </c>
      <c r="D139" s="162"/>
      <c r="E139" s="162" t="s">
        <v>153</v>
      </c>
      <c r="F139" s="173" t="s">
        <v>155</v>
      </c>
      <c r="G139" s="170">
        <v>0</v>
      </c>
      <c r="H139" s="167"/>
      <c r="J139" s="75"/>
    </row>
    <row r="140" spans="1:10" x14ac:dyDescent="0.2">
      <c r="A140" s="162"/>
      <c r="B140" s="165"/>
      <c r="C140" s="165"/>
      <c r="D140" s="163"/>
      <c r="E140" s="162"/>
      <c r="F140" s="165"/>
      <c r="G140" s="174"/>
      <c r="H140" s="167"/>
      <c r="J140" s="75"/>
    </row>
    <row r="141" spans="1:10" x14ac:dyDescent="0.2">
      <c r="A141" s="174"/>
      <c r="B141" s="165"/>
      <c r="C141" s="232" t="s">
        <v>1092</v>
      </c>
      <c r="D141" s="165"/>
      <c r="E141" s="174"/>
      <c r="F141" s="167">
        <v>-545.08726864000005</v>
      </c>
      <c r="G141" s="168">
        <v>-6.3313299999999996E-3</v>
      </c>
      <c r="H141" s="167"/>
      <c r="J141" s="75"/>
    </row>
    <row r="142" spans="1:10" x14ac:dyDescent="0.2">
      <c r="A142" s="171"/>
      <c r="B142" s="171"/>
      <c r="C142" s="163" t="s">
        <v>181</v>
      </c>
      <c r="D142" s="172"/>
      <c r="E142" s="172"/>
      <c r="F142" s="169">
        <v>86093.620206369</v>
      </c>
      <c r="G142" s="177">
        <v>1.0000000600000001</v>
      </c>
      <c r="H142" s="177"/>
      <c r="J142" s="75"/>
    </row>
    <row r="143" spans="1:10" x14ac:dyDescent="0.2">
      <c r="A143" s="178"/>
      <c r="B143" s="178"/>
      <c r="C143" s="178"/>
      <c r="D143" s="179"/>
      <c r="E143" s="179"/>
      <c r="F143" s="179"/>
      <c r="G143" s="179"/>
      <c r="H143" s="179"/>
      <c r="J143" s="75"/>
    </row>
    <row r="144" spans="1:10" ht="12.75" customHeight="1" x14ac:dyDescent="0.2">
      <c r="A144" s="180"/>
      <c r="B144" s="258" t="s">
        <v>882</v>
      </c>
      <c r="C144" s="258"/>
      <c r="D144" s="258"/>
      <c r="E144" s="258"/>
      <c r="F144" s="258"/>
      <c r="G144" s="258"/>
      <c r="H144" s="258"/>
      <c r="J144" s="75"/>
    </row>
    <row r="145" spans="1:17" ht="14.1" customHeight="1" x14ac:dyDescent="0.2">
      <c r="A145" s="180"/>
      <c r="B145" s="258" t="s">
        <v>883</v>
      </c>
      <c r="C145" s="258"/>
      <c r="D145" s="258"/>
      <c r="E145" s="258"/>
      <c r="F145" s="258"/>
      <c r="G145" s="258"/>
      <c r="H145" s="258"/>
      <c r="J145" s="75"/>
    </row>
    <row r="146" spans="1:17" ht="17.100000000000001" customHeight="1" x14ac:dyDescent="0.2">
      <c r="A146" s="180"/>
      <c r="B146" s="258" t="s">
        <v>884</v>
      </c>
      <c r="C146" s="258"/>
      <c r="D146" s="258"/>
      <c r="E146" s="258"/>
      <c r="F146" s="258"/>
      <c r="G146" s="258"/>
      <c r="H146" s="258"/>
      <c r="J146" s="75"/>
    </row>
    <row r="147" spans="1:17" s="34" customFormat="1" ht="62.25" customHeight="1" x14ac:dyDescent="0.25">
      <c r="A147" s="33"/>
      <c r="B147" s="259" t="s">
        <v>885</v>
      </c>
      <c r="C147" s="259"/>
      <c r="D147" s="259"/>
      <c r="E147" s="259"/>
      <c r="F147" s="259"/>
      <c r="G147" s="259"/>
      <c r="H147" s="259"/>
      <c r="I147"/>
      <c r="J147" s="75"/>
      <c r="K147"/>
      <c r="L147"/>
      <c r="M147"/>
      <c r="N147"/>
      <c r="O147"/>
      <c r="P147"/>
      <c r="Q147"/>
    </row>
    <row r="148" spans="1:17" ht="12.75" customHeight="1" x14ac:dyDescent="0.2">
      <c r="A148" s="180"/>
      <c r="B148" s="258" t="s">
        <v>886</v>
      </c>
      <c r="C148" s="258"/>
      <c r="D148" s="258"/>
      <c r="E148" s="258"/>
      <c r="F148" s="258"/>
      <c r="G148" s="258"/>
      <c r="H148" s="258"/>
      <c r="J148" s="75"/>
    </row>
    <row r="149" spans="1:17" x14ac:dyDescent="0.2">
      <c r="A149" s="181"/>
      <c r="B149" s="181"/>
      <c r="C149" s="181"/>
      <c r="D149" s="182"/>
      <c r="E149" s="182"/>
      <c r="F149" s="182"/>
      <c r="G149" s="182"/>
      <c r="H149" s="182"/>
      <c r="J149" s="75"/>
    </row>
    <row r="150" spans="1:17" x14ac:dyDescent="0.2">
      <c r="A150" s="181"/>
      <c r="B150" s="255" t="s">
        <v>183</v>
      </c>
      <c r="C150" s="256"/>
      <c r="D150" s="257"/>
      <c r="E150" s="183"/>
      <c r="F150" s="182"/>
      <c r="G150" s="182"/>
      <c r="H150" s="182"/>
      <c r="J150" s="75"/>
    </row>
    <row r="151" spans="1:17" x14ac:dyDescent="0.2">
      <c r="A151" s="181"/>
      <c r="B151" s="253" t="s">
        <v>184</v>
      </c>
      <c r="C151" s="254"/>
      <c r="D151" s="184" t="s">
        <v>904</v>
      </c>
      <c r="E151" s="183"/>
      <c r="F151" s="182"/>
      <c r="G151" s="182"/>
      <c r="H151" s="182"/>
      <c r="J151" s="75"/>
    </row>
    <row r="152" spans="1:17" x14ac:dyDescent="0.2">
      <c r="A152" s="181"/>
      <c r="B152" s="251" t="s">
        <v>898</v>
      </c>
      <c r="C152" s="252"/>
      <c r="D152" s="184" t="s">
        <v>936</v>
      </c>
      <c r="E152" s="183"/>
      <c r="F152" s="182"/>
      <c r="G152" s="182"/>
      <c r="H152" s="182"/>
      <c r="J152" s="75"/>
    </row>
    <row r="153" spans="1:17" x14ac:dyDescent="0.2">
      <c r="A153" s="181"/>
      <c r="B153" s="253" t="s">
        <v>187</v>
      </c>
      <c r="C153" s="254"/>
      <c r="D153" s="172" t="s">
        <v>153</v>
      </c>
      <c r="E153" s="183"/>
      <c r="F153" s="182"/>
      <c r="G153" s="182"/>
      <c r="H153" s="182"/>
      <c r="J153" s="75"/>
    </row>
    <row r="154" spans="1:17" x14ac:dyDescent="0.2">
      <c r="A154" s="185"/>
      <c r="B154" s="186" t="s">
        <v>153</v>
      </c>
      <c r="C154" s="186" t="s">
        <v>1088</v>
      </c>
      <c r="D154" s="186" t="s">
        <v>188</v>
      </c>
      <c r="E154" s="185"/>
      <c r="F154" s="185"/>
      <c r="G154" s="185"/>
      <c r="H154" s="185"/>
      <c r="J154" s="75"/>
    </row>
    <row r="155" spans="1:17" x14ac:dyDescent="0.2">
      <c r="A155" s="185"/>
      <c r="B155" s="187" t="s">
        <v>189</v>
      </c>
      <c r="C155" s="186" t="s">
        <v>190</v>
      </c>
      <c r="D155" s="186" t="s">
        <v>191</v>
      </c>
      <c r="E155" s="185"/>
      <c r="F155" s="185"/>
      <c r="G155" s="185"/>
      <c r="H155" s="185"/>
      <c r="J155" s="75"/>
    </row>
    <row r="156" spans="1:17" x14ac:dyDescent="0.2">
      <c r="A156" s="185"/>
      <c r="B156" s="165" t="s">
        <v>192</v>
      </c>
      <c r="C156" s="188">
        <v>132.61080000000001</v>
      </c>
      <c r="D156" s="188">
        <v>137.41</v>
      </c>
      <c r="E156" s="185"/>
      <c r="F156" s="189"/>
      <c r="G156" s="190"/>
      <c r="H156" s="190"/>
      <c r="J156" s="75"/>
    </row>
    <row r="157" spans="1:17" ht="25.5" x14ac:dyDescent="0.2">
      <c r="A157" s="185"/>
      <c r="B157" s="165" t="s">
        <v>1057</v>
      </c>
      <c r="C157" s="188">
        <v>63.520800000000001</v>
      </c>
      <c r="D157" s="188">
        <v>65.819500000000005</v>
      </c>
      <c r="E157" s="185"/>
      <c r="F157" s="189"/>
      <c r="G157" s="190"/>
      <c r="H157" s="190"/>
      <c r="J157" s="75"/>
    </row>
    <row r="158" spans="1:17" x14ac:dyDescent="0.2">
      <c r="A158" s="185"/>
      <c r="B158" s="165" t="s">
        <v>193</v>
      </c>
      <c r="C158" s="188">
        <v>123.502</v>
      </c>
      <c r="D158" s="188">
        <v>127.8288</v>
      </c>
      <c r="E158" s="185"/>
      <c r="F158" s="189"/>
      <c r="G158" s="190"/>
      <c r="H158" s="190"/>
      <c r="J158" s="75"/>
    </row>
    <row r="159" spans="1:17" ht="25.5" x14ac:dyDescent="0.2">
      <c r="A159" s="185"/>
      <c r="B159" s="165" t="s">
        <v>1058</v>
      </c>
      <c r="C159" s="188">
        <v>38.567900000000002</v>
      </c>
      <c r="D159" s="188">
        <v>39.9191</v>
      </c>
      <c r="E159" s="185"/>
      <c r="F159" s="189"/>
      <c r="G159" s="190"/>
      <c r="H159" s="190"/>
      <c r="J159" s="75"/>
    </row>
    <row r="160" spans="1:17" x14ac:dyDescent="0.2">
      <c r="A160" s="185"/>
      <c r="B160" s="185"/>
      <c r="C160" s="185"/>
      <c r="D160" s="185"/>
      <c r="E160" s="185"/>
      <c r="F160" s="185"/>
      <c r="G160" s="185"/>
      <c r="H160" s="185"/>
      <c r="J160" s="75"/>
    </row>
    <row r="161" spans="1:20" x14ac:dyDescent="0.2">
      <c r="A161" s="185"/>
      <c r="B161" s="253" t="s">
        <v>1056</v>
      </c>
      <c r="C161" s="254"/>
      <c r="D161" s="163" t="s">
        <v>185</v>
      </c>
      <c r="E161" s="185"/>
      <c r="F161" s="185"/>
      <c r="G161" s="185"/>
      <c r="H161" s="185"/>
      <c r="J161" s="75"/>
    </row>
    <row r="162" spans="1:20" x14ac:dyDescent="0.2">
      <c r="A162" s="185"/>
      <c r="B162" s="189"/>
      <c r="C162" s="189"/>
      <c r="D162" s="185"/>
      <c r="E162" s="185"/>
      <c r="F162" s="185"/>
      <c r="G162" s="185"/>
      <c r="H162" s="185"/>
      <c r="J162" s="75"/>
    </row>
    <row r="163" spans="1:20" x14ac:dyDescent="0.2">
      <c r="A163" s="185"/>
      <c r="B163" s="253" t="s">
        <v>194</v>
      </c>
      <c r="C163" s="254"/>
      <c r="D163" s="163" t="s">
        <v>185</v>
      </c>
      <c r="E163" s="191"/>
      <c r="F163" s="185"/>
      <c r="G163" s="185"/>
      <c r="H163" s="185"/>
      <c r="J163" s="75"/>
    </row>
    <row r="164" spans="1:20" x14ac:dyDescent="0.2">
      <c r="A164" s="185"/>
      <c r="B164" s="253" t="s">
        <v>195</v>
      </c>
      <c r="C164" s="254"/>
      <c r="D164" s="163" t="s">
        <v>185</v>
      </c>
      <c r="E164" s="191"/>
      <c r="F164" s="185"/>
      <c r="G164" s="185"/>
      <c r="H164" s="185"/>
      <c r="J164" s="75"/>
    </row>
    <row r="165" spans="1:20" x14ac:dyDescent="0.2">
      <c r="A165" s="185"/>
      <c r="B165" s="253" t="s">
        <v>196</v>
      </c>
      <c r="C165" s="254"/>
      <c r="D165" s="163" t="s">
        <v>185</v>
      </c>
      <c r="E165" s="191"/>
      <c r="F165" s="185"/>
      <c r="G165" s="185"/>
      <c r="H165" s="185"/>
      <c r="J165" s="75"/>
    </row>
    <row r="166" spans="1:20" x14ac:dyDescent="0.2">
      <c r="A166" s="185"/>
      <c r="B166" s="253" t="s">
        <v>197</v>
      </c>
      <c r="C166" s="254"/>
      <c r="D166" s="192">
        <v>0.31998420769127534</v>
      </c>
      <c r="E166" s="185"/>
      <c r="F166" s="189"/>
      <c r="G166" s="190"/>
      <c r="H166" s="190"/>
      <c r="J166" s="75"/>
    </row>
    <row r="167" spans="1:20" x14ac:dyDescent="0.2">
      <c r="J167" s="75"/>
    </row>
    <row r="168" spans="1:20" s="40" customFormat="1" x14ac:dyDescent="0.2">
      <c r="B168" s="234" t="s">
        <v>1002</v>
      </c>
      <c r="C168" s="234"/>
      <c r="D168" s="234"/>
      <c r="E168" s="48"/>
      <c r="F168" s="49"/>
      <c r="I168"/>
      <c r="J168" s="75"/>
      <c r="K168"/>
      <c r="L168"/>
      <c r="M168"/>
      <c r="N168"/>
      <c r="O168"/>
    </row>
    <row r="169" spans="1:20" s="40" customFormat="1" ht="38.25" x14ac:dyDescent="0.2">
      <c r="B169" s="237" t="s">
        <v>906</v>
      </c>
      <c r="C169" s="238" t="s">
        <v>907</v>
      </c>
      <c r="D169" s="238" t="s">
        <v>908</v>
      </c>
      <c r="E169" s="238" t="s">
        <v>909</v>
      </c>
      <c r="F169" s="238" t="s">
        <v>910</v>
      </c>
      <c r="I169"/>
      <c r="J169" s="75"/>
      <c r="K169"/>
      <c r="L169"/>
      <c r="M169"/>
      <c r="N169"/>
      <c r="O169"/>
    </row>
    <row r="170" spans="1:20" s="40" customFormat="1" ht="25.5" x14ac:dyDescent="0.2">
      <c r="B170" s="239" t="s">
        <v>937</v>
      </c>
      <c r="C170" s="240" t="s">
        <v>938</v>
      </c>
      <c r="D170" s="52">
        <v>0</v>
      </c>
      <c r="E170" s="53">
        <v>0</v>
      </c>
      <c r="F170" s="241">
        <v>241.97234</v>
      </c>
      <c r="I170"/>
      <c r="J170" s="75"/>
      <c r="K170"/>
      <c r="L170"/>
      <c r="M170"/>
      <c r="N170"/>
      <c r="O170"/>
    </row>
    <row r="171" spans="1:20" s="40" customFormat="1" ht="25.5" x14ac:dyDescent="0.2">
      <c r="B171" s="239" t="s">
        <v>939</v>
      </c>
      <c r="C171" s="240" t="s">
        <v>938</v>
      </c>
      <c r="D171" s="52">
        <v>0</v>
      </c>
      <c r="E171" s="53">
        <v>0</v>
      </c>
      <c r="F171" s="241">
        <v>23.186299999999999</v>
      </c>
      <c r="I171"/>
      <c r="J171" s="75"/>
      <c r="K171"/>
      <c r="L171"/>
      <c r="M171"/>
      <c r="N171"/>
      <c r="O171"/>
      <c r="P171"/>
      <c r="Q171"/>
      <c r="R171"/>
      <c r="S171"/>
      <c r="T171"/>
    </row>
  </sheetData>
  <mergeCells count="17">
    <mergeCell ref="B166:C166"/>
    <mergeCell ref="B161:C161"/>
    <mergeCell ref="B163:C163"/>
    <mergeCell ref="B164:C164"/>
    <mergeCell ref="B165:C165"/>
    <mergeCell ref="A1:H1"/>
    <mergeCell ref="A2:H2"/>
    <mergeCell ref="A3:H3"/>
    <mergeCell ref="B152:C152"/>
    <mergeCell ref="B153:C153"/>
    <mergeCell ref="B150:D150"/>
    <mergeCell ref="B151:C151"/>
    <mergeCell ref="B148:H148"/>
    <mergeCell ref="B144:H144"/>
    <mergeCell ref="B145:H145"/>
    <mergeCell ref="B146:H146"/>
    <mergeCell ref="B147:H147"/>
  </mergeCells>
  <hyperlinks>
    <hyperlink ref="I1" location="Index!B18" display="Index" xr:uid="{A33E4BBF-C805-4793-AC2F-766A607C87C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T200"/>
  <sheetViews>
    <sheetView showGridLines="0" workbookViewId="0">
      <selection activeCell="C116" sqref="C116"/>
    </sheetView>
  </sheetViews>
  <sheetFormatPr defaultRowHeight="12.75" x14ac:dyDescent="0.2"/>
  <cols>
    <col min="1" max="1" width="6.85546875" customWidth="1"/>
    <col min="2" max="2" width="20.5703125" customWidth="1"/>
    <col min="3" max="3" width="39.140625" bestFit="1" customWidth="1"/>
    <col min="4" max="4" width="17.42578125" bestFit="1" customWidth="1"/>
    <col min="5" max="5" width="11.42578125" bestFit="1" customWidth="1"/>
    <col min="6" max="6" width="10.140625" bestFit="1" customWidth="1"/>
    <col min="7" max="7" width="14" bestFit="1" customWidth="1"/>
    <col min="8" max="8" width="8.42578125" bestFit="1" customWidth="1"/>
    <col min="9" max="9" width="12.14062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customHeight="1" x14ac:dyDescent="0.2">
      <c r="A2" s="250" t="s">
        <v>745</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331</v>
      </c>
      <c r="C7" s="165" t="s">
        <v>332</v>
      </c>
      <c r="D7" s="165" t="s">
        <v>39</v>
      </c>
      <c r="E7" s="166">
        <v>387363</v>
      </c>
      <c r="F7" s="167">
        <v>5888.3049629999996</v>
      </c>
      <c r="G7" s="168">
        <v>7.2196780000000002E-2</v>
      </c>
      <c r="H7" s="168"/>
      <c r="J7" s="75"/>
    </row>
    <row r="8" spans="1:17" ht="17.100000000000001" customHeight="1" x14ac:dyDescent="0.2">
      <c r="A8" s="164">
        <v>2</v>
      </c>
      <c r="B8" s="165" t="s">
        <v>14</v>
      </c>
      <c r="C8" s="165" t="s">
        <v>15</v>
      </c>
      <c r="D8" s="165" t="s">
        <v>16</v>
      </c>
      <c r="E8" s="166">
        <v>180250</v>
      </c>
      <c r="F8" s="167">
        <v>5288.5349999999999</v>
      </c>
      <c r="G8" s="168">
        <v>6.484297E-2</v>
      </c>
      <c r="H8" s="167"/>
      <c r="J8" s="75"/>
    </row>
    <row r="9" spans="1:17" ht="17.100000000000001" customHeight="1" x14ac:dyDescent="0.2">
      <c r="A9" s="164">
        <v>3</v>
      </c>
      <c r="B9" s="165" t="s">
        <v>360</v>
      </c>
      <c r="C9" s="165" t="s">
        <v>361</v>
      </c>
      <c r="D9" s="165" t="s">
        <v>39</v>
      </c>
      <c r="E9" s="166">
        <v>232000</v>
      </c>
      <c r="F9" s="167">
        <v>3516.424</v>
      </c>
      <c r="G9" s="168">
        <v>4.311504E-2</v>
      </c>
      <c r="H9" s="167"/>
      <c r="J9" s="75"/>
    </row>
    <row r="10" spans="1:17" ht="17.100000000000001" customHeight="1" x14ac:dyDescent="0.2">
      <c r="A10" s="164">
        <v>4</v>
      </c>
      <c r="B10" s="165" t="s">
        <v>335</v>
      </c>
      <c r="C10" s="165" t="s">
        <v>336</v>
      </c>
      <c r="D10" s="165" t="s">
        <v>39</v>
      </c>
      <c r="E10" s="166">
        <v>249000</v>
      </c>
      <c r="F10" s="167">
        <v>2903.0909999999999</v>
      </c>
      <c r="G10" s="168">
        <v>3.5594929999999997E-2</v>
      </c>
      <c r="H10" s="167"/>
      <c r="J10" s="75"/>
    </row>
    <row r="11" spans="1:17" ht="17.100000000000001" customHeight="1" x14ac:dyDescent="0.2">
      <c r="A11" s="164">
        <v>5</v>
      </c>
      <c r="B11" s="165" t="s">
        <v>337</v>
      </c>
      <c r="C11" s="165" t="s">
        <v>338</v>
      </c>
      <c r="D11" s="165" t="s">
        <v>232</v>
      </c>
      <c r="E11" s="166">
        <v>185100</v>
      </c>
      <c r="F11" s="167">
        <v>2629.4380500000002</v>
      </c>
      <c r="G11" s="168">
        <v>3.2239660000000003E-2</v>
      </c>
      <c r="H11" s="167"/>
      <c r="J11" s="75"/>
      <c r="K11" s="54"/>
      <c r="L11" s="54"/>
      <c r="M11" s="54"/>
      <c r="N11" s="54"/>
    </row>
    <row r="12" spans="1:17" ht="17.100000000000001" customHeight="1" x14ac:dyDescent="0.2">
      <c r="A12" s="164">
        <v>6</v>
      </c>
      <c r="B12" s="165" t="s">
        <v>37</v>
      </c>
      <c r="C12" s="165" t="s">
        <v>38</v>
      </c>
      <c r="D12" s="165" t="s">
        <v>39</v>
      </c>
      <c r="E12" s="166">
        <v>202600</v>
      </c>
      <c r="F12" s="167">
        <v>2330.7103999999999</v>
      </c>
      <c r="G12" s="168">
        <v>2.857695E-2</v>
      </c>
      <c r="H12" s="167"/>
      <c r="J12" s="71"/>
    </row>
    <row r="13" spans="1:17" ht="17.100000000000001" customHeight="1" x14ac:dyDescent="0.2">
      <c r="A13" s="164">
        <v>7</v>
      </c>
      <c r="B13" s="165" t="s">
        <v>348</v>
      </c>
      <c r="C13" s="165" t="s">
        <v>349</v>
      </c>
      <c r="D13" s="165" t="s">
        <v>285</v>
      </c>
      <c r="E13" s="166">
        <v>213750</v>
      </c>
      <c r="F13" s="167">
        <v>2154.38625</v>
      </c>
      <c r="G13" s="168">
        <v>2.6415029999999999E-2</v>
      </c>
      <c r="H13" s="167"/>
      <c r="J13" s="75"/>
    </row>
    <row r="14" spans="1:17" ht="17.100000000000001" customHeight="1" x14ac:dyDescent="0.2">
      <c r="A14" s="164">
        <v>8</v>
      </c>
      <c r="B14" s="165" t="s">
        <v>11</v>
      </c>
      <c r="C14" s="165" t="s">
        <v>12</v>
      </c>
      <c r="D14" s="165" t="s">
        <v>13</v>
      </c>
      <c r="E14" s="166">
        <v>55440</v>
      </c>
      <c r="F14" s="167">
        <v>1992.67992</v>
      </c>
      <c r="G14" s="168">
        <v>2.443234E-2</v>
      </c>
      <c r="H14" s="167"/>
      <c r="J14" s="75" t="s">
        <v>940</v>
      </c>
    </row>
    <row r="15" spans="1:17" ht="17.100000000000001" customHeight="1" x14ac:dyDescent="0.2">
      <c r="A15" s="164">
        <v>9</v>
      </c>
      <c r="B15" s="165" t="s">
        <v>376</v>
      </c>
      <c r="C15" s="165" t="s">
        <v>377</v>
      </c>
      <c r="D15" s="165" t="s">
        <v>364</v>
      </c>
      <c r="E15" s="166">
        <v>63000</v>
      </c>
      <c r="F15" s="167">
        <v>1405.1835000000001</v>
      </c>
      <c r="G15" s="168">
        <v>1.7229020000000001E-2</v>
      </c>
      <c r="H15" s="167"/>
      <c r="J15" s="75"/>
    </row>
    <row r="16" spans="1:17" ht="17.100000000000001" customHeight="1" x14ac:dyDescent="0.2">
      <c r="A16" s="164">
        <v>10</v>
      </c>
      <c r="B16" s="165" t="s">
        <v>532</v>
      </c>
      <c r="C16" s="165" t="s">
        <v>1053</v>
      </c>
      <c r="D16" s="165" t="s">
        <v>285</v>
      </c>
      <c r="E16" s="166">
        <v>193000</v>
      </c>
      <c r="F16" s="167">
        <v>1316.7425000000001</v>
      </c>
      <c r="G16" s="168">
        <v>1.6144639999999998E-2</v>
      </c>
      <c r="H16" s="167"/>
      <c r="J16" s="75"/>
    </row>
    <row r="17" spans="1:14" ht="17.100000000000001" customHeight="1" x14ac:dyDescent="0.2">
      <c r="A17" s="164">
        <v>11</v>
      </c>
      <c r="B17" s="165" t="s">
        <v>389</v>
      </c>
      <c r="C17" s="165" t="s">
        <v>390</v>
      </c>
      <c r="D17" s="165" t="s">
        <v>53</v>
      </c>
      <c r="E17" s="166">
        <v>19000</v>
      </c>
      <c r="F17" s="167">
        <v>1315.4745</v>
      </c>
      <c r="G17" s="168">
        <v>1.6129089999999999E-2</v>
      </c>
      <c r="H17" s="167"/>
      <c r="J17" s="75"/>
    </row>
    <row r="18" spans="1:14" ht="17.100000000000001" customHeight="1" x14ac:dyDescent="0.2">
      <c r="A18" s="164">
        <v>12</v>
      </c>
      <c r="B18" s="165" t="s">
        <v>85</v>
      </c>
      <c r="C18" s="165" t="s">
        <v>86</v>
      </c>
      <c r="D18" s="165" t="s">
        <v>33</v>
      </c>
      <c r="E18" s="166">
        <v>375418</v>
      </c>
      <c r="F18" s="167">
        <v>1259.3396809999999</v>
      </c>
      <c r="G18" s="168">
        <v>1.5440819999999999E-2</v>
      </c>
      <c r="H18" s="167"/>
      <c r="J18" s="75"/>
    </row>
    <row r="19" spans="1:14" ht="17.100000000000001" customHeight="1" x14ac:dyDescent="0.2">
      <c r="A19" s="164">
        <v>13</v>
      </c>
      <c r="B19" s="165" t="s">
        <v>621</v>
      </c>
      <c r="C19" s="165" t="s">
        <v>622</v>
      </c>
      <c r="D19" s="165" t="s">
        <v>285</v>
      </c>
      <c r="E19" s="166">
        <v>9400</v>
      </c>
      <c r="F19" s="167">
        <v>1204.845</v>
      </c>
      <c r="G19" s="168">
        <v>1.477266E-2</v>
      </c>
      <c r="H19" s="167"/>
      <c r="J19" s="75"/>
    </row>
    <row r="20" spans="1:14" ht="17.100000000000001" customHeight="1" x14ac:dyDescent="0.2">
      <c r="A20" s="164">
        <v>14</v>
      </c>
      <c r="B20" s="165" t="s">
        <v>746</v>
      </c>
      <c r="C20" s="165" t="s">
        <v>747</v>
      </c>
      <c r="D20" s="165" t="s">
        <v>285</v>
      </c>
      <c r="E20" s="166">
        <v>12500</v>
      </c>
      <c r="F20" s="167">
        <v>1190.2562499999999</v>
      </c>
      <c r="G20" s="168">
        <v>1.4593790000000001E-2</v>
      </c>
      <c r="H20" s="167"/>
      <c r="J20" s="75"/>
    </row>
    <row r="21" spans="1:14" ht="17.100000000000001" customHeight="1" x14ac:dyDescent="0.2">
      <c r="A21" s="164">
        <v>15</v>
      </c>
      <c r="B21" s="165" t="s">
        <v>17</v>
      </c>
      <c r="C21" s="165" t="s">
        <v>18</v>
      </c>
      <c r="D21" s="165" t="s">
        <v>19</v>
      </c>
      <c r="E21" s="166">
        <v>85000</v>
      </c>
      <c r="F21" s="167">
        <v>1123.9549999999999</v>
      </c>
      <c r="G21" s="168">
        <v>1.3780860000000001E-2</v>
      </c>
      <c r="H21" s="167"/>
      <c r="J21" s="75"/>
    </row>
    <row r="22" spans="1:14" ht="29.1" customHeight="1" x14ac:dyDescent="0.2">
      <c r="A22" s="164">
        <v>16</v>
      </c>
      <c r="B22" s="165" t="s">
        <v>356</v>
      </c>
      <c r="C22" s="165" t="s">
        <v>357</v>
      </c>
      <c r="D22" s="165" t="s">
        <v>216</v>
      </c>
      <c r="E22" s="166">
        <v>91000</v>
      </c>
      <c r="F22" s="167">
        <v>1049.6849999999999</v>
      </c>
      <c r="G22" s="168">
        <v>1.287024E-2</v>
      </c>
      <c r="H22" s="167"/>
      <c r="J22" s="71"/>
    </row>
    <row r="23" spans="1:14" ht="29.1" customHeight="1" x14ac:dyDescent="0.2">
      <c r="A23" s="164">
        <v>17</v>
      </c>
      <c r="B23" s="165" t="s">
        <v>597</v>
      </c>
      <c r="C23" s="165" t="s">
        <v>598</v>
      </c>
      <c r="D23" s="165" t="s">
        <v>599</v>
      </c>
      <c r="E23" s="166">
        <v>201034</v>
      </c>
      <c r="F23" s="167">
        <v>1004.566898</v>
      </c>
      <c r="G23" s="168">
        <v>1.231704E-2</v>
      </c>
      <c r="H23" s="167"/>
      <c r="J23" s="75"/>
    </row>
    <row r="24" spans="1:14" ht="29.1" customHeight="1" x14ac:dyDescent="0.2">
      <c r="A24" s="164">
        <v>18</v>
      </c>
      <c r="B24" s="165" t="s">
        <v>346</v>
      </c>
      <c r="C24" s="165" t="s">
        <v>347</v>
      </c>
      <c r="D24" s="165" t="s">
        <v>216</v>
      </c>
      <c r="E24" s="166">
        <v>66000</v>
      </c>
      <c r="F24" s="167">
        <v>991.38599999999997</v>
      </c>
      <c r="G24" s="168">
        <v>1.215543E-2</v>
      </c>
      <c r="H24" s="167"/>
      <c r="J24" s="75"/>
    </row>
    <row r="25" spans="1:14" ht="17.100000000000001" customHeight="1" x14ac:dyDescent="0.2">
      <c r="A25" s="164">
        <v>19</v>
      </c>
      <c r="B25" s="165" t="s">
        <v>350</v>
      </c>
      <c r="C25" s="165" t="s">
        <v>351</v>
      </c>
      <c r="D25" s="165" t="s">
        <v>262</v>
      </c>
      <c r="E25" s="166">
        <v>24000</v>
      </c>
      <c r="F25" s="167">
        <v>986.16</v>
      </c>
      <c r="G25" s="168">
        <v>1.2091350000000001E-2</v>
      </c>
      <c r="H25" s="167"/>
      <c r="J25" s="75"/>
    </row>
    <row r="26" spans="1:14" ht="17.100000000000001" customHeight="1" x14ac:dyDescent="0.2">
      <c r="A26" s="164">
        <v>20</v>
      </c>
      <c r="B26" s="165" t="s">
        <v>54</v>
      </c>
      <c r="C26" s="165" t="s">
        <v>55</v>
      </c>
      <c r="D26" s="165" t="s">
        <v>39</v>
      </c>
      <c r="E26" s="166">
        <v>119000</v>
      </c>
      <c r="F26" s="167">
        <v>983.23749999999995</v>
      </c>
      <c r="G26" s="168">
        <v>1.205552E-2</v>
      </c>
      <c r="H26" s="167"/>
      <c r="J26" s="75"/>
    </row>
    <row r="27" spans="1:14" ht="17.100000000000001" customHeight="1" x14ac:dyDescent="0.2">
      <c r="A27" s="164">
        <v>21</v>
      </c>
      <c r="B27" s="165" t="s">
        <v>58</v>
      </c>
      <c r="C27" s="165" t="s">
        <v>59</v>
      </c>
      <c r="D27" s="165" t="s">
        <v>19</v>
      </c>
      <c r="E27" s="166">
        <v>108900</v>
      </c>
      <c r="F27" s="167">
        <v>943.61850000000004</v>
      </c>
      <c r="G27" s="168">
        <v>1.156975E-2</v>
      </c>
      <c r="H27" s="167"/>
      <c r="J27" s="75"/>
    </row>
    <row r="28" spans="1:14" ht="29.1" customHeight="1" x14ac:dyDescent="0.2">
      <c r="A28" s="164">
        <v>22</v>
      </c>
      <c r="B28" s="165" t="s">
        <v>354</v>
      </c>
      <c r="C28" s="165" t="s">
        <v>355</v>
      </c>
      <c r="D28" s="165" t="s">
        <v>216</v>
      </c>
      <c r="E28" s="166">
        <v>15000</v>
      </c>
      <c r="F28" s="167">
        <v>930.64499999999998</v>
      </c>
      <c r="G28" s="168">
        <v>1.1410679999999999E-2</v>
      </c>
      <c r="H28" s="167"/>
      <c r="J28" s="75"/>
    </row>
    <row r="29" spans="1:14" ht="29.1" customHeight="1" x14ac:dyDescent="0.2">
      <c r="A29" s="164">
        <v>23</v>
      </c>
      <c r="B29" s="165" t="s">
        <v>557</v>
      </c>
      <c r="C29" s="165" t="s">
        <v>558</v>
      </c>
      <c r="D29" s="165" t="s">
        <v>75</v>
      </c>
      <c r="E29" s="166">
        <v>70000</v>
      </c>
      <c r="F29" s="167">
        <v>885.88499999999999</v>
      </c>
      <c r="G29" s="168">
        <v>1.0861880000000001E-2</v>
      </c>
      <c r="H29" s="167"/>
      <c r="J29" s="75"/>
    </row>
    <row r="30" spans="1:14" ht="17.100000000000001" customHeight="1" x14ac:dyDescent="0.2">
      <c r="A30" s="164">
        <v>24</v>
      </c>
      <c r="B30" s="165" t="s">
        <v>633</v>
      </c>
      <c r="C30" s="165" t="s">
        <v>634</v>
      </c>
      <c r="D30" s="165" t="s">
        <v>232</v>
      </c>
      <c r="E30" s="166">
        <v>68000</v>
      </c>
      <c r="F30" s="167">
        <v>859.18</v>
      </c>
      <c r="G30" s="168">
        <v>1.0534450000000001E-2</v>
      </c>
      <c r="H30" s="167"/>
      <c r="J30" s="75"/>
    </row>
    <row r="31" spans="1:14" ht="17.100000000000001" customHeight="1" x14ac:dyDescent="0.2">
      <c r="A31" s="164">
        <v>25</v>
      </c>
      <c r="B31" s="165" t="s">
        <v>365</v>
      </c>
      <c r="C31" s="165" t="s">
        <v>366</v>
      </c>
      <c r="D31" s="165" t="s">
        <v>114</v>
      </c>
      <c r="E31" s="166">
        <v>484000</v>
      </c>
      <c r="F31" s="167">
        <v>798.6</v>
      </c>
      <c r="G31" s="168">
        <v>9.7916700000000006E-3</v>
      </c>
      <c r="H31" s="167"/>
      <c r="J31" s="75"/>
      <c r="K31" s="54"/>
      <c r="L31" s="54"/>
      <c r="M31" s="54"/>
      <c r="N31" s="54"/>
    </row>
    <row r="32" spans="1:14" ht="17.100000000000001" customHeight="1" x14ac:dyDescent="0.2">
      <c r="A32" s="164">
        <v>26</v>
      </c>
      <c r="B32" s="165" t="s">
        <v>250</v>
      </c>
      <c r="C32" s="165" t="s">
        <v>251</v>
      </c>
      <c r="D32" s="165" t="s">
        <v>16</v>
      </c>
      <c r="E32" s="166">
        <v>153900</v>
      </c>
      <c r="F32" s="167">
        <v>762.42060000000004</v>
      </c>
      <c r="G32" s="168">
        <v>9.34807E-3</v>
      </c>
      <c r="H32" s="167"/>
      <c r="J32" s="75"/>
    </row>
    <row r="33" spans="1:10" ht="29.1" customHeight="1" x14ac:dyDescent="0.2">
      <c r="A33" s="164">
        <v>27</v>
      </c>
      <c r="B33" s="165" t="s">
        <v>402</v>
      </c>
      <c r="C33" s="165" t="s">
        <v>403</v>
      </c>
      <c r="D33" s="165" t="s">
        <v>216</v>
      </c>
      <c r="E33" s="166">
        <v>31678</v>
      </c>
      <c r="F33" s="167">
        <v>748.99463200000002</v>
      </c>
      <c r="G33" s="168">
        <v>9.1834599999999992E-3</v>
      </c>
      <c r="H33" s="167"/>
      <c r="J33" s="75"/>
    </row>
    <row r="34" spans="1:10" ht="17.100000000000001" customHeight="1" x14ac:dyDescent="0.2">
      <c r="A34" s="164">
        <v>28</v>
      </c>
      <c r="B34" s="165" t="s">
        <v>202</v>
      </c>
      <c r="C34" s="165" t="s">
        <v>203</v>
      </c>
      <c r="D34" s="165" t="s">
        <v>39</v>
      </c>
      <c r="E34" s="166">
        <v>444000</v>
      </c>
      <c r="F34" s="167">
        <v>721.94399999999996</v>
      </c>
      <c r="G34" s="168">
        <v>8.85179E-3</v>
      </c>
      <c r="H34" s="167"/>
      <c r="J34" s="75"/>
    </row>
    <row r="35" spans="1:10" ht="17.100000000000001" customHeight="1" x14ac:dyDescent="0.2">
      <c r="A35" s="164">
        <v>29</v>
      </c>
      <c r="B35" s="165" t="s">
        <v>95</v>
      </c>
      <c r="C35" s="165" t="s">
        <v>96</v>
      </c>
      <c r="D35" s="165" t="s">
        <v>33</v>
      </c>
      <c r="E35" s="166">
        <v>133000</v>
      </c>
      <c r="F35" s="167">
        <v>714.94150000000002</v>
      </c>
      <c r="G35" s="168">
        <v>8.7659299999999999E-3</v>
      </c>
      <c r="H35" s="167"/>
      <c r="J35" s="75"/>
    </row>
    <row r="36" spans="1:10" ht="17.100000000000001" customHeight="1" x14ac:dyDescent="0.2">
      <c r="A36" s="164">
        <v>30</v>
      </c>
      <c r="B36" s="165" t="s">
        <v>271</v>
      </c>
      <c r="C36" s="165" t="s">
        <v>272</v>
      </c>
      <c r="D36" s="165" t="s">
        <v>273</v>
      </c>
      <c r="E36" s="166">
        <v>34000</v>
      </c>
      <c r="F36" s="167">
        <v>692.88599999999997</v>
      </c>
      <c r="G36" s="168">
        <v>8.4955099999999995E-3</v>
      </c>
      <c r="H36" s="167"/>
      <c r="J36" s="75"/>
    </row>
    <row r="37" spans="1:10" ht="17.100000000000001" customHeight="1" x14ac:dyDescent="0.2">
      <c r="A37" s="164">
        <v>31</v>
      </c>
      <c r="B37" s="165" t="s">
        <v>573</v>
      </c>
      <c r="C37" s="165" t="s">
        <v>574</v>
      </c>
      <c r="D37" s="165" t="s">
        <v>262</v>
      </c>
      <c r="E37" s="166">
        <v>13000</v>
      </c>
      <c r="F37" s="167">
        <v>687.99900000000002</v>
      </c>
      <c r="G37" s="168">
        <v>8.4355899999999998E-3</v>
      </c>
      <c r="H37" s="167"/>
      <c r="J37" s="75"/>
    </row>
    <row r="38" spans="1:10" ht="17.100000000000001" customHeight="1" x14ac:dyDescent="0.2">
      <c r="A38" s="164">
        <v>32</v>
      </c>
      <c r="B38" s="165" t="s">
        <v>89</v>
      </c>
      <c r="C38" s="165" t="s">
        <v>90</v>
      </c>
      <c r="D38" s="165" t="s">
        <v>62</v>
      </c>
      <c r="E38" s="166">
        <v>17000</v>
      </c>
      <c r="F38" s="167">
        <v>676.99099999999999</v>
      </c>
      <c r="G38" s="168">
        <v>8.3006199999999999E-3</v>
      </c>
      <c r="H38" s="167"/>
      <c r="J38" s="75"/>
    </row>
    <row r="39" spans="1:10" ht="17.100000000000001" customHeight="1" x14ac:dyDescent="0.2">
      <c r="A39" s="164">
        <v>33</v>
      </c>
      <c r="B39" s="165" t="s">
        <v>81</v>
      </c>
      <c r="C39" s="165" t="s">
        <v>82</v>
      </c>
      <c r="D39" s="165" t="s">
        <v>36</v>
      </c>
      <c r="E39" s="166">
        <v>20000</v>
      </c>
      <c r="F39" s="167">
        <v>655.09</v>
      </c>
      <c r="G39" s="168">
        <v>8.0320900000000004E-3</v>
      </c>
      <c r="H39" s="167"/>
      <c r="J39" s="75"/>
    </row>
    <row r="40" spans="1:10" ht="17.100000000000001" customHeight="1" x14ac:dyDescent="0.2">
      <c r="A40" s="164">
        <v>34</v>
      </c>
      <c r="B40" s="165" t="s">
        <v>352</v>
      </c>
      <c r="C40" s="165" t="s">
        <v>353</v>
      </c>
      <c r="D40" s="165" t="s">
        <v>39</v>
      </c>
      <c r="E40" s="166">
        <v>95000</v>
      </c>
      <c r="F40" s="167">
        <v>590.85249999999996</v>
      </c>
      <c r="G40" s="168">
        <v>7.2444700000000002E-3</v>
      </c>
      <c r="H40" s="167"/>
      <c r="J40" s="75"/>
    </row>
    <row r="41" spans="1:10" ht="29.1" customHeight="1" x14ac:dyDescent="0.2">
      <c r="A41" s="164">
        <v>35</v>
      </c>
      <c r="B41" s="165" t="s">
        <v>279</v>
      </c>
      <c r="C41" s="165" t="s">
        <v>280</v>
      </c>
      <c r="D41" s="165" t="s">
        <v>53</v>
      </c>
      <c r="E41" s="166">
        <v>48000</v>
      </c>
      <c r="F41" s="167">
        <v>572.78399999999999</v>
      </c>
      <c r="G41" s="168">
        <v>7.0229300000000001E-3</v>
      </c>
      <c r="H41" s="167"/>
      <c r="J41" s="75"/>
    </row>
    <row r="42" spans="1:10" ht="29.1" customHeight="1" x14ac:dyDescent="0.2">
      <c r="A42" s="164">
        <v>36</v>
      </c>
      <c r="B42" s="165" t="s">
        <v>133</v>
      </c>
      <c r="C42" s="165" t="s">
        <v>134</v>
      </c>
      <c r="D42" s="165" t="s">
        <v>25</v>
      </c>
      <c r="E42" s="166">
        <v>300000</v>
      </c>
      <c r="F42" s="167">
        <v>543.75</v>
      </c>
      <c r="G42" s="168">
        <v>6.6669399999999997E-3</v>
      </c>
      <c r="H42" s="167"/>
      <c r="J42" s="75"/>
    </row>
    <row r="43" spans="1:10" ht="17.100000000000001" customHeight="1" x14ac:dyDescent="0.2">
      <c r="A43" s="164">
        <v>37</v>
      </c>
      <c r="B43" s="165" t="s">
        <v>533</v>
      </c>
      <c r="C43" s="165" t="s">
        <v>534</v>
      </c>
      <c r="D43" s="165" t="s">
        <v>39</v>
      </c>
      <c r="E43" s="166">
        <v>187200</v>
      </c>
      <c r="F43" s="167">
        <v>526.96799999999996</v>
      </c>
      <c r="G43" s="168">
        <v>6.4611800000000004E-3</v>
      </c>
      <c r="H43" s="167"/>
      <c r="J43" s="75"/>
    </row>
    <row r="44" spans="1:10" ht="29.1" customHeight="1" x14ac:dyDescent="0.2">
      <c r="A44" s="164">
        <v>38</v>
      </c>
      <c r="B44" s="165" t="s">
        <v>23</v>
      </c>
      <c r="C44" s="165" t="s">
        <v>24</v>
      </c>
      <c r="D44" s="165" t="s">
        <v>25</v>
      </c>
      <c r="E44" s="166">
        <v>5000</v>
      </c>
      <c r="F44" s="167">
        <v>498.59249999999997</v>
      </c>
      <c r="G44" s="168">
        <v>6.1132699999999996E-3</v>
      </c>
      <c r="H44" s="167"/>
      <c r="J44" s="75"/>
    </row>
    <row r="45" spans="1:10" ht="17.100000000000001" customHeight="1" x14ac:dyDescent="0.2">
      <c r="A45" s="164">
        <v>39</v>
      </c>
      <c r="B45" s="165" t="s">
        <v>87</v>
      </c>
      <c r="C45" s="165" t="s">
        <v>88</v>
      </c>
      <c r="D45" s="165" t="s">
        <v>13</v>
      </c>
      <c r="E45" s="166">
        <v>74833</v>
      </c>
      <c r="F45" s="167">
        <v>490.94189649999998</v>
      </c>
      <c r="G45" s="168">
        <v>6.0194599999999999E-3</v>
      </c>
      <c r="H45" s="167"/>
      <c r="J45" s="75"/>
    </row>
    <row r="46" spans="1:10" ht="17.100000000000001" customHeight="1" x14ac:dyDescent="0.2">
      <c r="A46" s="164">
        <v>40</v>
      </c>
      <c r="B46" s="165" t="s">
        <v>258</v>
      </c>
      <c r="C46" s="165" t="s">
        <v>259</v>
      </c>
      <c r="D46" s="165" t="s">
        <v>39</v>
      </c>
      <c r="E46" s="166">
        <v>317493</v>
      </c>
      <c r="F46" s="167">
        <v>489.574206</v>
      </c>
      <c r="G46" s="168">
        <v>6.0026899999999998E-3</v>
      </c>
      <c r="H46" s="167"/>
      <c r="J46" s="75"/>
    </row>
    <row r="47" spans="1:10" ht="17.100000000000001" customHeight="1" x14ac:dyDescent="0.2">
      <c r="A47" s="164">
        <v>41</v>
      </c>
      <c r="B47" s="165" t="s">
        <v>263</v>
      </c>
      <c r="C47" s="165" t="s">
        <v>264</v>
      </c>
      <c r="D47" s="165" t="s">
        <v>210</v>
      </c>
      <c r="E47" s="166">
        <v>8000</v>
      </c>
      <c r="F47" s="167">
        <v>484.3</v>
      </c>
      <c r="G47" s="168">
        <v>5.9380300000000004E-3</v>
      </c>
      <c r="H47" s="167"/>
      <c r="J47" s="75"/>
    </row>
    <row r="48" spans="1:10" ht="17.100000000000001" customHeight="1" x14ac:dyDescent="0.2">
      <c r="A48" s="164">
        <v>42</v>
      </c>
      <c r="B48" s="165" t="s">
        <v>382</v>
      </c>
      <c r="C48" s="165" t="s">
        <v>383</v>
      </c>
      <c r="D48" s="165" t="s">
        <v>75</v>
      </c>
      <c r="E48" s="166">
        <v>12000</v>
      </c>
      <c r="F48" s="167">
        <v>430.71</v>
      </c>
      <c r="G48" s="168">
        <v>5.2809600000000003E-3</v>
      </c>
      <c r="H48" s="167"/>
      <c r="J48" s="75"/>
    </row>
    <row r="49" spans="1:10" ht="29.1" customHeight="1" x14ac:dyDescent="0.2">
      <c r="A49" s="164">
        <v>43</v>
      </c>
      <c r="B49" s="165" t="s">
        <v>539</v>
      </c>
      <c r="C49" s="165" t="s">
        <v>540</v>
      </c>
      <c r="D49" s="165" t="s">
        <v>216</v>
      </c>
      <c r="E49" s="166">
        <v>30000</v>
      </c>
      <c r="F49" s="167">
        <v>420</v>
      </c>
      <c r="G49" s="168">
        <v>5.1496399999999996E-3</v>
      </c>
      <c r="H49" s="167"/>
      <c r="J49" s="75"/>
    </row>
    <row r="50" spans="1:10" ht="17.100000000000001" customHeight="1" x14ac:dyDescent="0.2">
      <c r="A50" s="164">
        <v>44</v>
      </c>
      <c r="B50" s="165" t="s">
        <v>748</v>
      </c>
      <c r="C50" s="165" t="s">
        <v>749</v>
      </c>
      <c r="D50" s="165" t="s">
        <v>496</v>
      </c>
      <c r="E50" s="166">
        <v>34734</v>
      </c>
      <c r="F50" s="167">
        <v>370.663881</v>
      </c>
      <c r="G50" s="168">
        <v>4.5447300000000003E-3</v>
      </c>
      <c r="H50" s="167"/>
      <c r="J50" s="75"/>
    </row>
    <row r="51" spans="1:10" ht="29.1" customHeight="1" x14ac:dyDescent="0.2">
      <c r="A51" s="164">
        <v>45</v>
      </c>
      <c r="B51" s="165" t="s">
        <v>97</v>
      </c>
      <c r="C51" s="165" t="s">
        <v>98</v>
      </c>
      <c r="D51" s="165" t="s">
        <v>99</v>
      </c>
      <c r="E51" s="166">
        <v>23000</v>
      </c>
      <c r="F51" s="167">
        <v>304.72699999999998</v>
      </c>
      <c r="G51" s="168">
        <v>3.7362699999999999E-3</v>
      </c>
      <c r="H51" s="167"/>
      <c r="J51" s="75"/>
    </row>
    <row r="52" spans="1:10" ht="29.1" customHeight="1" x14ac:dyDescent="0.2">
      <c r="A52" s="164">
        <v>46</v>
      </c>
      <c r="B52" s="165" t="s">
        <v>141</v>
      </c>
      <c r="C52" s="165" t="s">
        <v>142</v>
      </c>
      <c r="D52" s="165" t="s">
        <v>25</v>
      </c>
      <c r="E52" s="166">
        <v>15869</v>
      </c>
      <c r="F52" s="167">
        <v>291.69602350000002</v>
      </c>
      <c r="G52" s="168">
        <v>3.5764999999999998E-3</v>
      </c>
      <c r="H52" s="167"/>
      <c r="J52" s="75"/>
    </row>
    <row r="53" spans="1:10" ht="17.100000000000001" customHeight="1" x14ac:dyDescent="0.2">
      <c r="A53" s="164">
        <v>47</v>
      </c>
      <c r="B53" s="165" t="s">
        <v>750</v>
      </c>
      <c r="C53" s="165" t="s">
        <v>751</v>
      </c>
      <c r="D53" s="165" t="s">
        <v>232</v>
      </c>
      <c r="E53" s="166">
        <v>14000</v>
      </c>
      <c r="F53" s="167">
        <v>281.38600000000002</v>
      </c>
      <c r="G53" s="168">
        <v>3.4500899999999998E-3</v>
      </c>
      <c r="H53" s="167"/>
      <c r="J53" s="75"/>
    </row>
    <row r="54" spans="1:10" ht="29.1" customHeight="1" x14ac:dyDescent="0.2">
      <c r="A54" s="164">
        <v>48</v>
      </c>
      <c r="B54" s="165" t="s">
        <v>752</v>
      </c>
      <c r="C54" s="165" t="s">
        <v>753</v>
      </c>
      <c r="D54" s="165" t="s">
        <v>316</v>
      </c>
      <c r="E54" s="166">
        <v>20000</v>
      </c>
      <c r="F54" s="167">
        <v>264.14</v>
      </c>
      <c r="G54" s="168">
        <v>3.2386300000000002E-3</v>
      </c>
      <c r="H54" s="167"/>
      <c r="J54" s="75"/>
    </row>
    <row r="55" spans="1:10" ht="17.100000000000001" customHeight="1" x14ac:dyDescent="0.2">
      <c r="A55" s="164">
        <v>49</v>
      </c>
      <c r="B55" s="165" t="s">
        <v>31</v>
      </c>
      <c r="C55" s="165" t="s">
        <v>32</v>
      </c>
      <c r="D55" s="165" t="s">
        <v>33</v>
      </c>
      <c r="E55" s="166">
        <v>3785</v>
      </c>
      <c r="F55" s="167">
        <v>247.5673875</v>
      </c>
      <c r="G55" s="168">
        <v>3.0354399999999999E-3</v>
      </c>
      <c r="H55" s="167"/>
      <c r="J55" s="75"/>
    </row>
    <row r="56" spans="1:10" ht="17.100000000000001" customHeight="1" x14ac:dyDescent="0.2">
      <c r="A56" s="164">
        <v>50</v>
      </c>
      <c r="B56" s="165" t="s">
        <v>339</v>
      </c>
      <c r="C56" s="165" t="s">
        <v>340</v>
      </c>
      <c r="D56" s="165" t="s">
        <v>232</v>
      </c>
      <c r="E56" s="166">
        <v>5858</v>
      </c>
      <c r="F56" s="167">
        <v>223.81367700000001</v>
      </c>
      <c r="G56" s="168">
        <v>2.7441900000000001E-3</v>
      </c>
      <c r="H56" s="167"/>
      <c r="J56" s="75"/>
    </row>
    <row r="57" spans="1:10" ht="29.1" customHeight="1" x14ac:dyDescent="0.2">
      <c r="A57" s="164">
        <v>51</v>
      </c>
      <c r="B57" s="165" t="s">
        <v>704</v>
      </c>
      <c r="C57" s="165" t="s">
        <v>705</v>
      </c>
      <c r="D57" s="165" t="s">
        <v>25</v>
      </c>
      <c r="E57" s="166">
        <v>8700</v>
      </c>
      <c r="F57" s="167">
        <v>220.26660000000001</v>
      </c>
      <c r="G57" s="168">
        <v>2.7006999999999999E-3</v>
      </c>
      <c r="H57" s="167"/>
      <c r="J57" s="75"/>
    </row>
    <row r="58" spans="1:10" ht="17.100000000000001" customHeight="1" x14ac:dyDescent="0.2">
      <c r="A58" s="164">
        <v>52</v>
      </c>
      <c r="B58" s="165" t="s">
        <v>617</v>
      </c>
      <c r="C58" s="165" t="s">
        <v>618</v>
      </c>
      <c r="D58" s="165" t="s">
        <v>273</v>
      </c>
      <c r="E58" s="166">
        <v>18200</v>
      </c>
      <c r="F58" s="167">
        <v>214.214</v>
      </c>
      <c r="G58" s="168">
        <v>2.62649E-3</v>
      </c>
      <c r="H58" s="167"/>
      <c r="J58" s="75"/>
    </row>
    <row r="59" spans="1:10" ht="17.100000000000001" customHeight="1" x14ac:dyDescent="0.2">
      <c r="A59" s="164">
        <v>53</v>
      </c>
      <c r="B59" s="165" t="s">
        <v>20</v>
      </c>
      <c r="C59" s="165" t="s">
        <v>21</v>
      </c>
      <c r="D59" s="165" t="s">
        <v>22</v>
      </c>
      <c r="E59" s="166">
        <v>57000</v>
      </c>
      <c r="F59" s="167">
        <v>207.024</v>
      </c>
      <c r="G59" s="168">
        <v>2.5383300000000001E-3</v>
      </c>
      <c r="H59" s="167"/>
      <c r="J59" s="75"/>
    </row>
    <row r="60" spans="1:10" ht="29.1" customHeight="1" x14ac:dyDescent="0.2">
      <c r="A60" s="164">
        <v>54</v>
      </c>
      <c r="B60" s="165" t="s">
        <v>246</v>
      </c>
      <c r="C60" s="165" t="s">
        <v>247</v>
      </c>
      <c r="D60" s="165" t="s">
        <v>216</v>
      </c>
      <c r="E60" s="166">
        <v>4000</v>
      </c>
      <c r="F60" s="167">
        <v>193.322</v>
      </c>
      <c r="G60" s="168">
        <v>2.3703299999999999E-3</v>
      </c>
      <c r="H60" s="167"/>
      <c r="J60" s="75"/>
    </row>
    <row r="61" spans="1:10" ht="17.100000000000001" customHeight="1" x14ac:dyDescent="0.2">
      <c r="A61" s="164">
        <v>55</v>
      </c>
      <c r="B61" s="165" t="s">
        <v>371</v>
      </c>
      <c r="C61" s="165" t="s">
        <v>372</v>
      </c>
      <c r="D61" s="165" t="s">
        <v>373</v>
      </c>
      <c r="E61" s="166">
        <v>9765</v>
      </c>
      <c r="F61" s="167">
        <v>179.57346749999999</v>
      </c>
      <c r="G61" s="168">
        <v>2.2017600000000001E-3</v>
      </c>
      <c r="H61" s="167"/>
      <c r="J61" s="75"/>
    </row>
    <row r="62" spans="1:10" ht="17.100000000000001" customHeight="1" x14ac:dyDescent="0.2">
      <c r="A62" s="164">
        <v>56</v>
      </c>
      <c r="B62" s="165" t="s">
        <v>754</v>
      </c>
      <c r="C62" s="165" t="s">
        <v>755</v>
      </c>
      <c r="D62" s="165" t="s">
        <v>114</v>
      </c>
      <c r="E62" s="166">
        <v>19575</v>
      </c>
      <c r="F62" s="167">
        <v>172.69065000000001</v>
      </c>
      <c r="G62" s="168">
        <v>2.1173699999999999E-3</v>
      </c>
      <c r="H62" s="167"/>
      <c r="J62" s="75"/>
    </row>
    <row r="63" spans="1:10" ht="17.100000000000001" customHeight="1" x14ac:dyDescent="0.2">
      <c r="A63" s="164">
        <v>57</v>
      </c>
      <c r="B63" s="165" t="s">
        <v>333</v>
      </c>
      <c r="C63" s="165" t="s">
        <v>334</v>
      </c>
      <c r="D63" s="165" t="s">
        <v>210</v>
      </c>
      <c r="E63" s="166">
        <v>57000</v>
      </c>
      <c r="F63" s="167">
        <v>110.0955</v>
      </c>
      <c r="G63" s="168">
        <v>1.3498900000000001E-3</v>
      </c>
      <c r="H63" s="167"/>
      <c r="J63" s="75"/>
    </row>
    <row r="64" spans="1:10" ht="17.100000000000001" customHeight="1" x14ac:dyDescent="0.2">
      <c r="A64" s="164">
        <v>58</v>
      </c>
      <c r="B64" s="165" t="s">
        <v>412</v>
      </c>
      <c r="C64" s="165" t="s">
        <v>413</v>
      </c>
      <c r="D64" s="165" t="s">
        <v>53</v>
      </c>
      <c r="E64" s="166">
        <v>22000</v>
      </c>
      <c r="F64" s="167">
        <v>82.94</v>
      </c>
      <c r="G64" s="168">
        <v>1.0169300000000001E-3</v>
      </c>
      <c r="H64" s="167"/>
      <c r="J64" s="75"/>
    </row>
    <row r="65" spans="1:10" ht="29.1" customHeight="1" x14ac:dyDescent="0.2">
      <c r="A65" s="164">
        <v>59</v>
      </c>
      <c r="B65" s="165" t="s">
        <v>119</v>
      </c>
      <c r="C65" s="165" t="s">
        <v>120</v>
      </c>
      <c r="D65" s="165" t="s">
        <v>25</v>
      </c>
      <c r="E65" s="166">
        <v>9000</v>
      </c>
      <c r="F65" s="167">
        <v>55.790999999999997</v>
      </c>
      <c r="G65" s="168">
        <v>6.8406000000000001E-4</v>
      </c>
      <c r="H65" s="167"/>
      <c r="J65" s="75"/>
    </row>
    <row r="66" spans="1:10" ht="17.100000000000001" customHeight="1" x14ac:dyDescent="0.2">
      <c r="A66" s="164">
        <v>60</v>
      </c>
      <c r="B66" s="165" t="s">
        <v>756</v>
      </c>
      <c r="C66" s="165" t="s">
        <v>757</v>
      </c>
      <c r="D66" s="165" t="s">
        <v>75</v>
      </c>
      <c r="E66" s="166">
        <v>1200</v>
      </c>
      <c r="F66" s="167">
        <v>34.510800000000003</v>
      </c>
      <c r="G66" s="168">
        <v>4.2314000000000002E-4</v>
      </c>
      <c r="H66" s="167"/>
      <c r="J66" s="75"/>
    </row>
    <row r="67" spans="1:10" ht="17.100000000000001" customHeight="1" x14ac:dyDescent="0.2">
      <c r="A67" s="164">
        <v>61</v>
      </c>
      <c r="B67" s="165" t="s">
        <v>758</v>
      </c>
      <c r="C67" s="165" t="s">
        <v>759</v>
      </c>
      <c r="D67" s="165" t="s">
        <v>53</v>
      </c>
      <c r="E67" s="166">
        <v>6120</v>
      </c>
      <c r="F67" s="167">
        <v>15.728400000000001</v>
      </c>
      <c r="G67" s="168">
        <v>1.9285E-4</v>
      </c>
      <c r="H67" s="167"/>
      <c r="J67" s="75"/>
    </row>
    <row r="68" spans="1:10" ht="14.1" customHeight="1" x14ac:dyDescent="0.2">
      <c r="A68" s="162"/>
      <c r="B68" s="162"/>
      <c r="C68" s="163" t="s">
        <v>152</v>
      </c>
      <c r="D68" s="162"/>
      <c r="E68" s="162" t="s">
        <v>153</v>
      </c>
      <c r="F68" s="169">
        <v>59132.220132999988</v>
      </c>
      <c r="G68" s="170">
        <v>0.72502292000000013</v>
      </c>
      <c r="H68" s="167"/>
      <c r="J68" s="75"/>
    </row>
    <row r="69" spans="1:10" ht="14.1" customHeight="1" x14ac:dyDescent="0.2">
      <c r="A69" s="162"/>
      <c r="B69" s="162"/>
      <c r="C69" s="171"/>
      <c r="D69" s="162"/>
      <c r="E69" s="162"/>
      <c r="F69" s="172"/>
      <c r="G69" s="172"/>
      <c r="H69" s="167"/>
      <c r="J69" s="75"/>
    </row>
    <row r="70" spans="1:10" ht="14.1" customHeight="1" x14ac:dyDescent="0.2">
      <c r="A70" s="162"/>
      <c r="B70" s="162"/>
      <c r="C70" s="163" t="s">
        <v>154</v>
      </c>
      <c r="D70" s="162"/>
      <c r="E70" s="162"/>
      <c r="F70" s="162"/>
      <c r="G70" s="162"/>
      <c r="H70" s="167"/>
      <c r="J70" s="75"/>
    </row>
    <row r="71" spans="1:10" ht="14.1" customHeight="1" x14ac:dyDescent="0.2">
      <c r="A71" s="162"/>
      <c r="B71" s="162"/>
      <c r="C71" s="163" t="s">
        <v>152</v>
      </c>
      <c r="D71" s="162"/>
      <c r="E71" s="162" t="s">
        <v>153</v>
      </c>
      <c r="F71" s="173" t="s">
        <v>155</v>
      </c>
      <c r="G71" s="170">
        <v>0</v>
      </c>
      <c r="H71" s="167"/>
      <c r="J71" s="75"/>
    </row>
    <row r="72" spans="1:10" ht="14.1" customHeight="1" x14ac:dyDescent="0.2">
      <c r="A72" s="162"/>
      <c r="B72" s="162"/>
      <c r="C72" s="171"/>
      <c r="D72" s="162"/>
      <c r="E72" s="162"/>
      <c r="F72" s="172"/>
      <c r="G72" s="172"/>
      <c r="H72" s="167"/>
      <c r="J72" s="75"/>
    </row>
    <row r="73" spans="1:10" ht="14.1" customHeight="1" x14ac:dyDescent="0.2">
      <c r="A73" s="162"/>
      <c r="B73" s="162"/>
      <c r="C73" s="163" t="s">
        <v>156</v>
      </c>
      <c r="D73" s="162"/>
      <c r="E73" s="162"/>
      <c r="F73" s="162"/>
      <c r="G73" s="162"/>
      <c r="H73" s="167"/>
      <c r="J73" s="75"/>
    </row>
    <row r="74" spans="1:10" ht="14.1" customHeight="1" x14ac:dyDescent="0.2">
      <c r="A74" s="162"/>
      <c r="B74" s="162"/>
      <c r="C74" s="163" t="s">
        <v>152</v>
      </c>
      <c r="D74" s="162"/>
      <c r="E74" s="162" t="s">
        <v>153</v>
      </c>
      <c r="F74" s="173" t="s">
        <v>155</v>
      </c>
      <c r="G74" s="170">
        <v>0</v>
      </c>
      <c r="H74" s="167"/>
      <c r="J74" s="75"/>
    </row>
    <row r="75" spans="1:10" ht="14.1" customHeight="1" x14ac:dyDescent="0.2">
      <c r="A75" s="162"/>
      <c r="B75" s="162"/>
      <c r="C75" s="171"/>
      <c r="D75" s="162"/>
      <c r="E75" s="162"/>
      <c r="F75" s="172"/>
      <c r="G75" s="172"/>
      <c r="H75" s="167"/>
      <c r="J75" s="75"/>
    </row>
    <row r="76" spans="1:10" ht="14.1" customHeight="1" x14ac:dyDescent="0.2">
      <c r="A76" s="162"/>
      <c r="B76" s="162"/>
      <c r="C76" s="163" t="s">
        <v>157</v>
      </c>
      <c r="D76" s="162"/>
      <c r="E76" s="162"/>
      <c r="F76" s="162"/>
      <c r="G76" s="162"/>
      <c r="H76" s="167"/>
      <c r="J76" s="75"/>
    </row>
    <row r="77" spans="1:10" ht="14.1" customHeight="1" x14ac:dyDescent="0.2">
      <c r="A77" s="162"/>
      <c r="B77" s="162"/>
      <c r="C77" s="163" t="s">
        <v>152</v>
      </c>
      <c r="D77" s="162"/>
      <c r="E77" s="162" t="s">
        <v>153</v>
      </c>
      <c r="F77" s="173" t="s">
        <v>155</v>
      </c>
      <c r="G77" s="170">
        <v>0</v>
      </c>
      <c r="H77" s="167"/>
      <c r="J77" s="75"/>
    </row>
    <row r="78" spans="1:10" ht="14.1" customHeight="1" x14ac:dyDescent="0.2">
      <c r="A78" s="162"/>
      <c r="B78" s="162"/>
      <c r="C78" s="171"/>
      <c r="D78" s="162"/>
      <c r="E78" s="162"/>
      <c r="F78" s="172"/>
      <c r="G78" s="172"/>
      <c r="H78" s="167"/>
      <c r="J78" s="75"/>
    </row>
    <row r="79" spans="1:10" ht="14.1" customHeight="1" x14ac:dyDescent="0.2">
      <c r="A79" s="162"/>
      <c r="B79" s="162"/>
      <c r="C79" s="163" t="s">
        <v>158</v>
      </c>
      <c r="D79" s="162"/>
      <c r="E79" s="162"/>
      <c r="F79" s="172"/>
      <c r="G79" s="172"/>
      <c r="H79" s="167"/>
      <c r="J79" s="75"/>
    </row>
    <row r="80" spans="1:10" ht="14.1" customHeight="1" x14ac:dyDescent="0.2">
      <c r="A80" s="162"/>
      <c r="B80" s="162"/>
      <c r="C80" s="163" t="s">
        <v>152</v>
      </c>
      <c r="D80" s="162"/>
      <c r="E80" s="162" t="s">
        <v>153</v>
      </c>
      <c r="F80" s="173" t="s">
        <v>155</v>
      </c>
      <c r="G80" s="170">
        <v>0</v>
      </c>
      <c r="H80" s="167"/>
      <c r="J80" s="75"/>
    </row>
    <row r="81" spans="1:10" ht="14.1" customHeight="1" x14ac:dyDescent="0.2">
      <c r="A81" s="162"/>
      <c r="B81" s="162"/>
      <c r="C81" s="171"/>
      <c r="D81" s="162"/>
      <c r="E81" s="162"/>
      <c r="F81" s="172"/>
      <c r="G81" s="172"/>
      <c r="H81" s="167"/>
      <c r="J81" s="75"/>
    </row>
    <row r="82" spans="1:10" ht="14.1" customHeight="1" x14ac:dyDescent="0.2">
      <c r="A82" s="162"/>
      <c r="B82" s="162"/>
      <c r="C82" s="163" t="s">
        <v>159</v>
      </c>
      <c r="D82" s="162"/>
      <c r="E82" s="162"/>
      <c r="F82" s="172"/>
      <c r="G82" s="172"/>
      <c r="H82" s="167"/>
      <c r="J82" s="75"/>
    </row>
    <row r="83" spans="1:10" ht="17.100000000000001" customHeight="1" x14ac:dyDescent="0.2">
      <c r="A83" s="164">
        <v>1</v>
      </c>
      <c r="B83" s="165"/>
      <c r="C83" s="165" t="s">
        <v>1023</v>
      </c>
      <c r="D83" s="165" t="s">
        <v>636</v>
      </c>
      <c r="E83" s="166">
        <v>-9000</v>
      </c>
      <c r="F83" s="167">
        <v>-56.024999999999999</v>
      </c>
      <c r="G83" s="231">
        <v>-6.8692510505457573E-4</v>
      </c>
      <c r="H83" s="167"/>
      <c r="J83" s="75"/>
    </row>
    <row r="84" spans="1:10" ht="17.100000000000001" customHeight="1" x14ac:dyDescent="0.2">
      <c r="A84" s="164">
        <v>2</v>
      </c>
      <c r="B84" s="165"/>
      <c r="C84" s="165" t="s">
        <v>1038</v>
      </c>
      <c r="D84" s="165" t="s">
        <v>636</v>
      </c>
      <c r="E84" s="166">
        <v>-19575</v>
      </c>
      <c r="F84" s="167">
        <v>-173.94345000000001</v>
      </c>
      <c r="G84" s="231">
        <v>-2.132728650866673E-3</v>
      </c>
      <c r="H84" s="167"/>
      <c r="J84" s="75"/>
    </row>
    <row r="85" spans="1:10" ht="17.100000000000001" customHeight="1" x14ac:dyDescent="0.2">
      <c r="A85" s="164">
        <v>3</v>
      </c>
      <c r="B85" s="165"/>
      <c r="C85" s="165" t="s">
        <v>1026</v>
      </c>
      <c r="D85" s="165" t="s">
        <v>636</v>
      </c>
      <c r="E85" s="166">
        <v>-1400</v>
      </c>
      <c r="F85" s="167">
        <v>-180.28290000000001</v>
      </c>
      <c r="G85" s="231">
        <v>-2.2104569392600373E-3</v>
      </c>
      <c r="H85" s="167"/>
      <c r="J85" s="75"/>
    </row>
    <row r="86" spans="1:10" ht="17.100000000000001" customHeight="1" x14ac:dyDescent="0.2">
      <c r="A86" s="164">
        <v>4</v>
      </c>
      <c r="B86" s="165"/>
      <c r="C86" s="165" t="s">
        <v>1027</v>
      </c>
      <c r="D86" s="165" t="s">
        <v>636</v>
      </c>
      <c r="E86" s="166">
        <v>-57000</v>
      </c>
      <c r="F86" s="167">
        <v>-208.05</v>
      </c>
      <c r="G86" s="231">
        <v>-2.5509106310862024E-3</v>
      </c>
      <c r="H86" s="167"/>
      <c r="J86" s="75"/>
    </row>
    <row r="87" spans="1:10" ht="17.100000000000001" customHeight="1" x14ac:dyDescent="0.2">
      <c r="A87" s="164">
        <v>5</v>
      </c>
      <c r="B87" s="165"/>
      <c r="C87" s="165" t="s">
        <v>1039</v>
      </c>
      <c r="D87" s="165" t="s">
        <v>636</v>
      </c>
      <c r="E87" s="166">
        <v>-18200</v>
      </c>
      <c r="F87" s="167">
        <v>-215.67910000000001</v>
      </c>
      <c r="G87" s="231">
        <v>-2.6444513775203274E-3</v>
      </c>
      <c r="H87" s="167"/>
      <c r="J87" s="75"/>
    </row>
    <row r="88" spans="1:10" ht="17.100000000000001" customHeight="1" x14ac:dyDescent="0.2">
      <c r="A88" s="164">
        <v>6</v>
      </c>
      <c r="B88" s="165"/>
      <c r="C88" s="165" t="s">
        <v>1017</v>
      </c>
      <c r="D88" s="165" t="s">
        <v>636</v>
      </c>
      <c r="E88" s="166">
        <v>-8700</v>
      </c>
      <c r="F88" s="167">
        <v>-221.24100000000001</v>
      </c>
      <c r="G88" s="231">
        <v>-2.7126460895560804E-3</v>
      </c>
      <c r="H88" s="167"/>
      <c r="J88" s="75"/>
    </row>
    <row r="89" spans="1:10" ht="17.100000000000001" customHeight="1" x14ac:dyDescent="0.2">
      <c r="A89" s="164">
        <v>7</v>
      </c>
      <c r="B89" s="165"/>
      <c r="C89" s="165" t="s">
        <v>1031</v>
      </c>
      <c r="D89" s="165" t="s">
        <v>636</v>
      </c>
      <c r="E89" s="166">
        <v>-5000</v>
      </c>
      <c r="F89" s="167">
        <v>-348.47750000000002</v>
      </c>
      <c r="G89" s="231">
        <v>-4.2726986755315648E-3</v>
      </c>
      <c r="H89" s="167"/>
      <c r="J89" s="75"/>
    </row>
    <row r="90" spans="1:10" ht="17.100000000000001" customHeight="1" x14ac:dyDescent="0.2">
      <c r="A90" s="164">
        <v>8</v>
      </c>
      <c r="B90" s="165"/>
      <c r="C90" s="165" t="s">
        <v>1011</v>
      </c>
      <c r="D90" s="165" t="s">
        <v>636</v>
      </c>
      <c r="E90" s="166">
        <v>-44000</v>
      </c>
      <c r="F90" s="167">
        <v>-510.59800000000001</v>
      </c>
      <c r="G90" s="231">
        <v>-6.2604655919795858E-3</v>
      </c>
      <c r="H90" s="167"/>
      <c r="J90" s="75"/>
    </row>
    <row r="91" spans="1:10" ht="17.100000000000001" customHeight="1" x14ac:dyDescent="0.2">
      <c r="A91" s="164">
        <v>9</v>
      </c>
      <c r="B91" s="165"/>
      <c r="C91" s="165" t="s">
        <v>1036</v>
      </c>
      <c r="D91" s="165" t="s">
        <v>636</v>
      </c>
      <c r="E91" s="166">
        <v>-187200</v>
      </c>
      <c r="F91" s="167">
        <v>-530.52480000000003</v>
      </c>
      <c r="G91" s="231">
        <v>-6.5047890044454765E-3</v>
      </c>
      <c r="H91" s="167"/>
      <c r="J91" s="75"/>
    </row>
    <row r="92" spans="1:10" ht="17.100000000000001" customHeight="1" x14ac:dyDescent="0.2">
      <c r="A92" s="164">
        <v>10</v>
      </c>
      <c r="B92" s="165"/>
      <c r="C92" s="165" t="s">
        <v>1040</v>
      </c>
      <c r="D92" s="165" t="s">
        <v>636</v>
      </c>
      <c r="E92" s="166">
        <v>-153900</v>
      </c>
      <c r="F92" s="167">
        <v>-765.80640000000005</v>
      </c>
      <c r="G92" s="231">
        <v>-9.3895875371970815E-3</v>
      </c>
      <c r="H92" s="167"/>
      <c r="J92" s="75"/>
    </row>
    <row r="93" spans="1:10" ht="17.100000000000001" customHeight="1" x14ac:dyDescent="0.2">
      <c r="A93" s="164">
        <v>11</v>
      </c>
      <c r="B93" s="165"/>
      <c r="C93" s="165" t="s">
        <v>1041</v>
      </c>
      <c r="D93" s="165" t="s">
        <v>636</v>
      </c>
      <c r="E93" s="166">
        <v>-484000</v>
      </c>
      <c r="F93" s="167">
        <v>-804.40800000000002</v>
      </c>
      <c r="G93" s="231">
        <v>-9.8628835324719531E-3</v>
      </c>
      <c r="H93" s="167"/>
      <c r="J93" s="75"/>
    </row>
    <row r="94" spans="1:10" ht="17.100000000000001" customHeight="1" x14ac:dyDescent="0.2">
      <c r="A94" s="164">
        <v>12</v>
      </c>
      <c r="B94" s="165"/>
      <c r="C94" s="165" t="s">
        <v>1004</v>
      </c>
      <c r="D94" s="165" t="s">
        <v>636</v>
      </c>
      <c r="E94" s="166">
        <v>-42600</v>
      </c>
      <c r="F94" s="167">
        <v>-956.90250000000003</v>
      </c>
      <c r="G94" s="231">
        <v>-1.1732625619624921E-2</v>
      </c>
      <c r="H94" s="167"/>
      <c r="J94" s="75"/>
    </row>
    <row r="95" spans="1:10" ht="17.100000000000001" customHeight="1" x14ac:dyDescent="0.2">
      <c r="A95" s="164">
        <v>13</v>
      </c>
      <c r="B95" s="165"/>
      <c r="C95" s="165" t="s">
        <v>1012</v>
      </c>
      <c r="D95" s="165" t="s">
        <v>636</v>
      </c>
      <c r="E95" s="166">
        <v>-28800</v>
      </c>
      <c r="F95" s="167">
        <v>-1041.8543999999999</v>
      </c>
      <c r="G95" s="231">
        <v>-1.277422477771659E-2</v>
      </c>
      <c r="H95" s="167"/>
      <c r="J95" s="75"/>
    </row>
    <row r="96" spans="1:10" ht="17.100000000000001" customHeight="1" x14ac:dyDescent="0.2">
      <c r="A96" s="164">
        <v>14</v>
      </c>
      <c r="B96" s="165"/>
      <c r="C96" s="165" t="s">
        <v>1042</v>
      </c>
      <c r="D96" s="165" t="s">
        <v>636</v>
      </c>
      <c r="E96" s="166">
        <v>-96600</v>
      </c>
      <c r="F96" s="167">
        <v>-1118.3865000000001</v>
      </c>
      <c r="G96" s="231">
        <v>-1.3712588380260944E-2</v>
      </c>
      <c r="H96" s="167"/>
      <c r="J96" s="75"/>
    </row>
    <row r="97" spans="1:10" ht="17.100000000000001" customHeight="1" x14ac:dyDescent="0.2">
      <c r="A97" s="164">
        <v>15</v>
      </c>
      <c r="B97" s="165"/>
      <c r="C97" s="165" t="s">
        <v>1033</v>
      </c>
      <c r="D97" s="165" t="s">
        <v>636</v>
      </c>
      <c r="E97" s="166">
        <v>-146800</v>
      </c>
      <c r="F97" s="167">
        <v>-2100.8548000000001</v>
      </c>
      <c r="G97" s="231">
        <v>-2.5758677451038103E-2</v>
      </c>
      <c r="H97" s="167"/>
      <c r="J97" s="75"/>
    </row>
    <row r="98" spans="1:10" ht="17.100000000000001" customHeight="1" x14ac:dyDescent="0.2">
      <c r="A98" s="164">
        <v>16</v>
      </c>
      <c r="B98" s="165"/>
      <c r="C98" s="165" t="s">
        <v>1034</v>
      </c>
      <c r="D98" s="165" t="s">
        <v>636</v>
      </c>
      <c r="E98" s="166">
        <v>-213750</v>
      </c>
      <c r="F98" s="167">
        <v>-2171.0587500000001</v>
      </c>
      <c r="G98" s="231">
        <v>-2.6619451315009479E-2</v>
      </c>
      <c r="H98" s="167"/>
      <c r="J98" s="75"/>
    </row>
    <row r="99" spans="1:10" ht="17.100000000000001" customHeight="1" x14ac:dyDescent="0.2">
      <c r="A99" s="164">
        <v>17</v>
      </c>
      <c r="B99" s="165"/>
      <c r="C99" s="165" t="s">
        <v>1043</v>
      </c>
      <c r="D99" s="165" t="s">
        <v>636</v>
      </c>
      <c r="E99" s="166">
        <v>-210000</v>
      </c>
      <c r="F99" s="167">
        <v>-2462.88</v>
      </c>
      <c r="G99" s="231">
        <v>-3.0197485100166239E-2</v>
      </c>
      <c r="H99" s="167"/>
      <c r="J99" s="75"/>
    </row>
    <row r="100" spans="1:10" ht="17.100000000000001" customHeight="1" x14ac:dyDescent="0.2">
      <c r="A100" s="164">
        <v>18</v>
      </c>
      <c r="B100" s="165"/>
      <c r="C100" s="165" t="s">
        <v>1030</v>
      </c>
      <c r="D100" s="165" t="s">
        <v>636</v>
      </c>
      <c r="E100" s="166">
        <v>-198000</v>
      </c>
      <c r="F100" s="167">
        <v>-3020.2919999999999</v>
      </c>
      <c r="G100" s="231">
        <v>-3.7031939302016863E-2</v>
      </c>
      <c r="H100" s="167"/>
      <c r="J100" s="75"/>
    </row>
    <row r="101" spans="1:10" ht="17.100000000000001" customHeight="1" x14ac:dyDescent="0.2">
      <c r="A101" s="164">
        <v>19</v>
      </c>
      <c r="B101" s="165"/>
      <c r="C101" s="165" t="s">
        <v>1022</v>
      </c>
      <c r="D101" s="165" t="s">
        <v>636</v>
      </c>
      <c r="E101" s="166">
        <v>-262900</v>
      </c>
      <c r="F101" s="167">
        <v>-3978.2028</v>
      </c>
      <c r="G101" s="231">
        <v>-4.8776927734375856E-2</v>
      </c>
      <c r="H101" s="167"/>
      <c r="J101" s="75"/>
    </row>
    <row r="102" spans="1:10" ht="17.100000000000001" customHeight="1" x14ac:dyDescent="0.2">
      <c r="A102" s="164">
        <v>20</v>
      </c>
      <c r="B102" s="165"/>
      <c r="C102" s="165" t="s">
        <v>1021</v>
      </c>
      <c r="D102" s="165" t="s">
        <v>636</v>
      </c>
      <c r="E102" s="166">
        <v>-144250</v>
      </c>
      <c r="F102" s="167">
        <v>-4260.9286249999996</v>
      </c>
      <c r="G102" s="231">
        <v>-5.2243442094746517E-2</v>
      </c>
      <c r="H102" s="167"/>
      <c r="J102" s="75"/>
    </row>
    <row r="103" spans="1:10" ht="14.1" customHeight="1" x14ac:dyDescent="0.2">
      <c r="A103" s="162"/>
      <c r="B103" s="162"/>
      <c r="C103" s="163" t="s">
        <v>152</v>
      </c>
      <c r="D103" s="162"/>
      <c r="E103" s="162" t="s">
        <v>153</v>
      </c>
      <c r="F103" s="169">
        <v>-25126.396525</v>
      </c>
      <c r="G103" s="170">
        <v>-0.30807593999999999</v>
      </c>
      <c r="H103" s="167"/>
      <c r="J103" s="75"/>
    </row>
    <row r="104" spans="1:10" ht="14.1" customHeight="1" x14ac:dyDescent="0.2">
      <c r="A104" s="162"/>
      <c r="B104" s="162"/>
      <c r="C104" s="171"/>
      <c r="D104" s="162"/>
      <c r="E104" s="162"/>
      <c r="F104" s="172"/>
      <c r="G104" s="172"/>
      <c r="H104" s="167"/>
      <c r="J104" s="75"/>
    </row>
    <row r="105" spans="1:10" ht="18" customHeight="1" x14ac:dyDescent="0.2">
      <c r="A105" s="162"/>
      <c r="B105" s="162"/>
      <c r="C105" s="163" t="s">
        <v>160</v>
      </c>
      <c r="D105" s="162"/>
      <c r="E105" s="162"/>
      <c r="F105" s="169">
        <v>59132.220132999988</v>
      </c>
      <c r="G105" s="170">
        <v>0.72502292000000013</v>
      </c>
      <c r="H105" s="167"/>
      <c r="J105" s="75"/>
    </row>
    <row r="106" spans="1:10" ht="14.1" customHeight="1" x14ac:dyDescent="0.2">
      <c r="A106" s="162"/>
      <c r="B106" s="162"/>
      <c r="C106" s="171"/>
      <c r="D106" s="162"/>
      <c r="E106" s="162"/>
      <c r="F106" s="172"/>
      <c r="G106" s="172"/>
      <c r="H106" s="167"/>
      <c r="J106" s="75"/>
    </row>
    <row r="107" spans="1:10" ht="14.1" customHeight="1" x14ac:dyDescent="0.2">
      <c r="A107" s="162"/>
      <c r="B107" s="162"/>
      <c r="C107" s="163" t="s">
        <v>161</v>
      </c>
      <c r="D107" s="162"/>
      <c r="E107" s="162"/>
      <c r="F107" s="172"/>
      <c r="G107" s="172"/>
      <c r="H107" s="167"/>
      <c r="J107" s="75"/>
    </row>
    <row r="108" spans="1:10" ht="24" customHeight="1" x14ac:dyDescent="0.2">
      <c r="A108" s="162"/>
      <c r="B108" s="162"/>
      <c r="C108" s="163" t="s">
        <v>10</v>
      </c>
      <c r="D108" s="162"/>
      <c r="E108" s="162"/>
      <c r="F108" s="172"/>
      <c r="G108" s="172"/>
      <c r="H108" s="167"/>
      <c r="J108" s="75"/>
    </row>
    <row r="109" spans="1:10" ht="29.1" customHeight="1" x14ac:dyDescent="0.2">
      <c r="A109" s="164">
        <v>1</v>
      </c>
      <c r="B109" s="165" t="s">
        <v>424</v>
      </c>
      <c r="C109" s="165" t="s">
        <v>425</v>
      </c>
      <c r="D109" s="165" t="s">
        <v>423</v>
      </c>
      <c r="E109" s="166">
        <v>1500</v>
      </c>
      <c r="F109" s="167">
        <v>1487.088</v>
      </c>
      <c r="G109" s="168">
        <v>1.8233249999999999E-2</v>
      </c>
      <c r="H109" s="167">
        <v>7.8174999999999999</v>
      </c>
      <c r="J109" s="75"/>
    </row>
    <row r="110" spans="1:10" ht="29.1" customHeight="1" x14ac:dyDescent="0.2">
      <c r="A110" s="164">
        <v>2</v>
      </c>
      <c r="B110" s="165" t="s">
        <v>645</v>
      </c>
      <c r="C110" s="165" t="s">
        <v>646</v>
      </c>
      <c r="D110" s="165" t="s">
        <v>432</v>
      </c>
      <c r="E110" s="166">
        <v>1000</v>
      </c>
      <c r="F110" s="167">
        <v>999.92399999999998</v>
      </c>
      <c r="G110" s="168">
        <v>1.2260109999999999E-2</v>
      </c>
      <c r="H110" s="167">
        <v>7.79</v>
      </c>
      <c r="J110" s="75"/>
    </row>
    <row r="111" spans="1:10" ht="29.1" customHeight="1" x14ac:dyDescent="0.2">
      <c r="A111" s="164">
        <v>3</v>
      </c>
      <c r="B111" s="165" t="s">
        <v>430</v>
      </c>
      <c r="C111" s="165" t="s">
        <v>431</v>
      </c>
      <c r="D111" s="165" t="s">
        <v>423</v>
      </c>
      <c r="E111" s="166">
        <v>1000</v>
      </c>
      <c r="F111" s="167">
        <v>992.82899999999995</v>
      </c>
      <c r="G111" s="168">
        <v>1.2173120000000001E-2</v>
      </c>
      <c r="H111" s="167">
        <v>7.8174999999999999</v>
      </c>
      <c r="J111" s="75"/>
    </row>
    <row r="112" spans="1:10" ht="29.1" customHeight="1" x14ac:dyDescent="0.2">
      <c r="A112" s="164">
        <v>4</v>
      </c>
      <c r="B112" s="165" t="s">
        <v>669</v>
      </c>
      <c r="C112" s="165" t="s">
        <v>670</v>
      </c>
      <c r="D112" s="165" t="s">
        <v>423</v>
      </c>
      <c r="E112" s="166">
        <v>100</v>
      </c>
      <c r="F112" s="167">
        <v>992.18299999999999</v>
      </c>
      <c r="G112" s="168">
        <v>1.2165199999999999E-2</v>
      </c>
      <c r="H112" s="167">
        <v>7.7549999999999999</v>
      </c>
      <c r="J112" s="75"/>
    </row>
    <row r="113" spans="1:10" ht="29.1" customHeight="1" x14ac:dyDescent="0.2">
      <c r="A113" s="164">
        <v>5</v>
      </c>
      <c r="B113" s="165" t="s">
        <v>743</v>
      </c>
      <c r="C113" s="165" t="s">
        <v>744</v>
      </c>
      <c r="D113" s="165" t="s">
        <v>432</v>
      </c>
      <c r="E113" s="166">
        <v>1640</v>
      </c>
      <c r="F113" s="167">
        <v>0.47455035099999998</v>
      </c>
      <c r="G113" s="168">
        <v>5.8200000000000002E-6</v>
      </c>
      <c r="H113" s="167">
        <v>7.585</v>
      </c>
      <c r="J113" s="75"/>
    </row>
    <row r="114" spans="1:10" ht="14.1" customHeight="1" x14ac:dyDescent="0.2">
      <c r="A114" s="162"/>
      <c r="B114" s="162"/>
      <c r="C114" s="163" t="s">
        <v>152</v>
      </c>
      <c r="D114" s="162"/>
      <c r="E114" s="162" t="s">
        <v>153</v>
      </c>
      <c r="F114" s="169">
        <v>4472.4985503509997</v>
      </c>
      <c r="G114" s="170">
        <v>5.4837499999999997E-2</v>
      </c>
      <c r="H114" s="167"/>
      <c r="J114" s="75"/>
    </row>
    <row r="115" spans="1:10" ht="14.1" customHeight="1" x14ac:dyDescent="0.2">
      <c r="A115" s="162"/>
      <c r="B115" s="162"/>
      <c r="C115" s="171"/>
      <c r="D115" s="162"/>
      <c r="E115" s="162"/>
      <c r="F115" s="172"/>
      <c r="G115" s="172"/>
      <c r="H115" s="167"/>
      <c r="J115" s="75"/>
    </row>
    <row r="116" spans="1:10" ht="14.1" customHeight="1" x14ac:dyDescent="0.2">
      <c r="A116" s="162"/>
      <c r="B116" s="162"/>
      <c r="C116" s="163" t="s">
        <v>162</v>
      </c>
      <c r="D116" s="162"/>
      <c r="E116" s="162"/>
      <c r="F116" s="162"/>
      <c r="G116" s="162"/>
      <c r="H116" s="167"/>
      <c r="J116" s="75"/>
    </row>
    <row r="117" spans="1:10" ht="14.1" customHeight="1" x14ac:dyDescent="0.2">
      <c r="A117" s="162"/>
      <c r="B117" s="162"/>
      <c r="C117" s="163" t="s">
        <v>152</v>
      </c>
      <c r="D117" s="162"/>
      <c r="E117" s="162" t="s">
        <v>153</v>
      </c>
      <c r="F117" s="173" t="s">
        <v>155</v>
      </c>
      <c r="G117" s="170">
        <v>0</v>
      </c>
      <c r="H117" s="167"/>
      <c r="J117" s="75"/>
    </row>
    <row r="118" spans="1:10" ht="14.1" customHeight="1" x14ac:dyDescent="0.2">
      <c r="A118" s="162"/>
      <c r="B118" s="162"/>
      <c r="C118" s="171"/>
      <c r="D118" s="162"/>
      <c r="E118" s="162"/>
      <c r="F118" s="172"/>
      <c r="G118" s="172"/>
      <c r="H118" s="167"/>
      <c r="J118" s="75"/>
    </row>
    <row r="119" spans="1:10" ht="14.1" customHeight="1" x14ac:dyDescent="0.2">
      <c r="A119" s="162"/>
      <c r="B119" s="162"/>
      <c r="C119" s="163" t="s">
        <v>163</v>
      </c>
      <c r="D119" s="162"/>
      <c r="E119" s="162"/>
      <c r="F119" s="162"/>
      <c r="G119" s="162"/>
      <c r="H119" s="167"/>
      <c r="J119" s="75"/>
    </row>
    <row r="120" spans="1:10" ht="17.100000000000001" customHeight="1" x14ac:dyDescent="0.2">
      <c r="A120" s="164">
        <v>1</v>
      </c>
      <c r="B120" s="165" t="s">
        <v>456</v>
      </c>
      <c r="C120" s="200" t="s">
        <v>1082</v>
      </c>
      <c r="D120" s="165" t="s">
        <v>441</v>
      </c>
      <c r="E120" s="166">
        <v>1500000</v>
      </c>
      <c r="F120" s="167">
        <v>1509.693</v>
      </c>
      <c r="G120" s="168">
        <v>1.851042E-2</v>
      </c>
      <c r="H120" s="167">
        <v>7.3273999999999999</v>
      </c>
      <c r="J120" s="75"/>
    </row>
    <row r="121" spans="1:10" ht="29.1" customHeight="1" x14ac:dyDescent="0.2">
      <c r="A121" s="164">
        <v>2</v>
      </c>
      <c r="B121" s="165" t="s">
        <v>760</v>
      </c>
      <c r="C121" s="200" t="s">
        <v>1080</v>
      </c>
      <c r="D121" s="165" t="s">
        <v>441</v>
      </c>
      <c r="E121" s="166">
        <v>1500000</v>
      </c>
      <c r="F121" s="167">
        <v>1470.8805</v>
      </c>
      <c r="G121" s="168">
        <v>1.803453E-2</v>
      </c>
      <c r="H121" s="167">
        <v>7.1656000000000004</v>
      </c>
      <c r="J121" s="75"/>
    </row>
    <row r="122" spans="1:10" ht="29.1" customHeight="1" x14ac:dyDescent="0.2">
      <c r="A122" s="164">
        <v>3</v>
      </c>
      <c r="B122" s="165" t="s">
        <v>761</v>
      </c>
      <c r="C122" s="200" t="s">
        <v>1081</v>
      </c>
      <c r="D122" s="165" t="s">
        <v>441</v>
      </c>
      <c r="E122" s="166">
        <v>500000</v>
      </c>
      <c r="F122" s="167">
        <v>486.363</v>
      </c>
      <c r="G122" s="168">
        <v>5.9633200000000003E-3</v>
      </c>
      <c r="H122" s="167">
        <v>7.1950000000000003</v>
      </c>
      <c r="J122" s="75"/>
    </row>
    <row r="123" spans="1:10" ht="29.1" customHeight="1" x14ac:dyDescent="0.2">
      <c r="A123" s="164">
        <v>4</v>
      </c>
      <c r="B123" s="165" t="s">
        <v>762</v>
      </c>
      <c r="C123" s="165" t="s">
        <v>763</v>
      </c>
      <c r="D123" s="165" t="s">
        <v>441</v>
      </c>
      <c r="E123" s="166">
        <v>100000</v>
      </c>
      <c r="F123" s="167">
        <v>100.81789999999999</v>
      </c>
      <c r="G123" s="168">
        <v>1.23613E-3</v>
      </c>
      <c r="H123" s="167">
        <v>7.4581</v>
      </c>
      <c r="J123" s="75"/>
    </row>
    <row r="124" spans="1:10" ht="14.1" customHeight="1" x14ac:dyDescent="0.2">
      <c r="A124" s="162"/>
      <c r="B124" s="162"/>
      <c r="C124" s="163" t="s">
        <v>152</v>
      </c>
      <c r="D124" s="162"/>
      <c r="E124" s="162" t="s">
        <v>153</v>
      </c>
      <c r="F124" s="169">
        <v>3567.7543999999998</v>
      </c>
      <c r="G124" s="170">
        <v>4.3744400000000003E-2</v>
      </c>
      <c r="H124" s="167"/>
      <c r="J124" s="75"/>
    </row>
    <row r="125" spans="1:10" ht="14.1" customHeight="1" x14ac:dyDescent="0.2">
      <c r="A125" s="162"/>
      <c r="B125" s="162"/>
      <c r="C125" s="171"/>
      <c r="D125" s="162"/>
      <c r="E125" s="162"/>
      <c r="F125" s="172"/>
      <c r="G125" s="172"/>
      <c r="H125" s="167"/>
      <c r="J125" s="75"/>
    </row>
    <row r="126" spans="1:10" ht="14.1" customHeight="1" x14ac:dyDescent="0.2">
      <c r="A126" s="162"/>
      <c r="B126" s="162"/>
      <c r="C126" s="163" t="s">
        <v>164</v>
      </c>
      <c r="D126" s="162"/>
      <c r="E126" s="162"/>
      <c r="F126" s="172"/>
      <c r="G126" s="172"/>
      <c r="H126" s="167"/>
      <c r="J126" s="75"/>
    </row>
    <row r="127" spans="1:10" ht="14.1" customHeight="1" x14ac:dyDescent="0.2">
      <c r="A127" s="162"/>
      <c r="B127" s="162"/>
      <c r="C127" s="163" t="s">
        <v>152</v>
      </c>
      <c r="D127" s="162"/>
      <c r="E127" s="162" t="s">
        <v>153</v>
      </c>
      <c r="F127" s="173" t="s">
        <v>155</v>
      </c>
      <c r="G127" s="170">
        <v>0</v>
      </c>
      <c r="H127" s="167"/>
      <c r="J127" s="75"/>
    </row>
    <row r="128" spans="1:10" ht="14.1" customHeight="1" x14ac:dyDescent="0.2">
      <c r="A128" s="162"/>
      <c r="B128" s="162"/>
      <c r="C128" s="171"/>
      <c r="D128" s="162"/>
      <c r="E128" s="162"/>
      <c r="F128" s="172"/>
      <c r="G128" s="172"/>
      <c r="H128" s="167"/>
      <c r="J128" s="75"/>
    </row>
    <row r="129" spans="1:10" ht="14.1" customHeight="1" x14ac:dyDescent="0.2">
      <c r="A129" s="162"/>
      <c r="B129" s="162"/>
      <c r="C129" s="163" t="s">
        <v>165</v>
      </c>
      <c r="D129" s="162"/>
      <c r="E129" s="162"/>
      <c r="F129" s="169">
        <v>8040.2529503510004</v>
      </c>
      <c r="G129" s="170">
        <v>9.85819E-2</v>
      </c>
      <c r="H129" s="167"/>
      <c r="J129" s="75"/>
    </row>
    <row r="130" spans="1:10" ht="14.1" customHeight="1" x14ac:dyDescent="0.2">
      <c r="A130" s="162"/>
      <c r="B130" s="162"/>
      <c r="C130" s="171"/>
      <c r="D130" s="162"/>
      <c r="E130" s="162"/>
      <c r="F130" s="172"/>
      <c r="G130" s="172"/>
      <c r="H130" s="167"/>
      <c r="J130" s="75"/>
    </row>
    <row r="131" spans="1:10" ht="14.1" customHeight="1" x14ac:dyDescent="0.2">
      <c r="A131" s="162"/>
      <c r="B131" s="162"/>
      <c r="C131" s="163" t="s">
        <v>166</v>
      </c>
      <c r="D131" s="162"/>
      <c r="E131" s="162"/>
      <c r="F131" s="172"/>
      <c r="G131" s="172"/>
      <c r="H131" s="167"/>
      <c r="J131" s="75"/>
    </row>
    <row r="132" spans="1:10" ht="14.1" customHeight="1" x14ac:dyDescent="0.2">
      <c r="A132" s="162"/>
      <c r="B132" s="162"/>
      <c r="C132" s="163" t="s">
        <v>167</v>
      </c>
      <c r="D132" s="162"/>
      <c r="E132" s="162"/>
      <c r="F132" s="172"/>
      <c r="G132" s="172"/>
      <c r="H132" s="167"/>
      <c r="J132" s="75"/>
    </row>
    <row r="133" spans="1:10" ht="14.1" customHeight="1" x14ac:dyDescent="0.2">
      <c r="A133" s="162"/>
      <c r="B133" s="162"/>
      <c r="C133" s="163" t="s">
        <v>152</v>
      </c>
      <c r="D133" s="162"/>
      <c r="E133" s="162" t="s">
        <v>153</v>
      </c>
      <c r="F133" s="173" t="s">
        <v>155</v>
      </c>
      <c r="G133" s="170">
        <v>0</v>
      </c>
      <c r="H133" s="167"/>
      <c r="J133" s="75"/>
    </row>
    <row r="134" spans="1:10" ht="14.1" customHeight="1" x14ac:dyDescent="0.2">
      <c r="A134" s="162"/>
      <c r="B134" s="162"/>
      <c r="C134" s="171"/>
      <c r="D134" s="162"/>
      <c r="E134" s="162"/>
      <c r="F134" s="172"/>
      <c r="G134" s="172"/>
      <c r="H134" s="167"/>
      <c r="J134" s="75"/>
    </row>
    <row r="135" spans="1:10" ht="14.1" customHeight="1" x14ac:dyDescent="0.2">
      <c r="A135" s="162"/>
      <c r="B135" s="162"/>
      <c r="C135" s="163" t="s">
        <v>168</v>
      </c>
      <c r="D135" s="162"/>
      <c r="E135" s="162"/>
      <c r="F135" s="172"/>
      <c r="G135" s="172"/>
      <c r="H135" s="167"/>
      <c r="J135" s="75"/>
    </row>
    <row r="136" spans="1:10" ht="14.1" customHeight="1" x14ac:dyDescent="0.2">
      <c r="A136" s="162"/>
      <c r="B136" s="162"/>
      <c r="C136" s="163" t="s">
        <v>152</v>
      </c>
      <c r="D136" s="162"/>
      <c r="E136" s="162" t="s">
        <v>153</v>
      </c>
      <c r="F136" s="173" t="s">
        <v>155</v>
      </c>
      <c r="G136" s="170">
        <v>0</v>
      </c>
      <c r="H136" s="167"/>
      <c r="J136" s="75"/>
    </row>
    <row r="137" spans="1:10" ht="14.1" customHeight="1" x14ac:dyDescent="0.2">
      <c r="A137" s="162"/>
      <c r="B137" s="162"/>
      <c r="C137" s="171"/>
      <c r="D137" s="162"/>
      <c r="E137" s="162"/>
      <c r="F137" s="172"/>
      <c r="G137" s="172"/>
      <c r="H137" s="167"/>
      <c r="J137" s="75"/>
    </row>
    <row r="138" spans="1:10" ht="14.1" customHeight="1" x14ac:dyDescent="0.2">
      <c r="A138" s="162"/>
      <c r="B138" s="162"/>
      <c r="C138" s="163" t="s">
        <v>169</v>
      </c>
      <c r="D138" s="162"/>
      <c r="E138" s="162"/>
      <c r="F138" s="172"/>
      <c r="G138" s="172"/>
      <c r="H138" s="167"/>
      <c r="J138" s="75"/>
    </row>
    <row r="139" spans="1:10" ht="17.100000000000001" customHeight="1" x14ac:dyDescent="0.2">
      <c r="A139" s="164">
        <v>1</v>
      </c>
      <c r="B139" s="165" t="s">
        <v>764</v>
      </c>
      <c r="C139" s="200" t="s">
        <v>1083</v>
      </c>
      <c r="D139" s="165" t="s">
        <v>441</v>
      </c>
      <c r="E139" s="166">
        <v>2500000</v>
      </c>
      <c r="F139" s="167">
        <v>2386.4475000000002</v>
      </c>
      <c r="G139" s="168">
        <v>2.9260339999999999E-2</v>
      </c>
      <c r="H139" s="167">
        <v>7.06</v>
      </c>
      <c r="J139" s="75"/>
    </row>
    <row r="140" spans="1:10" ht="14.1" customHeight="1" x14ac:dyDescent="0.2">
      <c r="A140" s="162"/>
      <c r="B140" s="162"/>
      <c r="C140" s="163" t="s">
        <v>152</v>
      </c>
      <c r="D140" s="162"/>
      <c r="E140" s="162" t="s">
        <v>153</v>
      </c>
      <c r="F140" s="169">
        <v>2386.4475000000002</v>
      </c>
      <c r="G140" s="170">
        <v>2.9260339999999999E-2</v>
      </c>
      <c r="H140" s="167"/>
      <c r="J140" s="75"/>
    </row>
    <row r="141" spans="1:10" ht="14.1" customHeight="1" x14ac:dyDescent="0.2">
      <c r="A141" s="162"/>
      <c r="B141" s="162"/>
      <c r="C141" s="171"/>
      <c r="D141" s="162"/>
      <c r="E141" s="162"/>
      <c r="F141" s="172"/>
      <c r="G141" s="172"/>
      <c r="H141" s="167"/>
      <c r="J141" s="75"/>
    </row>
    <row r="142" spans="1:10" ht="14.1" customHeight="1" x14ac:dyDescent="0.2">
      <c r="A142" s="162"/>
      <c r="B142" s="162"/>
      <c r="C142" s="163" t="s">
        <v>170</v>
      </c>
      <c r="D142" s="162"/>
      <c r="E142" s="162"/>
      <c r="F142" s="172"/>
      <c r="G142" s="172"/>
      <c r="H142" s="167"/>
      <c r="J142" s="75"/>
    </row>
    <row r="143" spans="1:10" ht="17.100000000000001" customHeight="1" x14ac:dyDescent="0.2">
      <c r="A143" s="164">
        <v>1</v>
      </c>
      <c r="B143" s="165"/>
      <c r="C143" s="165" t="s">
        <v>171</v>
      </c>
      <c r="D143" s="165"/>
      <c r="E143" s="174"/>
      <c r="F143" s="167">
        <v>7381.6283928310004</v>
      </c>
      <c r="G143" s="168">
        <v>9.0506489999999995E-2</v>
      </c>
      <c r="H143" s="175">
        <v>6.66</v>
      </c>
      <c r="J143" s="75"/>
    </row>
    <row r="144" spans="1:10" ht="14.1" customHeight="1" x14ac:dyDescent="0.2">
      <c r="A144" s="162"/>
      <c r="B144" s="162"/>
      <c r="C144" s="163" t="s">
        <v>152</v>
      </c>
      <c r="D144" s="162"/>
      <c r="E144" s="162" t="s">
        <v>153</v>
      </c>
      <c r="F144" s="169">
        <v>7381.6283928310004</v>
      </c>
      <c r="G144" s="170">
        <v>9.0506489999999995E-2</v>
      </c>
      <c r="H144" s="167"/>
      <c r="J144" s="75"/>
    </row>
    <row r="145" spans="1:10" ht="14.1" customHeight="1" x14ac:dyDescent="0.2">
      <c r="A145" s="162"/>
      <c r="B145" s="162"/>
      <c r="C145" s="171"/>
      <c r="D145" s="162"/>
      <c r="E145" s="162"/>
      <c r="F145" s="172"/>
      <c r="G145" s="172"/>
      <c r="H145" s="167"/>
      <c r="J145" s="75"/>
    </row>
    <row r="146" spans="1:10" ht="14.1" customHeight="1" x14ac:dyDescent="0.2">
      <c r="A146" s="162"/>
      <c r="B146" s="162"/>
      <c r="C146" s="163" t="s">
        <v>172</v>
      </c>
      <c r="D146" s="162"/>
      <c r="E146" s="162"/>
      <c r="F146" s="169">
        <v>9768.0758928310006</v>
      </c>
      <c r="G146" s="170">
        <v>0.11976683</v>
      </c>
      <c r="H146" s="167"/>
      <c r="J146" s="75"/>
    </row>
    <row r="147" spans="1:10" ht="14.1" customHeight="1" x14ac:dyDescent="0.2">
      <c r="A147" s="162"/>
      <c r="B147" s="162"/>
      <c r="C147" s="172"/>
      <c r="D147" s="162"/>
      <c r="E147" s="162"/>
      <c r="F147" s="162"/>
      <c r="G147" s="162"/>
      <c r="H147" s="167"/>
      <c r="J147" s="75"/>
    </row>
    <row r="148" spans="1:10" ht="14.1" customHeight="1" x14ac:dyDescent="0.2">
      <c r="A148" s="162"/>
      <c r="B148" s="162"/>
      <c r="C148" s="163" t="s">
        <v>173</v>
      </c>
      <c r="D148" s="162"/>
      <c r="E148" s="162"/>
      <c r="F148" s="162"/>
      <c r="G148" s="162"/>
      <c r="H148" s="167"/>
      <c r="J148" s="75"/>
    </row>
    <row r="149" spans="1:10" ht="14.1" customHeight="1" x14ac:dyDescent="0.2">
      <c r="A149" s="162"/>
      <c r="B149" s="162"/>
      <c r="C149" s="163" t="s">
        <v>174</v>
      </c>
      <c r="D149" s="162"/>
      <c r="E149" s="162"/>
      <c r="F149" s="162"/>
      <c r="G149" s="162"/>
      <c r="H149" s="167"/>
      <c r="J149" s="75"/>
    </row>
    <row r="150" spans="1:10" ht="17.100000000000001" customHeight="1" x14ac:dyDescent="0.2">
      <c r="A150" s="164">
        <v>1</v>
      </c>
      <c r="B150" s="165" t="s">
        <v>175</v>
      </c>
      <c r="C150" s="165" t="s">
        <v>176</v>
      </c>
      <c r="D150" s="165"/>
      <c r="E150" s="176">
        <v>164347.40599999999</v>
      </c>
      <c r="F150" s="167">
        <v>3526.6272821409998</v>
      </c>
      <c r="G150" s="168">
        <v>4.3240140000000003E-2</v>
      </c>
      <c r="H150" s="167"/>
      <c r="J150" s="75"/>
    </row>
    <row r="151" spans="1:10" ht="14.1" customHeight="1" x14ac:dyDescent="0.2">
      <c r="A151" s="162"/>
      <c r="B151" s="162"/>
      <c r="C151" s="163" t="s">
        <v>152</v>
      </c>
      <c r="D151" s="162"/>
      <c r="E151" s="162" t="s">
        <v>153</v>
      </c>
      <c r="F151" s="169">
        <v>3526.6272821409998</v>
      </c>
      <c r="G151" s="170">
        <v>4.3240140000000003E-2</v>
      </c>
      <c r="H151" s="167"/>
      <c r="J151" s="75"/>
    </row>
    <row r="152" spans="1:10" ht="14.1" customHeight="1" x14ac:dyDescent="0.2">
      <c r="A152" s="162"/>
      <c r="B152" s="162"/>
      <c r="C152" s="171"/>
      <c r="D152" s="162"/>
      <c r="E152" s="162"/>
      <c r="F152" s="172"/>
      <c r="G152" s="172"/>
      <c r="H152" s="167"/>
      <c r="J152" s="75"/>
    </row>
    <row r="153" spans="1:10" ht="14.1" customHeight="1" x14ac:dyDescent="0.2">
      <c r="A153" s="162"/>
      <c r="B153" s="162"/>
      <c r="C153" s="163" t="s">
        <v>177</v>
      </c>
      <c r="D153" s="162"/>
      <c r="E153" s="162"/>
      <c r="F153" s="162"/>
      <c r="G153" s="162"/>
      <c r="H153" s="167"/>
      <c r="J153" s="75"/>
    </row>
    <row r="154" spans="1:10" ht="14.1" customHeight="1" x14ac:dyDescent="0.2">
      <c r="A154" s="162"/>
      <c r="B154" s="162"/>
      <c r="C154" s="163" t="s">
        <v>178</v>
      </c>
      <c r="D154" s="162"/>
      <c r="E154" s="162"/>
      <c r="F154" s="162"/>
      <c r="G154" s="162"/>
      <c r="H154" s="167"/>
      <c r="J154" s="75"/>
    </row>
    <row r="155" spans="1:10" ht="14.1" customHeight="1" x14ac:dyDescent="0.2">
      <c r="A155" s="162"/>
      <c r="B155" s="162"/>
      <c r="C155" s="163" t="s">
        <v>152</v>
      </c>
      <c r="D155" s="162"/>
      <c r="E155" s="162" t="s">
        <v>153</v>
      </c>
      <c r="F155" s="173" t="s">
        <v>155</v>
      </c>
      <c r="G155" s="170">
        <v>0</v>
      </c>
      <c r="H155" s="167"/>
      <c r="J155" s="75"/>
    </row>
    <row r="156" spans="1:10" ht="14.1" customHeight="1" x14ac:dyDescent="0.2">
      <c r="A156" s="162"/>
      <c r="B156" s="162"/>
      <c r="C156" s="171"/>
      <c r="D156" s="162"/>
      <c r="E156" s="162"/>
      <c r="F156" s="172"/>
      <c r="G156" s="172"/>
      <c r="H156" s="167"/>
      <c r="J156" s="75"/>
    </row>
    <row r="157" spans="1:10" ht="24" customHeight="1" x14ac:dyDescent="0.2">
      <c r="A157" s="162"/>
      <c r="B157" s="162"/>
      <c r="C157" s="163" t="s">
        <v>179</v>
      </c>
      <c r="D157" s="162"/>
      <c r="E157" s="162"/>
      <c r="F157" s="172"/>
      <c r="G157" s="172"/>
      <c r="H157" s="167"/>
      <c r="J157" s="75"/>
    </row>
    <row r="158" spans="1:10" ht="14.1" customHeight="1" x14ac:dyDescent="0.2">
      <c r="A158" s="162"/>
      <c r="B158" s="162"/>
      <c r="C158" s="163" t="s">
        <v>152</v>
      </c>
      <c r="D158" s="162"/>
      <c r="E158" s="162" t="s">
        <v>153</v>
      </c>
      <c r="F158" s="173" t="s">
        <v>155</v>
      </c>
      <c r="G158" s="170">
        <v>0</v>
      </c>
      <c r="H158" s="167"/>
      <c r="J158" s="75"/>
    </row>
    <row r="159" spans="1:10" ht="14.1" customHeight="1" x14ac:dyDescent="0.2">
      <c r="A159" s="162"/>
      <c r="B159" s="162"/>
      <c r="C159" s="171"/>
      <c r="D159" s="162"/>
      <c r="E159" s="162"/>
      <c r="F159" s="172"/>
      <c r="G159" s="172"/>
      <c r="H159" s="167"/>
      <c r="J159" s="75"/>
    </row>
    <row r="160" spans="1:10" ht="18" customHeight="1" x14ac:dyDescent="0.2">
      <c r="A160" s="174"/>
      <c r="B160" s="165"/>
      <c r="C160" s="165" t="s">
        <v>698</v>
      </c>
      <c r="D160" s="165"/>
      <c r="E160" s="174"/>
      <c r="F160" s="167">
        <v>1146.9147984000001</v>
      </c>
      <c r="G160" s="168">
        <v>1.4062379999999999E-2</v>
      </c>
      <c r="H160" s="167"/>
      <c r="J160" s="75"/>
    </row>
    <row r="161" spans="1:20" ht="18" customHeight="1" x14ac:dyDescent="0.2">
      <c r="A161" s="174"/>
      <c r="B161" s="165"/>
      <c r="C161" s="232" t="s">
        <v>1092</v>
      </c>
      <c r="D161" s="165"/>
      <c r="E161" s="174"/>
      <c r="F161" s="167">
        <v>-54.981355020001502</v>
      </c>
      <c r="G161" s="168">
        <v>-6.7415999999997922E-4</v>
      </c>
      <c r="H161" s="167"/>
      <c r="J161" s="75"/>
    </row>
    <row r="162" spans="1:20" ht="14.1" customHeight="1" x14ac:dyDescent="0.2">
      <c r="A162" s="171"/>
      <c r="B162" s="171"/>
      <c r="C162" s="163" t="s">
        <v>181</v>
      </c>
      <c r="D162" s="172"/>
      <c r="E162" s="172"/>
      <c r="F162" s="169">
        <v>81559.109701702997</v>
      </c>
      <c r="G162" s="177">
        <v>1.0000000099999999</v>
      </c>
      <c r="H162" s="177"/>
      <c r="J162" s="75"/>
    </row>
    <row r="163" spans="1:20" ht="14.1" customHeight="1" x14ac:dyDescent="0.2">
      <c r="A163" s="178"/>
      <c r="B163" s="178"/>
      <c r="C163" s="178"/>
      <c r="D163" s="179"/>
      <c r="E163" s="179"/>
      <c r="F163" s="179"/>
      <c r="G163" s="179"/>
      <c r="H163" s="179"/>
      <c r="J163" s="75"/>
    </row>
    <row r="164" spans="1:20" ht="12.75" customHeight="1" x14ac:dyDescent="0.2">
      <c r="A164" s="180"/>
      <c r="B164" s="258" t="s">
        <v>882</v>
      </c>
      <c r="C164" s="258"/>
      <c r="D164" s="258"/>
      <c r="E164" s="258"/>
      <c r="F164" s="258"/>
      <c r="G164" s="258"/>
      <c r="H164" s="258"/>
      <c r="J164" s="75"/>
    </row>
    <row r="165" spans="1:20" ht="14.1" customHeight="1" x14ac:dyDescent="0.2">
      <c r="A165" s="180"/>
      <c r="B165" s="258" t="s">
        <v>883</v>
      </c>
      <c r="C165" s="258"/>
      <c r="D165" s="258"/>
      <c r="E165" s="258"/>
      <c r="F165" s="258"/>
      <c r="G165" s="258"/>
      <c r="H165" s="258"/>
      <c r="J165" s="75"/>
    </row>
    <row r="166" spans="1:20" ht="17.100000000000001" customHeight="1" x14ac:dyDescent="0.2">
      <c r="A166" s="180"/>
      <c r="B166" s="258" t="s">
        <v>884</v>
      </c>
      <c r="C166" s="258"/>
      <c r="D166" s="258"/>
      <c r="E166" s="258"/>
      <c r="F166" s="258"/>
      <c r="G166" s="258"/>
      <c r="H166" s="258"/>
      <c r="J166" s="75"/>
    </row>
    <row r="167" spans="1:20" s="34" customFormat="1" ht="62.25" customHeight="1" x14ac:dyDescent="0.25">
      <c r="A167" s="33"/>
      <c r="B167" s="259" t="s">
        <v>885</v>
      </c>
      <c r="C167" s="259"/>
      <c r="D167" s="259"/>
      <c r="E167" s="259"/>
      <c r="F167" s="259"/>
      <c r="G167" s="259"/>
      <c r="H167" s="259"/>
      <c r="I167"/>
      <c r="J167" s="75"/>
      <c r="K167"/>
      <c r="L167"/>
      <c r="M167"/>
      <c r="N167"/>
      <c r="O167"/>
      <c r="P167"/>
      <c r="Q167"/>
    </row>
    <row r="168" spans="1:20" ht="12.75" customHeight="1" x14ac:dyDescent="0.2">
      <c r="A168" s="180"/>
      <c r="B168" s="258" t="s">
        <v>886</v>
      </c>
      <c r="C168" s="258"/>
      <c r="D168" s="258"/>
      <c r="E168" s="258"/>
      <c r="F168" s="258"/>
      <c r="G168" s="258"/>
      <c r="H168" s="258"/>
      <c r="J168" s="75"/>
    </row>
    <row r="169" spans="1:20" ht="14.1" customHeight="1" x14ac:dyDescent="0.2">
      <c r="A169" s="181"/>
      <c r="B169" s="181"/>
      <c r="C169" s="181"/>
      <c r="D169" s="182"/>
      <c r="E169" s="182"/>
      <c r="F169" s="182"/>
      <c r="G169" s="182"/>
      <c r="H169" s="182"/>
      <c r="J169" s="75"/>
    </row>
    <row r="170" spans="1:20" ht="14.1" customHeight="1" x14ac:dyDescent="0.2">
      <c r="A170" s="181"/>
      <c r="B170" s="255" t="s">
        <v>183</v>
      </c>
      <c r="C170" s="256"/>
      <c r="D170" s="257"/>
      <c r="E170" s="183"/>
      <c r="F170" s="182"/>
      <c r="G170" s="182"/>
      <c r="H170" s="182"/>
      <c r="J170" s="75"/>
    </row>
    <row r="171" spans="1:20" ht="29.1" customHeight="1" x14ac:dyDescent="0.2">
      <c r="A171" s="181"/>
      <c r="B171" s="253" t="s">
        <v>184</v>
      </c>
      <c r="C171" s="254"/>
      <c r="D171" s="163" t="s">
        <v>185</v>
      </c>
      <c r="E171" s="183"/>
      <c r="F171" s="182"/>
      <c r="G171" s="182"/>
      <c r="H171" s="182"/>
      <c r="J171" s="75"/>
    </row>
    <row r="172" spans="1:20" ht="17.100000000000001" customHeight="1" x14ac:dyDescent="0.25">
      <c r="A172" s="181"/>
      <c r="B172" s="253" t="s">
        <v>186</v>
      </c>
      <c r="C172" s="254"/>
      <c r="D172" s="163" t="s">
        <v>185</v>
      </c>
      <c r="E172" s="183"/>
      <c r="F172" s="182"/>
      <c r="G172" s="182"/>
      <c r="H172" s="182"/>
      <c r="J172" s="75"/>
      <c r="R172" s="34"/>
      <c r="S172" s="34"/>
      <c r="T172" s="34"/>
    </row>
    <row r="173" spans="1:20" ht="17.100000000000001" customHeight="1" x14ac:dyDescent="0.2">
      <c r="A173" s="181"/>
      <c r="B173" s="253" t="s">
        <v>187</v>
      </c>
      <c r="C173" s="254"/>
      <c r="D173" s="172" t="s">
        <v>153</v>
      </c>
      <c r="E173" s="183"/>
      <c r="F173" s="182"/>
      <c r="G173" s="182"/>
      <c r="H173" s="182"/>
      <c r="J173" s="75"/>
    </row>
    <row r="174" spans="1:20" x14ac:dyDescent="0.2">
      <c r="A174" s="185"/>
      <c r="B174" s="186" t="s">
        <v>153</v>
      </c>
      <c r="C174" s="186" t="s">
        <v>1088</v>
      </c>
      <c r="D174" s="186" t="s">
        <v>188</v>
      </c>
      <c r="E174" s="185"/>
      <c r="F174" s="185"/>
      <c r="G174" s="185"/>
      <c r="H174" s="185"/>
      <c r="J174" s="75"/>
    </row>
    <row r="175" spans="1:20" x14ac:dyDescent="0.2">
      <c r="A175" s="185"/>
      <c r="B175" s="187" t="s">
        <v>189</v>
      </c>
      <c r="C175" s="186" t="s">
        <v>190</v>
      </c>
      <c r="D175" s="186" t="s">
        <v>191</v>
      </c>
      <c r="E175" s="185"/>
      <c r="F175" s="185"/>
      <c r="G175" s="185"/>
      <c r="H175" s="185"/>
      <c r="J175" s="75"/>
    </row>
    <row r="176" spans="1:20" ht="17.100000000000001" customHeight="1" x14ac:dyDescent="0.2">
      <c r="A176" s="185"/>
      <c r="B176" s="165" t="s">
        <v>192</v>
      </c>
      <c r="C176" s="188">
        <v>70.550799999999995</v>
      </c>
      <c r="D176" s="188">
        <v>72.2834</v>
      </c>
      <c r="E176" s="185"/>
      <c r="F176" s="189"/>
      <c r="G176" s="190"/>
      <c r="H176" s="190"/>
      <c r="J176" s="75"/>
    </row>
    <row r="177" spans="1:14" ht="29.1" customHeight="1" x14ac:dyDescent="0.2">
      <c r="A177" s="185"/>
      <c r="B177" s="200" t="s">
        <v>1065</v>
      </c>
      <c r="C177" s="188">
        <v>15.639900000000001</v>
      </c>
      <c r="D177" s="188">
        <v>16.024000000000001</v>
      </c>
      <c r="E177" s="185"/>
      <c r="F177" s="189"/>
      <c r="G177" s="190"/>
      <c r="H177" s="190"/>
      <c r="J177" s="75"/>
    </row>
    <row r="178" spans="1:14" ht="29.1" customHeight="1" x14ac:dyDescent="0.2">
      <c r="A178" s="185"/>
      <c r="B178" s="165" t="s">
        <v>1060</v>
      </c>
      <c r="C178" s="188">
        <v>23.230699999999999</v>
      </c>
      <c r="D178" s="188">
        <v>23.801200000000001</v>
      </c>
      <c r="E178" s="185"/>
      <c r="F178" s="189"/>
      <c r="G178" s="190"/>
      <c r="H178" s="190"/>
      <c r="J178" s="75"/>
    </row>
    <row r="179" spans="1:14" ht="17.100000000000001" customHeight="1" x14ac:dyDescent="0.2">
      <c r="A179" s="185"/>
      <c r="B179" s="165" t="s">
        <v>193</v>
      </c>
      <c r="C179" s="188">
        <v>62.012599999999999</v>
      </c>
      <c r="D179" s="188">
        <v>63.464300000000001</v>
      </c>
      <c r="E179" s="185"/>
      <c r="F179" s="189"/>
      <c r="G179" s="190"/>
      <c r="H179" s="190"/>
      <c r="J179" s="75"/>
    </row>
    <row r="180" spans="1:14" ht="29.1" customHeight="1" x14ac:dyDescent="0.2">
      <c r="A180" s="185"/>
      <c r="B180" s="200" t="s">
        <v>1066</v>
      </c>
      <c r="C180" s="188">
        <v>14.874599999999999</v>
      </c>
      <c r="D180" s="188">
        <v>15.222899999999999</v>
      </c>
      <c r="E180" s="185"/>
      <c r="F180" s="189"/>
      <c r="G180" s="190"/>
      <c r="H180" s="190"/>
      <c r="J180" s="75"/>
    </row>
    <row r="181" spans="1:14" ht="29.1" customHeight="1" x14ac:dyDescent="0.2">
      <c r="A181" s="185"/>
      <c r="B181" s="165" t="s">
        <v>1062</v>
      </c>
      <c r="C181" s="188">
        <v>16.323399999999999</v>
      </c>
      <c r="D181" s="188">
        <v>16.705500000000001</v>
      </c>
      <c r="E181" s="185"/>
      <c r="F181" s="189"/>
      <c r="G181" s="190"/>
      <c r="H181" s="190"/>
      <c r="J181" s="75"/>
    </row>
    <row r="182" spans="1:14" ht="14.1" customHeight="1" x14ac:dyDescent="0.2">
      <c r="A182" s="185"/>
      <c r="B182" s="185"/>
      <c r="C182" s="185"/>
      <c r="D182" s="185"/>
      <c r="E182" s="185"/>
      <c r="F182" s="185"/>
      <c r="G182" s="185"/>
      <c r="H182" s="185"/>
      <c r="J182" s="75"/>
    </row>
    <row r="183" spans="1:14" ht="17.100000000000001" customHeight="1" x14ac:dyDescent="0.2">
      <c r="A183" s="185"/>
      <c r="B183" s="253" t="s">
        <v>1056</v>
      </c>
      <c r="C183" s="254"/>
      <c r="D183" s="163" t="s">
        <v>185</v>
      </c>
      <c r="E183" s="185"/>
      <c r="F183" s="185"/>
      <c r="G183" s="185"/>
      <c r="H183" s="185"/>
      <c r="J183" s="75"/>
      <c r="K183" s="30"/>
      <c r="L183" s="30"/>
      <c r="M183" s="30"/>
      <c r="N183" s="30"/>
    </row>
    <row r="184" spans="1:14" ht="14.1" customHeight="1" x14ac:dyDescent="0.2">
      <c r="A184" s="185"/>
      <c r="B184" s="189"/>
      <c r="C184" s="189"/>
      <c r="D184" s="185"/>
      <c r="E184" s="185"/>
      <c r="F184" s="185"/>
      <c r="G184" s="185"/>
      <c r="H184" s="185"/>
      <c r="J184" s="75"/>
    </row>
    <row r="185" spans="1:14" ht="29.1" customHeight="1" x14ac:dyDescent="0.2">
      <c r="A185" s="185"/>
      <c r="B185" s="253" t="s">
        <v>194</v>
      </c>
      <c r="C185" s="254"/>
      <c r="D185" s="184" t="s">
        <v>934</v>
      </c>
      <c r="E185" s="191"/>
      <c r="F185" s="185"/>
      <c r="G185" s="185"/>
      <c r="H185" s="185"/>
      <c r="J185" s="75"/>
    </row>
    <row r="186" spans="1:14" ht="29.1" customHeight="1" x14ac:dyDescent="0.2">
      <c r="A186" s="185"/>
      <c r="B186" s="253" t="s">
        <v>195</v>
      </c>
      <c r="C186" s="254"/>
      <c r="D186" s="163" t="s">
        <v>185</v>
      </c>
      <c r="E186" s="191"/>
      <c r="F186" s="185"/>
      <c r="G186" s="185"/>
      <c r="H186" s="185"/>
      <c r="J186" s="75"/>
    </row>
    <row r="187" spans="1:14" ht="17.100000000000001" customHeight="1" x14ac:dyDescent="0.2">
      <c r="A187" s="185"/>
      <c r="B187" s="253" t="s">
        <v>196</v>
      </c>
      <c r="C187" s="254"/>
      <c r="D187" s="163" t="s">
        <v>185</v>
      </c>
      <c r="E187" s="191"/>
      <c r="F187" s="185"/>
      <c r="G187" s="185"/>
      <c r="H187" s="185"/>
      <c r="J187" s="75"/>
    </row>
    <row r="188" spans="1:14" ht="17.100000000000001" customHeight="1" x14ac:dyDescent="0.2">
      <c r="A188" s="185"/>
      <c r="B188" s="253" t="s">
        <v>197</v>
      </c>
      <c r="C188" s="254"/>
      <c r="D188" s="192">
        <v>4.3154398680440753</v>
      </c>
      <c r="E188" s="185"/>
      <c r="F188" s="189"/>
      <c r="G188" s="190"/>
      <c r="H188" s="190"/>
      <c r="J188" s="75"/>
    </row>
    <row r="189" spans="1:14" x14ac:dyDescent="0.2">
      <c r="J189" s="75"/>
    </row>
    <row r="190" spans="1:14" x14ac:dyDescent="0.2">
      <c r="B190" s="272" t="s">
        <v>925</v>
      </c>
      <c r="C190" s="273"/>
      <c r="D190" s="274"/>
      <c r="J190" s="75"/>
    </row>
    <row r="191" spans="1:14" ht="25.5" x14ac:dyDescent="0.2">
      <c r="B191" s="275" t="s">
        <v>926</v>
      </c>
      <c r="C191" s="275"/>
      <c r="D191" s="226" t="s">
        <v>745</v>
      </c>
      <c r="J191" s="75"/>
    </row>
    <row r="192" spans="1:14" x14ac:dyDescent="0.2">
      <c r="B192" s="275" t="s">
        <v>927</v>
      </c>
      <c r="C192" s="275"/>
      <c r="D192" s="235"/>
      <c r="J192" s="75"/>
    </row>
    <row r="193" spans="2:10" x14ac:dyDescent="0.2">
      <c r="B193" s="276"/>
      <c r="C193" s="277"/>
      <c r="D193" s="227"/>
      <c r="J193" s="75"/>
    </row>
    <row r="194" spans="2:10" x14ac:dyDescent="0.2">
      <c r="B194" s="275" t="s">
        <v>928</v>
      </c>
      <c r="C194" s="275"/>
      <c r="D194" s="228">
        <v>7.1029996917289822</v>
      </c>
      <c r="J194" s="75"/>
    </row>
    <row r="195" spans="2:10" x14ac:dyDescent="0.2">
      <c r="B195" s="276"/>
      <c r="C195" s="277"/>
      <c r="D195" s="227"/>
      <c r="J195" s="75"/>
    </row>
    <row r="196" spans="2:10" x14ac:dyDescent="0.2">
      <c r="B196" s="275" t="s">
        <v>929</v>
      </c>
      <c r="C196" s="275"/>
      <c r="D196" s="228">
        <v>1.0289635836725881</v>
      </c>
      <c r="J196" s="75"/>
    </row>
    <row r="197" spans="2:10" x14ac:dyDescent="0.2">
      <c r="B197" s="275" t="s">
        <v>930</v>
      </c>
      <c r="C197" s="275"/>
      <c r="D197" s="228">
        <v>1.1261986798428751</v>
      </c>
      <c r="J197" s="75"/>
    </row>
    <row r="198" spans="2:10" x14ac:dyDescent="0.2">
      <c r="B198" s="276"/>
      <c r="C198" s="277"/>
      <c r="D198" s="227"/>
      <c r="J198" s="75"/>
    </row>
    <row r="199" spans="2:10" x14ac:dyDescent="0.2">
      <c r="B199" s="275" t="s">
        <v>931</v>
      </c>
      <c r="C199" s="275"/>
      <c r="D199" s="230" t="s">
        <v>1001</v>
      </c>
      <c r="J199" s="75"/>
    </row>
    <row r="200" spans="2:10" ht="12.75" customHeight="1" x14ac:dyDescent="0.2">
      <c r="B200" s="276" t="s">
        <v>932</v>
      </c>
      <c r="C200" s="278"/>
      <c r="D200" s="277"/>
      <c r="J200" s="75"/>
    </row>
  </sheetData>
  <mergeCells count="28">
    <mergeCell ref="B200:D200"/>
    <mergeCell ref="B195:C195"/>
    <mergeCell ref="B196:C196"/>
    <mergeCell ref="B197:C197"/>
    <mergeCell ref="B198:C198"/>
    <mergeCell ref="B199:C199"/>
    <mergeCell ref="B183:C183"/>
    <mergeCell ref="B185:C185"/>
    <mergeCell ref="B186:C186"/>
    <mergeCell ref="B187:C187"/>
    <mergeCell ref="B194:C194"/>
    <mergeCell ref="B190:D190"/>
    <mergeCell ref="B191:C191"/>
    <mergeCell ref="B192:C192"/>
    <mergeCell ref="B193:C193"/>
    <mergeCell ref="B188:C188"/>
    <mergeCell ref="A1:H1"/>
    <mergeCell ref="A2:H2"/>
    <mergeCell ref="A3:H3"/>
    <mergeCell ref="B172:C172"/>
    <mergeCell ref="B173:C173"/>
    <mergeCell ref="B170:D170"/>
    <mergeCell ref="B171:C171"/>
    <mergeCell ref="B164:H164"/>
    <mergeCell ref="B165:H165"/>
    <mergeCell ref="B166:H166"/>
    <mergeCell ref="B167:H167"/>
    <mergeCell ref="B168:H168"/>
  </mergeCells>
  <hyperlinks>
    <hyperlink ref="I1" location="Index!B19" display="Index" xr:uid="{A4BAD9DE-218B-428E-B6CB-E092724BED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S122"/>
  <sheetViews>
    <sheetView showGridLines="0" workbookViewId="0">
      <selection activeCell="C59" sqref="C59"/>
    </sheetView>
  </sheetViews>
  <sheetFormatPr defaultRowHeight="12.75" x14ac:dyDescent="0.2"/>
  <cols>
    <col min="1" max="1" width="6.85546875" customWidth="1"/>
    <col min="2" max="2" width="20.5703125"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customHeight="1" x14ac:dyDescent="0.2">
      <c r="A2" s="250" t="s">
        <v>765</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331</v>
      </c>
      <c r="C7" s="165" t="s">
        <v>332</v>
      </c>
      <c r="D7" s="165" t="s">
        <v>39</v>
      </c>
      <c r="E7" s="166">
        <v>550000</v>
      </c>
      <c r="F7" s="167">
        <v>8360.5499999999993</v>
      </c>
      <c r="G7" s="168">
        <v>7.9164040000000005E-2</v>
      </c>
      <c r="H7" s="168"/>
      <c r="J7" s="75"/>
    </row>
    <row r="8" spans="1:17" ht="17.100000000000001" customHeight="1" x14ac:dyDescent="0.2">
      <c r="A8" s="164">
        <v>2</v>
      </c>
      <c r="B8" s="165" t="s">
        <v>14</v>
      </c>
      <c r="C8" s="165" t="s">
        <v>15</v>
      </c>
      <c r="D8" s="165" t="s">
        <v>16</v>
      </c>
      <c r="E8" s="166">
        <v>278000</v>
      </c>
      <c r="F8" s="167">
        <v>8156.52</v>
      </c>
      <c r="G8" s="168">
        <v>7.7232129999999996E-2</v>
      </c>
      <c r="H8" s="168"/>
      <c r="J8" s="75"/>
    </row>
    <row r="9" spans="1:17" ht="17.100000000000001" customHeight="1" x14ac:dyDescent="0.2">
      <c r="A9" s="164">
        <v>3</v>
      </c>
      <c r="B9" s="165" t="s">
        <v>37</v>
      </c>
      <c r="C9" s="165" t="s">
        <v>38</v>
      </c>
      <c r="D9" s="165" t="s">
        <v>39</v>
      </c>
      <c r="E9" s="166">
        <v>562000</v>
      </c>
      <c r="F9" s="167">
        <v>6465.2479999999996</v>
      </c>
      <c r="G9" s="168">
        <v>6.1217880000000002E-2</v>
      </c>
      <c r="H9" s="168"/>
      <c r="J9" s="75"/>
    </row>
    <row r="10" spans="1:17" ht="17.100000000000001" customHeight="1" x14ac:dyDescent="0.2">
      <c r="A10" s="164">
        <v>4</v>
      </c>
      <c r="B10" s="165" t="s">
        <v>54</v>
      </c>
      <c r="C10" s="165" t="s">
        <v>55</v>
      </c>
      <c r="D10" s="165" t="s">
        <v>39</v>
      </c>
      <c r="E10" s="166">
        <v>671000</v>
      </c>
      <c r="F10" s="167">
        <v>5544.1374999999998</v>
      </c>
      <c r="G10" s="168">
        <v>5.2496109999999999E-2</v>
      </c>
      <c r="H10" s="168"/>
      <c r="J10" s="75"/>
    </row>
    <row r="11" spans="1:17" ht="17.100000000000001" customHeight="1" x14ac:dyDescent="0.2">
      <c r="A11" s="164">
        <v>5</v>
      </c>
      <c r="B11" s="165" t="s">
        <v>11</v>
      </c>
      <c r="C11" s="165" t="s">
        <v>12</v>
      </c>
      <c r="D11" s="165" t="s">
        <v>13</v>
      </c>
      <c r="E11" s="166">
        <v>152535</v>
      </c>
      <c r="F11" s="167">
        <v>5482.5655049999996</v>
      </c>
      <c r="G11" s="168">
        <v>5.1913099999999997E-2</v>
      </c>
      <c r="H11" s="168"/>
      <c r="J11" s="75"/>
    </row>
    <row r="12" spans="1:17" ht="17.100000000000001" customHeight="1" x14ac:dyDescent="0.2">
      <c r="A12" s="164">
        <v>6</v>
      </c>
      <c r="B12" s="165" t="s">
        <v>17</v>
      </c>
      <c r="C12" s="165" t="s">
        <v>18</v>
      </c>
      <c r="D12" s="165" t="s">
        <v>19</v>
      </c>
      <c r="E12" s="166">
        <v>345000</v>
      </c>
      <c r="F12" s="167">
        <v>4561.9350000000004</v>
      </c>
      <c r="G12" s="168">
        <v>4.3195869999999997E-2</v>
      </c>
      <c r="H12" s="168"/>
      <c r="J12" s="71"/>
    </row>
    <row r="13" spans="1:17" ht="17.100000000000001" customHeight="1" x14ac:dyDescent="0.2">
      <c r="A13" s="164">
        <v>7</v>
      </c>
      <c r="B13" s="165" t="s">
        <v>352</v>
      </c>
      <c r="C13" s="165" t="s">
        <v>353</v>
      </c>
      <c r="D13" s="165" t="s">
        <v>39</v>
      </c>
      <c r="E13" s="166">
        <v>714000</v>
      </c>
      <c r="F13" s="167">
        <v>4440.723</v>
      </c>
      <c r="G13" s="168">
        <v>4.2048139999999998E-2</v>
      </c>
      <c r="H13" s="168"/>
      <c r="J13" s="75" t="s">
        <v>1070</v>
      </c>
    </row>
    <row r="14" spans="1:17" ht="17.100000000000001" customHeight="1" x14ac:dyDescent="0.2">
      <c r="A14" s="164">
        <v>8</v>
      </c>
      <c r="B14" s="165" t="s">
        <v>333</v>
      </c>
      <c r="C14" s="165" t="s">
        <v>334</v>
      </c>
      <c r="D14" s="165" t="s">
        <v>210</v>
      </c>
      <c r="E14" s="166">
        <v>2198000</v>
      </c>
      <c r="F14" s="167">
        <v>4245.4369999999999</v>
      </c>
      <c r="G14" s="168">
        <v>4.0199020000000002E-2</v>
      </c>
      <c r="H14" s="168"/>
      <c r="J14" s="75"/>
    </row>
    <row r="15" spans="1:17" ht="17.100000000000001" customHeight="1" x14ac:dyDescent="0.2">
      <c r="A15" s="164">
        <v>9</v>
      </c>
      <c r="B15" s="165" t="s">
        <v>766</v>
      </c>
      <c r="C15" s="165" t="s">
        <v>767</v>
      </c>
      <c r="D15" s="165" t="s">
        <v>276</v>
      </c>
      <c r="E15" s="166">
        <v>164000</v>
      </c>
      <c r="F15" s="167">
        <v>4112.1360000000004</v>
      </c>
      <c r="G15" s="168">
        <v>3.8936829999999999E-2</v>
      </c>
      <c r="H15" s="168"/>
      <c r="J15" s="75"/>
    </row>
    <row r="16" spans="1:17" ht="17.100000000000001" customHeight="1" x14ac:dyDescent="0.2">
      <c r="A16" s="164">
        <v>10</v>
      </c>
      <c r="B16" s="165" t="s">
        <v>374</v>
      </c>
      <c r="C16" s="165" t="s">
        <v>375</v>
      </c>
      <c r="D16" s="165" t="s">
        <v>210</v>
      </c>
      <c r="E16" s="166">
        <v>84000</v>
      </c>
      <c r="F16" s="167">
        <v>3867.192</v>
      </c>
      <c r="G16" s="168">
        <v>3.6617509999999999E-2</v>
      </c>
      <c r="H16" s="168"/>
      <c r="J16" s="75"/>
    </row>
    <row r="17" spans="1:10" ht="29.1" customHeight="1" x14ac:dyDescent="0.2">
      <c r="A17" s="164">
        <v>11</v>
      </c>
      <c r="B17" s="165" t="s">
        <v>26</v>
      </c>
      <c r="C17" s="165" t="s">
        <v>27</v>
      </c>
      <c r="D17" s="165" t="s">
        <v>28</v>
      </c>
      <c r="E17" s="166">
        <v>1460000</v>
      </c>
      <c r="F17" s="167">
        <v>3412.75</v>
      </c>
      <c r="G17" s="168">
        <v>3.2314509999999998E-2</v>
      </c>
      <c r="H17" s="168"/>
      <c r="J17" s="75"/>
    </row>
    <row r="18" spans="1:10" ht="17.100000000000001" customHeight="1" x14ac:dyDescent="0.2">
      <c r="A18" s="164">
        <v>12</v>
      </c>
      <c r="B18" s="165" t="s">
        <v>337</v>
      </c>
      <c r="C18" s="165" t="s">
        <v>338</v>
      </c>
      <c r="D18" s="165" t="s">
        <v>232</v>
      </c>
      <c r="E18" s="166">
        <v>235000</v>
      </c>
      <c r="F18" s="167">
        <v>3338.2925</v>
      </c>
      <c r="G18" s="168">
        <v>3.1609489999999997E-2</v>
      </c>
      <c r="H18" s="168"/>
      <c r="J18" s="75"/>
    </row>
    <row r="19" spans="1:10" ht="29.1" customHeight="1" x14ac:dyDescent="0.2">
      <c r="A19" s="164">
        <v>13</v>
      </c>
      <c r="B19" s="165" t="s">
        <v>346</v>
      </c>
      <c r="C19" s="165" t="s">
        <v>347</v>
      </c>
      <c r="D19" s="165" t="s">
        <v>216</v>
      </c>
      <c r="E19" s="166">
        <v>209000</v>
      </c>
      <c r="F19" s="167">
        <v>3139.3890000000001</v>
      </c>
      <c r="G19" s="168">
        <v>2.9726120000000002E-2</v>
      </c>
      <c r="H19" s="168"/>
      <c r="J19" s="75"/>
    </row>
    <row r="20" spans="1:10" ht="17.100000000000001" customHeight="1" x14ac:dyDescent="0.2">
      <c r="A20" s="164">
        <v>14</v>
      </c>
      <c r="B20" s="165" t="s">
        <v>633</v>
      </c>
      <c r="C20" s="165" t="s">
        <v>634</v>
      </c>
      <c r="D20" s="165" t="s">
        <v>232</v>
      </c>
      <c r="E20" s="166">
        <v>240000</v>
      </c>
      <c r="F20" s="167">
        <v>3032.4</v>
      </c>
      <c r="G20" s="168">
        <v>2.871307E-2</v>
      </c>
      <c r="H20" s="168"/>
      <c r="J20" s="75"/>
    </row>
    <row r="21" spans="1:10" ht="17.100000000000001" customHeight="1" x14ac:dyDescent="0.2">
      <c r="A21" s="164">
        <v>15</v>
      </c>
      <c r="B21" s="165" t="s">
        <v>95</v>
      </c>
      <c r="C21" s="165" t="s">
        <v>96</v>
      </c>
      <c r="D21" s="165" t="s">
        <v>33</v>
      </c>
      <c r="E21" s="166">
        <v>538000</v>
      </c>
      <c r="F21" s="167">
        <v>2892.0189999999998</v>
      </c>
      <c r="G21" s="168">
        <v>2.7383830000000001E-2</v>
      </c>
      <c r="H21" s="168"/>
      <c r="J21" s="75"/>
    </row>
    <row r="22" spans="1:10" ht="17.100000000000001" customHeight="1" x14ac:dyDescent="0.2">
      <c r="A22" s="164">
        <v>16</v>
      </c>
      <c r="B22" s="165" t="s">
        <v>263</v>
      </c>
      <c r="C22" s="165" t="s">
        <v>264</v>
      </c>
      <c r="D22" s="165" t="s">
        <v>210</v>
      </c>
      <c r="E22" s="166">
        <v>46000</v>
      </c>
      <c r="F22" s="167">
        <v>2784.7249999999999</v>
      </c>
      <c r="G22" s="168">
        <v>2.6367890000000001E-2</v>
      </c>
      <c r="H22" s="168"/>
      <c r="J22" s="71"/>
    </row>
    <row r="23" spans="1:10" ht="29.1" customHeight="1" x14ac:dyDescent="0.2">
      <c r="A23" s="164">
        <v>17</v>
      </c>
      <c r="B23" s="165" t="s">
        <v>356</v>
      </c>
      <c r="C23" s="165" t="s">
        <v>357</v>
      </c>
      <c r="D23" s="165" t="s">
        <v>216</v>
      </c>
      <c r="E23" s="166">
        <v>233000</v>
      </c>
      <c r="F23" s="167">
        <v>2687.6550000000002</v>
      </c>
      <c r="G23" s="168">
        <v>2.5448760000000001E-2</v>
      </c>
      <c r="H23" s="168"/>
      <c r="J23" s="75" t="s">
        <v>941</v>
      </c>
    </row>
    <row r="24" spans="1:10" ht="29.1" customHeight="1" x14ac:dyDescent="0.2">
      <c r="A24" s="164">
        <v>18</v>
      </c>
      <c r="B24" s="165" t="s">
        <v>279</v>
      </c>
      <c r="C24" s="165" t="s">
        <v>280</v>
      </c>
      <c r="D24" s="165" t="s">
        <v>53</v>
      </c>
      <c r="E24" s="166">
        <v>225000</v>
      </c>
      <c r="F24" s="167">
        <v>2684.9250000000002</v>
      </c>
      <c r="G24" s="168">
        <v>2.542291E-2</v>
      </c>
      <c r="H24" s="168"/>
      <c r="J24" s="75"/>
    </row>
    <row r="25" spans="1:10" ht="17.100000000000001" customHeight="1" x14ac:dyDescent="0.2">
      <c r="A25" s="164">
        <v>19</v>
      </c>
      <c r="B25" s="165" t="s">
        <v>31</v>
      </c>
      <c r="C25" s="165" t="s">
        <v>32</v>
      </c>
      <c r="D25" s="165" t="s">
        <v>33</v>
      </c>
      <c r="E25" s="166">
        <v>39000</v>
      </c>
      <c r="F25" s="167">
        <v>2550.8924999999999</v>
      </c>
      <c r="G25" s="168">
        <v>2.4153790000000001E-2</v>
      </c>
      <c r="H25" s="168"/>
      <c r="J25" s="75"/>
    </row>
    <row r="26" spans="1:10" ht="17.100000000000001" customHeight="1" x14ac:dyDescent="0.2">
      <c r="A26" s="164">
        <v>20</v>
      </c>
      <c r="B26" s="165" t="s">
        <v>89</v>
      </c>
      <c r="C26" s="165" t="s">
        <v>90</v>
      </c>
      <c r="D26" s="165" t="s">
        <v>62</v>
      </c>
      <c r="E26" s="166">
        <v>60000</v>
      </c>
      <c r="F26" s="167">
        <v>2389.38</v>
      </c>
      <c r="G26" s="168">
        <v>2.2624470000000001E-2</v>
      </c>
      <c r="H26" s="168"/>
      <c r="J26" s="75"/>
    </row>
    <row r="27" spans="1:10" ht="29.1" customHeight="1" x14ac:dyDescent="0.2">
      <c r="A27" s="164">
        <v>21</v>
      </c>
      <c r="B27" s="165" t="s">
        <v>354</v>
      </c>
      <c r="C27" s="165" t="s">
        <v>355</v>
      </c>
      <c r="D27" s="165" t="s">
        <v>216</v>
      </c>
      <c r="E27" s="166">
        <v>38500</v>
      </c>
      <c r="F27" s="167">
        <v>2388.6554999999998</v>
      </c>
      <c r="G27" s="168">
        <v>2.261761E-2</v>
      </c>
      <c r="H27" s="168"/>
      <c r="J27" s="75"/>
    </row>
    <row r="28" spans="1:10" ht="17.100000000000001" customHeight="1" x14ac:dyDescent="0.2">
      <c r="A28" s="164">
        <v>22</v>
      </c>
      <c r="B28" s="165" t="s">
        <v>573</v>
      </c>
      <c r="C28" s="165" t="s">
        <v>574</v>
      </c>
      <c r="D28" s="165" t="s">
        <v>262</v>
      </c>
      <c r="E28" s="166">
        <v>43000</v>
      </c>
      <c r="F28" s="167">
        <v>2275.6889999999999</v>
      </c>
      <c r="G28" s="168">
        <v>2.154795E-2</v>
      </c>
      <c r="H28" s="168"/>
      <c r="J28" s="75"/>
    </row>
    <row r="29" spans="1:10" ht="17.100000000000001" customHeight="1" x14ac:dyDescent="0.2">
      <c r="A29" s="164">
        <v>23</v>
      </c>
      <c r="B29" s="165" t="s">
        <v>85</v>
      </c>
      <c r="C29" s="165" t="s">
        <v>86</v>
      </c>
      <c r="D29" s="165" t="s">
        <v>33</v>
      </c>
      <c r="E29" s="166">
        <v>663000</v>
      </c>
      <c r="F29" s="167">
        <v>2224.0335</v>
      </c>
      <c r="G29" s="168">
        <v>2.1058839999999999E-2</v>
      </c>
      <c r="H29" s="168"/>
      <c r="J29" s="75"/>
    </row>
    <row r="30" spans="1:10" ht="17.100000000000001" customHeight="1" x14ac:dyDescent="0.2">
      <c r="A30" s="164">
        <v>24</v>
      </c>
      <c r="B30" s="165" t="s">
        <v>271</v>
      </c>
      <c r="C30" s="165" t="s">
        <v>272</v>
      </c>
      <c r="D30" s="165" t="s">
        <v>273</v>
      </c>
      <c r="E30" s="166">
        <v>108000</v>
      </c>
      <c r="F30" s="167">
        <v>2200.9319999999998</v>
      </c>
      <c r="G30" s="168">
        <v>2.08401E-2</v>
      </c>
      <c r="H30" s="168"/>
      <c r="J30" s="75"/>
    </row>
    <row r="31" spans="1:10" ht="17.100000000000001" customHeight="1" x14ac:dyDescent="0.2">
      <c r="A31" s="164">
        <v>25</v>
      </c>
      <c r="B31" s="165" t="s">
        <v>389</v>
      </c>
      <c r="C31" s="165" t="s">
        <v>390</v>
      </c>
      <c r="D31" s="165" t="s">
        <v>53</v>
      </c>
      <c r="E31" s="166">
        <v>28828</v>
      </c>
      <c r="F31" s="167">
        <v>1995.9209940000001</v>
      </c>
      <c r="G31" s="168">
        <v>1.88989E-2</v>
      </c>
      <c r="H31" s="168"/>
      <c r="J31" s="75"/>
    </row>
    <row r="32" spans="1:10" ht="17.100000000000001" customHeight="1" x14ac:dyDescent="0.2">
      <c r="A32" s="164">
        <v>26</v>
      </c>
      <c r="B32" s="165" t="s">
        <v>58</v>
      </c>
      <c r="C32" s="165" t="s">
        <v>59</v>
      </c>
      <c r="D32" s="165" t="s">
        <v>19</v>
      </c>
      <c r="E32" s="166">
        <v>228500</v>
      </c>
      <c r="F32" s="167">
        <v>1979.9525000000001</v>
      </c>
      <c r="G32" s="168">
        <v>1.8747690000000001E-2</v>
      </c>
      <c r="H32" s="168"/>
      <c r="J32" s="75"/>
    </row>
    <row r="33" spans="1:10" ht="29.1" customHeight="1" x14ac:dyDescent="0.2">
      <c r="A33" s="164">
        <v>27</v>
      </c>
      <c r="B33" s="165" t="s">
        <v>597</v>
      </c>
      <c r="C33" s="165" t="s">
        <v>598</v>
      </c>
      <c r="D33" s="165" t="s">
        <v>599</v>
      </c>
      <c r="E33" s="166">
        <v>375000</v>
      </c>
      <c r="F33" s="167">
        <v>1873.875</v>
      </c>
      <c r="G33" s="168">
        <v>1.7743269999999998E-2</v>
      </c>
      <c r="H33" s="168"/>
      <c r="J33" s="75"/>
    </row>
    <row r="34" spans="1:10" ht="17.100000000000001" customHeight="1" x14ac:dyDescent="0.2">
      <c r="A34" s="164">
        <v>28</v>
      </c>
      <c r="B34" s="165" t="s">
        <v>143</v>
      </c>
      <c r="C34" s="165" t="s">
        <v>144</v>
      </c>
      <c r="D34" s="165" t="s">
        <v>104</v>
      </c>
      <c r="E34" s="166">
        <v>203225</v>
      </c>
      <c r="F34" s="167">
        <v>1270.8675375</v>
      </c>
      <c r="G34" s="168">
        <v>1.2033540000000001E-2</v>
      </c>
      <c r="H34" s="168"/>
      <c r="J34" s="75"/>
    </row>
    <row r="35" spans="1:10" ht="29.1" customHeight="1" x14ac:dyDescent="0.2">
      <c r="A35" s="164">
        <v>29</v>
      </c>
      <c r="B35" s="165" t="s">
        <v>97</v>
      </c>
      <c r="C35" s="165" t="s">
        <v>98</v>
      </c>
      <c r="D35" s="165" t="s">
        <v>99</v>
      </c>
      <c r="E35" s="166">
        <v>85000</v>
      </c>
      <c r="F35" s="167">
        <v>1126.165</v>
      </c>
      <c r="G35" s="168">
        <v>1.066339E-2</v>
      </c>
      <c r="H35" s="168"/>
      <c r="J35" s="75"/>
    </row>
    <row r="36" spans="1:10" ht="14.1" customHeight="1" x14ac:dyDescent="0.2">
      <c r="A36" s="162"/>
      <c r="B36" s="162"/>
      <c r="C36" s="163" t="s">
        <v>152</v>
      </c>
      <c r="D36" s="162"/>
      <c r="E36" s="162" t="s">
        <v>153</v>
      </c>
      <c r="F36" s="169">
        <v>101484.9630365</v>
      </c>
      <c r="G36" s="170">
        <v>0.96093675999999995</v>
      </c>
      <c r="H36" s="170"/>
      <c r="J36" s="75"/>
    </row>
    <row r="37" spans="1:10" ht="14.1" customHeight="1" x14ac:dyDescent="0.2">
      <c r="A37" s="162"/>
      <c r="B37" s="162"/>
      <c r="C37" s="171"/>
      <c r="D37" s="162"/>
      <c r="E37" s="162"/>
      <c r="F37" s="172"/>
      <c r="G37" s="172"/>
      <c r="H37" s="172"/>
      <c r="J37" s="75"/>
    </row>
    <row r="38" spans="1:10" ht="14.1" customHeight="1" x14ac:dyDescent="0.2">
      <c r="A38" s="162"/>
      <c r="B38" s="162"/>
      <c r="C38" s="163" t="s">
        <v>154</v>
      </c>
      <c r="D38" s="162"/>
      <c r="E38" s="162"/>
      <c r="F38" s="162"/>
      <c r="G38" s="162"/>
      <c r="H38" s="162"/>
      <c r="J38" s="75"/>
    </row>
    <row r="39" spans="1:10" ht="14.1" customHeight="1" x14ac:dyDescent="0.2">
      <c r="A39" s="162"/>
      <c r="B39" s="162"/>
      <c r="C39" s="163" t="s">
        <v>152</v>
      </c>
      <c r="D39" s="162"/>
      <c r="E39" s="162" t="s">
        <v>153</v>
      </c>
      <c r="F39" s="173" t="s">
        <v>155</v>
      </c>
      <c r="G39" s="170">
        <v>0</v>
      </c>
      <c r="H39" s="170"/>
      <c r="J39" s="75"/>
    </row>
    <row r="40" spans="1:10" ht="14.1" customHeight="1" x14ac:dyDescent="0.2">
      <c r="A40" s="162"/>
      <c r="B40" s="162"/>
      <c r="C40" s="171"/>
      <c r="D40" s="162"/>
      <c r="E40" s="162"/>
      <c r="F40" s="172"/>
      <c r="G40" s="172"/>
      <c r="H40" s="172"/>
      <c r="J40" s="75"/>
    </row>
    <row r="41" spans="1:10" ht="14.1" customHeight="1" x14ac:dyDescent="0.2">
      <c r="A41" s="162"/>
      <c r="B41" s="162"/>
      <c r="C41" s="163" t="s">
        <v>156</v>
      </c>
      <c r="D41" s="162"/>
      <c r="E41" s="162"/>
      <c r="F41" s="162"/>
      <c r="G41" s="162"/>
      <c r="H41" s="162"/>
      <c r="J41" s="75"/>
    </row>
    <row r="42" spans="1:10" ht="14.1" customHeight="1" x14ac:dyDescent="0.2">
      <c r="A42" s="162"/>
      <c r="B42" s="162"/>
      <c r="C42" s="163" t="s">
        <v>152</v>
      </c>
      <c r="D42" s="162"/>
      <c r="E42" s="162" t="s">
        <v>153</v>
      </c>
      <c r="F42" s="173" t="s">
        <v>155</v>
      </c>
      <c r="G42" s="170">
        <v>0</v>
      </c>
      <c r="H42" s="170"/>
      <c r="J42" s="75"/>
    </row>
    <row r="43" spans="1:10" ht="14.1" customHeight="1" x14ac:dyDescent="0.2">
      <c r="A43" s="162"/>
      <c r="B43" s="162"/>
      <c r="C43" s="171"/>
      <c r="D43" s="162"/>
      <c r="E43" s="162"/>
      <c r="F43" s="172"/>
      <c r="G43" s="172"/>
      <c r="H43" s="172"/>
      <c r="J43" s="75"/>
    </row>
    <row r="44" spans="1:10" ht="14.1" customHeight="1" x14ac:dyDescent="0.2">
      <c r="A44" s="162"/>
      <c r="B44" s="162"/>
      <c r="C44" s="163" t="s">
        <v>157</v>
      </c>
      <c r="D44" s="162"/>
      <c r="E44" s="162"/>
      <c r="F44" s="162"/>
      <c r="G44" s="162"/>
      <c r="H44" s="162"/>
      <c r="J44" s="75"/>
    </row>
    <row r="45" spans="1:10" ht="14.1" customHeight="1" x14ac:dyDescent="0.2">
      <c r="A45" s="162"/>
      <c r="B45" s="162"/>
      <c r="C45" s="163" t="s">
        <v>152</v>
      </c>
      <c r="D45" s="162"/>
      <c r="E45" s="162" t="s">
        <v>153</v>
      </c>
      <c r="F45" s="173" t="s">
        <v>155</v>
      </c>
      <c r="G45" s="170">
        <v>0</v>
      </c>
      <c r="H45" s="170"/>
      <c r="J45" s="75"/>
    </row>
    <row r="46" spans="1:10" ht="14.1" customHeight="1" x14ac:dyDescent="0.2">
      <c r="A46" s="162"/>
      <c r="B46" s="162"/>
      <c r="C46" s="171"/>
      <c r="D46" s="162"/>
      <c r="E46" s="162"/>
      <c r="F46" s="172"/>
      <c r="G46" s="172"/>
      <c r="H46" s="172"/>
      <c r="J46" s="75"/>
    </row>
    <row r="47" spans="1:10" ht="14.1" customHeight="1" x14ac:dyDescent="0.2">
      <c r="A47" s="162"/>
      <c r="B47" s="162"/>
      <c r="C47" s="163" t="s">
        <v>158</v>
      </c>
      <c r="D47" s="162"/>
      <c r="E47" s="162"/>
      <c r="F47" s="172"/>
      <c r="G47" s="172"/>
      <c r="H47" s="172"/>
      <c r="J47" s="75"/>
    </row>
    <row r="48" spans="1:10" ht="14.1" customHeight="1" x14ac:dyDescent="0.2">
      <c r="A48" s="162"/>
      <c r="B48" s="162"/>
      <c r="C48" s="163" t="s">
        <v>152</v>
      </c>
      <c r="D48" s="162"/>
      <c r="E48" s="162" t="s">
        <v>153</v>
      </c>
      <c r="F48" s="173" t="s">
        <v>155</v>
      </c>
      <c r="G48" s="170">
        <v>0</v>
      </c>
      <c r="H48" s="170"/>
      <c r="J48" s="75"/>
    </row>
    <row r="49" spans="1:10" ht="14.1" customHeight="1" x14ac:dyDescent="0.2">
      <c r="A49" s="162"/>
      <c r="B49" s="162"/>
      <c r="C49" s="171"/>
      <c r="D49" s="162"/>
      <c r="E49" s="162"/>
      <c r="F49" s="172"/>
      <c r="G49" s="172"/>
      <c r="H49" s="172"/>
      <c r="J49" s="75"/>
    </row>
    <row r="50" spans="1:10" ht="14.1" customHeight="1" x14ac:dyDescent="0.2">
      <c r="A50" s="162"/>
      <c r="B50" s="162"/>
      <c r="C50" s="163" t="s">
        <v>159</v>
      </c>
      <c r="D50" s="162"/>
      <c r="E50" s="162"/>
      <c r="F50" s="172"/>
      <c r="G50" s="172"/>
      <c r="H50" s="172"/>
      <c r="J50" s="75"/>
    </row>
    <row r="51" spans="1:10" ht="14.1" customHeight="1" x14ac:dyDescent="0.2">
      <c r="A51" s="162"/>
      <c r="B51" s="162"/>
      <c r="C51" s="163" t="s">
        <v>152</v>
      </c>
      <c r="D51" s="162"/>
      <c r="E51" s="162" t="s">
        <v>153</v>
      </c>
      <c r="F51" s="173" t="s">
        <v>155</v>
      </c>
      <c r="G51" s="170">
        <v>0</v>
      </c>
      <c r="H51" s="170"/>
      <c r="J51" s="75"/>
    </row>
    <row r="52" spans="1:10" ht="14.1" customHeight="1" x14ac:dyDescent="0.2">
      <c r="A52" s="162"/>
      <c r="B52" s="162"/>
      <c r="C52" s="171"/>
      <c r="D52" s="162"/>
      <c r="E52" s="162"/>
      <c r="F52" s="172"/>
      <c r="G52" s="172"/>
      <c r="H52" s="172"/>
      <c r="J52" s="75"/>
    </row>
    <row r="53" spans="1:10" ht="18" customHeight="1" x14ac:dyDescent="0.2">
      <c r="A53" s="162"/>
      <c r="B53" s="162"/>
      <c r="C53" s="163" t="s">
        <v>160</v>
      </c>
      <c r="D53" s="162"/>
      <c r="E53" s="162"/>
      <c r="F53" s="169">
        <v>101484.9630365</v>
      </c>
      <c r="G53" s="170">
        <v>0.96093675999999995</v>
      </c>
      <c r="H53" s="170"/>
      <c r="J53" s="75"/>
    </row>
    <row r="54" spans="1:10" ht="14.1" customHeight="1" x14ac:dyDescent="0.2">
      <c r="A54" s="162"/>
      <c r="B54" s="162"/>
      <c r="C54" s="171"/>
      <c r="D54" s="162"/>
      <c r="E54" s="162"/>
      <c r="F54" s="172"/>
      <c r="G54" s="172"/>
      <c r="H54" s="172"/>
      <c r="J54" s="75"/>
    </row>
    <row r="55" spans="1:10" ht="14.1" customHeight="1" x14ac:dyDescent="0.2">
      <c r="A55" s="162"/>
      <c r="B55" s="162"/>
      <c r="C55" s="163" t="s">
        <v>161</v>
      </c>
      <c r="D55" s="162"/>
      <c r="E55" s="162"/>
      <c r="F55" s="172"/>
      <c r="G55" s="172"/>
      <c r="H55" s="172"/>
      <c r="J55" s="75"/>
    </row>
    <row r="56" spans="1:10" ht="24" customHeight="1" x14ac:dyDescent="0.2">
      <c r="A56" s="162"/>
      <c r="B56" s="162"/>
      <c r="C56" s="163" t="s">
        <v>10</v>
      </c>
      <c r="D56" s="162"/>
      <c r="E56" s="162"/>
      <c r="F56" s="172"/>
      <c r="G56" s="172"/>
      <c r="H56" s="17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162</v>
      </c>
      <c r="D59" s="162"/>
      <c r="E59" s="162"/>
      <c r="F59" s="162"/>
      <c r="G59" s="162"/>
      <c r="H59" s="16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163</v>
      </c>
      <c r="D62" s="162"/>
      <c r="E62" s="162"/>
      <c r="F62" s="162"/>
      <c r="G62" s="162"/>
      <c r="H62" s="162"/>
      <c r="J62" s="75"/>
    </row>
    <row r="63" spans="1:10" ht="14.1" customHeight="1" x14ac:dyDescent="0.2">
      <c r="A63" s="162"/>
      <c r="B63" s="162"/>
      <c r="C63" s="163" t="s">
        <v>152</v>
      </c>
      <c r="D63" s="162"/>
      <c r="E63" s="162" t="s">
        <v>153</v>
      </c>
      <c r="F63" s="173" t="s">
        <v>155</v>
      </c>
      <c r="G63" s="170">
        <v>0</v>
      </c>
      <c r="H63" s="170"/>
      <c r="J63" s="75"/>
    </row>
    <row r="64" spans="1:10" ht="14.1" customHeight="1" x14ac:dyDescent="0.2">
      <c r="A64" s="162"/>
      <c r="B64" s="162"/>
      <c r="C64" s="171"/>
      <c r="D64" s="162"/>
      <c r="E64" s="162"/>
      <c r="F64" s="172"/>
      <c r="G64" s="172"/>
      <c r="H64" s="172"/>
      <c r="J64" s="75"/>
    </row>
    <row r="65" spans="1:10" ht="14.1" customHeight="1" x14ac:dyDescent="0.2">
      <c r="A65" s="162"/>
      <c r="B65" s="162"/>
      <c r="C65" s="163" t="s">
        <v>164</v>
      </c>
      <c r="D65" s="162"/>
      <c r="E65" s="162"/>
      <c r="F65" s="172"/>
      <c r="G65" s="172"/>
      <c r="H65" s="172"/>
      <c r="J65" s="75"/>
    </row>
    <row r="66" spans="1:10" ht="14.1" customHeight="1" x14ac:dyDescent="0.2">
      <c r="A66" s="162"/>
      <c r="B66" s="162"/>
      <c r="C66" s="163" t="s">
        <v>152</v>
      </c>
      <c r="D66" s="162"/>
      <c r="E66" s="162" t="s">
        <v>153</v>
      </c>
      <c r="F66" s="173" t="s">
        <v>155</v>
      </c>
      <c r="G66" s="170">
        <v>0</v>
      </c>
      <c r="H66" s="170"/>
      <c r="J66" s="75"/>
    </row>
    <row r="67" spans="1:10" ht="14.1" customHeight="1" x14ac:dyDescent="0.2">
      <c r="A67" s="162"/>
      <c r="B67" s="162"/>
      <c r="C67" s="171"/>
      <c r="D67" s="162"/>
      <c r="E67" s="162"/>
      <c r="F67" s="172"/>
      <c r="G67" s="172"/>
      <c r="H67" s="172"/>
      <c r="J67" s="75"/>
    </row>
    <row r="68" spans="1:10" ht="14.1" customHeight="1" x14ac:dyDescent="0.2">
      <c r="A68" s="162"/>
      <c r="B68" s="162"/>
      <c r="C68" s="163" t="s">
        <v>165</v>
      </c>
      <c r="D68" s="162"/>
      <c r="E68" s="162"/>
      <c r="F68" s="169">
        <v>0</v>
      </c>
      <c r="G68" s="170">
        <v>0</v>
      </c>
      <c r="H68" s="170"/>
      <c r="J68" s="75"/>
    </row>
    <row r="69" spans="1:10" ht="14.1" customHeight="1" x14ac:dyDescent="0.2">
      <c r="A69" s="162"/>
      <c r="B69" s="162"/>
      <c r="C69" s="171"/>
      <c r="D69" s="162"/>
      <c r="E69" s="162"/>
      <c r="F69" s="172"/>
      <c r="G69" s="172"/>
      <c r="H69" s="172"/>
      <c r="J69" s="75"/>
    </row>
    <row r="70" spans="1:10" ht="14.1" customHeight="1" x14ac:dyDescent="0.2">
      <c r="A70" s="162"/>
      <c r="B70" s="162"/>
      <c r="C70" s="163" t="s">
        <v>166</v>
      </c>
      <c r="D70" s="162"/>
      <c r="E70" s="162"/>
      <c r="F70" s="172"/>
      <c r="G70" s="172"/>
      <c r="H70" s="172"/>
      <c r="J70" s="75"/>
    </row>
    <row r="71" spans="1:10" ht="14.1" customHeight="1" x14ac:dyDescent="0.2">
      <c r="A71" s="162"/>
      <c r="B71" s="162"/>
      <c r="C71" s="163" t="s">
        <v>167</v>
      </c>
      <c r="D71" s="162"/>
      <c r="E71" s="162"/>
      <c r="F71" s="172"/>
      <c r="G71" s="172"/>
      <c r="H71" s="172"/>
      <c r="J71" s="75"/>
    </row>
    <row r="72" spans="1:10" ht="14.1" customHeight="1" x14ac:dyDescent="0.2">
      <c r="A72" s="162"/>
      <c r="B72" s="162"/>
      <c r="C72" s="163" t="s">
        <v>152</v>
      </c>
      <c r="D72" s="162"/>
      <c r="E72" s="162" t="s">
        <v>153</v>
      </c>
      <c r="F72" s="173" t="s">
        <v>155</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168</v>
      </c>
      <c r="D74" s="162"/>
      <c r="E74" s="162"/>
      <c r="F74" s="172"/>
      <c r="G74" s="172"/>
      <c r="H74" s="172"/>
      <c r="J74" s="75"/>
    </row>
    <row r="75" spans="1:10" ht="14.1" customHeight="1" x14ac:dyDescent="0.2">
      <c r="A75" s="162"/>
      <c r="B75" s="162"/>
      <c r="C75" s="163" t="s">
        <v>152</v>
      </c>
      <c r="D75" s="162"/>
      <c r="E75" s="162" t="s">
        <v>153</v>
      </c>
      <c r="F75" s="173" t="s">
        <v>155</v>
      </c>
      <c r="G75" s="170">
        <v>0</v>
      </c>
      <c r="H75" s="170"/>
      <c r="J75" s="75"/>
    </row>
    <row r="76" spans="1:10" ht="14.1" customHeight="1" x14ac:dyDescent="0.2">
      <c r="A76" s="162"/>
      <c r="B76" s="162"/>
      <c r="C76" s="171"/>
      <c r="D76" s="162"/>
      <c r="E76" s="162"/>
      <c r="F76" s="172"/>
      <c r="G76" s="172"/>
      <c r="H76" s="172"/>
      <c r="J76" s="75"/>
    </row>
    <row r="77" spans="1:10" ht="14.1" customHeight="1" x14ac:dyDescent="0.2">
      <c r="A77" s="162"/>
      <c r="B77" s="162"/>
      <c r="C77" s="163" t="s">
        <v>169</v>
      </c>
      <c r="D77" s="162"/>
      <c r="E77" s="162"/>
      <c r="F77" s="172"/>
      <c r="G77" s="172"/>
      <c r="H77" s="172"/>
      <c r="J77" s="75"/>
    </row>
    <row r="78" spans="1:10" ht="14.1" customHeight="1" x14ac:dyDescent="0.2">
      <c r="A78" s="162"/>
      <c r="B78" s="162"/>
      <c r="C78" s="163" t="s">
        <v>152</v>
      </c>
      <c r="D78" s="162"/>
      <c r="E78" s="162" t="s">
        <v>153</v>
      </c>
      <c r="F78" s="173" t="s">
        <v>155</v>
      </c>
      <c r="G78" s="170">
        <v>0</v>
      </c>
      <c r="H78" s="170"/>
      <c r="J78" s="75"/>
    </row>
    <row r="79" spans="1:10" ht="14.1" customHeight="1" x14ac:dyDescent="0.2">
      <c r="A79" s="162"/>
      <c r="B79" s="162"/>
      <c r="C79" s="171"/>
      <c r="D79" s="162"/>
      <c r="E79" s="162"/>
      <c r="F79" s="172"/>
      <c r="G79" s="172"/>
      <c r="H79" s="172"/>
      <c r="J79" s="75"/>
    </row>
    <row r="80" spans="1:10" ht="14.1" customHeight="1" x14ac:dyDescent="0.2">
      <c r="A80" s="162"/>
      <c r="B80" s="162"/>
      <c r="C80" s="163" t="s">
        <v>170</v>
      </c>
      <c r="D80" s="162"/>
      <c r="E80" s="162"/>
      <c r="F80" s="172"/>
      <c r="G80" s="172"/>
      <c r="H80" s="172"/>
      <c r="J80" s="75"/>
    </row>
    <row r="81" spans="1:10" ht="17.100000000000001" customHeight="1" x14ac:dyDescent="0.2">
      <c r="A81" s="164">
        <v>1</v>
      </c>
      <c r="B81" s="165"/>
      <c r="C81" s="165" t="s">
        <v>171</v>
      </c>
      <c r="D81" s="165"/>
      <c r="E81" s="174"/>
      <c r="F81" s="167">
        <v>4412.0813260989999</v>
      </c>
      <c r="G81" s="168">
        <v>4.1776939999999999E-2</v>
      </c>
      <c r="H81" s="175">
        <v>6.66</v>
      </c>
      <c r="J81" s="75"/>
    </row>
    <row r="82" spans="1:10" ht="14.1" customHeight="1" x14ac:dyDescent="0.2">
      <c r="A82" s="162"/>
      <c r="B82" s="162"/>
      <c r="C82" s="163" t="s">
        <v>152</v>
      </c>
      <c r="D82" s="162"/>
      <c r="E82" s="162" t="s">
        <v>153</v>
      </c>
      <c r="F82" s="169">
        <v>4412.0813260989999</v>
      </c>
      <c r="G82" s="170">
        <v>4.1776939999999999E-2</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172</v>
      </c>
      <c r="D84" s="162"/>
      <c r="E84" s="162"/>
      <c r="F84" s="169">
        <v>4412.0813260989999</v>
      </c>
      <c r="G84" s="170">
        <v>4.1776939999999999E-2</v>
      </c>
      <c r="H84" s="170"/>
      <c r="J84" s="75"/>
    </row>
    <row r="85" spans="1:10" ht="14.1" customHeight="1" x14ac:dyDescent="0.2">
      <c r="A85" s="162"/>
      <c r="B85" s="162"/>
      <c r="C85" s="172"/>
      <c r="D85" s="162"/>
      <c r="E85" s="162"/>
      <c r="F85" s="162"/>
      <c r="G85" s="162"/>
      <c r="H85" s="162"/>
      <c r="J85" s="75"/>
    </row>
    <row r="86" spans="1:10" ht="14.1" customHeight="1" x14ac:dyDescent="0.2">
      <c r="A86" s="162"/>
      <c r="B86" s="162"/>
      <c r="C86" s="163" t="s">
        <v>173</v>
      </c>
      <c r="D86" s="162"/>
      <c r="E86" s="162"/>
      <c r="F86" s="162"/>
      <c r="G86" s="162"/>
      <c r="H86" s="162"/>
      <c r="J86" s="75"/>
    </row>
    <row r="87" spans="1:10" ht="14.1" customHeight="1" x14ac:dyDescent="0.2">
      <c r="A87" s="162"/>
      <c r="B87" s="162"/>
      <c r="C87" s="163" t="s">
        <v>174</v>
      </c>
      <c r="D87" s="162"/>
      <c r="E87" s="162"/>
      <c r="F87" s="162"/>
      <c r="G87" s="162"/>
      <c r="H87" s="162"/>
      <c r="J87" s="75"/>
    </row>
    <row r="88" spans="1:10" ht="14.1" customHeight="1" x14ac:dyDescent="0.2">
      <c r="A88" s="162"/>
      <c r="B88" s="162"/>
      <c r="C88" s="163" t="s">
        <v>152</v>
      </c>
      <c r="D88" s="162"/>
      <c r="E88" s="162" t="s">
        <v>153</v>
      </c>
      <c r="F88" s="173" t="s">
        <v>155</v>
      </c>
      <c r="G88" s="170">
        <v>0</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177</v>
      </c>
      <c r="D90" s="162"/>
      <c r="E90" s="162"/>
      <c r="F90" s="162"/>
      <c r="G90" s="162"/>
      <c r="H90" s="162"/>
      <c r="J90" s="75"/>
    </row>
    <row r="91" spans="1:10" ht="14.1" customHeight="1" x14ac:dyDescent="0.2">
      <c r="A91" s="162"/>
      <c r="B91" s="162"/>
      <c r="C91" s="163" t="s">
        <v>178</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24" customHeight="1" x14ac:dyDescent="0.2">
      <c r="A94" s="162"/>
      <c r="B94" s="162"/>
      <c r="C94" s="163" t="s">
        <v>179</v>
      </c>
      <c r="D94" s="162"/>
      <c r="E94" s="162"/>
      <c r="F94" s="172"/>
      <c r="G94" s="172"/>
      <c r="H94" s="17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9" ht="18" customHeight="1" x14ac:dyDescent="0.2">
      <c r="A97" s="174"/>
      <c r="B97" s="165"/>
      <c r="C97" s="165" t="s">
        <v>180</v>
      </c>
      <c r="D97" s="165"/>
      <c r="E97" s="174"/>
      <c r="F97" s="167">
        <v>-286.59068625999998</v>
      </c>
      <c r="G97" s="168">
        <v>-2.7136600000000001E-3</v>
      </c>
      <c r="H97" s="168"/>
      <c r="J97" s="75"/>
    </row>
    <row r="98" spans="1:19" ht="14.1" customHeight="1" x14ac:dyDescent="0.2">
      <c r="A98" s="171"/>
      <c r="B98" s="171"/>
      <c r="C98" s="163" t="s">
        <v>181</v>
      </c>
      <c r="D98" s="172"/>
      <c r="E98" s="172"/>
      <c r="F98" s="169">
        <v>105610.45367633901</v>
      </c>
      <c r="G98" s="177">
        <v>1.00000004</v>
      </c>
      <c r="H98" s="177"/>
      <c r="J98" s="75"/>
    </row>
    <row r="99" spans="1:19" ht="14.1" customHeight="1" x14ac:dyDescent="0.2">
      <c r="A99" s="178"/>
      <c r="B99" s="178"/>
      <c r="C99" s="178"/>
      <c r="D99" s="179"/>
      <c r="E99" s="179"/>
      <c r="F99" s="179"/>
      <c r="G99" s="179"/>
      <c r="H99" s="179"/>
      <c r="J99" s="75"/>
    </row>
    <row r="100" spans="1:19" ht="12.75" customHeight="1" x14ac:dyDescent="0.2">
      <c r="A100" s="180"/>
      <c r="B100" s="258" t="s">
        <v>882</v>
      </c>
      <c r="C100" s="258"/>
      <c r="D100" s="258"/>
      <c r="E100" s="258"/>
      <c r="F100" s="258"/>
      <c r="G100" s="258"/>
      <c r="H100" s="258"/>
      <c r="J100" s="75"/>
    </row>
    <row r="101" spans="1:19" ht="14.1" customHeight="1" x14ac:dyDescent="0.2">
      <c r="A101" s="180"/>
      <c r="B101" s="258" t="s">
        <v>883</v>
      </c>
      <c r="C101" s="258"/>
      <c r="D101" s="258"/>
      <c r="E101" s="258"/>
      <c r="F101" s="258"/>
      <c r="G101" s="258"/>
      <c r="H101" s="258"/>
      <c r="J101" s="75"/>
    </row>
    <row r="102" spans="1:19" ht="17.100000000000001" customHeight="1" x14ac:dyDescent="0.2">
      <c r="A102" s="180"/>
      <c r="B102" s="258" t="s">
        <v>884</v>
      </c>
      <c r="C102" s="258"/>
      <c r="D102" s="258"/>
      <c r="E102" s="258"/>
      <c r="F102" s="258"/>
      <c r="G102" s="258"/>
      <c r="H102" s="258"/>
      <c r="J102" s="75"/>
    </row>
    <row r="103" spans="1:19" s="34" customFormat="1" ht="62.25" customHeight="1" x14ac:dyDescent="0.25">
      <c r="A103" s="33"/>
      <c r="B103" s="259" t="s">
        <v>885</v>
      </c>
      <c r="C103" s="259"/>
      <c r="D103" s="259"/>
      <c r="E103" s="259"/>
      <c r="F103" s="259"/>
      <c r="G103" s="259"/>
      <c r="H103" s="259"/>
      <c r="I103"/>
      <c r="J103" s="75"/>
      <c r="K103"/>
      <c r="L103"/>
      <c r="M103"/>
      <c r="N103"/>
      <c r="O103"/>
      <c r="P103"/>
      <c r="Q103"/>
    </row>
    <row r="104" spans="1:19" ht="12.75" customHeight="1" x14ac:dyDescent="0.2">
      <c r="A104" s="180"/>
      <c r="B104" s="258" t="s">
        <v>886</v>
      </c>
      <c r="C104" s="258"/>
      <c r="D104" s="258"/>
      <c r="E104" s="258"/>
      <c r="F104" s="258"/>
      <c r="G104" s="258"/>
      <c r="H104" s="258"/>
      <c r="J104" s="75"/>
    </row>
    <row r="105" spans="1:19" ht="14.1" customHeight="1" x14ac:dyDescent="0.2">
      <c r="A105" s="181"/>
      <c r="B105" s="181"/>
      <c r="C105" s="181"/>
      <c r="D105" s="182"/>
      <c r="E105" s="182"/>
      <c r="F105" s="182"/>
      <c r="G105" s="182"/>
      <c r="H105" s="182"/>
      <c r="J105" s="75"/>
    </row>
    <row r="106" spans="1:19" ht="14.1" customHeight="1" x14ac:dyDescent="0.2">
      <c r="A106" s="181"/>
      <c r="B106" s="255" t="s">
        <v>183</v>
      </c>
      <c r="C106" s="256"/>
      <c r="D106" s="257"/>
      <c r="E106" s="183"/>
      <c r="F106" s="182"/>
      <c r="G106" s="182"/>
      <c r="H106" s="182"/>
      <c r="J106" s="75"/>
    </row>
    <row r="107" spans="1:19" ht="29.1" customHeight="1" x14ac:dyDescent="0.2">
      <c r="A107" s="181"/>
      <c r="B107" s="253" t="s">
        <v>184</v>
      </c>
      <c r="C107" s="254"/>
      <c r="D107" s="163" t="s">
        <v>185</v>
      </c>
      <c r="E107" s="183"/>
      <c r="F107" s="182"/>
      <c r="G107" s="182"/>
      <c r="H107" s="182"/>
      <c r="J107" s="75"/>
    </row>
    <row r="108" spans="1:19" ht="17.100000000000001" customHeight="1" x14ac:dyDescent="0.2">
      <c r="A108" s="181"/>
      <c r="B108" s="253" t="s">
        <v>186</v>
      </c>
      <c r="C108" s="254"/>
      <c r="D108" s="163" t="s">
        <v>185</v>
      </c>
      <c r="E108" s="183"/>
      <c r="F108" s="182"/>
      <c r="G108" s="182"/>
      <c r="H108" s="182"/>
      <c r="J108" s="75"/>
    </row>
    <row r="109" spans="1:19" ht="17.100000000000001" customHeight="1" x14ac:dyDescent="0.25">
      <c r="A109" s="181"/>
      <c r="B109" s="253" t="s">
        <v>187</v>
      </c>
      <c r="C109" s="254"/>
      <c r="D109" s="172" t="s">
        <v>153</v>
      </c>
      <c r="E109" s="183"/>
      <c r="F109" s="182"/>
      <c r="G109" s="182"/>
      <c r="H109" s="182"/>
      <c r="J109" s="75"/>
      <c r="R109" s="34"/>
      <c r="S109" s="34"/>
    </row>
    <row r="110" spans="1:19" x14ac:dyDescent="0.2">
      <c r="A110" s="185"/>
      <c r="B110" s="186" t="s">
        <v>153</v>
      </c>
      <c r="C110" s="186" t="s">
        <v>1088</v>
      </c>
      <c r="D110" s="186" t="s">
        <v>188</v>
      </c>
      <c r="E110" s="185"/>
      <c r="F110" s="185"/>
      <c r="G110" s="185"/>
      <c r="H110" s="185"/>
      <c r="J110" s="75"/>
    </row>
    <row r="111" spans="1:19" x14ac:dyDescent="0.2">
      <c r="A111" s="185"/>
      <c r="B111" s="187" t="s">
        <v>189</v>
      </c>
      <c r="C111" s="186" t="s">
        <v>190</v>
      </c>
      <c r="D111" s="186" t="s">
        <v>191</v>
      </c>
      <c r="E111" s="185"/>
      <c r="F111" s="185"/>
      <c r="G111" s="185"/>
      <c r="H111" s="185"/>
      <c r="J111" s="75"/>
    </row>
    <row r="112" spans="1:19" ht="17.100000000000001" customHeight="1" x14ac:dyDescent="0.2">
      <c r="A112" s="185"/>
      <c r="B112" s="165" t="s">
        <v>192</v>
      </c>
      <c r="C112" s="188">
        <v>156.81610000000001</v>
      </c>
      <c r="D112" s="188">
        <v>160.99010000000001</v>
      </c>
      <c r="E112" s="185"/>
      <c r="F112" s="189"/>
      <c r="G112" s="190"/>
      <c r="H112" s="190"/>
      <c r="J112" s="75"/>
    </row>
    <row r="113" spans="1:10" ht="29.1" customHeight="1" x14ac:dyDescent="0.2">
      <c r="A113" s="185"/>
      <c r="B113" s="165" t="s">
        <v>1057</v>
      </c>
      <c r="C113" s="188">
        <v>42.979100000000003</v>
      </c>
      <c r="D113" s="188">
        <v>44.121400000000001</v>
      </c>
      <c r="E113" s="185"/>
      <c r="F113" s="189"/>
      <c r="G113" s="190"/>
      <c r="H113" s="190"/>
      <c r="J113" s="75"/>
    </row>
    <row r="114" spans="1:10" ht="17.100000000000001" customHeight="1" x14ac:dyDescent="0.2">
      <c r="A114" s="185"/>
      <c r="B114" s="165" t="s">
        <v>193</v>
      </c>
      <c r="C114" s="188">
        <v>143.44489999999999</v>
      </c>
      <c r="D114" s="188">
        <v>147.1267</v>
      </c>
      <c r="E114" s="185"/>
      <c r="F114" s="189"/>
      <c r="G114" s="190"/>
      <c r="H114" s="190"/>
      <c r="J114" s="75"/>
    </row>
    <row r="115" spans="1:10" ht="29.1" customHeight="1" x14ac:dyDescent="0.2">
      <c r="A115" s="185"/>
      <c r="B115" s="165" t="s">
        <v>1058</v>
      </c>
      <c r="C115" s="188">
        <v>40.040500000000002</v>
      </c>
      <c r="D115" s="188">
        <v>41.067799999999998</v>
      </c>
      <c r="E115" s="185"/>
      <c r="F115" s="189"/>
      <c r="G115" s="190"/>
      <c r="H115" s="190"/>
      <c r="J115" s="75"/>
    </row>
    <row r="116" spans="1:10" ht="14.1" customHeight="1" x14ac:dyDescent="0.2">
      <c r="A116" s="185"/>
      <c r="B116" s="185"/>
      <c r="C116" s="185"/>
      <c r="D116" s="185"/>
      <c r="E116" s="185"/>
      <c r="F116" s="185"/>
      <c r="G116" s="185"/>
      <c r="H116" s="185"/>
      <c r="J116" s="75"/>
    </row>
    <row r="117" spans="1:10" ht="17.100000000000001" customHeight="1" x14ac:dyDescent="0.2">
      <c r="A117" s="185"/>
      <c r="B117" s="253" t="s">
        <v>1056</v>
      </c>
      <c r="C117" s="254"/>
      <c r="D117" s="163" t="s">
        <v>185</v>
      </c>
      <c r="E117" s="185"/>
      <c r="F117" s="185"/>
      <c r="G117" s="185"/>
      <c r="H117" s="185"/>
      <c r="J117" s="75"/>
    </row>
    <row r="118" spans="1:10" ht="14.1" customHeight="1" x14ac:dyDescent="0.2">
      <c r="A118" s="185"/>
      <c r="B118" s="189"/>
      <c r="C118" s="189"/>
      <c r="D118" s="185"/>
      <c r="E118" s="185"/>
      <c r="F118" s="185"/>
      <c r="G118" s="185"/>
      <c r="H118" s="185"/>
      <c r="J118" s="75"/>
    </row>
    <row r="119" spans="1:10" ht="29.1" customHeight="1" x14ac:dyDescent="0.2">
      <c r="A119" s="185"/>
      <c r="B119" s="253" t="s">
        <v>194</v>
      </c>
      <c r="C119" s="254"/>
      <c r="D119" s="163" t="s">
        <v>185</v>
      </c>
      <c r="E119" s="191"/>
      <c r="F119" s="185"/>
      <c r="G119" s="185"/>
      <c r="H119" s="185"/>
      <c r="J119" s="75"/>
    </row>
    <row r="120" spans="1:10" ht="29.1" customHeight="1" x14ac:dyDescent="0.2">
      <c r="A120" s="185"/>
      <c r="B120" s="253" t="s">
        <v>195</v>
      </c>
      <c r="C120" s="254"/>
      <c r="D120" s="163" t="s">
        <v>185</v>
      </c>
      <c r="E120" s="191"/>
      <c r="F120" s="185"/>
      <c r="G120" s="185"/>
      <c r="H120" s="185"/>
      <c r="J120" s="75"/>
    </row>
    <row r="121" spans="1:10" ht="17.100000000000001" customHeight="1" x14ac:dyDescent="0.2">
      <c r="A121" s="185"/>
      <c r="B121" s="253" t="s">
        <v>196</v>
      </c>
      <c r="C121" s="254"/>
      <c r="D121" s="163" t="s">
        <v>185</v>
      </c>
      <c r="E121" s="191"/>
      <c r="F121" s="185"/>
      <c r="G121" s="185"/>
      <c r="H121" s="185"/>
      <c r="J121" s="75"/>
    </row>
    <row r="122" spans="1:10" ht="17.100000000000001" customHeight="1" x14ac:dyDescent="0.2">
      <c r="A122" s="185"/>
      <c r="B122" s="253" t="s">
        <v>197</v>
      </c>
      <c r="C122" s="254"/>
      <c r="D122" s="192">
        <v>0.51198965722056655</v>
      </c>
      <c r="E122" s="185"/>
      <c r="F122" s="189"/>
      <c r="G122" s="190"/>
      <c r="H122" s="190"/>
      <c r="J122" s="75"/>
    </row>
  </sheetData>
  <mergeCells count="17">
    <mergeCell ref="B122:C122"/>
    <mergeCell ref="B117:C117"/>
    <mergeCell ref="B119:C119"/>
    <mergeCell ref="B120:C120"/>
    <mergeCell ref="B121:C121"/>
    <mergeCell ref="A1:H1"/>
    <mergeCell ref="A2:H2"/>
    <mergeCell ref="A3:H3"/>
    <mergeCell ref="B108:C108"/>
    <mergeCell ref="B109:C109"/>
    <mergeCell ref="B106:D106"/>
    <mergeCell ref="B107:C107"/>
    <mergeCell ref="B104:H104"/>
    <mergeCell ref="B100:H100"/>
    <mergeCell ref="B101:H101"/>
    <mergeCell ref="B102:H102"/>
    <mergeCell ref="B103:H103"/>
  </mergeCells>
  <hyperlinks>
    <hyperlink ref="I1" location="Index!B20" display="Index" xr:uid="{583C98D5-04C7-4DEF-9047-2F2B5578FD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R169"/>
  <sheetViews>
    <sheetView showGridLines="0" workbookViewId="0">
      <selection sqref="A1:H1"/>
    </sheetView>
  </sheetViews>
  <sheetFormatPr defaultRowHeight="12.75" x14ac:dyDescent="0.2"/>
  <cols>
    <col min="1" max="1" width="6.85546875" customWidth="1"/>
    <col min="2" max="2" width="20.5703125" customWidth="1"/>
    <col min="3" max="3" width="39.140625" bestFit="1" customWidth="1"/>
    <col min="4" max="4" width="17.7109375" bestFit="1" customWidth="1"/>
    <col min="5" max="5" width="11.42578125" bestFit="1" customWidth="1"/>
    <col min="6" max="6" width="18.7109375" bestFit="1" customWidth="1"/>
    <col min="7" max="7" width="14" bestFit="1" customWidth="1"/>
    <col min="8" max="8" width="8.42578125" bestFit="1" customWidth="1"/>
    <col min="9" max="9" width="12.140625" bestFit="1" customWidth="1"/>
    <col min="10" max="10" width="50.7109375" style="76" customWidth="1"/>
  </cols>
  <sheetData>
    <row r="1" spans="1:17" ht="15" x14ac:dyDescent="0.2">
      <c r="A1" s="250" t="s">
        <v>0</v>
      </c>
      <c r="B1" s="250"/>
      <c r="C1" s="250"/>
      <c r="D1" s="250"/>
      <c r="E1" s="250"/>
      <c r="F1" s="250"/>
      <c r="G1" s="250"/>
      <c r="H1" s="250"/>
      <c r="I1" s="50" t="s">
        <v>888</v>
      </c>
      <c r="J1" s="75"/>
    </row>
    <row r="2" spans="1:17" ht="15" customHeight="1" x14ac:dyDescent="0.2">
      <c r="A2" s="250" t="s">
        <v>768</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14</v>
      </c>
      <c r="C7" s="165" t="s">
        <v>15</v>
      </c>
      <c r="D7" s="165" t="s">
        <v>16</v>
      </c>
      <c r="E7" s="166">
        <v>433206</v>
      </c>
      <c r="F7" s="167">
        <v>12710.26404</v>
      </c>
      <c r="G7" s="168">
        <v>5.088612E-2</v>
      </c>
      <c r="H7" s="168"/>
      <c r="J7" s="75"/>
    </row>
    <row r="8" spans="1:17" ht="17.100000000000001" customHeight="1" x14ac:dyDescent="0.2">
      <c r="A8" s="164">
        <v>2</v>
      </c>
      <c r="B8" s="165" t="s">
        <v>37</v>
      </c>
      <c r="C8" s="165" t="s">
        <v>38</v>
      </c>
      <c r="D8" s="165" t="s">
        <v>39</v>
      </c>
      <c r="E8" s="166">
        <v>972712</v>
      </c>
      <c r="F8" s="167">
        <v>11190.078847999999</v>
      </c>
      <c r="G8" s="168">
        <v>4.4799989999999998E-2</v>
      </c>
      <c r="H8" s="168"/>
      <c r="J8" s="75"/>
    </row>
    <row r="9" spans="1:17" ht="17.100000000000001" customHeight="1" x14ac:dyDescent="0.2">
      <c r="A9" s="164">
        <v>3</v>
      </c>
      <c r="B9" s="165" t="s">
        <v>331</v>
      </c>
      <c r="C9" s="165" t="s">
        <v>332</v>
      </c>
      <c r="D9" s="165" t="s">
        <v>39</v>
      </c>
      <c r="E9" s="166">
        <v>682220</v>
      </c>
      <c r="F9" s="167">
        <v>10370.426219999999</v>
      </c>
      <c r="G9" s="168">
        <v>4.1518470000000002E-2</v>
      </c>
      <c r="H9" s="168"/>
      <c r="J9" s="75"/>
    </row>
    <row r="10" spans="1:17" ht="17.100000000000001" customHeight="1" x14ac:dyDescent="0.2">
      <c r="A10" s="164">
        <v>4</v>
      </c>
      <c r="B10" s="165" t="s">
        <v>125</v>
      </c>
      <c r="C10" s="165" t="s">
        <v>126</v>
      </c>
      <c r="D10" s="165" t="s">
        <v>53</v>
      </c>
      <c r="E10" s="166">
        <v>1938905</v>
      </c>
      <c r="F10" s="167">
        <v>8561.2350275000008</v>
      </c>
      <c r="G10" s="168">
        <v>3.427529E-2</v>
      </c>
      <c r="H10" s="168"/>
      <c r="J10" s="75"/>
    </row>
    <row r="11" spans="1:17" ht="17.100000000000001" customHeight="1" x14ac:dyDescent="0.2">
      <c r="A11" s="164">
        <v>5</v>
      </c>
      <c r="B11" s="165" t="s">
        <v>335</v>
      </c>
      <c r="C11" s="165" t="s">
        <v>336</v>
      </c>
      <c r="D11" s="165" t="s">
        <v>39</v>
      </c>
      <c r="E11" s="166">
        <v>734102</v>
      </c>
      <c r="F11" s="167">
        <v>8558.8952179999997</v>
      </c>
      <c r="G11" s="168">
        <v>3.426593E-2</v>
      </c>
      <c r="H11" s="168"/>
      <c r="J11" s="75"/>
    </row>
    <row r="12" spans="1:17" ht="17.100000000000001" customHeight="1" x14ac:dyDescent="0.2">
      <c r="A12" s="164">
        <v>6</v>
      </c>
      <c r="B12" s="165" t="s">
        <v>34</v>
      </c>
      <c r="C12" s="165" t="s">
        <v>35</v>
      </c>
      <c r="D12" s="165" t="s">
        <v>36</v>
      </c>
      <c r="E12" s="166">
        <v>182842</v>
      </c>
      <c r="F12" s="167">
        <v>8249.8310399999991</v>
      </c>
      <c r="G12" s="168">
        <v>3.302857E-2</v>
      </c>
      <c r="H12" s="168"/>
      <c r="J12" s="71"/>
    </row>
    <row r="13" spans="1:17" ht="17.100000000000001" customHeight="1" x14ac:dyDescent="0.2">
      <c r="A13" s="164">
        <v>7</v>
      </c>
      <c r="B13" s="165" t="s">
        <v>20</v>
      </c>
      <c r="C13" s="165" t="s">
        <v>21</v>
      </c>
      <c r="D13" s="165" t="s">
        <v>22</v>
      </c>
      <c r="E13" s="166">
        <v>1955077</v>
      </c>
      <c r="F13" s="167">
        <v>7100.8396640000001</v>
      </c>
      <c r="G13" s="168">
        <v>2.842853E-2</v>
      </c>
      <c r="H13" s="168"/>
      <c r="J13" s="75"/>
    </row>
    <row r="14" spans="1:17" ht="17.100000000000001" customHeight="1" x14ac:dyDescent="0.2">
      <c r="A14" s="164">
        <v>8</v>
      </c>
      <c r="B14" s="165" t="s">
        <v>217</v>
      </c>
      <c r="C14" s="165" t="s">
        <v>218</v>
      </c>
      <c r="D14" s="165" t="s">
        <v>39</v>
      </c>
      <c r="E14" s="166">
        <v>1265515</v>
      </c>
      <c r="F14" s="167">
        <v>6938.1859875</v>
      </c>
      <c r="G14" s="168">
        <v>2.7777340000000001E-2</v>
      </c>
      <c r="H14" s="168"/>
      <c r="J14" s="75"/>
    </row>
    <row r="15" spans="1:17" ht="25.5" x14ac:dyDescent="0.2">
      <c r="A15" s="164">
        <v>9</v>
      </c>
      <c r="B15" s="165" t="s">
        <v>337</v>
      </c>
      <c r="C15" s="165" t="s">
        <v>338</v>
      </c>
      <c r="D15" s="165" t="s">
        <v>232</v>
      </c>
      <c r="E15" s="166">
        <v>464761</v>
      </c>
      <c r="F15" s="167">
        <v>6602.1623854999998</v>
      </c>
      <c r="G15" s="168">
        <v>2.643206E-2</v>
      </c>
      <c r="H15" s="168"/>
      <c r="J15" s="75" t="s">
        <v>942</v>
      </c>
    </row>
    <row r="16" spans="1:17" ht="17.100000000000001" customHeight="1" x14ac:dyDescent="0.2">
      <c r="A16" s="164">
        <v>10</v>
      </c>
      <c r="B16" s="165" t="s">
        <v>93</v>
      </c>
      <c r="C16" s="165" t="s">
        <v>94</v>
      </c>
      <c r="D16" s="165" t="s">
        <v>36</v>
      </c>
      <c r="E16" s="166">
        <v>145892</v>
      </c>
      <c r="F16" s="167">
        <v>5829.2607520000001</v>
      </c>
      <c r="G16" s="168">
        <v>2.3337710000000001E-2</v>
      </c>
      <c r="H16" s="168"/>
      <c r="J16" s="75"/>
    </row>
    <row r="17" spans="1:10" ht="17.100000000000001" customHeight="1" x14ac:dyDescent="0.2">
      <c r="A17" s="164">
        <v>11</v>
      </c>
      <c r="B17" s="165" t="s">
        <v>78</v>
      </c>
      <c r="C17" s="165" t="s">
        <v>79</v>
      </c>
      <c r="D17" s="165" t="s">
        <v>80</v>
      </c>
      <c r="E17" s="166">
        <v>539440</v>
      </c>
      <c r="F17" s="167">
        <v>5571.8757599999999</v>
      </c>
      <c r="G17" s="168">
        <v>2.2307259999999999E-2</v>
      </c>
      <c r="H17" s="168"/>
      <c r="J17" s="75"/>
    </row>
    <row r="18" spans="1:10" ht="17.100000000000001" customHeight="1" x14ac:dyDescent="0.2">
      <c r="A18" s="164">
        <v>12</v>
      </c>
      <c r="B18" s="165" t="s">
        <v>362</v>
      </c>
      <c r="C18" s="165" t="s">
        <v>363</v>
      </c>
      <c r="D18" s="165" t="s">
        <v>364</v>
      </c>
      <c r="E18" s="166">
        <v>1199501</v>
      </c>
      <c r="F18" s="167">
        <v>5225.6261064999999</v>
      </c>
      <c r="G18" s="168">
        <v>2.092103E-2</v>
      </c>
      <c r="H18" s="168"/>
      <c r="J18" s="75"/>
    </row>
    <row r="19" spans="1:10" ht="17.100000000000001" customHeight="1" x14ac:dyDescent="0.2">
      <c r="A19" s="164">
        <v>13</v>
      </c>
      <c r="B19" s="165" t="s">
        <v>238</v>
      </c>
      <c r="C19" s="165" t="s">
        <v>239</v>
      </c>
      <c r="D19" s="165" t="s">
        <v>104</v>
      </c>
      <c r="E19" s="166">
        <v>57974</v>
      </c>
      <c r="F19" s="167">
        <v>5037.3608599999998</v>
      </c>
      <c r="G19" s="168">
        <v>2.0167299999999999E-2</v>
      </c>
      <c r="H19" s="168"/>
      <c r="J19" s="75"/>
    </row>
    <row r="20" spans="1:10" ht="17.100000000000001" customHeight="1" x14ac:dyDescent="0.2">
      <c r="A20" s="164">
        <v>14</v>
      </c>
      <c r="B20" s="165" t="s">
        <v>306</v>
      </c>
      <c r="C20" s="165" t="s">
        <v>307</v>
      </c>
      <c r="D20" s="165" t="s">
        <v>75</v>
      </c>
      <c r="E20" s="166">
        <v>417452</v>
      </c>
      <c r="F20" s="167">
        <v>5028.0006139999996</v>
      </c>
      <c r="G20" s="168">
        <v>2.0129830000000001E-2</v>
      </c>
      <c r="H20" s="168"/>
      <c r="J20" s="75"/>
    </row>
    <row r="21" spans="1:10" ht="29.1" customHeight="1" x14ac:dyDescent="0.2">
      <c r="A21" s="164">
        <v>15</v>
      </c>
      <c r="B21" s="165" t="s">
        <v>472</v>
      </c>
      <c r="C21" s="165" t="s">
        <v>473</v>
      </c>
      <c r="D21" s="165" t="s">
        <v>216</v>
      </c>
      <c r="E21" s="166">
        <v>262800</v>
      </c>
      <c r="F21" s="167">
        <v>5006.9970000000003</v>
      </c>
      <c r="G21" s="168">
        <v>2.0045739999999999E-2</v>
      </c>
      <c r="H21" s="168"/>
      <c r="J21" s="75"/>
    </row>
    <row r="22" spans="1:10" ht="17.100000000000001" customHeight="1" x14ac:dyDescent="0.2">
      <c r="A22" s="164">
        <v>16</v>
      </c>
      <c r="B22" s="165" t="s">
        <v>211</v>
      </c>
      <c r="C22" s="165" t="s">
        <v>212</v>
      </c>
      <c r="D22" s="165" t="s">
        <v>213</v>
      </c>
      <c r="E22" s="166">
        <v>1092335</v>
      </c>
      <c r="F22" s="167">
        <v>4790.4351425000004</v>
      </c>
      <c r="G22" s="168">
        <v>1.917872E-2</v>
      </c>
      <c r="H22" s="168"/>
      <c r="J22" s="71"/>
    </row>
    <row r="23" spans="1:10" ht="17.100000000000001" customHeight="1" x14ac:dyDescent="0.2">
      <c r="A23" s="164">
        <v>17</v>
      </c>
      <c r="B23" s="165" t="s">
        <v>726</v>
      </c>
      <c r="C23" s="165" t="s">
        <v>727</v>
      </c>
      <c r="D23" s="165" t="s">
        <v>75</v>
      </c>
      <c r="E23" s="166">
        <v>312000</v>
      </c>
      <c r="F23" s="167">
        <v>4667.9880000000003</v>
      </c>
      <c r="G23" s="168">
        <v>1.86885E-2</v>
      </c>
      <c r="H23" s="168"/>
      <c r="J23" s="75"/>
    </row>
    <row r="24" spans="1:10" ht="17.100000000000001" customHeight="1" x14ac:dyDescent="0.2">
      <c r="A24" s="164">
        <v>18</v>
      </c>
      <c r="B24" s="165" t="s">
        <v>260</v>
      </c>
      <c r="C24" s="165" t="s">
        <v>261</v>
      </c>
      <c r="D24" s="165" t="s">
        <v>262</v>
      </c>
      <c r="E24" s="166">
        <v>145554</v>
      </c>
      <c r="F24" s="167">
        <v>4661.6579579999998</v>
      </c>
      <c r="G24" s="168">
        <v>1.8663160000000002E-2</v>
      </c>
      <c r="H24" s="168"/>
      <c r="J24" s="75"/>
    </row>
    <row r="25" spans="1:10" ht="17.100000000000001" customHeight="1" x14ac:dyDescent="0.2">
      <c r="A25" s="164">
        <v>19</v>
      </c>
      <c r="B25" s="165" t="s">
        <v>51</v>
      </c>
      <c r="C25" s="165" t="s">
        <v>52</v>
      </c>
      <c r="D25" s="165" t="s">
        <v>53</v>
      </c>
      <c r="E25" s="166">
        <v>842786</v>
      </c>
      <c r="F25" s="167">
        <v>4274.1891990000004</v>
      </c>
      <c r="G25" s="168">
        <v>1.7111910000000001E-2</v>
      </c>
      <c r="H25" s="168"/>
      <c r="J25" s="75"/>
    </row>
    <row r="26" spans="1:10" ht="25.5" x14ac:dyDescent="0.2">
      <c r="A26" s="164">
        <v>20</v>
      </c>
      <c r="B26" s="165" t="s">
        <v>486</v>
      </c>
      <c r="C26" s="165" t="s">
        <v>487</v>
      </c>
      <c r="D26" s="165" t="s">
        <v>53</v>
      </c>
      <c r="E26" s="166">
        <v>274709</v>
      </c>
      <c r="F26" s="167">
        <v>4143.8479104999997</v>
      </c>
      <c r="G26" s="168">
        <v>1.659008E-2</v>
      </c>
      <c r="H26" s="168"/>
      <c r="J26" s="75" t="s">
        <v>943</v>
      </c>
    </row>
    <row r="27" spans="1:10" ht="17.100000000000001" customHeight="1" x14ac:dyDescent="0.2">
      <c r="A27" s="164">
        <v>21</v>
      </c>
      <c r="B27" s="165" t="s">
        <v>494</v>
      </c>
      <c r="C27" s="165" t="s">
        <v>495</v>
      </c>
      <c r="D27" s="165" t="s">
        <v>496</v>
      </c>
      <c r="E27" s="166">
        <v>368919</v>
      </c>
      <c r="F27" s="167">
        <v>4131.8927999999996</v>
      </c>
      <c r="G27" s="168">
        <v>1.654222E-2</v>
      </c>
      <c r="H27" s="168"/>
      <c r="J27" s="75"/>
    </row>
    <row r="28" spans="1:10" ht="17.100000000000001" customHeight="1" x14ac:dyDescent="0.2">
      <c r="A28" s="164">
        <v>22</v>
      </c>
      <c r="B28" s="165" t="s">
        <v>17</v>
      </c>
      <c r="C28" s="165" t="s">
        <v>18</v>
      </c>
      <c r="D28" s="165" t="s">
        <v>19</v>
      </c>
      <c r="E28" s="166">
        <v>296261</v>
      </c>
      <c r="F28" s="167">
        <v>3917.4592029999999</v>
      </c>
      <c r="G28" s="168">
        <v>1.568373E-2</v>
      </c>
      <c r="H28" s="168"/>
      <c r="J28" s="75"/>
    </row>
    <row r="29" spans="1:10" ht="17.100000000000001" customHeight="1" x14ac:dyDescent="0.2">
      <c r="A29" s="164">
        <v>23</v>
      </c>
      <c r="B29" s="165" t="s">
        <v>339</v>
      </c>
      <c r="C29" s="165" t="s">
        <v>340</v>
      </c>
      <c r="D29" s="165" t="s">
        <v>232</v>
      </c>
      <c r="E29" s="166">
        <v>100495</v>
      </c>
      <c r="F29" s="167">
        <v>3839.5622174999999</v>
      </c>
      <c r="G29" s="168">
        <v>1.5371859999999999E-2</v>
      </c>
      <c r="H29" s="168"/>
      <c r="J29" s="75"/>
    </row>
    <row r="30" spans="1:10" ht="17.100000000000001" customHeight="1" x14ac:dyDescent="0.2">
      <c r="A30" s="164">
        <v>24</v>
      </c>
      <c r="B30" s="165" t="s">
        <v>281</v>
      </c>
      <c r="C30" s="165" t="s">
        <v>282</v>
      </c>
      <c r="D30" s="165" t="s">
        <v>53</v>
      </c>
      <c r="E30" s="166">
        <v>233601</v>
      </c>
      <c r="F30" s="167">
        <v>3793.913841</v>
      </c>
      <c r="G30" s="168">
        <v>1.518911E-2</v>
      </c>
      <c r="H30" s="168"/>
      <c r="J30" s="75"/>
    </row>
    <row r="31" spans="1:10" ht="17.100000000000001" customHeight="1" x14ac:dyDescent="0.2">
      <c r="A31" s="164">
        <v>25</v>
      </c>
      <c r="B31" s="165" t="s">
        <v>254</v>
      </c>
      <c r="C31" s="165" t="s">
        <v>255</v>
      </c>
      <c r="D31" s="165" t="s">
        <v>242</v>
      </c>
      <c r="E31" s="166">
        <v>795217</v>
      </c>
      <c r="F31" s="167">
        <v>3683.4451439999998</v>
      </c>
      <c r="G31" s="168">
        <v>1.4746840000000001E-2</v>
      </c>
      <c r="H31" s="168"/>
      <c r="J31" s="75"/>
    </row>
    <row r="32" spans="1:10" ht="17.100000000000001" customHeight="1" x14ac:dyDescent="0.2">
      <c r="A32" s="164">
        <v>26</v>
      </c>
      <c r="B32" s="165" t="s">
        <v>206</v>
      </c>
      <c r="C32" s="165" t="s">
        <v>207</v>
      </c>
      <c r="D32" s="165" t="s">
        <v>104</v>
      </c>
      <c r="E32" s="166">
        <v>97327</v>
      </c>
      <c r="F32" s="167">
        <v>3642.5603019999999</v>
      </c>
      <c r="G32" s="168">
        <v>1.458316E-2</v>
      </c>
      <c r="H32" s="168"/>
      <c r="J32" s="75"/>
    </row>
    <row r="33" spans="1:10" ht="17.100000000000001" customHeight="1" x14ac:dyDescent="0.2">
      <c r="A33" s="164">
        <v>27</v>
      </c>
      <c r="B33" s="165" t="s">
        <v>619</v>
      </c>
      <c r="C33" s="165" t="s">
        <v>620</v>
      </c>
      <c r="D33" s="165" t="s">
        <v>285</v>
      </c>
      <c r="E33" s="166">
        <v>40344</v>
      </c>
      <c r="F33" s="167">
        <v>3592.0885560000002</v>
      </c>
      <c r="G33" s="168">
        <v>1.4381089999999999E-2</v>
      </c>
      <c r="H33" s="168"/>
      <c r="J33" s="75"/>
    </row>
    <row r="34" spans="1:10" ht="17.100000000000001" customHeight="1" x14ac:dyDescent="0.2">
      <c r="A34" s="164">
        <v>28</v>
      </c>
      <c r="B34" s="165" t="s">
        <v>376</v>
      </c>
      <c r="C34" s="165" t="s">
        <v>377</v>
      </c>
      <c r="D34" s="165" t="s">
        <v>364</v>
      </c>
      <c r="E34" s="166">
        <v>157653</v>
      </c>
      <c r="F34" s="167">
        <v>3516.3713385000001</v>
      </c>
      <c r="G34" s="168">
        <v>1.4077950000000001E-2</v>
      </c>
      <c r="H34" s="168"/>
      <c r="J34" s="75"/>
    </row>
    <row r="35" spans="1:10" ht="17.100000000000001" customHeight="1" x14ac:dyDescent="0.2">
      <c r="A35" s="164">
        <v>29</v>
      </c>
      <c r="B35" s="165" t="s">
        <v>769</v>
      </c>
      <c r="C35" s="165" t="s">
        <v>770</v>
      </c>
      <c r="D35" s="165" t="s">
        <v>75</v>
      </c>
      <c r="E35" s="166">
        <v>90000</v>
      </c>
      <c r="F35" s="167">
        <v>3461.9850000000001</v>
      </c>
      <c r="G35" s="168">
        <v>1.386021E-2</v>
      </c>
      <c r="H35" s="168"/>
      <c r="J35" s="75"/>
    </row>
    <row r="36" spans="1:10" ht="29.1" customHeight="1" x14ac:dyDescent="0.2">
      <c r="A36" s="164">
        <v>30</v>
      </c>
      <c r="B36" s="165" t="s">
        <v>26</v>
      </c>
      <c r="C36" s="165" t="s">
        <v>27</v>
      </c>
      <c r="D36" s="165" t="s">
        <v>28</v>
      </c>
      <c r="E36" s="166">
        <v>1468484</v>
      </c>
      <c r="F36" s="167">
        <v>3432.5813499999999</v>
      </c>
      <c r="G36" s="168">
        <v>1.37425E-2</v>
      </c>
      <c r="H36" s="168"/>
      <c r="J36" s="75"/>
    </row>
    <row r="37" spans="1:10" ht="29.1" customHeight="1" x14ac:dyDescent="0.2">
      <c r="A37" s="164">
        <v>31</v>
      </c>
      <c r="B37" s="165" t="s">
        <v>346</v>
      </c>
      <c r="C37" s="165" t="s">
        <v>347</v>
      </c>
      <c r="D37" s="165" t="s">
        <v>216</v>
      </c>
      <c r="E37" s="166">
        <v>224158</v>
      </c>
      <c r="F37" s="167">
        <v>3367.0773180000001</v>
      </c>
      <c r="G37" s="168">
        <v>1.3480249999999999E-2</v>
      </c>
      <c r="H37" s="168"/>
      <c r="J37" s="75"/>
    </row>
    <row r="38" spans="1:10" ht="17.100000000000001" customHeight="1" x14ac:dyDescent="0.2">
      <c r="A38" s="164">
        <v>32</v>
      </c>
      <c r="B38" s="165" t="s">
        <v>236</v>
      </c>
      <c r="C38" s="165" t="s">
        <v>237</v>
      </c>
      <c r="D38" s="165" t="s">
        <v>36</v>
      </c>
      <c r="E38" s="166">
        <v>55896</v>
      </c>
      <c r="F38" s="167">
        <v>3167.3747880000001</v>
      </c>
      <c r="G38" s="168">
        <v>1.2680729999999999E-2</v>
      </c>
      <c r="H38" s="168"/>
      <c r="J38" s="75"/>
    </row>
    <row r="39" spans="1:10" ht="17.100000000000001" customHeight="1" x14ac:dyDescent="0.2">
      <c r="A39" s="164">
        <v>33</v>
      </c>
      <c r="B39" s="165" t="s">
        <v>204</v>
      </c>
      <c r="C39" s="165" t="s">
        <v>205</v>
      </c>
      <c r="D39" s="165" t="s">
        <v>75</v>
      </c>
      <c r="E39" s="166">
        <v>748503</v>
      </c>
      <c r="F39" s="167">
        <v>3099.5509229999998</v>
      </c>
      <c r="G39" s="168">
        <v>1.240919E-2</v>
      </c>
      <c r="H39" s="168"/>
      <c r="J39" s="75"/>
    </row>
    <row r="40" spans="1:10" ht="29.1" customHeight="1" x14ac:dyDescent="0.2">
      <c r="A40" s="164">
        <v>34</v>
      </c>
      <c r="B40" s="165" t="s">
        <v>135</v>
      </c>
      <c r="C40" s="165" t="s">
        <v>136</v>
      </c>
      <c r="D40" s="165" t="s">
        <v>25</v>
      </c>
      <c r="E40" s="166">
        <v>211138</v>
      </c>
      <c r="F40" s="167">
        <v>3044.9266670000002</v>
      </c>
      <c r="G40" s="168">
        <v>1.21905E-2</v>
      </c>
      <c r="H40" s="168"/>
      <c r="J40" s="75"/>
    </row>
    <row r="41" spans="1:10" ht="29.1" customHeight="1" x14ac:dyDescent="0.2">
      <c r="A41" s="164">
        <v>35</v>
      </c>
      <c r="B41" s="165" t="s">
        <v>265</v>
      </c>
      <c r="C41" s="165" t="s">
        <v>266</v>
      </c>
      <c r="D41" s="165" t="s">
        <v>104</v>
      </c>
      <c r="E41" s="166">
        <v>21813</v>
      </c>
      <c r="F41" s="167">
        <v>2985.6980010000002</v>
      </c>
      <c r="G41" s="168">
        <v>1.195338E-2</v>
      </c>
      <c r="H41" s="168"/>
      <c r="J41" s="75"/>
    </row>
    <row r="42" spans="1:10" ht="17.100000000000001" customHeight="1" x14ac:dyDescent="0.2">
      <c r="A42" s="164">
        <v>36</v>
      </c>
      <c r="B42" s="165" t="s">
        <v>240</v>
      </c>
      <c r="C42" s="165" t="s">
        <v>241</v>
      </c>
      <c r="D42" s="165" t="s">
        <v>242</v>
      </c>
      <c r="E42" s="166">
        <v>323072</v>
      </c>
      <c r="F42" s="167">
        <v>2794.2497279999998</v>
      </c>
      <c r="G42" s="168">
        <v>1.118691E-2</v>
      </c>
      <c r="H42" s="168"/>
      <c r="J42" s="75"/>
    </row>
    <row r="43" spans="1:10" ht="17.100000000000001" customHeight="1" x14ac:dyDescent="0.2">
      <c r="A43" s="164">
        <v>37</v>
      </c>
      <c r="B43" s="165" t="s">
        <v>263</v>
      </c>
      <c r="C43" s="165" t="s">
        <v>264</v>
      </c>
      <c r="D43" s="165" t="s">
        <v>210</v>
      </c>
      <c r="E43" s="166">
        <v>44844</v>
      </c>
      <c r="F43" s="167">
        <v>2714.7436499999999</v>
      </c>
      <c r="G43" s="168">
        <v>1.0868600000000001E-2</v>
      </c>
      <c r="H43" s="168"/>
      <c r="J43" s="75"/>
    </row>
    <row r="44" spans="1:10" ht="17.100000000000001" customHeight="1" x14ac:dyDescent="0.2">
      <c r="A44" s="164">
        <v>38</v>
      </c>
      <c r="B44" s="165" t="s">
        <v>269</v>
      </c>
      <c r="C44" s="165" t="s">
        <v>270</v>
      </c>
      <c r="D44" s="165" t="s">
        <v>232</v>
      </c>
      <c r="E44" s="166">
        <v>51509</v>
      </c>
      <c r="F44" s="167">
        <v>2628.6330425000001</v>
      </c>
      <c r="G44" s="168">
        <v>1.052385E-2</v>
      </c>
      <c r="H44" s="168"/>
      <c r="J44" s="75"/>
    </row>
    <row r="45" spans="1:10" ht="29.1" customHeight="1" x14ac:dyDescent="0.2">
      <c r="A45" s="164">
        <v>39</v>
      </c>
      <c r="B45" s="165" t="s">
        <v>415</v>
      </c>
      <c r="C45" s="165" t="s">
        <v>416</v>
      </c>
      <c r="D45" s="165" t="s">
        <v>25</v>
      </c>
      <c r="E45" s="166">
        <v>108580</v>
      </c>
      <c r="F45" s="167">
        <v>2618.5695700000001</v>
      </c>
      <c r="G45" s="168">
        <v>1.0483559999999999E-2</v>
      </c>
      <c r="H45" s="168"/>
      <c r="J45" s="75"/>
    </row>
    <row r="46" spans="1:10" ht="17.100000000000001" customHeight="1" x14ac:dyDescent="0.2">
      <c r="A46" s="164">
        <v>40</v>
      </c>
      <c r="B46" s="165" t="s">
        <v>250</v>
      </c>
      <c r="C46" s="165" t="s">
        <v>251</v>
      </c>
      <c r="D46" s="165" t="s">
        <v>16</v>
      </c>
      <c r="E46" s="166">
        <v>521844</v>
      </c>
      <c r="F46" s="167">
        <v>2585.2151760000002</v>
      </c>
      <c r="G46" s="168">
        <v>1.035003E-2</v>
      </c>
      <c r="H46" s="168"/>
      <c r="J46" s="75"/>
    </row>
    <row r="47" spans="1:10" ht="17.100000000000001" customHeight="1" x14ac:dyDescent="0.2">
      <c r="A47" s="164">
        <v>41</v>
      </c>
      <c r="B47" s="165" t="s">
        <v>296</v>
      </c>
      <c r="C47" s="165" t="s">
        <v>297</v>
      </c>
      <c r="D47" s="165" t="s">
        <v>242</v>
      </c>
      <c r="E47" s="166">
        <v>1540361</v>
      </c>
      <c r="F47" s="167">
        <v>2562.3905235000002</v>
      </c>
      <c r="G47" s="168">
        <v>1.0258649999999999E-2</v>
      </c>
      <c r="H47" s="168"/>
      <c r="J47" s="75"/>
    </row>
    <row r="48" spans="1:10" ht="17.100000000000001" customHeight="1" x14ac:dyDescent="0.2">
      <c r="A48" s="164">
        <v>42</v>
      </c>
      <c r="B48" s="165" t="s">
        <v>102</v>
      </c>
      <c r="C48" s="165" t="s">
        <v>103</v>
      </c>
      <c r="D48" s="165" t="s">
        <v>104</v>
      </c>
      <c r="E48" s="166">
        <v>68171</v>
      </c>
      <c r="F48" s="167">
        <v>2515.4076435000002</v>
      </c>
      <c r="G48" s="168">
        <v>1.0070549999999999E-2</v>
      </c>
      <c r="H48" s="168"/>
      <c r="J48" s="75"/>
    </row>
    <row r="49" spans="1:10" ht="29.1" customHeight="1" x14ac:dyDescent="0.2">
      <c r="A49" s="164">
        <v>43</v>
      </c>
      <c r="B49" s="165" t="s">
        <v>224</v>
      </c>
      <c r="C49" s="165" t="s">
        <v>225</v>
      </c>
      <c r="D49" s="165" t="s">
        <v>216</v>
      </c>
      <c r="E49" s="166">
        <v>150421</v>
      </c>
      <c r="F49" s="167">
        <v>2475.779239</v>
      </c>
      <c r="G49" s="168">
        <v>9.9118999999999995E-3</v>
      </c>
      <c r="H49" s="168"/>
      <c r="J49" s="75"/>
    </row>
    <row r="50" spans="1:10" ht="17.100000000000001" customHeight="1" x14ac:dyDescent="0.2">
      <c r="A50" s="164">
        <v>44</v>
      </c>
      <c r="B50" s="165" t="s">
        <v>71</v>
      </c>
      <c r="C50" s="165" t="s">
        <v>72</v>
      </c>
      <c r="D50" s="165" t="s">
        <v>36</v>
      </c>
      <c r="E50" s="166">
        <v>114387</v>
      </c>
      <c r="F50" s="167">
        <v>2432.6111354999998</v>
      </c>
      <c r="G50" s="168">
        <v>9.7390700000000007E-3</v>
      </c>
      <c r="H50" s="168"/>
      <c r="J50" s="75"/>
    </row>
    <row r="51" spans="1:10" ht="17.100000000000001" customHeight="1" x14ac:dyDescent="0.2">
      <c r="A51" s="164">
        <v>45</v>
      </c>
      <c r="B51" s="165" t="s">
        <v>274</v>
      </c>
      <c r="C51" s="165" t="s">
        <v>275</v>
      </c>
      <c r="D51" s="165" t="s">
        <v>276</v>
      </c>
      <c r="E51" s="166">
        <v>200235</v>
      </c>
      <c r="F51" s="167">
        <v>2205.1880550000001</v>
      </c>
      <c r="G51" s="168">
        <v>8.8285700000000009E-3</v>
      </c>
      <c r="H51" s="168"/>
      <c r="J51" s="75"/>
    </row>
    <row r="52" spans="1:10" ht="29.1" customHeight="1" x14ac:dyDescent="0.2">
      <c r="A52" s="164">
        <v>46</v>
      </c>
      <c r="B52" s="165" t="s">
        <v>577</v>
      </c>
      <c r="C52" s="165" t="s">
        <v>578</v>
      </c>
      <c r="D52" s="165" t="s">
        <v>316</v>
      </c>
      <c r="E52" s="166">
        <v>142944</v>
      </c>
      <c r="F52" s="167">
        <v>2204.9112</v>
      </c>
      <c r="G52" s="168">
        <v>8.8274600000000005E-3</v>
      </c>
      <c r="H52" s="168"/>
      <c r="J52" s="75"/>
    </row>
    <row r="53" spans="1:10" ht="17.100000000000001" customHeight="1" x14ac:dyDescent="0.2">
      <c r="A53" s="164">
        <v>47</v>
      </c>
      <c r="B53" s="165" t="s">
        <v>294</v>
      </c>
      <c r="C53" s="165" t="s">
        <v>295</v>
      </c>
      <c r="D53" s="165" t="s">
        <v>53</v>
      </c>
      <c r="E53" s="166">
        <v>200618</v>
      </c>
      <c r="F53" s="167">
        <v>2160.2546240000001</v>
      </c>
      <c r="G53" s="168">
        <v>8.6486800000000006E-3</v>
      </c>
      <c r="H53" s="168"/>
      <c r="J53" s="75"/>
    </row>
    <row r="54" spans="1:10" ht="29.1" customHeight="1" x14ac:dyDescent="0.2">
      <c r="A54" s="164">
        <v>48</v>
      </c>
      <c r="B54" s="165" t="s">
        <v>302</v>
      </c>
      <c r="C54" s="165" t="s">
        <v>303</v>
      </c>
      <c r="D54" s="165" t="s">
        <v>221</v>
      </c>
      <c r="E54" s="166">
        <v>58146</v>
      </c>
      <c r="F54" s="167">
        <v>2124.712986</v>
      </c>
      <c r="G54" s="168">
        <v>8.5063900000000008E-3</v>
      </c>
      <c r="H54" s="168"/>
      <c r="J54" s="75"/>
    </row>
    <row r="55" spans="1:10" ht="17.100000000000001" customHeight="1" x14ac:dyDescent="0.2">
      <c r="A55" s="164">
        <v>49</v>
      </c>
      <c r="B55" s="165" t="s">
        <v>771</v>
      </c>
      <c r="C55" s="165" t="s">
        <v>772</v>
      </c>
      <c r="D55" s="165" t="s">
        <v>407</v>
      </c>
      <c r="E55" s="166">
        <v>6916</v>
      </c>
      <c r="F55" s="167">
        <v>2107.173796</v>
      </c>
      <c r="G55" s="168">
        <v>8.4361699999999998E-3</v>
      </c>
      <c r="H55" s="168"/>
      <c r="J55" s="75"/>
    </row>
    <row r="56" spans="1:10" ht="17.100000000000001" customHeight="1" x14ac:dyDescent="0.2">
      <c r="A56" s="164">
        <v>50</v>
      </c>
      <c r="B56" s="165" t="s">
        <v>81</v>
      </c>
      <c r="C56" s="165" t="s">
        <v>82</v>
      </c>
      <c r="D56" s="165" t="s">
        <v>36</v>
      </c>
      <c r="E56" s="166">
        <v>60096</v>
      </c>
      <c r="F56" s="167">
        <v>1968.414432</v>
      </c>
      <c r="G56" s="168">
        <v>7.8806399999999995E-3</v>
      </c>
      <c r="H56" s="168"/>
      <c r="J56" s="75"/>
    </row>
    <row r="57" spans="1:10" ht="17.100000000000001" customHeight="1" x14ac:dyDescent="0.2">
      <c r="A57" s="164">
        <v>51</v>
      </c>
      <c r="B57" s="165" t="s">
        <v>267</v>
      </c>
      <c r="C57" s="165" t="s">
        <v>268</v>
      </c>
      <c r="D57" s="165" t="s">
        <v>232</v>
      </c>
      <c r="E57" s="166">
        <v>84251</v>
      </c>
      <c r="F57" s="167">
        <v>1950.2842734999999</v>
      </c>
      <c r="G57" s="168">
        <v>7.8080500000000004E-3</v>
      </c>
      <c r="H57" s="168"/>
      <c r="J57" s="75"/>
    </row>
    <row r="58" spans="1:10" ht="17.100000000000001" customHeight="1" x14ac:dyDescent="0.2">
      <c r="A58" s="164">
        <v>52</v>
      </c>
      <c r="B58" s="165" t="s">
        <v>323</v>
      </c>
      <c r="C58" s="165" t="s">
        <v>324</v>
      </c>
      <c r="D58" s="165" t="s">
        <v>75</v>
      </c>
      <c r="E58" s="166">
        <v>164798</v>
      </c>
      <c r="F58" s="167">
        <v>1769.10653</v>
      </c>
      <c r="G58" s="168">
        <v>7.0826999999999999E-3</v>
      </c>
      <c r="H58" s="168"/>
      <c r="J58" s="75"/>
    </row>
    <row r="59" spans="1:10" ht="17.100000000000001" customHeight="1" x14ac:dyDescent="0.2">
      <c r="A59" s="164">
        <v>53</v>
      </c>
      <c r="B59" s="165" t="s">
        <v>11</v>
      </c>
      <c r="C59" s="165" t="s">
        <v>12</v>
      </c>
      <c r="D59" s="165" t="s">
        <v>13</v>
      </c>
      <c r="E59" s="166">
        <v>43600</v>
      </c>
      <c r="F59" s="167">
        <v>1567.1148000000001</v>
      </c>
      <c r="G59" s="168">
        <v>6.2740199999999999E-3</v>
      </c>
      <c r="H59" s="168"/>
      <c r="J59" s="75"/>
    </row>
    <row r="60" spans="1:10" ht="17.100000000000001" customHeight="1" x14ac:dyDescent="0.2">
      <c r="A60" s="164">
        <v>54</v>
      </c>
      <c r="B60" s="165" t="s">
        <v>100</v>
      </c>
      <c r="C60" s="165" t="s">
        <v>101</v>
      </c>
      <c r="D60" s="165" t="s">
        <v>36</v>
      </c>
      <c r="E60" s="166">
        <v>96626</v>
      </c>
      <c r="F60" s="167">
        <v>1504.7083849999999</v>
      </c>
      <c r="G60" s="168">
        <v>6.0241699999999997E-3</v>
      </c>
      <c r="H60" s="168"/>
      <c r="J60" s="75"/>
    </row>
    <row r="61" spans="1:10" ht="17.100000000000001" customHeight="1" x14ac:dyDescent="0.2">
      <c r="A61" s="164">
        <v>55</v>
      </c>
      <c r="B61" s="165" t="s">
        <v>625</v>
      </c>
      <c r="C61" s="165" t="s">
        <v>626</v>
      </c>
      <c r="D61" s="165" t="s">
        <v>104</v>
      </c>
      <c r="E61" s="166">
        <v>52105</v>
      </c>
      <c r="F61" s="167">
        <v>1338.57745</v>
      </c>
      <c r="G61" s="168">
        <v>5.3590599999999997E-3</v>
      </c>
      <c r="H61" s="168"/>
      <c r="J61" s="75"/>
    </row>
    <row r="62" spans="1:10" ht="17.100000000000001" customHeight="1" x14ac:dyDescent="0.2">
      <c r="A62" s="164">
        <v>56</v>
      </c>
      <c r="B62" s="165" t="s">
        <v>773</v>
      </c>
      <c r="C62" s="165" t="s">
        <v>774</v>
      </c>
      <c r="D62" s="165" t="s">
        <v>213</v>
      </c>
      <c r="E62" s="166">
        <v>58626</v>
      </c>
      <c r="F62" s="167">
        <v>1065.674115</v>
      </c>
      <c r="G62" s="168">
        <v>4.2664799999999996E-3</v>
      </c>
      <c r="H62" s="168"/>
      <c r="J62" s="75"/>
    </row>
    <row r="63" spans="1:10" ht="29.1" customHeight="1" x14ac:dyDescent="0.2">
      <c r="A63" s="164">
        <v>57</v>
      </c>
      <c r="B63" s="165" t="s">
        <v>597</v>
      </c>
      <c r="C63" s="165" t="s">
        <v>598</v>
      </c>
      <c r="D63" s="165" t="s">
        <v>599</v>
      </c>
      <c r="E63" s="166">
        <v>191937</v>
      </c>
      <c r="F63" s="167">
        <v>959.10918900000001</v>
      </c>
      <c r="G63" s="168">
        <v>3.8398400000000002E-3</v>
      </c>
      <c r="H63" s="168"/>
      <c r="J63" s="75"/>
    </row>
    <row r="64" spans="1:10" ht="17.100000000000001" customHeight="1" x14ac:dyDescent="0.2">
      <c r="A64" s="164">
        <v>58</v>
      </c>
      <c r="B64" s="165" t="s">
        <v>573</v>
      </c>
      <c r="C64" s="165" t="s">
        <v>574</v>
      </c>
      <c r="D64" s="165" t="s">
        <v>262</v>
      </c>
      <c r="E64" s="166">
        <v>17476</v>
      </c>
      <c r="F64" s="167">
        <v>924.88234799999998</v>
      </c>
      <c r="G64" s="168">
        <v>3.70281E-3</v>
      </c>
      <c r="H64" s="168"/>
      <c r="J64" s="75"/>
    </row>
    <row r="65" spans="1:10" ht="17.100000000000001" customHeight="1" x14ac:dyDescent="0.2">
      <c r="A65" s="164">
        <v>59</v>
      </c>
      <c r="B65" s="165" t="s">
        <v>56</v>
      </c>
      <c r="C65" s="165" t="s">
        <v>57</v>
      </c>
      <c r="D65" s="165" t="s">
        <v>33</v>
      </c>
      <c r="E65" s="166">
        <v>14786</v>
      </c>
      <c r="F65" s="167">
        <v>863.75376200000005</v>
      </c>
      <c r="G65" s="168">
        <v>3.4580800000000001E-3</v>
      </c>
      <c r="H65" s="168"/>
      <c r="J65" s="75"/>
    </row>
    <row r="66" spans="1:10" ht="17.100000000000001" customHeight="1" x14ac:dyDescent="0.2">
      <c r="A66" s="164">
        <v>60</v>
      </c>
      <c r="B66" s="165" t="s">
        <v>497</v>
      </c>
      <c r="C66" s="165" t="s">
        <v>498</v>
      </c>
      <c r="D66" s="165" t="s">
        <v>75</v>
      </c>
      <c r="E66" s="166">
        <v>132860</v>
      </c>
      <c r="F66" s="167">
        <v>846.78321000000005</v>
      </c>
      <c r="G66" s="168">
        <v>3.3901399999999998E-3</v>
      </c>
      <c r="H66" s="168"/>
      <c r="J66" s="75"/>
    </row>
    <row r="67" spans="1:10" ht="17.100000000000001" customHeight="1" x14ac:dyDescent="0.2">
      <c r="A67" s="164">
        <v>61</v>
      </c>
      <c r="B67" s="165" t="s">
        <v>310</v>
      </c>
      <c r="C67" s="165" t="s">
        <v>311</v>
      </c>
      <c r="D67" s="165" t="s">
        <v>75</v>
      </c>
      <c r="E67" s="166">
        <v>276560</v>
      </c>
      <c r="F67" s="167">
        <v>773.67660000000001</v>
      </c>
      <c r="G67" s="168">
        <v>3.0974499999999999E-3</v>
      </c>
      <c r="H67" s="168"/>
      <c r="J67" s="75"/>
    </row>
    <row r="68" spans="1:10" ht="14.1" customHeight="1" x14ac:dyDescent="0.2">
      <c r="A68" s="162"/>
      <c r="B68" s="162"/>
      <c r="C68" s="163" t="s">
        <v>152</v>
      </c>
      <c r="D68" s="162"/>
      <c r="E68" s="162" t="s">
        <v>153</v>
      </c>
      <c r="F68" s="169">
        <v>236857.57064549997</v>
      </c>
      <c r="G68" s="170">
        <v>0.94830000000000003</v>
      </c>
      <c r="H68" s="170"/>
      <c r="J68" s="75"/>
    </row>
    <row r="69" spans="1:10" ht="14.1" customHeight="1" x14ac:dyDescent="0.2">
      <c r="A69" s="162"/>
      <c r="B69" s="162"/>
      <c r="C69" s="171"/>
      <c r="D69" s="162"/>
      <c r="E69" s="162"/>
      <c r="F69" s="172"/>
      <c r="G69" s="172"/>
      <c r="H69" s="172"/>
      <c r="J69" s="75"/>
    </row>
    <row r="70" spans="1:10" ht="14.1" customHeight="1" x14ac:dyDescent="0.2">
      <c r="A70" s="162"/>
      <c r="B70" s="162"/>
      <c r="C70" s="163" t="s">
        <v>154</v>
      </c>
      <c r="D70" s="162"/>
      <c r="E70" s="162"/>
      <c r="F70" s="162"/>
      <c r="G70" s="162"/>
      <c r="H70" s="162"/>
      <c r="J70" s="75"/>
    </row>
    <row r="71" spans="1:10" ht="14.1" customHeight="1" x14ac:dyDescent="0.2">
      <c r="A71" s="162"/>
      <c r="B71" s="162"/>
      <c r="C71" s="163" t="s">
        <v>152</v>
      </c>
      <c r="D71" s="162"/>
      <c r="E71" s="162" t="s">
        <v>153</v>
      </c>
      <c r="F71" s="173" t="s">
        <v>155</v>
      </c>
      <c r="G71" s="170">
        <v>0</v>
      </c>
      <c r="H71" s="170"/>
      <c r="J71" s="75"/>
    </row>
    <row r="72" spans="1:10" ht="14.1" customHeight="1" x14ac:dyDescent="0.2">
      <c r="A72" s="162"/>
      <c r="B72" s="162"/>
      <c r="C72" s="171"/>
      <c r="D72" s="162"/>
      <c r="E72" s="162"/>
      <c r="F72" s="172"/>
      <c r="G72" s="172"/>
      <c r="H72" s="172"/>
      <c r="J72" s="75"/>
    </row>
    <row r="73" spans="1:10" ht="14.1" customHeight="1" x14ac:dyDescent="0.2">
      <c r="A73" s="162"/>
      <c r="B73" s="162"/>
      <c r="C73" s="163" t="s">
        <v>156</v>
      </c>
      <c r="D73" s="162"/>
      <c r="E73" s="162"/>
      <c r="F73" s="162"/>
      <c r="G73" s="162"/>
      <c r="H73" s="162"/>
      <c r="J73" s="75"/>
    </row>
    <row r="74" spans="1:10" ht="17.100000000000001" customHeight="1" x14ac:dyDescent="0.2">
      <c r="A74" s="164">
        <v>1</v>
      </c>
      <c r="B74" s="165" t="s">
        <v>635</v>
      </c>
      <c r="C74" s="165" t="s">
        <v>1199</v>
      </c>
      <c r="D74" s="165" t="s">
        <v>242</v>
      </c>
      <c r="E74" s="166">
        <v>511578</v>
      </c>
      <c r="F74" s="167">
        <v>22.1513274</v>
      </c>
      <c r="G74" s="168">
        <v>8.8679999999999998E-5</v>
      </c>
      <c r="H74" s="168"/>
      <c r="J74" s="75"/>
    </row>
    <row r="75" spans="1:10" ht="17.100000000000001" customHeight="1" x14ac:dyDescent="0.2">
      <c r="A75" s="164">
        <v>2</v>
      </c>
      <c r="B75" s="165" t="s">
        <v>418</v>
      </c>
      <c r="C75" s="165" t="s">
        <v>1207</v>
      </c>
      <c r="D75" s="165" t="s">
        <v>262</v>
      </c>
      <c r="E75" s="166">
        <v>39500</v>
      </c>
      <c r="F75" s="167">
        <v>17.083749999999998</v>
      </c>
      <c r="G75" s="168">
        <v>6.8399999999999996E-5</v>
      </c>
      <c r="H75" s="168"/>
      <c r="J75" s="75"/>
    </row>
    <row r="76" spans="1:10" ht="17.100000000000001" customHeight="1" x14ac:dyDescent="0.2">
      <c r="A76" s="164">
        <v>3</v>
      </c>
      <c r="B76" s="165" t="s">
        <v>775</v>
      </c>
      <c r="C76" s="165" t="s">
        <v>1208</v>
      </c>
      <c r="D76" s="165"/>
      <c r="E76" s="166">
        <v>93200</v>
      </c>
      <c r="F76" s="167">
        <v>9.3200000000000003E-7</v>
      </c>
      <c r="G76" s="174" t="s">
        <v>151</v>
      </c>
      <c r="H76" s="174"/>
      <c r="J76" s="75"/>
    </row>
    <row r="77" spans="1:10" x14ac:dyDescent="0.2">
      <c r="A77" s="164">
        <v>4</v>
      </c>
      <c r="B77" s="165" t="s">
        <v>776</v>
      </c>
      <c r="C77" s="165" t="s">
        <v>1209</v>
      </c>
      <c r="D77" s="165"/>
      <c r="E77" s="166">
        <v>54000</v>
      </c>
      <c r="F77" s="167">
        <v>5.4000000000000002E-7</v>
      </c>
      <c r="G77" s="174" t="s">
        <v>151</v>
      </c>
      <c r="H77" s="174"/>
      <c r="J77" s="75"/>
    </row>
    <row r="78" spans="1:10" ht="25.5" x14ac:dyDescent="0.2">
      <c r="A78" s="164">
        <v>5</v>
      </c>
      <c r="B78" s="165" t="s">
        <v>777</v>
      </c>
      <c r="C78" s="165" t="s">
        <v>1210</v>
      </c>
      <c r="D78" s="165" t="s">
        <v>419</v>
      </c>
      <c r="E78" s="166">
        <v>50800</v>
      </c>
      <c r="F78" s="167">
        <v>5.0800000000000005E-7</v>
      </c>
      <c r="G78" s="174" t="s">
        <v>151</v>
      </c>
      <c r="H78" s="174"/>
      <c r="J78" s="75"/>
    </row>
    <row r="79" spans="1:10" x14ac:dyDescent="0.2">
      <c r="A79" s="164">
        <v>6</v>
      </c>
      <c r="B79" s="165" t="s">
        <v>778</v>
      </c>
      <c r="C79" s="165" t="s">
        <v>1211</v>
      </c>
      <c r="D79" s="165"/>
      <c r="E79" s="166">
        <v>200</v>
      </c>
      <c r="F79" s="167">
        <v>2.0000000000000001E-9</v>
      </c>
      <c r="G79" s="174" t="s">
        <v>151</v>
      </c>
      <c r="H79" s="174"/>
      <c r="J79" s="75"/>
    </row>
    <row r="80" spans="1:10" ht="38.25" x14ac:dyDescent="0.2">
      <c r="A80" s="164">
        <v>7</v>
      </c>
      <c r="B80" s="165" t="s">
        <v>779</v>
      </c>
      <c r="C80" s="165" t="s">
        <v>1212</v>
      </c>
      <c r="D80" s="165" t="s">
        <v>780</v>
      </c>
      <c r="E80" s="166">
        <v>200000</v>
      </c>
      <c r="F80" s="167">
        <v>1.9999999999999999E-6</v>
      </c>
      <c r="G80" s="174" t="s">
        <v>151</v>
      </c>
      <c r="H80" s="174"/>
      <c r="J80" s="75"/>
    </row>
    <row r="81" spans="1:10" x14ac:dyDescent="0.2">
      <c r="A81" s="164">
        <v>8</v>
      </c>
      <c r="B81" s="165" t="s">
        <v>781</v>
      </c>
      <c r="C81" s="165" t="s">
        <v>1213</v>
      </c>
      <c r="D81" s="165"/>
      <c r="E81" s="166">
        <v>176305</v>
      </c>
      <c r="F81" s="167">
        <v>1.7630000000000001E-6</v>
      </c>
      <c r="G81" s="174" t="s">
        <v>151</v>
      </c>
      <c r="H81" s="174"/>
      <c r="J81" s="75"/>
    </row>
    <row r="82" spans="1:10" ht="14.1" customHeight="1" x14ac:dyDescent="0.2">
      <c r="A82" s="162"/>
      <c r="B82" s="162"/>
      <c r="C82" s="163" t="s">
        <v>152</v>
      </c>
      <c r="D82" s="162"/>
      <c r="E82" s="162" t="s">
        <v>153</v>
      </c>
      <c r="F82" s="169">
        <v>39.235083144999997</v>
      </c>
      <c r="G82" s="170">
        <v>1.6526999999999999E-4</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157</v>
      </c>
      <c r="D84" s="162"/>
      <c r="E84" s="162"/>
      <c r="F84" s="162"/>
      <c r="G84" s="162"/>
      <c r="H84" s="162"/>
      <c r="J84" s="75"/>
    </row>
    <row r="85" spans="1:10" ht="14.1" customHeight="1" x14ac:dyDescent="0.2">
      <c r="A85" s="162"/>
      <c r="B85" s="162"/>
      <c r="C85" s="163" t="s">
        <v>152</v>
      </c>
      <c r="D85" s="162"/>
      <c r="E85" s="162" t="s">
        <v>153</v>
      </c>
      <c r="F85" s="173" t="s">
        <v>155</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158</v>
      </c>
      <c r="D87" s="162"/>
      <c r="E87" s="162"/>
      <c r="F87" s="172"/>
      <c r="G87" s="172"/>
      <c r="H87" s="172"/>
      <c r="J87" s="75"/>
    </row>
    <row r="88" spans="1:10" ht="14.1" customHeight="1" x14ac:dyDescent="0.2">
      <c r="A88" s="162"/>
      <c r="B88" s="162"/>
      <c r="C88" s="163" t="s">
        <v>152</v>
      </c>
      <c r="D88" s="162"/>
      <c r="E88" s="162" t="s">
        <v>153</v>
      </c>
      <c r="F88" s="173" t="s">
        <v>155</v>
      </c>
      <c r="G88" s="170">
        <v>0</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159</v>
      </c>
      <c r="D90" s="162"/>
      <c r="E90" s="162"/>
      <c r="F90" s="172"/>
      <c r="G90" s="172"/>
      <c r="H90" s="172"/>
      <c r="J90" s="75"/>
    </row>
    <row r="91" spans="1:10" ht="17.100000000000001" customHeight="1" x14ac:dyDescent="0.2">
      <c r="A91" s="164">
        <v>1</v>
      </c>
      <c r="B91" s="165"/>
      <c r="C91" s="165" t="s">
        <v>1044</v>
      </c>
      <c r="D91" s="165" t="s">
        <v>636</v>
      </c>
      <c r="E91" s="166">
        <v>30800</v>
      </c>
      <c r="F91" s="167">
        <v>554.66179999999997</v>
      </c>
      <c r="G91" s="168">
        <v>2.22061E-3</v>
      </c>
      <c r="H91" s="168"/>
      <c r="J91" s="75"/>
    </row>
    <row r="92" spans="1:10" ht="14.1" customHeight="1" x14ac:dyDescent="0.2">
      <c r="A92" s="162"/>
      <c r="B92" s="162"/>
      <c r="C92" s="163" t="s">
        <v>152</v>
      </c>
      <c r="D92" s="162"/>
      <c r="E92" s="162" t="s">
        <v>153</v>
      </c>
      <c r="F92" s="169">
        <v>554.66179999999997</v>
      </c>
      <c r="G92" s="170">
        <v>2.22061E-3</v>
      </c>
      <c r="H92" s="170"/>
      <c r="J92" s="75"/>
    </row>
    <row r="93" spans="1:10" ht="14.1" customHeight="1" x14ac:dyDescent="0.2">
      <c r="A93" s="162"/>
      <c r="B93" s="162"/>
      <c r="C93" s="171"/>
      <c r="D93" s="162"/>
      <c r="E93" s="162"/>
      <c r="F93" s="172"/>
      <c r="G93" s="172"/>
      <c r="H93" s="172"/>
      <c r="J93" s="75"/>
    </row>
    <row r="94" spans="1:10" ht="18" customHeight="1" x14ac:dyDescent="0.2">
      <c r="A94" s="162"/>
      <c r="B94" s="162"/>
      <c r="C94" s="163" t="s">
        <v>160</v>
      </c>
      <c r="D94" s="162"/>
      <c r="E94" s="162"/>
      <c r="F94" s="169">
        <v>237451.46752864501</v>
      </c>
      <c r="G94" s="170">
        <v>0.95064778000000005</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161</v>
      </c>
      <c r="D96" s="162"/>
      <c r="E96" s="162"/>
      <c r="F96" s="172"/>
      <c r="G96" s="172"/>
      <c r="H96" s="172"/>
      <c r="J96" s="75"/>
    </row>
    <row r="97" spans="1:10" ht="24" customHeight="1" x14ac:dyDescent="0.2">
      <c r="A97" s="162"/>
      <c r="B97" s="162"/>
      <c r="C97" s="163" t="s">
        <v>10</v>
      </c>
      <c r="D97" s="162"/>
      <c r="E97" s="162"/>
      <c r="F97" s="172"/>
      <c r="G97" s="172"/>
      <c r="H97" s="172"/>
      <c r="J97" s="75"/>
    </row>
    <row r="98" spans="1:10" ht="14.1" customHeight="1" x14ac:dyDescent="0.2">
      <c r="A98" s="162"/>
      <c r="B98" s="162"/>
      <c r="C98" s="163" t="s">
        <v>152</v>
      </c>
      <c r="D98" s="162"/>
      <c r="E98" s="162" t="s">
        <v>153</v>
      </c>
      <c r="F98" s="173" t="s">
        <v>155</v>
      </c>
      <c r="G98" s="170">
        <v>0</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162</v>
      </c>
      <c r="D100" s="162"/>
      <c r="E100" s="162"/>
      <c r="F100" s="162"/>
      <c r="G100" s="162"/>
      <c r="H100" s="162"/>
      <c r="J100" s="75"/>
    </row>
    <row r="101" spans="1:10" ht="14.1" customHeight="1" x14ac:dyDescent="0.2">
      <c r="A101" s="162"/>
      <c r="B101" s="162"/>
      <c r="C101" s="163" t="s">
        <v>152</v>
      </c>
      <c r="D101" s="162"/>
      <c r="E101" s="162" t="s">
        <v>153</v>
      </c>
      <c r="F101" s="173" t="s">
        <v>155</v>
      </c>
      <c r="G101" s="170">
        <v>0</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163</v>
      </c>
      <c r="D103" s="162"/>
      <c r="E103" s="162"/>
      <c r="F103" s="162"/>
      <c r="G103" s="162"/>
      <c r="H103" s="162"/>
      <c r="J103" s="75"/>
    </row>
    <row r="104" spans="1:10" ht="14.1" customHeight="1" x14ac:dyDescent="0.2">
      <c r="A104" s="162"/>
      <c r="B104" s="162"/>
      <c r="C104" s="163" t="s">
        <v>152</v>
      </c>
      <c r="D104" s="162"/>
      <c r="E104" s="162" t="s">
        <v>153</v>
      </c>
      <c r="F104" s="173" t="s">
        <v>155</v>
      </c>
      <c r="G104" s="170">
        <v>0</v>
      </c>
      <c r="H104" s="170"/>
      <c r="J104" s="75"/>
    </row>
    <row r="105" spans="1:10" ht="14.1" customHeight="1" x14ac:dyDescent="0.2">
      <c r="A105" s="162"/>
      <c r="B105" s="162"/>
      <c r="C105" s="171"/>
      <c r="D105" s="162"/>
      <c r="E105" s="162"/>
      <c r="F105" s="172"/>
      <c r="G105" s="172"/>
      <c r="H105" s="172"/>
      <c r="J105" s="75"/>
    </row>
    <row r="106" spans="1:10" ht="14.1" customHeight="1" x14ac:dyDescent="0.2">
      <c r="A106" s="162"/>
      <c r="B106" s="162"/>
      <c r="C106" s="163" t="s">
        <v>164</v>
      </c>
      <c r="D106" s="162"/>
      <c r="E106" s="162"/>
      <c r="F106" s="172"/>
      <c r="G106" s="172"/>
      <c r="H106" s="17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165</v>
      </c>
      <c r="D109" s="162"/>
      <c r="E109" s="162"/>
      <c r="F109" s="169">
        <v>0</v>
      </c>
      <c r="G109" s="170">
        <v>0</v>
      </c>
      <c r="H109" s="170"/>
      <c r="J109" s="75"/>
    </row>
    <row r="110" spans="1:10" ht="14.1" customHeight="1" x14ac:dyDescent="0.2">
      <c r="A110" s="162"/>
      <c r="B110" s="162"/>
      <c r="C110" s="171"/>
      <c r="D110" s="162"/>
      <c r="E110" s="162"/>
      <c r="F110" s="172"/>
      <c r="G110" s="172"/>
      <c r="H110" s="172"/>
      <c r="J110" s="75"/>
    </row>
    <row r="111" spans="1:10" ht="14.1" customHeight="1" x14ac:dyDescent="0.2">
      <c r="A111" s="162"/>
      <c r="B111" s="162"/>
      <c r="C111" s="163" t="s">
        <v>166</v>
      </c>
      <c r="D111" s="162"/>
      <c r="E111" s="162"/>
      <c r="F111" s="172"/>
      <c r="G111" s="172"/>
      <c r="H111" s="172"/>
      <c r="J111" s="75"/>
    </row>
    <row r="112" spans="1:10" ht="14.1" customHeight="1" x14ac:dyDescent="0.2">
      <c r="A112" s="162"/>
      <c r="B112" s="162"/>
      <c r="C112" s="163" t="s">
        <v>167</v>
      </c>
      <c r="D112" s="162"/>
      <c r="E112" s="162"/>
      <c r="F112" s="172"/>
      <c r="G112" s="172"/>
      <c r="H112" s="172"/>
      <c r="J112" s="75"/>
    </row>
    <row r="113" spans="1:10" ht="14.1" customHeight="1" x14ac:dyDescent="0.2">
      <c r="A113" s="162"/>
      <c r="B113" s="162"/>
      <c r="C113" s="163" t="s">
        <v>152</v>
      </c>
      <c r="D113" s="162"/>
      <c r="E113" s="162" t="s">
        <v>153</v>
      </c>
      <c r="F113" s="173" t="s">
        <v>155</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168</v>
      </c>
      <c r="D115" s="162"/>
      <c r="E115" s="162"/>
      <c r="F115" s="172"/>
      <c r="G115" s="172"/>
      <c r="H115" s="172"/>
      <c r="J115" s="75"/>
    </row>
    <row r="116" spans="1:10" ht="14.1" customHeight="1" x14ac:dyDescent="0.2">
      <c r="A116" s="162"/>
      <c r="B116" s="162"/>
      <c r="C116" s="163" t="s">
        <v>152</v>
      </c>
      <c r="D116" s="162"/>
      <c r="E116" s="162" t="s">
        <v>153</v>
      </c>
      <c r="F116" s="173" t="s">
        <v>155</v>
      </c>
      <c r="G116" s="170">
        <v>0</v>
      </c>
      <c r="H116" s="170"/>
      <c r="J116" s="75"/>
    </row>
    <row r="117" spans="1:10" ht="14.1" customHeight="1" x14ac:dyDescent="0.2">
      <c r="A117" s="162"/>
      <c r="B117" s="162"/>
      <c r="C117" s="171"/>
      <c r="D117" s="162"/>
      <c r="E117" s="162"/>
      <c r="F117" s="172"/>
      <c r="G117" s="172"/>
      <c r="H117" s="172"/>
      <c r="J117" s="75"/>
    </row>
    <row r="118" spans="1:10" ht="14.1" customHeight="1" x14ac:dyDescent="0.2">
      <c r="A118" s="162"/>
      <c r="B118" s="162"/>
      <c r="C118" s="163" t="s">
        <v>169</v>
      </c>
      <c r="D118" s="162"/>
      <c r="E118" s="162"/>
      <c r="F118" s="172"/>
      <c r="G118" s="172"/>
      <c r="H118" s="172"/>
      <c r="J118" s="75"/>
    </row>
    <row r="119" spans="1:10" ht="14.1" customHeight="1" x14ac:dyDescent="0.2">
      <c r="A119" s="162"/>
      <c r="B119" s="162"/>
      <c r="C119" s="163" t="s">
        <v>152</v>
      </c>
      <c r="D119" s="162"/>
      <c r="E119" s="162" t="s">
        <v>153</v>
      </c>
      <c r="F119" s="173" t="s">
        <v>155</v>
      </c>
      <c r="G119" s="170">
        <v>0</v>
      </c>
      <c r="H119" s="170"/>
      <c r="J119" s="75"/>
    </row>
    <row r="120" spans="1:10" ht="14.1" customHeight="1" x14ac:dyDescent="0.2">
      <c r="A120" s="162"/>
      <c r="B120" s="162"/>
      <c r="C120" s="171"/>
      <c r="D120" s="162"/>
      <c r="E120" s="162"/>
      <c r="F120" s="172"/>
      <c r="G120" s="172"/>
      <c r="H120" s="172"/>
      <c r="J120" s="75"/>
    </row>
    <row r="121" spans="1:10" ht="14.1" customHeight="1" x14ac:dyDescent="0.2">
      <c r="A121" s="162"/>
      <c r="B121" s="162"/>
      <c r="C121" s="163" t="s">
        <v>170</v>
      </c>
      <c r="D121" s="162"/>
      <c r="E121" s="162"/>
      <c r="F121" s="172"/>
      <c r="G121" s="172"/>
      <c r="H121" s="172"/>
      <c r="J121" s="75"/>
    </row>
    <row r="122" spans="1:10" ht="17.100000000000001" customHeight="1" x14ac:dyDescent="0.2">
      <c r="A122" s="164">
        <v>1</v>
      </c>
      <c r="B122" s="165"/>
      <c r="C122" s="165" t="s">
        <v>171</v>
      </c>
      <c r="D122" s="165"/>
      <c r="E122" s="174"/>
      <c r="F122" s="167">
        <v>7131.931183097</v>
      </c>
      <c r="G122" s="168">
        <v>2.855301E-2</v>
      </c>
      <c r="H122" s="175">
        <v>6.66</v>
      </c>
      <c r="J122" s="75"/>
    </row>
    <row r="123" spans="1:10" ht="14.1" customHeight="1" x14ac:dyDescent="0.2">
      <c r="A123" s="162"/>
      <c r="B123" s="162"/>
      <c r="C123" s="163" t="s">
        <v>152</v>
      </c>
      <c r="D123" s="162"/>
      <c r="E123" s="162" t="s">
        <v>153</v>
      </c>
      <c r="F123" s="169">
        <v>7131.931183097</v>
      </c>
      <c r="G123" s="170">
        <v>2.855301E-2</v>
      </c>
      <c r="H123" s="170"/>
      <c r="J123" s="75"/>
    </row>
    <row r="124" spans="1:10" ht="14.1" customHeight="1" x14ac:dyDescent="0.2">
      <c r="A124" s="162"/>
      <c r="B124" s="162"/>
      <c r="C124" s="171"/>
      <c r="D124" s="162"/>
      <c r="E124" s="162"/>
      <c r="F124" s="172"/>
      <c r="G124" s="172"/>
      <c r="H124" s="172"/>
      <c r="J124" s="75"/>
    </row>
    <row r="125" spans="1:10" ht="14.1" customHeight="1" x14ac:dyDescent="0.2">
      <c r="A125" s="162"/>
      <c r="B125" s="162"/>
      <c r="C125" s="163" t="s">
        <v>172</v>
      </c>
      <c r="D125" s="162"/>
      <c r="E125" s="162"/>
      <c r="F125" s="169">
        <v>7131.931183097</v>
      </c>
      <c r="G125" s="170">
        <v>2.855301E-2</v>
      </c>
      <c r="H125" s="170"/>
      <c r="J125" s="75"/>
    </row>
    <row r="126" spans="1:10" ht="14.1" customHeight="1" x14ac:dyDescent="0.2">
      <c r="A126" s="162"/>
      <c r="B126" s="162"/>
      <c r="C126" s="172"/>
      <c r="D126" s="162"/>
      <c r="E126" s="162"/>
      <c r="F126" s="162"/>
      <c r="G126" s="162"/>
      <c r="H126" s="162"/>
      <c r="J126" s="75"/>
    </row>
    <row r="127" spans="1:10" ht="14.1" customHeight="1" x14ac:dyDescent="0.2">
      <c r="A127" s="162"/>
      <c r="B127" s="162"/>
      <c r="C127" s="163" t="s">
        <v>173</v>
      </c>
      <c r="D127" s="162"/>
      <c r="E127" s="162"/>
      <c r="F127" s="162"/>
      <c r="G127" s="162"/>
      <c r="H127" s="162"/>
      <c r="J127" s="75"/>
    </row>
    <row r="128" spans="1:10" ht="14.1" customHeight="1" x14ac:dyDescent="0.2">
      <c r="A128" s="162"/>
      <c r="B128" s="162"/>
      <c r="C128" s="163" t="s">
        <v>174</v>
      </c>
      <c r="D128" s="162"/>
      <c r="E128" s="162"/>
      <c r="F128" s="162"/>
      <c r="G128" s="162"/>
      <c r="H128" s="162"/>
      <c r="J128" s="75"/>
    </row>
    <row r="129" spans="1:10" ht="17.100000000000001" customHeight="1" x14ac:dyDescent="0.2">
      <c r="A129" s="164">
        <v>1</v>
      </c>
      <c r="B129" s="165" t="s">
        <v>175</v>
      </c>
      <c r="C129" s="165" t="s">
        <v>176</v>
      </c>
      <c r="D129" s="165"/>
      <c r="E129" s="176">
        <v>350993.46299999999</v>
      </c>
      <c r="F129" s="167">
        <v>7531.7472456420001</v>
      </c>
      <c r="G129" s="168">
        <v>3.015369E-2</v>
      </c>
      <c r="H129" s="168"/>
      <c r="J129" s="75"/>
    </row>
    <row r="130" spans="1:10" ht="14.1" customHeight="1" x14ac:dyDescent="0.2">
      <c r="A130" s="162"/>
      <c r="B130" s="162"/>
      <c r="C130" s="163" t="s">
        <v>152</v>
      </c>
      <c r="D130" s="162"/>
      <c r="E130" s="162" t="s">
        <v>153</v>
      </c>
      <c r="F130" s="169">
        <v>7531.7472456420001</v>
      </c>
      <c r="G130" s="170">
        <v>3.015369E-2</v>
      </c>
      <c r="H130" s="170"/>
      <c r="J130" s="75"/>
    </row>
    <row r="131" spans="1:10" ht="14.1" customHeight="1" x14ac:dyDescent="0.2">
      <c r="A131" s="162"/>
      <c r="B131" s="162"/>
      <c r="C131" s="171"/>
      <c r="D131" s="162"/>
      <c r="E131" s="162"/>
      <c r="F131" s="172"/>
      <c r="G131" s="172"/>
      <c r="H131" s="172"/>
      <c r="J131" s="75"/>
    </row>
    <row r="132" spans="1:10" ht="14.1" customHeight="1" x14ac:dyDescent="0.2">
      <c r="A132" s="162"/>
      <c r="B132" s="162"/>
      <c r="C132" s="163" t="s">
        <v>177</v>
      </c>
      <c r="D132" s="162"/>
      <c r="E132" s="162"/>
      <c r="F132" s="162"/>
      <c r="G132" s="162"/>
      <c r="H132" s="162"/>
      <c r="J132" s="75"/>
    </row>
    <row r="133" spans="1:10" ht="14.1" customHeight="1" x14ac:dyDescent="0.2">
      <c r="A133" s="162"/>
      <c r="B133" s="162"/>
      <c r="C133" s="163" t="s">
        <v>178</v>
      </c>
      <c r="D133" s="162"/>
      <c r="E133" s="162"/>
      <c r="F133" s="162"/>
      <c r="G133" s="162"/>
      <c r="H133" s="162"/>
      <c r="J133" s="75"/>
    </row>
    <row r="134" spans="1:10" ht="14.1" customHeight="1" x14ac:dyDescent="0.2">
      <c r="A134" s="162"/>
      <c r="B134" s="162"/>
      <c r="C134" s="163" t="s">
        <v>152</v>
      </c>
      <c r="D134" s="162"/>
      <c r="E134" s="162" t="s">
        <v>153</v>
      </c>
      <c r="F134" s="173" t="s">
        <v>155</v>
      </c>
      <c r="G134" s="170">
        <v>0</v>
      </c>
      <c r="H134" s="170"/>
      <c r="J134" s="75"/>
    </row>
    <row r="135" spans="1:10" ht="14.1" customHeight="1" x14ac:dyDescent="0.2">
      <c r="A135" s="162"/>
      <c r="B135" s="162"/>
      <c r="C135" s="171"/>
      <c r="D135" s="162"/>
      <c r="E135" s="162"/>
      <c r="F135" s="172"/>
      <c r="G135" s="172"/>
      <c r="H135" s="172"/>
      <c r="J135" s="75"/>
    </row>
    <row r="136" spans="1:10" ht="24" customHeight="1" x14ac:dyDescent="0.2">
      <c r="A136" s="162"/>
      <c r="B136" s="162"/>
      <c r="C136" s="163" t="s">
        <v>179</v>
      </c>
      <c r="D136" s="162"/>
      <c r="E136" s="162"/>
      <c r="F136" s="172"/>
      <c r="G136" s="172"/>
      <c r="H136" s="172"/>
      <c r="J136" s="75"/>
    </row>
    <row r="137" spans="1:10" ht="14.1" customHeight="1" x14ac:dyDescent="0.2">
      <c r="A137" s="162"/>
      <c r="B137" s="162"/>
      <c r="C137" s="163" t="s">
        <v>152</v>
      </c>
      <c r="D137" s="162"/>
      <c r="E137" s="162" t="s">
        <v>153</v>
      </c>
      <c r="F137" s="173" t="s">
        <v>155</v>
      </c>
      <c r="G137" s="170">
        <v>0</v>
      </c>
      <c r="H137" s="170"/>
      <c r="J137" s="75"/>
    </row>
    <row r="138" spans="1:10" ht="14.1" customHeight="1" x14ac:dyDescent="0.2">
      <c r="A138" s="162"/>
      <c r="B138" s="162"/>
      <c r="C138" s="171"/>
      <c r="D138" s="162"/>
      <c r="E138" s="162"/>
      <c r="F138" s="172"/>
      <c r="G138" s="172"/>
      <c r="H138" s="172"/>
      <c r="J138" s="75"/>
    </row>
    <row r="139" spans="1:10" ht="18" customHeight="1" x14ac:dyDescent="0.2">
      <c r="A139" s="174"/>
      <c r="B139" s="165"/>
      <c r="C139" s="165" t="s">
        <v>698</v>
      </c>
      <c r="D139" s="165"/>
      <c r="E139" s="174"/>
      <c r="F139" s="167">
        <v>1004.7278123999999</v>
      </c>
      <c r="G139" s="168">
        <v>4.0224700000000002E-3</v>
      </c>
      <c r="H139" s="168"/>
      <c r="J139" s="75"/>
    </row>
    <row r="140" spans="1:10" ht="18" customHeight="1" x14ac:dyDescent="0.2">
      <c r="A140" s="174"/>
      <c r="B140" s="165"/>
      <c r="C140" s="165" t="s">
        <v>180</v>
      </c>
      <c r="D140" s="165"/>
      <c r="E140" s="174"/>
      <c r="F140" s="167">
        <v>-3341.2637060900001</v>
      </c>
      <c r="G140" s="168">
        <v>-1.3376900000000001E-2</v>
      </c>
      <c r="H140" s="168"/>
      <c r="I140" s="160"/>
      <c r="J140" s="75"/>
    </row>
    <row r="141" spans="1:10" ht="14.1" customHeight="1" x14ac:dyDescent="0.2">
      <c r="A141" s="171"/>
      <c r="B141" s="171"/>
      <c r="C141" s="163" t="s">
        <v>181</v>
      </c>
      <c r="D141" s="172"/>
      <c r="E141" s="172"/>
      <c r="F141" s="169">
        <v>249778.61006369401</v>
      </c>
      <c r="G141" s="177">
        <v>1.0000000499999999</v>
      </c>
      <c r="H141" s="177"/>
      <c r="J141" s="75"/>
    </row>
    <row r="142" spans="1:10" ht="14.1" customHeight="1" x14ac:dyDescent="0.2">
      <c r="A142" s="178"/>
      <c r="B142" s="178"/>
      <c r="C142" s="178"/>
      <c r="D142" s="179"/>
      <c r="E142" s="179"/>
      <c r="F142" s="179"/>
      <c r="G142" s="179"/>
      <c r="H142" s="179"/>
      <c r="J142" s="75"/>
    </row>
    <row r="143" spans="1:10" ht="12.75" customHeight="1" x14ac:dyDescent="0.2">
      <c r="A143" s="180"/>
      <c r="B143" s="258" t="s">
        <v>882</v>
      </c>
      <c r="C143" s="258"/>
      <c r="D143" s="258"/>
      <c r="E143" s="258"/>
      <c r="F143" s="258"/>
      <c r="G143" s="258"/>
      <c r="H143" s="258"/>
      <c r="J143" s="75"/>
    </row>
    <row r="144" spans="1:10" ht="14.1" customHeight="1" x14ac:dyDescent="0.2">
      <c r="A144" s="180"/>
      <c r="B144" s="258" t="s">
        <v>883</v>
      </c>
      <c r="C144" s="258"/>
      <c r="D144" s="258"/>
      <c r="E144" s="258"/>
      <c r="F144" s="258"/>
      <c r="G144" s="258"/>
      <c r="H144" s="258"/>
      <c r="J144" s="75"/>
    </row>
    <row r="145" spans="1:18" ht="17.100000000000001" customHeight="1" x14ac:dyDescent="0.2">
      <c r="A145" s="180"/>
      <c r="B145" s="258" t="s">
        <v>884</v>
      </c>
      <c r="C145" s="258"/>
      <c r="D145" s="258"/>
      <c r="E145" s="258"/>
      <c r="F145" s="258"/>
      <c r="G145" s="258"/>
      <c r="H145" s="258"/>
      <c r="J145" s="75"/>
    </row>
    <row r="146" spans="1:18" s="34" customFormat="1" ht="62.25" customHeight="1" x14ac:dyDescent="0.25">
      <c r="A146" s="33"/>
      <c r="B146" s="259" t="s">
        <v>885</v>
      </c>
      <c r="C146" s="259"/>
      <c r="D146" s="259"/>
      <c r="E146" s="259"/>
      <c r="F146" s="259"/>
      <c r="G146" s="259"/>
      <c r="H146" s="259"/>
      <c r="I146"/>
      <c r="J146" s="75"/>
      <c r="K146"/>
      <c r="L146"/>
      <c r="M146"/>
      <c r="N146"/>
      <c r="O146"/>
      <c r="P146"/>
      <c r="Q146"/>
    </row>
    <row r="147" spans="1:18" ht="12.75" customHeight="1" x14ac:dyDescent="0.2">
      <c r="A147" s="180"/>
      <c r="B147" s="258" t="s">
        <v>886</v>
      </c>
      <c r="C147" s="258"/>
      <c r="D147" s="258"/>
      <c r="E147" s="258"/>
      <c r="F147" s="258"/>
      <c r="G147" s="258"/>
      <c r="H147" s="258"/>
      <c r="J147" s="75"/>
    </row>
    <row r="148" spans="1:18" ht="14.1" customHeight="1" x14ac:dyDescent="0.25">
      <c r="A148" s="181"/>
      <c r="B148" s="181"/>
      <c r="C148" s="181"/>
      <c r="D148" s="182"/>
      <c r="E148" s="182"/>
      <c r="F148" s="182"/>
      <c r="G148" s="182"/>
      <c r="H148" s="182"/>
      <c r="J148" s="75"/>
      <c r="R148" s="34"/>
    </row>
    <row r="149" spans="1:18" ht="14.1" customHeight="1" x14ac:dyDescent="0.2">
      <c r="A149" s="181"/>
      <c r="B149" s="255" t="s">
        <v>183</v>
      </c>
      <c r="C149" s="256"/>
      <c r="D149" s="257"/>
      <c r="E149" s="183"/>
      <c r="F149" s="182"/>
      <c r="G149" s="182"/>
      <c r="H149" s="182"/>
      <c r="J149" s="75"/>
    </row>
    <row r="150" spans="1:18" ht="29.1" customHeight="1" x14ac:dyDescent="0.2">
      <c r="A150" s="181"/>
      <c r="B150" s="253" t="s">
        <v>184</v>
      </c>
      <c r="C150" s="254"/>
      <c r="D150" s="184" t="s">
        <v>904</v>
      </c>
      <c r="E150" s="183"/>
      <c r="F150" s="182"/>
      <c r="G150" s="182"/>
      <c r="H150" s="182"/>
      <c r="J150" s="75"/>
    </row>
    <row r="151" spans="1:18" ht="17.100000000000001" customHeight="1" x14ac:dyDescent="0.2">
      <c r="A151" s="181"/>
      <c r="B151" s="251" t="s">
        <v>899</v>
      </c>
      <c r="C151" s="252"/>
      <c r="D151" s="184" t="s">
        <v>944</v>
      </c>
      <c r="E151" s="183"/>
      <c r="F151" s="182"/>
      <c r="G151" s="182"/>
      <c r="H151" s="182"/>
      <c r="J151" s="75"/>
    </row>
    <row r="152" spans="1:18" ht="17.100000000000001" customHeight="1" x14ac:dyDescent="0.2">
      <c r="A152" s="181"/>
      <c r="B152" s="253" t="s">
        <v>187</v>
      </c>
      <c r="C152" s="254"/>
      <c r="D152" s="172" t="s">
        <v>153</v>
      </c>
      <c r="E152" s="183"/>
      <c r="F152" s="182"/>
      <c r="G152" s="182"/>
      <c r="H152" s="182"/>
      <c r="J152" s="75"/>
    </row>
    <row r="153" spans="1:18" x14ac:dyDescent="0.2">
      <c r="A153" s="185"/>
      <c r="B153" s="186" t="s">
        <v>153</v>
      </c>
      <c r="C153" s="186" t="s">
        <v>1088</v>
      </c>
      <c r="D153" s="186" t="s">
        <v>188</v>
      </c>
      <c r="E153" s="185"/>
      <c r="F153" s="185"/>
      <c r="G153" s="185"/>
      <c r="H153" s="185"/>
      <c r="J153" s="75"/>
    </row>
    <row r="154" spans="1:18" x14ac:dyDescent="0.2">
      <c r="A154" s="185"/>
      <c r="B154" s="187" t="s">
        <v>189</v>
      </c>
      <c r="C154" s="186" t="s">
        <v>190</v>
      </c>
      <c r="D154" s="186" t="s">
        <v>191</v>
      </c>
      <c r="E154" s="185"/>
      <c r="F154" s="185"/>
      <c r="G154" s="185"/>
      <c r="H154" s="185"/>
      <c r="J154" s="75"/>
    </row>
    <row r="155" spans="1:18" ht="17.100000000000001" customHeight="1" x14ac:dyDescent="0.2">
      <c r="A155" s="185"/>
      <c r="B155" s="165" t="s">
        <v>192</v>
      </c>
      <c r="C155" s="188">
        <v>348.97359999999998</v>
      </c>
      <c r="D155" s="188">
        <v>367.01479999999998</v>
      </c>
      <c r="E155" s="185"/>
      <c r="F155" s="189"/>
      <c r="G155" s="190"/>
      <c r="H155" s="190"/>
      <c r="J155" s="75"/>
    </row>
    <row r="156" spans="1:18" ht="29.1" customHeight="1" x14ac:dyDescent="0.2">
      <c r="A156" s="185"/>
      <c r="B156" s="165" t="s">
        <v>1057</v>
      </c>
      <c r="C156" s="188">
        <v>80.168300000000002</v>
      </c>
      <c r="D156" s="188">
        <v>84.312799999999996</v>
      </c>
      <c r="E156" s="185"/>
      <c r="F156" s="189"/>
      <c r="G156" s="190"/>
      <c r="H156" s="190"/>
      <c r="J156" s="75"/>
    </row>
    <row r="157" spans="1:18" ht="17.100000000000001" customHeight="1" x14ac:dyDescent="0.2">
      <c r="A157" s="185"/>
      <c r="B157" s="165" t="s">
        <v>193</v>
      </c>
      <c r="C157" s="188">
        <v>317.88400000000001</v>
      </c>
      <c r="D157" s="188">
        <v>334.01960000000003</v>
      </c>
      <c r="E157" s="185"/>
      <c r="F157" s="189"/>
      <c r="G157" s="190"/>
      <c r="H157" s="190"/>
      <c r="J157" s="75"/>
    </row>
    <row r="158" spans="1:18" ht="29.1" customHeight="1" x14ac:dyDescent="0.2">
      <c r="A158" s="185"/>
      <c r="B158" s="165" t="s">
        <v>1058</v>
      </c>
      <c r="C158" s="188">
        <v>60.286000000000001</v>
      </c>
      <c r="D158" s="188">
        <v>63.345999999999997</v>
      </c>
      <c r="E158" s="185"/>
      <c r="F158" s="189"/>
      <c r="G158" s="190"/>
      <c r="H158" s="190"/>
      <c r="J158" s="75"/>
    </row>
    <row r="159" spans="1:18" ht="14.1" customHeight="1" x14ac:dyDescent="0.2">
      <c r="A159" s="185"/>
      <c r="B159" s="185"/>
      <c r="C159" s="185"/>
      <c r="D159" s="185"/>
      <c r="E159" s="185"/>
      <c r="F159" s="185"/>
      <c r="G159" s="185"/>
      <c r="H159" s="185"/>
      <c r="J159" s="75"/>
    </row>
    <row r="160" spans="1:18" ht="17.100000000000001" customHeight="1" x14ac:dyDescent="0.2">
      <c r="A160" s="185"/>
      <c r="B160" s="253" t="s">
        <v>1056</v>
      </c>
      <c r="C160" s="254"/>
      <c r="D160" s="163" t="s">
        <v>185</v>
      </c>
      <c r="E160" s="185"/>
      <c r="F160" s="185"/>
      <c r="G160" s="185"/>
      <c r="H160" s="185"/>
      <c r="J160" s="75"/>
    </row>
    <row r="161" spans="1:10" ht="14.1" customHeight="1" x14ac:dyDescent="0.2">
      <c r="A161" s="185"/>
      <c r="B161" s="189"/>
      <c r="C161" s="189"/>
      <c r="D161" s="185"/>
      <c r="E161" s="185"/>
      <c r="F161" s="185"/>
      <c r="G161" s="185"/>
      <c r="H161" s="185"/>
      <c r="J161" s="75"/>
    </row>
    <row r="162" spans="1:10" ht="29.1" customHeight="1" x14ac:dyDescent="0.2">
      <c r="A162" s="185"/>
      <c r="B162" s="253" t="s">
        <v>194</v>
      </c>
      <c r="C162" s="254"/>
      <c r="D162" s="184" t="s">
        <v>934</v>
      </c>
      <c r="E162" s="191"/>
      <c r="F162" s="185"/>
      <c r="G162" s="185"/>
      <c r="H162" s="185"/>
      <c r="J162" s="75"/>
    </row>
    <row r="163" spans="1:10" ht="29.1" customHeight="1" x14ac:dyDescent="0.2">
      <c r="A163" s="185"/>
      <c r="B163" s="253" t="s">
        <v>195</v>
      </c>
      <c r="C163" s="254"/>
      <c r="D163" s="163" t="s">
        <v>185</v>
      </c>
      <c r="E163" s="191"/>
      <c r="F163" s="185"/>
      <c r="G163" s="185"/>
      <c r="H163" s="185"/>
      <c r="J163" s="75"/>
    </row>
    <row r="164" spans="1:10" ht="17.100000000000001" customHeight="1" x14ac:dyDescent="0.2">
      <c r="A164" s="185"/>
      <c r="B164" s="253" t="s">
        <v>196</v>
      </c>
      <c r="C164" s="254"/>
      <c r="D164" s="163" t="s">
        <v>185</v>
      </c>
      <c r="E164" s="191"/>
      <c r="F164" s="185"/>
      <c r="G164" s="185"/>
      <c r="H164" s="185"/>
      <c r="J164" s="75"/>
    </row>
    <row r="165" spans="1:10" ht="17.100000000000001" customHeight="1" x14ac:dyDescent="0.2">
      <c r="A165" s="185"/>
      <c r="B165" s="253" t="s">
        <v>197</v>
      </c>
      <c r="C165" s="254"/>
      <c r="D165" s="192">
        <v>0.73361276560627098</v>
      </c>
      <c r="E165" s="185"/>
      <c r="F165" s="189"/>
      <c r="G165" s="190"/>
      <c r="H165" s="190"/>
      <c r="J165" s="75"/>
    </row>
    <row r="166" spans="1:10" x14ac:dyDescent="0.2">
      <c r="J166" s="75"/>
    </row>
    <row r="167" spans="1:10" x14ac:dyDescent="0.2">
      <c r="B167" s="193" t="s">
        <v>1002</v>
      </c>
      <c r="J167" s="75"/>
    </row>
    <row r="168" spans="1:10" ht="40.5" x14ac:dyDescent="0.2">
      <c r="B168" s="194" t="s">
        <v>906</v>
      </c>
      <c r="C168" s="194" t="s">
        <v>907</v>
      </c>
      <c r="D168" s="194" t="s">
        <v>908</v>
      </c>
      <c r="E168" s="194" t="s">
        <v>909</v>
      </c>
      <c r="F168" s="194" t="s">
        <v>910</v>
      </c>
      <c r="J168" s="75"/>
    </row>
    <row r="169" spans="1:10" ht="13.5" x14ac:dyDescent="0.2">
      <c r="B169" s="195" t="s">
        <v>945</v>
      </c>
      <c r="C169" s="196" t="s">
        <v>938</v>
      </c>
      <c r="D169" s="55">
        <v>0</v>
      </c>
      <c r="E169" s="56">
        <v>0</v>
      </c>
      <c r="F169" s="197">
        <v>29.407129999999999</v>
      </c>
      <c r="J169" s="75"/>
    </row>
  </sheetData>
  <mergeCells count="17">
    <mergeCell ref="B165:C165"/>
    <mergeCell ref="B160:C160"/>
    <mergeCell ref="B162:C162"/>
    <mergeCell ref="B163:C163"/>
    <mergeCell ref="B164:C164"/>
    <mergeCell ref="A1:H1"/>
    <mergeCell ref="A2:H2"/>
    <mergeCell ref="A3:H3"/>
    <mergeCell ref="B151:C151"/>
    <mergeCell ref="B152:C152"/>
    <mergeCell ref="B149:D149"/>
    <mergeCell ref="B150:C150"/>
    <mergeCell ref="B147:H147"/>
    <mergeCell ref="B143:H143"/>
    <mergeCell ref="B144:H144"/>
    <mergeCell ref="B145:H145"/>
    <mergeCell ref="B146:H146"/>
  </mergeCells>
  <hyperlinks>
    <hyperlink ref="I1" location="Index!B21" display="Index" xr:uid="{C8E4BE23-469B-471C-B551-CEC141055F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S196"/>
  <sheetViews>
    <sheetView showGridLines="0" workbookViewId="0">
      <selection activeCell="C132" sqref="C13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7" ht="15" x14ac:dyDescent="0.2">
      <c r="A1" s="280" t="s">
        <v>0</v>
      </c>
      <c r="B1" s="280"/>
      <c r="C1" s="280"/>
      <c r="D1" s="280"/>
      <c r="E1" s="280"/>
      <c r="F1" s="280"/>
      <c r="G1" s="280"/>
      <c r="H1" s="280"/>
      <c r="I1" s="35" t="s">
        <v>888</v>
      </c>
      <c r="J1" s="75"/>
    </row>
    <row r="2" spans="1:17" ht="15" customHeight="1" x14ac:dyDescent="0.2">
      <c r="A2" s="280" t="s">
        <v>782</v>
      </c>
      <c r="B2" s="280"/>
      <c r="C2" s="280"/>
      <c r="D2" s="280"/>
      <c r="E2" s="280"/>
      <c r="F2" s="280"/>
      <c r="G2" s="280"/>
      <c r="H2" s="280"/>
      <c r="J2" s="70" t="s">
        <v>889</v>
      </c>
      <c r="K2" s="66"/>
      <c r="L2" s="66"/>
      <c r="M2" s="66"/>
      <c r="N2" s="66"/>
    </row>
    <row r="3" spans="1:17" ht="15" x14ac:dyDescent="0.2">
      <c r="A3" s="280" t="s">
        <v>873</v>
      </c>
      <c r="B3" s="280"/>
      <c r="C3" s="280"/>
      <c r="D3" s="280"/>
      <c r="E3" s="280"/>
      <c r="F3" s="280"/>
      <c r="G3" s="280"/>
      <c r="H3" s="280"/>
      <c r="J3" s="75"/>
    </row>
    <row r="4" spans="1:17" s="28" customFormat="1" ht="30" x14ac:dyDescent="0.2">
      <c r="A4" s="27" t="s">
        <v>2</v>
      </c>
      <c r="B4" s="27" t="s">
        <v>3</v>
      </c>
      <c r="C4" s="27" t="s">
        <v>4</v>
      </c>
      <c r="D4" s="27" t="s">
        <v>5</v>
      </c>
      <c r="E4" s="27" t="s">
        <v>6</v>
      </c>
      <c r="F4" s="27" t="s">
        <v>7</v>
      </c>
      <c r="G4" s="27" t="s">
        <v>8</v>
      </c>
      <c r="H4" s="27" t="s">
        <v>872</v>
      </c>
      <c r="J4" s="75"/>
      <c r="P4"/>
      <c r="Q4"/>
    </row>
    <row r="5" spans="1:17" ht="14.1" customHeight="1" x14ac:dyDescent="0.2">
      <c r="A5" s="1"/>
      <c r="B5" s="1"/>
      <c r="C5" s="2" t="s">
        <v>9</v>
      </c>
      <c r="D5" s="1"/>
      <c r="E5" s="1"/>
      <c r="F5" s="1"/>
      <c r="G5" s="1"/>
      <c r="H5" s="1"/>
      <c r="J5" s="75"/>
    </row>
    <row r="6" spans="1:17" ht="24" customHeight="1" x14ac:dyDescent="0.2">
      <c r="A6" s="1"/>
      <c r="B6" s="1"/>
      <c r="C6" s="2" t="s">
        <v>10</v>
      </c>
      <c r="D6" s="1"/>
      <c r="E6" s="1"/>
      <c r="F6" s="1"/>
      <c r="G6" s="1"/>
      <c r="H6" s="1"/>
      <c r="J6" s="75"/>
    </row>
    <row r="7" spans="1:17" ht="17.100000000000001" customHeight="1" x14ac:dyDescent="0.2">
      <c r="A7" s="3">
        <v>1</v>
      </c>
      <c r="B7" s="4" t="s">
        <v>783</v>
      </c>
      <c r="C7" s="4" t="s">
        <v>784</v>
      </c>
      <c r="D7" s="4" t="s">
        <v>785</v>
      </c>
      <c r="E7" s="5">
        <v>25589</v>
      </c>
      <c r="F7" s="6">
        <v>101.8058365</v>
      </c>
      <c r="G7" s="7">
        <v>1.3339470000000001E-2</v>
      </c>
      <c r="H7" s="6"/>
      <c r="J7" s="75"/>
    </row>
    <row r="8" spans="1:17" x14ac:dyDescent="0.2">
      <c r="A8" s="3">
        <v>2</v>
      </c>
      <c r="B8" s="4" t="s">
        <v>42</v>
      </c>
      <c r="C8" s="4" t="s">
        <v>43</v>
      </c>
      <c r="D8" s="4" t="s">
        <v>28</v>
      </c>
      <c r="E8" s="5">
        <v>2188</v>
      </c>
      <c r="F8" s="6">
        <v>86.192977999999997</v>
      </c>
      <c r="G8" s="7">
        <v>1.129374E-2</v>
      </c>
      <c r="H8" s="6"/>
      <c r="J8" s="75"/>
    </row>
    <row r="9" spans="1:17" ht="17.100000000000001" customHeight="1" x14ac:dyDescent="0.2">
      <c r="A9" s="3">
        <v>3</v>
      </c>
      <c r="B9" s="4" t="s">
        <v>89</v>
      </c>
      <c r="C9" s="4" t="s">
        <v>90</v>
      </c>
      <c r="D9" s="4" t="s">
        <v>62</v>
      </c>
      <c r="E9" s="5">
        <v>2108</v>
      </c>
      <c r="F9" s="6">
        <v>83.946883999999997</v>
      </c>
      <c r="G9" s="7">
        <v>1.0999439999999999E-2</v>
      </c>
      <c r="H9" s="6"/>
      <c r="J9" s="75"/>
    </row>
    <row r="10" spans="1:17" ht="17.100000000000001" customHeight="1" x14ac:dyDescent="0.2">
      <c r="A10" s="3">
        <v>4</v>
      </c>
      <c r="B10" s="4" t="s">
        <v>63</v>
      </c>
      <c r="C10" s="4" t="s">
        <v>64</v>
      </c>
      <c r="D10" s="4" t="s">
        <v>65</v>
      </c>
      <c r="E10" s="5">
        <v>39972</v>
      </c>
      <c r="F10" s="6">
        <v>83.581451999999999</v>
      </c>
      <c r="G10" s="7">
        <v>1.0951550000000001E-2</v>
      </c>
      <c r="H10" s="6"/>
      <c r="J10" s="75"/>
    </row>
    <row r="11" spans="1:17" ht="17.100000000000001" customHeight="1" x14ac:dyDescent="0.2">
      <c r="A11" s="3">
        <v>5</v>
      </c>
      <c r="B11" s="4" t="s">
        <v>343</v>
      </c>
      <c r="C11" s="4" t="s">
        <v>344</v>
      </c>
      <c r="D11" s="4" t="s">
        <v>345</v>
      </c>
      <c r="E11" s="5">
        <v>12793</v>
      </c>
      <c r="F11" s="6">
        <v>82.438091999999997</v>
      </c>
      <c r="G11" s="7">
        <v>1.0801740000000001E-2</v>
      </c>
      <c r="H11" s="6"/>
      <c r="J11" s="75"/>
    </row>
    <row r="12" spans="1:17" x14ac:dyDescent="0.2">
      <c r="A12" s="3">
        <v>6</v>
      </c>
      <c r="B12" s="4" t="s">
        <v>26</v>
      </c>
      <c r="C12" s="4" t="s">
        <v>27</v>
      </c>
      <c r="D12" s="4" t="s">
        <v>28</v>
      </c>
      <c r="E12" s="5">
        <v>35225</v>
      </c>
      <c r="F12" s="6">
        <v>82.338437499999998</v>
      </c>
      <c r="G12" s="7">
        <v>1.078868E-2</v>
      </c>
      <c r="H12" s="6"/>
      <c r="J12" s="75" t="s">
        <v>946</v>
      </c>
    </row>
    <row r="13" spans="1:17" ht="17.100000000000001" customHeight="1" x14ac:dyDescent="0.2">
      <c r="A13" s="3">
        <v>7</v>
      </c>
      <c r="B13" s="4" t="s">
        <v>56</v>
      </c>
      <c r="C13" s="4" t="s">
        <v>57</v>
      </c>
      <c r="D13" s="4" t="s">
        <v>33</v>
      </c>
      <c r="E13" s="5">
        <v>1392</v>
      </c>
      <c r="F13" s="6">
        <v>81.316463999999996</v>
      </c>
      <c r="G13" s="7">
        <v>1.0654780000000001E-2</v>
      </c>
      <c r="H13" s="6"/>
      <c r="J13" s="75"/>
    </row>
    <row r="14" spans="1:17" ht="29.1" customHeight="1" x14ac:dyDescent="0.2">
      <c r="A14" s="3">
        <v>8</v>
      </c>
      <c r="B14" s="4" t="s">
        <v>380</v>
      </c>
      <c r="C14" s="4" t="s">
        <v>381</v>
      </c>
      <c r="D14" s="4" t="s">
        <v>216</v>
      </c>
      <c r="E14" s="5">
        <v>2020</v>
      </c>
      <c r="F14" s="6">
        <v>80.848479999999995</v>
      </c>
      <c r="G14" s="7">
        <v>1.0593460000000001E-2</v>
      </c>
      <c r="H14" s="6"/>
      <c r="J14" s="75"/>
    </row>
    <row r="15" spans="1:17" ht="17.100000000000001" customHeight="1" x14ac:dyDescent="0.2">
      <c r="A15" s="3">
        <v>9</v>
      </c>
      <c r="B15" s="4" t="s">
        <v>263</v>
      </c>
      <c r="C15" s="4" t="s">
        <v>264</v>
      </c>
      <c r="D15" s="4" t="s">
        <v>210</v>
      </c>
      <c r="E15" s="5">
        <v>1334</v>
      </c>
      <c r="F15" s="6">
        <v>80.757024999999999</v>
      </c>
      <c r="G15" s="7">
        <v>1.0581470000000001E-2</v>
      </c>
      <c r="H15" s="6"/>
      <c r="J15" s="75"/>
    </row>
    <row r="16" spans="1:17" ht="17.100000000000001" customHeight="1" x14ac:dyDescent="0.2">
      <c r="A16" s="3">
        <v>10</v>
      </c>
      <c r="B16" s="4" t="s">
        <v>786</v>
      </c>
      <c r="C16" s="4" t="s">
        <v>787</v>
      </c>
      <c r="D16" s="4" t="s">
        <v>22</v>
      </c>
      <c r="E16" s="5">
        <v>13081</v>
      </c>
      <c r="F16" s="6">
        <v>80.114584500000007</v>
      </c>
      <c r="G16" s="7">
        <v>1.0497289999999999E-2</v>
      </c>
      <c r="H16" s="6"/>
      <c r="J16" s="75"/>
    </row>
    <row r="17" spans="1:10" ht="17.100000000000001" customHeight="1" x14ac:dyDescent="0.2">
      <c r="A17" s="3">
        <v>11</v>
      </c>
      <c r="B17" s="4" t="s">
        <v>788</v>
      </c>
      <c r="C17" s="4" t="s">
        <v>789</v>
      </c>
      <c r="D17" s="4" t="s">
        <v>39</v>
      </c>
      <c r="E17" s="5">
        <v>56707</v>
      </c>
      <c r="F17" s="6">
        <v>79.985223500000004</v>
      </c>
      <c r="G17" s="7">
        <v>1.0480339999999999E-2</v>
      </c>
      <c r="H17" s="6"/>
      <c r="J17" s="75"/>
    </row>
    <row r="18" spans="1:10" ht="17.100000000000001" customHeight="1" x14ac:dyDescent="0.2">
      <c r="A18" s="3">
        <v>12</v>
      </c>
      <c r="B18" s="4" t="s">
        <v>790</v>
      </c>
      <c r="C18" s="4" t="s">
        <v>791</v>
      </c>
      <c r="D18" s="4" t="s">
        <v>285</v>
      </c>
      <c r="E18" s="5">
        <v>1736</v>
      </c>
      <c r="F18" s="6">
        <v>79.810863999999995</v>
      </c>
      <c r="G18" s="7">
        <v>1.04575E-2</v>
      </c>
      <c r="H18" s="6"/>
      <c r="J18" s="75"/>
    </row>
    <row r="19" spans="1:10" ht="17.100000000000001" customHeight="1" x14ac:dyDescent="0.2">
      <c r="A19" s="3">
        <v>13</v>
      </c>
      <c r="B19" s="4" t="s">
        <v>623</v>
      </c>
      <c r="C19" s="4" t="s">
        <v>624</v>
      </c>
      <c r="D19" s="4" t="s">
        <v>285</v>
      </c>
      <c r="E19" s="5">
        <v>3676</v>
      </c>
      <c r="F19" s="6">
        <v>79.267426</v>
      </c>
      <c r="G19" s="7">
        <v>1.0386289999999999E-2</v>
      </c>
      <c r="H19" s="6"/>
      <c r="J19" s="75"/>
    </row>
    <row r="20" spans="1:10" ht="17.100000000000001" customHeight="1" x14ac:dyDescent="0.2">
      <c r="A20" s="3">
        <v>14</v>
      </c>
      <c r="B20" s="4" t="s">
        <v>47</v>
      </c>
      <c r="C20" s="4" t="s">
        <v>48</v>
      </c>
      <c r="D20" s="4" t="s">
        <v>22</v>
      </c>
      <c r="E20" s="5">
        <v>17549</v>
      </c>
      <c r="F20" s="6">
        <v>78.838882499999997</v>
      </c>
      <c r="G20" s="7">
        <v>1.033014E-2</v>
      </c>
      <c r="H20" s="6"/>
      <c r="J20" s="75"/>
    </row>
    <row r="21" spans="1:10" ht="17.100000000000001" customHeight="1" x14ac:dyDescent="0.2">
      <c r="A21" s="3">
        <v>15</v>
      </c>
      <c r="B21" s="4" t="s">
        <v>335</v>
      </c>
      <c r="C21" s="4" t="s">
        <v>336</v>
      </c>
      <c r="D21" s="4" t="s">
        <v>39</v>
      </c>
      <c r="E21" s="5">
        <v>6741</v>
      </c>
      <c r="F21" s="6">
        <v>78.593318999999994</v>
      </c>
      <c r="G21" s="7">
        <v>1.029797E-2</v>
      </c>
      <c r="H21" s="6"/>
      <c r="J21" s="75"/>
    </row>
    <row r="22" spans="1:10" ht="17.100000000000001" customHeight="1" x14ac:dyDescent="0.2">
      <c r="A22" s="3">
        <v>16</v>
      </c>
      <c r="B22" s="4" t="s">
        <v>792</v>
      </c>
      <c r="C22" s="4" t="s">
        <v>793</v>
      </c>
      <c r="D22" s="4" t="s">
        <v>104</v>
      </c>
      <c r="E22" s="5">
        <v>59675</v>
      </c>
      <c r="F22" s="6">
        <v>78.293599999999998</v>
      </c>
      <c r="G22" s="7">
        <v>1.0258690000000001E-2</v>
      </c>
      <c r="H22" s="6"/>
      <c r="J22" s="71"/>
    </row>
    <row r="23" spans="1:10" ht="17.100000000000001" customHeight="1" x14ac:dyDescent="0.2">
      <c r="A23" s="3">
        <v>17</v>
      </c>
      <c r="B23" s="4" t="s">
        <v>794</v>
      </c>
      <c r="C23" s="4" t="s">
        <v>795</v>
      </c>
      <c r="D23" s="4" t="s">
        <v>75</v>
      </c>
      <c r="E23" s="5">
        <v>4697</v>
      </c>
      <c r="F23" s="6">
        <v>78.158079999999998</v>
      </c>
      <c r="G23" s="7">
        <v>1.024094E-2</v>
      </c>
      <c r="H23" s="6"/>
      <c r="J23" s="75"/>
    </row>
    <row r="24" spans="1:10" ht="17.100000000000001" customHeight="1" x14ac:dyDescent="0.2">
      <c r="A24" s="3">
        <v>18</v>
      </c>
      <c r="B24" s="4" t="s">
        <v>796</v>
      </c>
      <c r="C24" s="4" t="s">
        <v>797</v>
      </c>
      <c r="D24" s="4" t="s">
        <v>53</v>
      </c>
      <c r="E24" s="5">
        <v>49686</v>
      </c>
      <c r="F24" s="6">
        <v>78.131235000000004</v>
      </c>
      <c r="G24" s="7">
        <v>1.0237420000000001E-2</v>
      </c>
      <c r="H24" s="6"/>
      <c r="J24" s="75"/>
    </row>
    <row r="25" spans="1:10" ht="17.100000000000001" customHeight="1" x14ac:dyDescent="0.2">
      <c r="A25" s="3">
        <v>19</v>
      </c>
      <c r="B25" s="4" t="s">
        <v>20</v>
      </c>
      <c r="C25" s="4" t="s">
        <v>21</v>
      </c>
      <c r="D25" s="4" t="s">
        <v>22</v>
      </c>
      <c r="E25" s="5">
        <v>21440</v>
      </c>
      <c r="F25" s="6">
        <v>77.870080000000002</v>
      </c>
      <c r="G25" s="7">
        <v>1.0203200000000001E-2</v>
      </c>
      <c r="H25" s="6"/>
      <c r="J25" s="75"/>
    </row>
    <row r="26" spans="1:10" ht="29.1" customHeight="1" x14ac:dyDescent="0.2">
      <c r="A26" s="3">
        <v>20</v>
      </c>
      <c r="B26" s="4" t="s">
        <v>304</v>
      </c>
      <c r="C26" s="4" t="s">
        <v>305</v>
      </c>
      <c r="D26" s="4" t="s">
        <v>242</v>
      </c>
      <c r="E26" s="5">
        <v>7496</v>
      </c>
      <c r="F26" s="6">
        <v>77.864699999999999</v>
      </c>
      <c r="G26" s="7">
        <v>1.02025E-2</v>
      </c>
      <c r="H26" s="6"/>
      <c r="J26" s="75"/>
    </row>
    <row r="27" spans="1:10" ht="17.100000000000001" customHeight="1" x14ac:dyDescent="0.2">
      <c r="A27" s="3">
        <v>21</v>
      </c>
      <c r="B27" s="4" t="s">
        <v>125</v>
      </c>
      <c r="C27" s="4" t="s">
        <v>126</v>
      </c>
      <c r="D27" s="4" t="s">
        <v>53</v>
      </c>
      <c r="E27" s="5">
        <v>17563</v>
      </c>
      <c r="F27" s="6">
        <v>77.549426499999996</v>
      </c>
      <c r="G27" s="7">
        <v>1.016119E-2</v>
      </c>
      <c r="H27" s="6"/>
      <c r="J27" s="75"/>
    </row>
    <row r="28" spans="1:10" ht="17.100000000000001" customHeight="1" x14ac:dyDescent="0.2">
      <c r="A28" s="3">
        <v>22</v>
      </c>
      <c r="B28" s="4" t="s">
        <v>208</v>
      </c>
      <c r="C28" s="4" t="s">
        <v>209</v>
      </c>
      <c r="D28" s="4" t="s">
        <v>210</v>
      </c>
      <c r="E28" s="5">
        <v>1754</v>
      </c>
      <c r="F28" s="6">
        <v>77.349646000000007</v>
      </c>
      <c r="G28" s="7">
        <v>1.013501E-2</v>
      </c>
      <c r="H28" s="6"/>
      <c r="J28" s="75"/>
    </row>
    <row r="29" spans="1:10" ht="17.100000000000001" customHeight="1" x14ac:dyDescent="0.2">
      <c r="A29" s="3">
        <v>23</v>
      </c>
      <c r="B29" s="4" t="s">
        <v>112</v>
      </c>
      <c r="C29" s="4" t="s">
        <v>113</v>
      </c>
      <c r="D29" s="4" t="s">
        <v>114</v>
      </c>
      <c r="E29" s="5">
        <v>8307</v>
      </c>
      <c r="F29" s="6">
        <v>77.226025500000006</v>
      </c>
      <c r="G29" s="7">
        <v>1.0118810000000001E-2</v>
      </c>
      <c r="H29" s="6"/>
      <c r="J29" s="75"/>
    </row>
    <row r="30" spans="1:10" ht="17.100000000000001" customHeight="1" x14ac:dyDescent="0.2">
      <c r="A30" s="3">
        <v>24</v>
      </c>
      <c r="B30" s="4" t="s">
        <v>333</v>
      </c>
      <c r="C30" s="4" t="s">
        <v>334</v>
      </c>
      <c r="D30" s="4" t="s">
        <v>210</v>
      </c>
      <c r="E30" s="5">
        <v>39860</v>
      </c>
      <c r="F30" s="6">
        <v>76.989590000000007</v>
      </c>
      <c r="G30" s="7">
        <v>1.0087830000000001E-2</v>
      </c>
      <c r="H30" s="6"/>
      <c r="J30" s="75"/>
    </row>
    <row r="31" spans="1:10" ht="17.100000000000001" customHeight="1" x14ac:dyDescent="0.2">
      <c r="A31" s="3">
        <v>25</v>
      </c>
      <c r="B31" s="4" t="s">
        <v>54</v>
      </c>
      <c r="C31" s="4" t="s">
        <v>55</v>
      </c>
      <c r="D31" s="4" t="s">
        <v>39</v>
      </c>
      <c r="E31" s="5">
        <v>9306</v>
      </c>
      <c r="F31" s="6">
        <v>76.890825000000007</v>
      </c>
      <c r="G31" s="7">
        <v>1.007489E-2</v>
      </c>
      <c r="H31" s="6"/>
      <c r="J31" s="75"/>
    </row>
    <row r="32" spans="1:10" ht="17.100000000000001" customHeight="1" x14ac:dyDescent="0.2">
      <c r="A32" s="3">
        <v>26</v>
      </c>
      <c r="B32" s="4" t="s">
        <v>31</v>
      </c>
      <c r="C32" s="4" t="s">
        <v>32</v>
      </c>
      <c r="D32" s="4" t="s">
        <v>33</v>
      </c>
      <c r="E32" s="5">
        <v>1166</v>
      </c>
      <c r="F32" s="6">
        <v>76.265145000000004</v>
      </c>
      <c r="G32" s="7">
        <v>9.9929100000000007E-3</v>
      </c>
      <c r="H32" s="6"/>
      <c r="J32" s="75"/>
    </row>
    <row r="33" spans="1:10" ht="17.100000000000001" customHeight="1" x14ac:dyDescent="0.2">
      <c r="A33" s="3">
        <v>27</v>
      </c>
      <c r="B33" s="4" t="s">
        <v>412</v>
      </c>
      <c r="C33" s="4" t="s">
        <v>413</v>
      </c>
      <c r="D33" s="4" t="s">
        <v>53</v>
      </c>
      <c r="E33" s="5">
        <v>20214</v>
      </c>
      <c r="F33" s="6">
        <v>76.206779999999995</v>
      </c>
      <c r="G33" s="7">
        <v>9.9852599999999993E-3</v>
      </c>
      <c r="H33" s="6"/>
      <c r="J33" s="75"/>
    </row>
    <row r="34" spans="1:10" ht="29.1" customHeight="1" x14ac:dyDescent="0.2">
      <c r="A34" s="3">
        <v>28</v>
      </c>
      <c r="B34" s="4" t="s">
        <v>279</v>
      </c>
      <c r="C34" s="4" t="s">
        <v>280</v>
      </c>
      <c r="D34" s="4" t="s">
        <v>53</v>
      </c>
      <c r="E34" s="5">
        <v>6376</v>
      </c>
      <c r="F34" s="6">
        <v>76.084807999999995</v>
      </c>
      <c r="G34" s="7">
        <v>9.9692800000000005E-3</v>
      </c>
      <c r="H34" s="6"/>
      <c r="J34" s="75"/>
    </row>
    <row r="35" spans="1:10" ht="17.100000000000001" customHeight="1" x14ac:dyDescent="0.2">
      <c r="A35" s="3">
        <v>29</v>
      </c>
      <c r="B35" s="4" t="s">
        <v>29</v>
      </c>
      <c r="C35" s="4" t="s">
        <v>30</v>
      </c>
      <c r="D35" s="4" t="s">
        <v>22</v>
      </c>
      <c r="E35" s="5">
        <v>25195</v>
      </c>
      <c r="F35" s="6">
        <v>76.051107500000001</v>
      </c>
      <c r="G35" s="7">
        <v>9.9648600000000007E-3</v>
      </c>
      <c r="H35" s="6"/>
      <c r="J35" s="75"/>
    </row>
    <row r="36" spans="1:10" ht="17.100000000000001" customHeight="1" x14ac:dyDescent="0.2">
      <c r="A36" s="3">
        <v>30</v>
      </c>
      <c r="B36" s="4" t="s">
        <v>365</v>
      </c>
      <c r="C36" s="4" t="s">
        <v>366</v>
      </c>
      <c r="D36" s="4" t="s">
        <v>114</v>
      </c>
      <c r="E36" s="5">
        <v>45982</v>
      </c>
      <c r="F36" s="6">
        <v>75.8703</v>
      </c>
      <c r="G36" s="7">
        <v>9.9411699999999992E-3</v>
      </c>
      <c r="H36" s="6"/>
      <c r="J36" s="75"/>
    </row>
    <row r="37" spans="1:10" ht="17.100000000000001" customHeight="1" x14ac:dyDescent="0.2">
      <c r="A37" s="3">
        <v>31</v>
      </c>
      <c r="B37" s="4" t="s">
        <v>226</v>
      </c>
      <c r="C37" s="4" t="s">
        <v>227</v>
      </c>
      <c r="D37" s="4" t="s">
        <v>53</v>
      </c>
      <c r="E37" s="5">
        <v>2966</v>
      </c>
      <c r="F37" s="6">
        <v>75.683421999999993</v>
      </c>
      <c r="G37" s="7">
        <v>9.9166900000000006E-3</v>
      </c>
      <c r="H37" s="6"/>
      <c r="J37" s="75"/>
    </row>
    <row r="38" spans="1:10" ht="17.100000000000001" customHeight="1" x14ac:dyDescent="0.2">
      <c r="A38" s="3">
        <v>32</v>
      </c>
      <c r="B38" s="4" t="s">
        <v>533</v>
      </c>
      <c r="C38" s="4" t="s">
        <v>534</v>
      </c>
      <c r="D38" s="4" t="s">
        <v>39</v>
      </c>
      <c r="E38" s="5">
        <v>26755</v>
      </c>
      <c r="F38" s="6">
        <v>75.315325000000001</v>
      </c>
      <c r="G38" s="7">
        <v>9.8684500000000008E-3</v>
      </c>
      <c r="H38" s="6"/>
      <c r="J38" s="75"/>
    </row>
    <row r="39" spans="1:10" ht="17.100000000000001" customHeight="1" x14ac:dyDescent="0.2">
      <c r="A39" s="3">
        <v>33</v>
      </c>
      <c r="B39" s="4" t="s">
        <v>51</v>
      </c>
      <c r="C39" s="4" t="s">
        <v>52</v>
      </c>
      <c r="D39" s="4" t="s">
        <v>53</v>
      </c>
      <c r="E39" s="5">
        <v>14849</v>
      </c>
      <c r="F39" s="6">
        <v>75.306703499999998</v>
      </c>
      <c r="G39" s="7">
        <v>9.8673300000000005E-3</v>
      </c>
      <c r="H39" s="6"/>
      <c r="J39" s="75"/>
    </row>
    <row r="40" spans="1:10" ht="17.100000000000001" customHeight="1" x14ac:dyDescent="0.2">
      <c r="A40" s="3">
        <v>34</v>
      </c>
      <c r="B40" s="4" t="s">
        <v>352</v>
      </c>
      <c r="C40" s="4" t="s">
        <v>353</v>
      </c>
      <c r="D40" s="4" t="s">
        <v>39</v>
      </c>
      <c r="E40" s="5">
        <v>12091</v>
      </c>
      <c r="F40" s="6">
        <v>75.199974499999996</v>
      </c>
      <c r="G40" s="7">
        <v>9.8533400000000004E-3</v>
      </c>
      <c r="H40" s="6"/>
      <c r="J40" s="75"/>
    </row>
    <row r="41" spans="1:10" ht="17.100000000000001" customHeight="1" x14ac:dyDescent="0.2">
      <c r="A41" s="3">
        <v>35</v>
      </c>
      <c r="B41" s="4" t="s">
        <v>374</v>
      </c>
      <c r="C41" s="4" t="s">
        <v>375</v>
      </c>
      <c r="D41" s="4" t="s">
        <v>210</v>
      </c>
      <c r="E41" s="5">
        <v>1631</v>
      </c>
      <c r="F41" s="6">
        <v>75.087978000000007</v>
      </c>
      <c r="G41" s="7">
        <v>9.8386700000000007E-3</v>
      </c>
      <c r="H41" s="6"/>
      <c r="J41" s="75"/>
    </row>
    <row r="42" spans="1:10" ht="29.1" customHeight="1" x14ac:dyDescent="0.2">
      <c r="A42" s="3">
        <v>36</v>
      </c>
      <c r="B42" s="4" t="s">
        <v>415</v>
      </c>
      <c r="C42" s="4" t="s">
        <v>416</v>
      </c>
      <c r="D42" s="4" t="s">
        <v>25</v>
      </c>
      <c r="E42" s="5">
        <v>3110</v>
      </c>
      <c r="F42" s="6">
        <v>75.002314999999996</v>
      </c>
      <c r="G42" s="7">
        <v>9.8274399999999998E-3</v>
      </c>
      <c r="H42" s="6"/>
      <c r="J42" s="75"/>
    </row>
    <row r="43" spans="1:10" ht="17.100000000000001" customHeight="1" x14ac:dyDescent="0.2">
      <c r="A43" s="3">
        <v>37</v>
      </c>
      <c r="B43" s="4" t="s">
        <v>730</v>
      </c>
      <c r="C43" s="4" t="s">
        <v>731</v>
      </c>
      <c r="D43" s="4" t="s">
        <v>235</v>
      </c>
      <c r="E43" s="5">
        <v>7660</v>
      </c>
      <c r="F43" s="6">
        <v>74.933949999999996</v>
      </c>
      <c r="G43" s="7">
        <v>9.8184799999999992E-3</v>
      </c>
      <c r="H43" s="6"/>
      <c r="J43" s="75"/>
    </row>
    <row r="44" spans="1:10" ht="17.100000000000001" customHeight="1" x14ac:dyDescent="0.2">
      <c r="A44" s="3">
        <v>38</v>
      </c>
      <c r="B44" s="4" t="s">
        <v>17</v>
      </c>
      <c r="C44" s="4" t="s">
        <v>18</v>
      </c>
      <c r="D44" s="4" t="s">
        <v>19</v>
      </c>
      <c r="E44" s="5">
        <v>5635</v>
      </c>
      <c r="F44" s="6">
        <v>74.511605000000003</v>
      </c>
      <c r="G44" s="7">
        <v>9.76314E-3</v>
      </c>
      <c r="H44" s="6"/>
      <c r="J44" s="75"/>
    </row>
    <row r="45" spans="1:10" ht="17.100000000000001" customHeight="1" x14ac:dyDescent="0.2">
      <c r="A45" s="3">
        <v>39</v>
      </c>
      <c r="B45" s="4" t="s">
        <v>44</v>
      </c>
      <c r="C45" s="4" t="s">
        <v>45</v>
      </c>
      <c r="D45" s="4" t="s">
        <v>46</v>
      </c>
      <c r="E45" s="5">
        <v>26330</v>
      </c>
      <c r="F45" s="6">
        <v>74.474405000000004</v>
      </c>
      <c r="G45" s="7">
        <v>9.7582699999999994E-3</v>
      </c>
      <c r="H45" s="6"/>
      <c r="J45" s="75"/>
    </row>
    <row r="46" spans="1:10" ht="17.100000000000001" customHeight="1" x14ac:dyDescent="0.2">
      <c r="A46" s="3">
        <v>40</v>
      </c>
      <c r="B46" s="4" t="s">
        <v>754</v>
      </c>
      <c r="C46" s="4" t="s">
        <v>755</v>
      </c>
      <c r="D46" s="4" t="s">
        <v>114</v>
      </c>
      <c r="E46" s="5">
        <v>8437</v>
      </c>
      <c r="F46" s="6">
        <v>74.431213999999997</v>
      </c>
      <c r="G46" s="7">
        <v>9.7526100000000001E-3</v>
      </c>
      <c r="H46" s="6"/>
      <c r="J46" s="75"/>
    </row>
    <row r="47" spans="1:10" ht="17.100000000000001" customHeight="1" x14ac:dyDescent="0.2">
      <c r="A47" s="3">
        <v>41</v>
      </c>
      <c r="B47" s="4" t="s">
        <v>341</v>
      </c>
      <c r="C47" s="4" t="s">
        <v>342</v>
      </c>
      <c r="D47" s="4" t="s">
        <v>273</v>
      </c>
      <c r="E47" s="5">
        <v>4963</v>
      </c>
      <c r="F47" s="6">
        <v>73.425103500000006</v>
      </c>
      <c r="G47" s="7">
        <v>9.6207800000000007E-3</v>
      </c>
      <c r="H47" s="6"/>
      <c r="J47" s="75"/>
    </row>
    <row r="48" spans="1:10" ht="17.100000000000001" customHeight="1" x14ac:dyDescent="0.2">
      <c r="A48" s="3">
        <v>42</v>
      </c>
      <c r="B48" s="4" t="s">
        <v>331</v>
      </c>
      <c r="C48" s="4" t="s">
        <v>332</v>
      </c>
      <c r="D48" s="4" t="s">
        <v>39</v>
      </c>
      <c r="E48" s="5">
        <v>4820</v>
      </c>
      <c r="F48" s="6">
        <v>73.268820000000005</v>
      </c>
      <c r="G48" s="7">
        <v>9.6003000000000008E-3</v>
      </c>
      <c r="H48" s="6"/>
      <c r="J48" s="75"/>
    </row>
    <row r="49" spans="1:10" ht="17.100000000000001" customHeight="1" x14ac:dyDescent="0.2">
      <c r="A49" s="3">
        <v>43</v>
      </c>
      <c r="B49" s="4" t="s">
        <v>105</v>
      </c>
      <c r="C49" s="4" t="s">
        <v>106</v>
      </c>
      <c r="D49" s="4" t="s">
        <v>107</v>
      </c>
      <c r="E49" s="5">
        <v>16102</v>
      </c>
      <c r="F49" s="6">
        <v>73.151386000000002</v>
      </c>
      <c r="G49" s="7">
        <v>9.5849200000000002E-3</v>
      </c>
      <c r="H49" s="6"/>
      <c r="J49" s="75"/>
    </row>
    <row r="50" spans="1:10" ht="17.100000000000001" customHeight="1" x14ac:dyDescent="0.2">
      <c r="A50" s="3">
        <v>44</v>
      </c>
      <c r="B50" s="4" t="s">
        <v>37</v>
      </c>
      <c r="C50" s="4" t="s">
        <v>38</v>
      </c>
      <c r="D50" s="4" t="s">
        <v>39</v>
      </c>
      <c r="E50" s="5">
        <v>6338</v>
      </c>
      <c r="F50" s="6">
        <v>72.912351999999998</v>
      </c>
      <c r="G50" s="7">
        <v>9.5536000000000006E-3</v>
      </c>
      <c r="H50" s="6"/>
      <c r="J50" s="75"/>
    </row>
    <row r="51" spans="1:10" ht="17.100000000000001" customHeight="1" x14ac:dyDescent="0.2">
      <c r="A51" s="3">
        <v>45</v>
      </c>
      <c r="B51" s="4" t="s">
        <v>798</v>
      </c>
      <c r="C51" s="4" t="s">
        <v>799</v>
      </c>
      <c r="D51" s="4" t="s">
        <v>22</v>
      </c>
      <c r="E51" s="5">
        <v>6844</v>
      </c>
      <c r="F51" s="6">
        <v>72.902287999999999</v>
      </c>
      <c r="G51" s="7">
        <v>9.5522799999999998E-3</v>
      </c>
      <c r="H51" s="6"/>
      <c r="J51" s="75"/>
    </row>
    <row r="52" spans="1:10" ht="29.1" customHeight="1" x14ac:dyDescent="0.2">
      <c r="A52" s="3">
        <v>46</v>
      </c>
      <c r="B52" s="4" t="s">
        <v>119</v>
      </c>
      <c r="C52" s="4" t="s">
        <v>120</v>
      </c>
      <c r="D52" s="4" t="s">
        <v>25</v>
      </c>
      <c r="E52" s="5">
        <v>11716</v>
      </c>
      <c r="F52" s="6">
        <v>72.627483999999995</v>
      </c>
      <c r="G52" s="7">
        <v>9.5162700000000003E-3</v>
      </c>
      <c r="H52" s="6"/>
      <c r="J52" s="75"/>
    </row>
    <row r="53" spans="1:10" ht="29.1" customHeight="1" x14ac:dyDescent="0.2">
      <c r="A53" s="3">
        <v>47</v>
      </c>
      <c r="B53" s="4" t="s">
        <v>800</v>
      </c>
      <c r="C53" s="4" t="s">
        <v>801</v>
      </c>
      <c r="D53" s="4" t="s">
        <v>414</v>
      </c>
      <c r="E53" s="5">
        <v>13983</v>
      </c>
      <c r="F53" s="6">
        <v>72.431939999999997</v>
      </c>
      <c r="G53" s="7">
        <v>9.4906499999999998E-3</v>
      </c>
      <c r="H53" s="6"/>
      <c r="J53" s="75"/>
    </row>
    <row r="54" spans="1:10" ht="29.1" customHeight="1" x14ac:dyDescent="0.2">
      <c r="A54" s="3">
        <v>48</v>
      </c>
      <c r="B54" s="4" t="s">
        <v>97</v>
      </c>
      <c r="C54" s="4" t="s">
        <v>98</v>
      </c>
      <c r="D54" s="4" t="s">
        <v>99</v>
      </c>
      <c r="E54" s="5">
        <v>5464</v>
      </c>
      <c r="F54" s="6">
        <v>72.392536000000007</v>
      </c>
      <c r="G54" s="7">
        <v>9.4854899999999992E-3</v>
      </c>
      <c r="H54" s="6"/>
      <c r="J54" s="75"/>
    </row>
    <row r="55" spans="1:10" ht="17.100000000000001" customHeight="1" x14ac:dyDescent="0.2">
      <c r="A55" s="3">
        <v>49</v>
      </c>
      <c r="B55" s="4" t="s">
        <v>617</v>
      </c>
      <c r="C55" s="4" t="s">
        <v>618</v>
      </c>
      <c r="D55" s="4" t="s">
        <v>273</v>
      </c>
      <c r="E55" s="5">
        <v>6127</v>
      </c>
      <c r="F55" s="6">
        <v>72.114789999999999</v>
      </c>
      <c r="G55" s="7">
        <v>9.4490900000000003E-3</v>
      </c>
      <c r="H55" s="6"/>
      <c r="J55" s="75"/>
    </row>
    <row r="56" spans="1:10" ht="17.100000000000001" customHeight="1" x14ac:dyDescent="0.2">
      <c r="A56" s="3">
        <v>50</v>
      </c>
      <c r="B56" s="4" t="s">
        <v>621</v>
      </c>
      <c r="C56" s="4" t="s">
        <v>622</v>
      </c>
      <c r="D56" s="4" t="s">
        <v>285</v>
      </c>
      <c r="E56" s="5">
        <v>562</v>
      </c>
      <c r="F56" s="6">
        <v>72.034350000000003</v>
      </c>
      <c r="G56" s="7">
        <v>9.4385500000000004E-3</v>
      </c>
      <c r="H56" s="6"/>
      <c r="J56" s="75"/>
    </row>
    <row r="57" spans="1:10" ht="17.100000000000001" customHeight="1" x14ac:dyDescent="0.2">
      <c r="A57" s="3">
        <v>51</v>
      </c>
      <c r="B57" s="4" t="s">
        <v>802</v>
      </c>
      <c r="C57" s="4" t="s">
        <v>803</v>
      </c>
      <c r="D57" s="4" t="s">
        <v>53</v>
      </c>
      <c r="E57" s="5">
        <v>9888</v>
      </c>
      <c r="F57" s="6">
        <v>72.014303999999996</v>
      </c>
      <c r="G57" s="7">
        <v>9.4359300000000004E-3</v>
      </c>
      <c r="H57" s="6"/>
      <c r="J57" s="75"/>
    </row>
    <row r="58" spans="1:10" ht="17.100000000000001" customHeight="1" x14ac:dyDescent="0.2">
      <c r="A58" s="3">
        <v>52</v>
      </c>
      <c r="B58" s="4" t="s">
        <v>700</v>
      </c>
      <c r="C58" s="4" t="s">
        <v>701</v>
      </c>
      <c r="D58" s="4" t="s">
        <v>80</v>
      </c>
      <c r="E58" s="5">
        <v>8069</v>
      </c>
      <c r="F58" s="6">
        <v>71.963376499999995</v>
      </c>
      <c r="G58" s="7">
        <v>9.4292500000000001E-3</v>
      </c>
      <c r="H58" s="6"/>
      <c r="J58" s="75"/>
    </row>
    <row r="59" spans="1:10" ht="29.1" customHeight="1" x14ac:dyDescent="0.2">
      <c r="A59" s="3">
        <v>53</v>
      </c>
      <c r="B59" s="4" t="s">
        <v>804</v>
      </c>
      <c r="C59" s="4" t="s">
        <v>805</v>
      </c>
      <c r="D59" s="4" t="s">
        <v>316</v>
      </c>
      <c r="E59" s="5">
        <v>2358</v>
      </c>
      <c r="F59" s="6">
        <v>71.895420000000001</v>
      </c>
      <c r="G59" s="7">
        <v>9.4203499999999992E-3</v>
      </c>
      <c r="H59" s="6"/>
      <c r="J59" s="75"/>
    </row>
    <row r="60" spans="1:10" ht="17.100000000000001" customHeight="1" x14ac:dyDescent="0.2">
      <c r="A60" s="3">
        <v>54</v>
      </c>
      <c r="B60" s="4" t="s">
        <v>806</v>
      </c>
      <c r="C60" s="4" t="s">
        <v>807</v>
      </c>
      <c r="D60" s="4" t="s">
        <v>406</v>
      </c>
      <c r="E60" s="5">
        <v>2544</v>
      </c>
      <c r="F60" s="6">
        <v>71.864183999999995</v>
      </c>
      <c r="G60" s="7">
        <v>9.4162599999999992E-3</v>
      </c>
      <c r="H60" s="6"/>
      <c r="J60" s="75"/>
    </row>
    <row r="61" spans="1:10" ht="29.1" customHeight="1" x14ac:dyDescent="0.2">
      <c r="A61" s="3">
        <v>55</v>
      </c>
      <c r="B61" s="4" t="s">
        <v>808</v>
      </c>
      <c r="C61" s="4" t="s">
        <v>809</v>
      </c>
      <c r="D61" s="4" t="s">
        <v>235</v>
      </c>
      <c r="E61" s="5">
        <v>4187</v>
      </c>
      <c r="F61" s="6">
        <v>71.6249155</v>
      </c>
      <c r="G61" s="7">
        <v>9.3849099999999998E-3</v>
      </c>
      <c r="H61" s="6"/>
      <c r="J61" s="75"/>
    </row>
    <row r="62" spans="1:10" ht="17.100000000000001" customHeight="1" x14ac:dyDescent="0.2">
      <c r="A62" s="3">
        <v>56</v>
      </c>
      <c r="B62" s="4" t="s">
        <v>127</v>
      </c>
      <c r="C62" s="4" t="s">
        <v>128</v>
      </c>
      <c r="D62" s="4" t="s">
        <v>16</v>
      </c>
      <c r="E62" s="5">
        <v>11747</v>
      </c>
      <c r="F62" s="6">
        <v>71.345404500000001</v>
      </c>
      <c r="G62" s="7">
        <v>9.3482800000000005E-3</v>
      </c>
      <c r="H62" s="6"/>
      <c r="J62" s="75"/>
    </row>
    <row r="63" spans="1:10" ht="29.1" customHeight="1" x14ac:dyDescent="0.2">
      <c r="A63" s="3">
        <v>57</v>
      </c>
      <c r="B63" s="4" t="s">
        <v>23</v>
      </c>
      <c r="C63" s="4" t="s">
        <v>24</v>
      </c>
      <c r="D63" s="4" t="s">
        <v>25</v>
      </c>
      <c r="E63" s="5">
        <v>715</v>
      </c>
      <c r="F63" s="6">
        <v>71.298727499999998</v>
      </c>
      <c r="G63" s="7">
        <v>9.3421700000000003E-3</v>
      </c>
      <c r="H63" s="6"/>
      <c r="J63" s="75"/>
    </row>
    <row r="64" spans="1:10" ht="29.1" customHeight="1" x14ac:dyDescent="0.2">
      <c r="A64" s="3">
        <v>58</v>
      </c>
      <c r="B64" s="4" t="s">
        <v>810</v>
      </c>
      <c r="C64" s="4" t="s">
        <v>811</v>
      </c>
      <c r="D64" s="4" t="s">
        <v>216</v>
      </c>
      <c r="E64" s="5">
        <v>2696</v>
      </c>
      <c r="F64" s="6">
        <v>71.243148000000005</v>
      </c>
      <c r="G64" s="7">
        <v>9.3348800000000003E-3</v>
      </c>
      <c r="H64" s="6"/>
      <c r="J64" s="75"/>
    </row>
    <row r="65" spans="1:10" ht="29.1" customHeight="1" x14ac:dyDescent="0.2">
      <c r="A65" s="3">
        <v>59</v>
      </c>
      <c r="B65" s="4" t="s">
        <v>408</v>
      </c>
      <c r="C65" s="4" t="s">
        <v>409</v>
      </c>
      <c r="D65" s="4" t="s">
        <v>316</v>
      </c>
      <c r="E65" s="5">
        <v>2716</v>
      </c>
      <c r="F65" s="6">
        <v>71.187718000000004</v>
      </c>
      <c r="G65" s="7">
        <v>9.32762E-3</v>
      </c>
      <c r="H65" s="6"/>
      <c r="J65" s="75"/>
    </row>
    <row r="66" spans="1:10" ht="17.100000000000001" customHeight="1" x14ac:dyDescent="0.2">
      <c r="A66" s="3">
        <v>60</v>
      </c>
      <c r="B66" s="4" t="s">
        <v>121</v>
      </c>
      <c r="C66" s="4" t="s">
        <v>122</v>
      </c>
      <c r="D66" s="4" t="s">
        <v>16</v>
      </c>
      <c r="E66" s="5">
        <v>42140</v>
      </c>
      <c r="F66" s="6">
        <v>71.153390000000002</v>
      </c>
      <c r="G66" s="7">
        <v>9.3231200000000007E-3</v>
      </c>
      <c r="H66" s="6"/>
      <c r="J66" s="75"/>
    </row>
    <row r="67" spans="1:10" ht="17.100000000000001" customHeight="1" x14ac:dyDescent="0.2">
      <c r="A67" s="3">
        <v>61</v>
      </c>
      <c r="B67" s="4" t="s">
        <v>362</v>
      </c>
      <c r="C67" s="4" t="s">
        <v>363</v>
      </c>
      <c r="D67" s="4" t="s">
        <v>364</v>
      </c>
      <c r="E67" s="5">
        <v>16238</v>
      </c>
      <c r="F67" s="6">
        <v>70.740847000000002</v>
      </c>
      <c r="G67" s="7">
        <v>9.2690700000000008E-3</v>
      </c>
      <c r="H67" s="6"/>
      <c r="J67" s="75"/>
    </row>
    <row r="68" spans="1:10" ht="17.100000000000001" customHeight="1" x14ac:dyDescent="0.2">
      <c r="A68" s="3">
        <v>62</v>
      </c>
      <c r="B68" s="4" t="s">
        <v>756</v>
      </c>
      <c r="C68" s="4" t="s">
        <v>757</v>
      </c>
      <c r="D68" s="4" t="s">
        <v>75</v>
      </c>
      <c r="E68" s="5">
        <v>2454</v>
      </c>
      <c r="F68" s="6">
        <v>70.574585999999996</v>
      </c>
      <c r="G68" s="7">
        <v>9.2472800000000001E-3</v>
      </c>
      <c r="H68" s="6"/>
      <c r="J68" s="75"/>
    </row>
    <row r="69" spans="1:10" ht="17.100000000000001" customHeight="1" x14ac:dyDescent="0.2">
      <c r="A69" s="3">
        <v>63</v>
      </c>
      <c r="B69" s="4" t="s">
        <v>389</v>
      </c>
      <c r="C69" s="4" t="s">
        <v>390</v>
      </c>
      <c r="D69" s="4" t="s">
        <v>53</v>
      </c>
      <c r="E69" s="5">
        <v>1015</v>
      </c>
      <c r="F69" s="6">
        <v>70.274032500000004</v>
      </c>
      <c r="G69" s="7">
        <v>9.2078999999999998E-3</v>
      </c>
      <c r="H69" s="6"/>
      <c r="J69" s="75"/>
    </row>
    <row r="70" spans="1:10" ht="17.100000000000001" customHeight="1" x14ac:dyDescent="0.2">
      <c r="A70" s="3">
        <v>64</v>
      </c>
      <c r="B70" s="4" t="s">
        <v>14</v>
      </c>
      <c r="C70" s="4" t="s">
        <v>15</v>
      </c>
      <c r="D70" s="4" t="s">
        <v>16</v>
      </c>
      <c r="E70" s="5">
        <v>2385</v>
      </c>
      <c r="F70" s="6">
        <v>69.975899999999996</v>
      </c>
      <c r="G70" s="7">
        <v>9.1688399999999993E-3</v>
      </c>
      <c r="H70" s="6"/>
      <c r="J70" s="75"/>
    </row>
    <row r="71" spans="1:10" ht="17.100000000000001" customHeight="1" x14ac:dyDescent="0.2">
      <c r="A71" s="3">
        <v>65</v>
      </c>
      <c r="B71" s="4" t="s">
        <v>633</v>
      </c>
      <c r="C71" s="4" t="s">
        <v>634</v>
      </c>
      <c r="D71" s="4" t="s">
        <v>232</v>
      </c>
      <c r="E71" s="5">
        <v>5531</v>
      </c>
      <c r="F71" s="6">
        <v>69.884185000000002</v>
      </c>
      <c r="G71" s="7">
        <v>9.1568199999999995E-3</v>
      </c>
      <c r="H71" s="6"/>
      <c r="J71" s="75"/>
    </row>
    <row r="72" spans="1:10" ht="17.100000000000001" customHeight="1" x14ac:dyDescent="0.2">
      <c r="A72" s="3">
        <v>66</v>
      </c>
      <c r="B72" s="4" t="s">
        <v>396</v>
      </c>
      <c r="C72" s="4" t="s">
        <v>397</v>
      </c>
      <c r="D72" s="4" t="s">
        <v>53</v>
      </c>
      <c r="E72" s="5">
        <v>4324</v>
      </c>
      <c r="F72" s="6">
        <v>69.832599999999999</v>
      </c>
      <c r="G72" s="7">
        <v>9.1500599999999998E-3</v>
      </c>
      <c r="H72" s="6"/>
      <c r="J72" s="75"/>
    </row>
    <row r="73" spans="1:10" ht="17.100000000000001" customHeight="1" x14ac:dyDescent="0.2">
      <c r="A73" s="3">
        <v>67</v>
      </c>
      <c r="B73" s="4" t="s">
        <v>812</v>
      </c>
      <c r="C73" s="4" t="s">
        <v>813</v>
      </c>
      <c r="D73" s="4" t="s">
        <v>406</v>
      </c>
      <c r="E73" s="5">
        <v>5722</v>
      </c>
      <c r="F73" s="6">
        <v>69.779790000000006</v>
      </c>
      <c r="G73" s="7">
        <v>9.1431399999999993E-3</v>
      </c>
      <c r="H73" s="6"/>
      <c r="J73" s="75"/>
    </row>
    <row r="74" spans="1:10" ht="29.1" customHeight="1" x14ac:dyDescent="0.2">
      <c r="A74" s="3">
        <v>68</v>
      </c>
      <c r="B74" s="4" t="s">
        <v>354</v>
      </c>
      <c r="C74" s="4" t="s">
        <v>355</v>
      </c>
      <c r="D74" s="4" t="s">
        <v>216</v>
      </c>
      <c r="E74" s="5">
        <v>1124</v>
      </c>
      <c r="F74" s="6">
        <v>69.736332000000004</v>
      </c>
      <c r="G74" s="7">
        <v>9.1374500000000001E-3</v>
      </c>
      <c r="H74" s="6"/>
      <c r="J74" s="75"/>
    </row>
    <row r="75" spans="1:10" ht="17.100000000000001" customHeight="1" x14ac:dyDescent="0.2">
      <c r="A75" s="3">
        <v>69</v>
      </c>
      <c r="B75" s="4" t="s">
        <v>360</v>
      </c>
      <c r="C75" s="4" t="s">
        <v>361</v>
      </c>
      <c r="D75" s="4" t="s">
        <v>39</v>
      </c>
      <c r="E75" s="5">
        <v>4600</v>
      </c>
      <c r="F75" s="6">
        <v>69.722200000000001</v>
      </c>
      <c r="G75" s="7">
        <v>9.1356000000000007E-3</v>
      </c>
      <c r="H75" s="6"/>
      <c r="J75" s="75"/>
    </row>
    <row r="76" spans="1:10" ht="17.100000000000001" customHeight="1" x14ac:dyDescent="0.2">
      <c r="A76" s="3">
        <v>70</v>
      </c>
      <c r="B76" s="4" t="s">
        <v>283</v>
      </c>
      <c r="C76" s="4" t="s">
        <v>284</v>
      </c>
      <c r="D76" s="4" t="s">
        <v>285</v>
      </c>
      <c r="E76" s="5">
        <v>3383</v>
      </c>
      <c r="F76" s="6">
        <v>69.689800000000005</v>
      </c>
      <c r="G76" s="7">
        <v>9.1313499999999999E-3</v>
      </c>
      <c r="H76" s="6"/>
      <c r="J76" s="75"/>
    </row>
    <row r="77" spans="1:10" ht="17.100000000000001" customHeight="1" x14ac:dyDescent="0.2">
      <c r="A77" s="3">
        <v>71</v>
      </c>
      <c r="B77" s="4" t="s">
        <v>619</v>
      </c>
      <c r="C77" s="4" t="s">
        <v>620</v>
      </c>
      <c r="D77" s="4" t="s">
        <v>285</v>
      </c>
      <c r="E77" s="5">
        <v>777</v>
      </c>
      <c r="F77" s="6">
        <v>69.181360499999997</v>
      </c>
      <c r="G77" s="7">
        <v>9.06473E-3</v>
      </c>
      <c r="H77" s="6"/>
      <c r="J77" s="75"/>
    </row>
    <row r="78" spans="1:10" ht="29.1" customHeight="1" x14ac:dyDescent="0.2">
      <c r="A78" s="3">
        <v>72</v>
      </c>
      <c r="B78" s="4" t="s">
        <v>541</v>
      </c>
      <c r="C78" s="4" t="s">
        <v>542</v>
      </c>
      <c r="D78" s="4" t="s">
        <v>414</v>
      </c>
      <c r="E78" s="5">
        <v>6227</v>
      </c>
      <c r="F78" s="6">
        <v>69.016954499999997</v>
      </c>
      <c r="G78" s="7">
        <v>9.0431899999999996E-3</v>
      </c>
      <c r="H78" s="6"/>
      <c r="J78" s="75"/>
    </row>
    <row r="79" spans="1:10" ht="17.100000000000001" customHeight="1" x14ac:dyDescent="0.2">
      <c r="A79" s="3">
        <v>73</v>
      </c>
      <c r="B79" s="4" t="s">
        <v>11</v>
      </c>
      <c r="C79" s="4" t="s">
        <v>12</v>
      </c>
      <c r="D79" s="4" t="s">
        <v>13</v>
      </c>
      <c r="E79" s="5">
        <v>1917</v>
      </c>
      <c r="F79" s="6">
        <v>68.902731000000003</v>
      </c>
      <c r="G79" s="7">
        <v>9.02822E-3</v>
      </c>
      <c r="H79" s="6"/>
      <c r="J79" s="75"/>
    </row>
    <row r="80" spans="1:10" ht="17.100000000000001" customHeight="1" x14ac:dyDescent="0.2">
      <c r="A80" s="3">
        <v>74</v>
      </c>
      <c r="B80" s="4" t="s">
        <v>376</v>
      </c>
      <c r="C80" s="4" t="s">
        <v>377</v>
      </c>
      <c r="D80" s="4" t="s">
        <v>364</v>
      </c>
      <c r="E80" s="5">
        <v>3087</v>
      </c>
      <c r="F80" s="6">
        <v>68.853991500000006</v>
      </c>
      <c r="G80" s="7">
        <v>9.0218399999999997E-3</v>
      </c>
      <c r="H80" s="6"/>
      <c r="J80" s="75"/>
    </row>
    <row r="81" spans="1:10" ht="17.100000000000001" customHeight="1" x14ac:dyDescent="0.2">
      <c r="A81" s="3">
        <v>75</v>
      </c>
      <c r="B81" s="4" t="s">
        <v>814</v>
      </c>
      <c r="C81" s="4" t="s">
        <v>815</v>
      </c>
      <c r="D81" s="4" t="s">
        <v>65</v>
      </c>
      <c r="E81" s="5">
        <v>7409</v>
      </c>
      <c r="F81" s="6">
        <v>68.837018999999998</v>
      </c>
      <c r="G81" s="7">
        <v>9.0196100000000008E-3</v>
      </c>
      <c r="H81" s="6"/>
      <c r="J81" s="75"/>
    </row>
    <row r="82" spans="1:10" ht="29.1" customHeight="1" x14ac:dyDescent="0.2">
      <c r="A82" s="3">
        <v>76</v>
      </c>
      <c r="B82" s="4" t="s">
        <v>816</v>
      </c>
      <c r="C82" s="4" t="s">
        <v>817</v>
      </c>
      <c r="D82" s="4" t="s">
        <v>818</v>
      </c>
      <c r="E82" s="5">
        <v>2253</v>
      </c>
      <c r="F82" s="6">
        <v>68.822390999999996</v>
      </c>
      <c r="G82" s="7">
        <v>9.0177E-3</v>
      </c>
      <c r="H82" s="6"/>
      <c r="J82" s="75"/>
    </row>
    <row r="83" spans="1:10" ht="29.1" customHeight="1" x14ac:dyDescent="0.2">
      <c r="A83" s="3">
        <v>77</v>
      </c>
      <c r="B83" s="4" t="s">
        <v>627</v>
      </c>
      <c r="C83" s="4" t="s">
        <v>628</v>
      </c>
      <c r="D83" s="4" t="s">
        <v>235</v>
      </c>
      <c r="E83" s="5">
        <v>11955</v>
      </c>
      <c r="F83" s="6">
        <v>68.490195</v>
      </c>
      <c r="G83" s="7">
        <v>8.9741700000000001E-3</v>
      </c>
      <c r="H83" s="6"/>
      <c r="J83" s="75"/>
    </row>
    <row r="84" spans="1:10" ht="17.100000000000001" customHeight="1" x14ac:dyDescent="0.2">
      <c r="A84" s="3">
        <v>78</v>
      </c>
      <c r="B84" s="4" t="s">
        <v>734</v>
      </c>
      <c r="C84" s="4" t="s">
        <v>735</v>
      </c>
      <c r="D84" s="4" t="s">
        <v>276</v>
      </c>
      <c r="E84" s="5">
        <v>1434</v>
      </c>
      <c r="F84" s="6">
        <v>68.487122999999997</v>
      </c>
      <c r="G84" s="7">
        <v>8.9737700000000007E-3</v>
      </c>
      <c r="H84" s="6"/>
      <c r="J84" s="75"/>
    </row>
    <row r="85" spans="1:10" ht="17.100000000000001" customHeight="1" x14ac:dyDescent="0.2">
      <c r="A85" s="3">
        <v>79</v>
      </c>
      <c r="B85" s="4" t="s">
        <v>819</v>
      </c>
      <c r="C85" s="4" t="s">
        <v>820</v>
      </c>
      <c r="D85" s="4" t="s">
        <v>104</v>
      </c>
      <c r="E85" s="5">
        <v>232</v>
      </c>
      <c r="F85" s="6">
        <v>68.106036000000003</v>
      </c>
      <c r="G85" s="7">
        <v>8.9238300000000007E-3</v>
      </c>
      <c r="H85" s="6"/>
      <c r="J85" s="75"/>
    </row>
    <row r="86" spans="1:10" ht="17.100000000000001" customHeight="1" x14ac:dyDescent="0.2">
      <c r="A86" s="3">
        <v>80</v>
      </c>
      <c r="B86" s="4" t="s">
        <v>708</v>
      </c>
      <c r="C86" s="4" t="s">
        <v>709</v>
      </c>
      <c r="D86" s="4" t="s">
        <v>406</v>
      </c>
      <c r="E86" s="5">
        <v>13358</v>
      </c>
      <c r="F86" s="6">
        <v>67.825244999999995</v>
      </c>
      <c r="G86" s="7">
        <v>8.8870400000000006E-3</v>
      </c>
      <c r="H86" s="6"/>
      <c r="J86" s="75"/>
    </row>
    <row r="87" spans="1:10" ht="17.100000000000001" customHeight="1" x14ac:dyDescent="0.2">
      <c r="A87" s="3">
        <v>81</v>
      </c>
      <c r="B87" s="4" t="s">
        <v>339</v>
      </c>
      <c r="C87" s="4" t="s">
        <v>340</v>
      </c>
      <c r="D87" s="4" t="s">
        <v>232</v>
      </c>
      <c r="E87" s="5">
        <v>1774</v>
      </c>
      <c r="F87" s="6">
        <v>67.778330999999994</v>
      </c>
      <c r="G87" s="7">
        <v>8.8808900000000007E-3</v>
      </c>
      <c r="H87" s="6"/>
      <c r="J87" s="75"/>
    </row>
    <row r="88" spans="1:10" ht="17.100000000000001" customHeight="1" x14ac:dyDescent="0.2">
      <c r="A88" s="3">
        <v>82</v>
      </c>
      <c r="B88" s="4" t="s">
        <v>766</v>
      </c>
      <c r="C88" s="4" t="s">
        <v>767</v>
      </c>
      <c r="D88" s="4" t="s">
        <v>276</v>
      </c>
      <c r="E88" s="5">
        <v>2699</v>
      </c>
      <c r="F88" s="6">
        <v>67.674726000000007</v>
      </c>
      <c r="G88" s="7">
        <v>8.8673199999999997E-3</v>
      </c>
      <c r="H88" s="6"/>
      <c r="J88" s="75"/>
    </row>
    <row r="89" spans="1:10" ht="17.100000000000001" customHeight="1" x14ac:dyDescent="0.2">
      <c r="A89" s="3">
        <v>83</v>
      </c>
      <c r="B89" s="4" t="s">
        <v>821</v>
      </c>
      <c r="C89" s="4" t="s">
        <v>822</v>
      </c>
      <c r="D89" s="4" t="s">
        <v>22</v>
      </c>
      <c r="E89" s="5">
        <v>3764</v>
      </c>
      <c r="F89" s="6">
        <v>67.663545999999997</v>
      </c>
      <c r="G89" s="7">
        <v>8.8658499999999998E-3</v>
      </c>
      <c r="H89" s="6"/>
      <c r="J89" s="75"/>
    </row>
    <row r="90" spans="1:10" ht="17.100000000000001" customHeight="1" x14ac:dyDescent="0.2">
      <c r="A90" s="3">
        <v>84</v>
      </c>
      <c r="B90" s="4" t="s">
        <v>382</v>
      </c>
      <c r="C90" s="4" t="s">
        <v>383</v>
      </c>
      <c r="D90" s="4" t="s">
        <v>75</v>
      </c>
      <c r="E90" s="5">
        <v>1875</v>
      </c>
      <c r="F90" s="6">
        <v>67.298437500000006</v>
      </c>
      <c r="G90" s="7">
        <v>8.8180099999999994E-3</v>
      </c>
      <c r="H90" s="6"/>
      <c r="J90" s="75"/>
    </row>
    <row r="91" spans="1:10" ht="17.100000000000001" customHeight="1" x14ac:dyDescent="0.2">
      <c r="A91" s="3">
        <v>85</v>
      </c>
      <c r="B91" s="4" t="s">
        <v>369</v>
      </c>
      <c r="C91" s="4" t="s">
        <v>370</v>
      </c>
      <c r="D91" s="4" t="s">
        <v>285</v>
      </c>
      <c r="E91" s="5">
        <v>1478</v>
      </c>
      <c r="F91" s="6">
        <v>67.146279000000007</v>
      </c>
      <c r="G91" s="7">
        <v>8.7980799999999998E-3</v>
      </c>
      <c r="H91" s="6"/>
      <c r="J91" s="75"/>
    </row>
    <row r="92" spans="1:10" ht="17.100000000000001" customHeight="1" x14ac:dyDescent="0.2">
      <c r="A92" s="3">
        <v>86</v>
      </c>
      <c r="B92" s="4" t="s">
        <v>535</v>
      </c>
      <c r="C92" s="4" t="s">
        <v>536</v>
      </c>
      <c r="D92" s="4" t="s">
        <v>235</v>
      </c>
      <c r="E92" s="5">
        <v>4649</v>
      </c>
      <c r="F92" s="6">
        <v>66.785209499999993</v>
      </c>
      <c r="G92" s="7">
        <v>8.7507699999999997E-3</v>
      </c>
      <c r="H92" s="6"/>
      <c r="J92" s="75"/>
    </row>
    <row r="93" spans="1:10" ht="29.1" customHeight="1" x14ac:dyDescent="0.2">
      <c r="A93" s="3">
        <v>87</v>
      </c>
      <c r="B93" s="4" t="s">
        <v>823</v>
      </c>
      <c r="C93" s="4" t="s">
        <v>824</v>
      </c>
      <c r="D93" s="4" t="s">
        <v>25</v>
      </c>
      <c r="E93" s="5">
        <v>273</v>
      </c>
      <c r="F93" s="6">
        <v>66.734440500000005</v>
      </c>
      <c r="G93" s="7">
        <v>8.7441099999999994E-3</v>
      </c>
      <c r="H93" s="6"/>
      <c r="J93" s="75"/>
    </row>
    <row r="94" spans="1:10" ht="17.100000000000001" customHeight="1" x14ac:dyDescent="0.2">
      <c r="A94" s="3">
        <v>88</v>
      </c>
      <c r="B94" s="4" t="s">
        <v>825</v>
      </c>
      <c r="C94" s="4" t="s">
        <v>826</v>
      </c>
      <c r="D94" s="4" t="s">
        <v>53</v>
      </c>
      <c r="E94" s="5">
        <v>822</v>
      </c>
      <c r="F94" s="6">
        <v>66.714753000000002</v>
      </c>
      <c r="G94" s="7">
        <v>8.7415300000000008E-3</v>
      </c>
      <c r="H94" s="6"/>
      <c r="J94" s="75"/>
    </row>
    <row r="95" spans="1:10" ht="17.100000000000001" customHeight="1" x14ac:dyDescent="0.2">
      <c r="A95" s="3">
        <v>89</v>
      </c>
      <c r="B95" s="4" t="s">
        <v>547</v>
      </c>
      <c r="C95" s="4" t="s">
        <v>548</v>
      </c>
      <c r="D95" s="4" t="s">
        <v>232</v>
      </c>
      <c r="E95" s="5">
        <v>14305</v>
      </c>
      <c r="F95" s="6">
        <v>66.146320000000003</v>
      </c>
      <c r="G95" s="7">
        <v>8.6670500000000008E-3</v>
      </c>
      <c r="H95" s="6"/>
      <c r="J95" s="75"/>
    </row>
    <row r="96" spans="1:10" ht="29.1" customHeight="1" x14ac:dyDescent="0.2">
      <c r="A96" s="3">
        <v>90</v>
      </c>
      <c r="B96" s="4" t="s">
        <v>214</v>
      </c>
      <c r="C96" s="4" t="s">
        <v>215</v>
      </c>
      <c r="D96" s="4" t="s">
        <v>216</v>
      </c>
      <c r="E96" s="5">
        <v>6876</v>
      </c>
      <c r="F96" s="6">
        <v>65.566097999999997</v>
      </c>
      <c r="G96" s="7">
        <v>8.5910299999999995E-3</v>
      </c>
      <c r="H96" s="6"/>
      <c r="J96" s="75"/>
    </row>
    <row r="97" spans="1:10" ht="29.1" customHeight="1" x14ac:dyDescent="0.2">
      <c r="A97" s="3">
        <v>91</v>
      </c>
      <c r="B97" s="4" t="s">
        <v>539</v>
      </c>
      <c r="C97" s="4" t="s">
        <v>540</v>
      </c>
      <c r="D97" s="4" t="s">
        <v>216</v>
      </c>
      <c r="E97" s="5">
        <v>4676</v>
      </c>
      <c r="F97" s="6">
        <v>65.463999999999999</v>
      </c>
      <c r="G97" s="7">
        <v>8.5776499999999992E-3</v>
      </c>
      <c r="H97" s="6"/>
      <c r="J97" s="75"/>
    </row>
    <row r="98" spans="1:10" ht="17.100000000000001" customHeight="1" x14ac:dyDescent="0.2">
      <c r="A98" s="3">
        <v>92</v>
      </c>
      <c r="B98" s="4" t="s">
        <v>827</v>
      </c>
      <c r="C98" s="4" t="s">
        <v>828</v>
      </c>
      <c r="D98" s="4" t="s">
        <v>232</v>
      </c>
      <c r="E98" s="5">
        <v>1390</v>
      </c>
      <c r="F98" s="6">
        <v>65.418959999999998</v>
      </c>
      <c r="G98" s="7">
        <v>8.5717499999999995E-3</v>
      </c>
      <c r="H98" s="6"/>
      <c r="J98" s="75"/>
    </row>
    <row r="99" spans="1:10" ht="17.100000000000001" customHeight="1" x14ac:dyDescent="0.2">
      <c r="A99" s="3">
        <v>93</v>
      </c>
      <c r="B99" s="4" t="s">
        <v>337</v>
      </c>
      <c r="C99" s="4" t="s">
        <v>338</v>
      </c>
      <c r="D99" s="4" t="s">
        <v>232</v>
      </c>
      <c r="E99" s="5">
        <v>4593</v>
      </c>
      <c r="F99" s="6">
        <v>65.245861500000004</v>
      </c>
      <c r="G99" s="7">
        <v>8.5490700000000006E-3</v>
      </c>
      <c r="H99" s="6"/>
      <c r="J99" s="75"/>
    </row>
    <row r="100" spans="1:10" ht="17.100000000000001" customHeight="1" x14ac:dyDescent="0.2">
      <c r="A100" s="3">
        <v>94</v>
      </c>
      <c r="B100" s="4" t="s">
        <v>829</v>
      </c>
      <c r="C100" s="4" t="s">
        <v>830</v>
      </c>
      <c r="D100" s="4" t="s">
        <v>235</v>
      </c>
      <c r="E100" s="5">
        <v>11156</v>
      </c>
      <c r="F100" s="6">
        <v>65.111993999999996</v>
      </c>
      <c r="G100" s="7">
        <v>8.5315300000000007E-3</v>
      </c>
      <c r="H100" s="6"/>
      <c r="J100" s="75"/>
    </row>
    <row r="101" spans="1:10" ht="29.1" customHeight="1" x14ac:dyDescent="0.2">
      <c r="A101" s="3">
        <v>95</v>
      </c>
      <c r="B101" s="4" t="s">
        <v>346</v>
      </c>
      <c r="C101" s="4" t="s">
        <v>347</v>
      </c>
      <c r="D101" s="4" t="s">
        <v>216</v>
      </c>
      <c r="E101" s="5">
        <v>4314</v>
      </c>
      <c r="F101" s="6">
        <v>64.800594000000004</v>
      </c>
      <c r="G101" s="7">
        <v>8.4907300000000002E-3</v>
      </c>
      <c r="H101" s="6"/>
      <c r="J101" s="75"/>
    </row>
    <row r="102" spans="1:10" ht="17.100000000000001" customHeight="1" x14ac:dyDescent="0.2">
      <c r="A102" s="3">
        <v>96</v>
      </c>
      <c r="B102" s="4" t="s">
        <v>831</v>
      </c>
      <c r="C102" s="4" t="s">
        <v>832</v>
      </c>
      <c r="D102" s="4" t="s">
        <v>213</v>
      </c>
      <c r="E102" s="5">
        <v>1086</v>
      </c>
      <c r="F102" s="6">
        <v>64.585505999999995</v>
      </c>
      <c r="G102" s="7">
        <v>8.4625399999999993E-3</v>
      </c>
      <c r="H102" s="6"/>
      <c r="J102" s="75"/>
    </row>
    <row r="103" spans="1:10" ht="17.100000000000001" customHeight="1" x14ac:dyDescent="0.2">
      <c r="A103" s="3">
        <v>97</v>
      </c>
      <c r="B103" s="4" t="s">
        <v>545</v>
      </c>
      <c r="C103" s="4" t="s">
        <v>546</v>
      </c>
      <c r="D103" s="4" t="s">
        <v>39</v>
      </c>
      <c r="E103" s="5">
        <v>3916</v>
      </c>
      <c r="F103" s="6">
        <v>63.593882000000001</v>
      </c>
      <c r="G103" s="7">
        <v>8.3326100000000007E-3</v>
      </c>
      <c r="H103" s="6"/>
      <c r="J103" s="75"/>
    </row>
    <row r="104" spans="1:10" ht="17.100000000000001" customHeight="1" x14ac:dyDescent="0.2">
      <c r="A104" s="3">
        <v>98</v>
      </c>
      <c r="B104" s="4" t="s">
        <v>833</v>
      </c>
      <c r="C104" s="4" t="s">
        <v>834</v>
      </c>
      <c r="D104" s="4" t="s">
        <v>75</v>
      </c>
      <c r="E104" s="5">
        <v>12380</v>
      </c>
      <c r="F104" s="6">
        <v>62.958489999999998</v>
      </c>
      <c r="G104" s="7">
        <v>8.2493600000000007E-3</v>
      </c>
      <c r="H104" s="6"/>
      <c r="J104" s="75"/>
    </row>
    <row r="105" spans="1:10" ht="17.100000000000001" customHeight="1" x14ac:dyDescent="0.2">
      <c r="A105" s="3">
        <v>99</v>
      </c>
      <c r="B105" s="4" t="s">
        <v>537</v>
      </c>
      <c r="C105" s="4" t="s">
        <v>538</v>
      </c>
      <c r="D105" s="4" t="s">
        <v>232</v>
      </c>
      <c r="E105" s="5">
        <v>4497</v>
      </c>
      <c r="F105" s="6">
        <v>61.456001999999998</v>
      </c>
      <c r="G105" s="7">
        <v>8.0524900000000007E-3</v>
      </c>
      <c r="H105" s="6"/>
      <c r="J105" s="75"/>
    </row>
    <row r="106" spans="1:10" ht="17.100000000000001" customHeight="1" x14ac:dyDescent="0.2">
      <c r="A106" s="3">
        <v>100</v>
      </c>
      <c r="B106" s="4" t="s">
        <v>348</v>
      </c>
      <c r="C106" s="4" t="s">
        <v>349</v>
      </c>
      <c r="D106" s="4" t="s">
        <v>285</v>
      </c>
      <c r="E106" s="5">
        <v>6035</v>
      </c>
      <c r="F106" s="6">
        <v>60.826765000000002</v>
      </c>
      <c r="G106" s="7">
        <v>7.9700399999999994E-3</v>
      </c>
      <c r="H106" s="6"/>
      <c r="J106" s="75"/>
    </row>
    <row r="107" spans="1:10" ht="17.100000000000001" customHeight="1" x14ac:dyDescent="0.2">
      <c r="A107" s="3">
        <v>101</v>
      </c>
      <c r="B107" s="4" t="s">
        <v>532</v>
      </c>
      <c r="C107" s="4" t="s">
        <v>1053</v>
      </c>
      <c r="D107" s="4" t="s">
        <v>285</v>
      </c>
      <c r="E107" s="5">
        <v>1604</v>
      </c>
      <c r="F107" s="6">
        <v>10.943289999999999</v>
      </c>
      <c r="G107" s="7">
        <v>1.43388E-3</v>
      </c>
      <c r="H107" s="6"/>
      <c r="J107" s="75"/>
    </row>
    <row r="108" spans="1:10" ht="14.1" customHeight="1" x14ac:dyDescent="0.2">
      <c r="A108" s="1"/>
      <c r="B108" s="1"/>
      <c r="C108" s="2" t="s">
        <v>152</v>
      </c>
      <c r="D108" s="1"/>
      <c r="E108" s="1" t="s">
        <v>153</v>
      </c>
      <c r="F108" s="9">
        <v>7296.0826305000001</v>
      </c>
      <c r="G108" s="10">
        <v>0.95599484000000001</v>
      </c>
      <c r="H108" s="6"/>
      <c r="J108" s="75"/>
    </row>
    <row r="109" spans="1:10" ht="14.1" customHeight="1" x14ac:dyDescent="0.2">
      <c r="A109" s="1"/>
      <c r="B109" s="1"/>
      <c r="C109" s="11"/>
      <c r="D109" s="1"/>
      <c r="E109" s="1"/>
      <c r="F109" s="12"/>
      <c r="G109" s="12"/>
      <c r="H109" s="6"/>
      <c r="J109" s="75"/>
    </row>
    <row r="110" spans="1:10" ht="14.1" customHeight="1" x14ac:dyDescent="0.2">
      <c r="A110" s="1"/>
      <c r="B110" s="1"/>
      <c r="C110" s="2" t="s">
        <v>154</v>
      </c>
      <c r="D110" s="1"/>
      <c r="E110" s="1"/>
      <c r="F110" s="1"/>
      <c r="G110" s="1"/>
      <c r="H110" s="6"/>
      <c r="J110" s="75"/>
    </row>
    <row r="111" spans="1:10" ht="14.1" customHeight="1" x14ac:dyDescent="0.2">
      <c r="A111" s="1"/>
      <c r="B111" s="1"/>
      <c r="C111" s="2" t="s">
        <v>152</v>
      </c>
      <c r="D111" s="1"/>
      <c r="E111" s="1" t="s">
        <v>153</v>
      </c>
      <c r="F111" s="13" t="s">
        <v>155</v>
      </c>
      <c r="G111" s="10">
        <v>0</v>
      </c>
      <c r="H111" s="6"/>
      <c r="J111" s="75"/>
    </row>
    <row r="112" spans="1:10" ht="14.1" customHeight="1" x14ac:dyDescent="0.2">
      <c r="A112" s="1"/>
      <c r="B112" s="1"/>
      <c r="C112" s="11"/>
      <c r="D112" s="1"/>
      <c r="E112" s="1"/>
      <c r="F112" s="12"/>
      <c r="G112" s="12"/>
      <c r="H112" s="6"/>
      <c r="J112" s="75"/>
    </row>
    <row r="113" spans="1:10" ht="14.1" customHeight="1" x14ac:dyDescent="0.2">
      <c r="A113" s="1"/>
      <c r="B113" s="1"/>
      <c r="C113" s="2" t="s">
        <v>156</v>
      </c>
      <c r="D113" s="1"/>
      <c r="E113" s="1"/>
      <c r="F113" s="1"/>
      <c r="G113" s="1"/>
      <c r="H113" s="6"/>
      <c r="J113" s="75"/>
    </row>
    <row r="114" spans="1:10" ht="14.1" customHeight="1" x14ac:dyDescent="0.2">
      <c r="A114" s="1"/>
      <c r="B114" s="1"/>
      <c r="C114" s="2" t="s">
        <v>152</v>
      </c>
      <c r="D114" s="1"/>
      <c r="E114" s="1" t="s">
        <v>153</v>
      </c>
      <c r="F114" s="13" t="s">
        <v>155</v>
      </c>
      <c r="G114" s="10">
        <v>0</v>
      </c>
      <c r="H114" s="6"/>
      <c r="J114" s="75"/>
    </row>
    <row r="115" spans="1:10" ht="14.1" customHeight="1" x14ac:dyDescent="0.2">
      <c r="A115" s="1"/>
      <c r="B115" s="1"/>
      <c r="C115" s="11"/>
      <c r="D115" s="1"/>
      <c r="E115" s="1"/>
      <c r="F115" s="12"/>
      <c r="G115" s="12"/>
      <c r="H115" s="6"/>
      <c r="J115" s="75"/>
    </row>
    <row r="116" spans="1:10" ht="14.1" customHeight="1" x14ac:dyDescent="0.2">
      <c r="A116" s="1"/>
      <c r="B116" s="1"/>
      <c r="C116" s="2" t="s">
        <v>157</v>
      </c>
      <c r="D116" s="1"/>
      <c r="E116" s="1"/>
      <c r="F116" s="1"/>
      <c r="G116" s="1"/>
      <c r="H116" s="6"/>
      <c r="J116" s="75"/>
    </row>
    <row r="117" spans="1:10" ht="14.1" customHeight="1" x14ac:dyDescent="0.2">
      <c r="A117" s="1"/>
      <c r="B117" s="1"/>
      <c r="C117" s="2" t="s">
        <v>152</v>
      </c>
      <c r="D117" s="1"/>
      <c r="E117" s="1" t="s">
        <v>153</v>
      </c>
      <c r="F117" s="13" t="s">
        <v>155</v>
      </c>
      <c r="G117" s="10">
        <v>0</v>
      </c>
      <c r="H117" s="6"/>
      <c r="J117" s="75"/>
    </row>
    <row r="118" spans="1:10" ht="14.1" customHeight="1" x14ac:dyDescent="0.2">
      <c r="A118" s="1"/>
      <c r="B118" s="1"/>
      <c r="C118" s="11"/>
      <c r="D118" s="1"/>
      <c r="E118" s="1"/>
      <c r="F118" s="12"/>
      <c r="G118" s="12"/>
      <c r="H118" s="6"/>
      <c r="J118" s="75"/>
    </row>
    <row r="119" spans="1:10" ht="14.1" customHeight="1" x14ac:dyDescent="0.2">
      <c r="A119" s="1"/>
      <c r="B119" s="1"/>
      <c r="C119" s="2" t="s">
        <v>158</v>
      </c>
      <c r="D119" s="1"/>
      <c r="E119" s="1"/>
      <c r="F119" s="12"/>
      <c r="G119" s="12"/>
      <c r="H119" s="6"/>
      <c r="J119" s="75"/>
    </row>
    <row r="120" spans="1:10" ht="14.1" customHeight="1" x14ac:dyDescent="0.2">
      <c r="A120" s="1"/>
      <c r="B120" s="1"/>
      <c r="C120" s="2" t="s">
        <v>152</v>
      </c>
      <c r="D120" s="1"/>
      <c r="E120" s="1" t="s">
        <v>153</v>
      </c>
      <c r="F120" s="13" t="s">
        <v>155</v>
      </c>
      <c r="G120" s="10">
        <v>0</v>
      </c>
      <c r="H120" s="6"/>
      <c r="J120" s="75"/>
    </row>
    <row r="121" spans="1:10" ht="14.1" customHeight="1" x14ac:dyDescent="0.2">
      <c r="A121" s="1"/>
      <c r="B121" s="1"/>
      <c r="C121" s="11"/>
      <c r="D121" s="1"/>
      <c r="E121" s="1"/>
      <c r="F121" s="12"/>
      <c r="G121" s="12"/>
      <c r="H121" s="6"/>
      <c r="J121" s="75"/>
    </row>
    <row r="122" spans="1:10" ht="14.1" customHeight="1" x14ac:dyDescent="0.2">
      <c r="A122" s="1"/>
      <c r="B122" s="1"/>
      <c r="C122" s="2" t="s">
        <v>159</v>
      </c>
      <c r="D122" s="1"/>
      <c r="E122" s="1"/>
      <c r="F122" s="12"/>
      <c r="G122" s="12"/>
      <c r="H122" s="6"/>
      <c r="J122" s="75"/>
    </row>
    <row r="123" spans="1:10" ht="14.1" customHeight="1" x14ac:dyDescent="0.2">
      <c r="A123" s="1"/>
      <c r="B123" s="1"/>
      <c r="C123" s="2" t="s">
        <v>152</v>
      </c>
      <c r="D123" s="1"/>
      <c r="E123" s="1" t="s">
        <v>153</v>
      </c>
      <c r="F123" s="13" t="s">
        <v>155</v>
      </c>
      <c r="G123" s="10">
        <v>0</v>
      </c>
      <c r="H123" s="6"/>
      <c r="J123" s="75"/>
    </row>
    <row r="124" spans="1:10" ht="14.1" customHeight="1" x14ac:dyDescent="0.2">
      <c r="A124" s="1"/>
      <c r="B124" s="1"/>
      <c r="C124" s="11"/>
      <c r="D124" s="1"/>
      <c r="E124" s="1"/>
      <c r="F124" s="12"/>
      <c r="G124" s="12"/>
      <c r="H124" s="6"/>
      <c r="J124" s="75"/>
    </row>
    <row r="125" spans="1:10" ht="18" customHeight="1" x14ac:dyDescent="0.2">
      <c r="A125" s="1"/>
      <c r="B125" s="1"/>
      <c r="C125" s="2" t="s">
        <v>160</v>
      </c>
      <c r="D125" s="1"/>
      <c r="E125" s="1"/>
      <c r="F125" s="9">
        <v>7296.0826305000001</v>
      </c>
      <c r="G125" s="10">
        <v>0.95599484000000001</v>
      </c>
      <c r="H125" s="6"/>
      <c r="J125" s="75"/>
    </row>
    <row r="126" spans="1:10" ht="14.1" customHeight="1" x14ac:dyDescent="0.2">
      <c r="A126" s="1"/>
      <c r="B126" s="1"/>
      <c r="C126" s="11"/>
      <c r="D126" s="1"/>
      <c r="E126" s="1"/>
      <c r="F126" s="12"/>
      <c r="G126" s="12"/>
      <c r="H126" s="6"/>
      <c r="J126" s="75"/>
    </row>
    <row r="127" spans="1:10" ht="14.1" customHeight="1" x14ac:dyDescent="0.2">
      <c r="A127" s="1"/>
      <c r="B127" s="1"/>
      <c r="C127" s="2" t="s">
        <v>161</v>
      </c>
      <c r="D127" s="1"/>
      <c r="E127" s="1"/>
      <c r="F127" s="12"/>
      <c r="G127" s="12"/>
      <c r="H127" s="6"/>
      <c r="J127" s="75"/>
    </row>
    <row r="128" spans="1:10" ht="24" customHeight="1" x14ac:dyDescent="0.2">
      <c r="A128" s="1"/>
      <c r="B128" s="1"/>
      <c r="C128" s="2" t="s">
        <v>10</v>
      </c>
      <c r="D128" s="1"/>
      <c r="E128" s="1"/>
      <c r="F128" s="12"/>
      <c r="G128" s="12"/>
      <c r="H128" s="6"/>
      <c r="J128" s="75"/>
    </row>
    <row r="129" spans="1:10" ht="29.1" customHeight="1" x14ac:dyDescent="0.2">
      <c r="A129" s="3">
        <v>1</v>
      </c>
      <c r="B129" s="4" t="s">
        <v>743</v>
      </c>
      <c r="C129" s="4" t="s">
        <v>744</v>
      </c>
      <c r="D129" s="4" t="s">
        <v>432</v>
      </c>
      <c r="E129" s="5">
        <v>828</v>
      </c>
      <c r="F129" s="6">
        <v>0.239590055</v>
      </c>
      <c r="G129" s="7">
        <v>3.1390000000000003E-5</v>
      </c>
      <c r="H129" s="6">
        <v>7.585</v>
      </c>
      <c r="J129" s="75"/>
    </row>
    <row r="130" spans="1:10" ht="14.1" customHeight="1" x14ac:dyDescent="0.2">
      <c r="A130" s="1"/>
      <c r="B130" s="1"/>
      <c r="C130" s="2" t="s">
        <v>152</v>
      </c>
      <c r="D130" s="1"/>
      <c r="E130" s="1" t="s">
        <v>153</v>
      </c>
      <c r="F130" s="9">
        <v>0.239590055</v>
      </c>
      <c r="G130" s="10">
        <v>3.1390000000000003E-5</v>
      </c>
      <c r="H130" s="6"/>
      <c r="J130" s="75"/>
    </row>
    <row r="131" spans="1:10" ht="14.1" customHeight="1" x14ac:dyDescent="0.2">
      <c r="A131" s="1"/>
      <c r="B131" s="1"/>
      <c r="C131" s="11"/>
      <c r="D131" s="1"/>
      <c r="E131" s="1"/>
      <c r="F131" s="12"/>
      <c r="G131" s="12"/>
      <c r="H131" s="6"/>
      <c r="J131" s="75"/>
    </row>
    <row r="132" spans="1:10" ht="14.1" customHeight="1" x14ac:dyDescent="0.2">
      <c r="A132" s="1"/>
      <c r="B132" s="1"/>
      <c r="C132" s="2" t="s">
        <v>162</v>
      </c>
      <c r="D132" s="1"/>
      <c r="E132" s="1"/>
      <c r="F132" s="1"/>
      <c r="G132" s="1"/>
      <c r="H132" s="6"/>
      <c r="J132" s="75"/>
    </row>
    <row r="133" spans="1:10" ht="14.1" customHeight="1" x14ac:dyDescent="0.2">
      <c r="A133" s="1"/>
      <c r="B133" s="1"/>
      <c r="C133" s="2" t="s">
        <v>152</v>
      </c>
      <c r="D133" s="1"/>
      <c r="E133" s="1" t="s">
        <v>153</v>
      </c>
      <c r="F133" s="13" t="s">
        <v>155</v>
      </c>
      <c r="G133" s="10">
        <v>0</v>
      </c>
      <c r="H133" s="6"/>
      <c r="J133" s="75"/>
    </row>
    <row r="134" spans="1:10" ht="14.1" customHeight="1" x14ac:dyDescent="0.2">
      <c r="A134" s="1"/>
      <c r="B134" s="1"/>
      <c r="C134" s="11"/>
      <c r="D134" s="1"/>
      <c r="E134" s="1"/>
      <c r="F134" s="12"/>
      <c r="G134" s="12"/>
      <c r="H134" s="6"/>
      <c r="J134" s="75"/>
    </row>
    <row r="135" spans="1:10" ht="14.1" customHeight="1" x14ac:dyDescent="0.2">
      <c r="A135" s="1"/>
      <c r="B135" s="1"/>
      <c r="C135" s="2" t="s">
        <v>163</v>
      </c>
      <c r="D135" s="1"/>
      <c r="E135" s="1"/>
      <c r="F135" s="1"/>
      <c r="G135" s="1"/>
      <c r="H135" s="6"/>
      <c r="J135" s="75"/>
    </row>
    <row r="136" spans="1:10" ht="14.1" customHeight="1" x14ac:dyDescent="0.2">
      <c r="A136" s="1"/>
      <c r="B136" s="1"/>
      <c r="C136" s="2" t="s">
        <v>152</v>
      </c>
      <c r="D136" s="1"/>
      <c r="E136" s="1" t="s">
        <v>153</v>
      </c>
      <c r="F136" s="13" t="s">
        <v>155</v>
      </c>
      <c r="G136" s="10">
        <v>0</v>
      </c>
      <c r="H136" s="6"/>
      <c r="J136" s="75"/>
    </row>
    <row r="137" spans="1:10" ht="14.1" customHeight="1" x14ac:dyDescent="0.2">
      <c r="A137" s="1"/>
      <c r="B137" s="1"/>
      <c r="C137" s="11"/>
      <c r="D137" s="1"/>
      <c r="E137" s="1"/>
      <c r="F137" s="12"/>
      <c r="G137" s="12"/>
      <c r="H137" s="6"/>
      <c r="J137" s="75"/>
    </row>
    <row r="138" spans="1:10" ht="14.1" customHeight="1" x14ac:dyDescent="0.2">
      <c r="A138" s="1"/>
      <c r="B138" s="1"/>
      <c r="C138" s="2" t="s">
        <v>164</v>
      </c>
      <c r="D138" s="1"/>
      <c r="E138" s="1"/>
      <c r="F138" s="12"/>
      <c r="G138" s="12"/>
      <c r="H138" s="6"/>
      <c r="J138" s="75"/>
    </row>
    <row r="139" spans="1:10" ht="14.1" customHeight="1" x14ac:dyDescent="0.2">
      <c r="A139" s="1"/>
      <c r="B139" s="1"/>
      <c r="C139" s="2" t="s">
        <v>152</v>
      </c>
      <c r="D139" s="1"/>
      <c r="E139" s="1" t="s">
        <v>153</v>
      </c>
      <c r="F139" s="13" t="s">
        <v>155</v>
      </c>
      <c r="G139" s="10">
        <v>0</v>
      </c>
      <c r="H139" s="6"/>
      <c r="J139" s="75"/>
    </row>
    <row r="140" spans="1:10" ht="14.1" customHeight="1" x14ac:dyDescent="0.2">
      <c r="A140" s="1"/>
      <c r="B140" s="1"/>
      <c r="C140" s="11"/>
      <c r="D140" s="1"/>
      <c r="E140" s="1"/>
      <c r="F140" s="12"/>
      <c r="G140" s="12"/>
      <c r="H140" s="6"/>
      <c r="J140" s="75"/>
    </row>
    <row r="141" spans="1:10" ht="14.1" customHeight="1" x14ac:dyDescent="0.2">
      <c r="A141" s="1"/>
      <c r="B141" s="1"/>
      <c r="C141" s="2" t="s">
        <v>165</v>
      </c>
      <c r="D141" s="1"/>
      <c r="E141" s="1"/>
      <c r="F141" s="9">
        <v>0.239590055</v>
      </c>
      <c r="G141" s="10">
        <v>3.1390000000000003E-5</v>
      </c>
      <c r="H141" s="6"/>
      <c r="J141" s="75"/>
    </row>
    <row r="142" spans="1:10" ht="14.1" customHeight="1" x14ac:dyDescent="0.2">
      <c r="A142" s="1"/>
      <c r="B142" s="1"/>
      <c r="C142" s="11"/>
      <c r="D142" s="1"/>
      <c r="E142" s="1"/>
      <c r="F142" s="12"/>
      <c r="G142" s="12"/>
      <c r="H142" s="6"/>
      <c r="J142" s="75"/>
    </row>
    <row r="143" spans="1:10" ht="14.1" customHeight="1" x14ac:dyDescent="0.2">
      <c r="A143" s="1"/>
      <c r="B143" s="1"/>
      <c r="C143" s="2" t="s">
        <v>166</v>
      </c>
      <c r="D143" s="1"/>
      <c r="E143" s="1"/>
      <c r="F143" s="12"/>
      <c r="G143" s="12"/>
      <c r="H143" s="6"/>
      <c r="J143" s="75"/>
    </row>
    <row r="144" spans="1:10" ht="14.1" customHeight="1" x14ac:dyDescent="0.2">
      <c r="A144" s="1"/>
      <c r="B144" s="1"/>
      <c r="C144" s="2" t="s">
        <v>167</v>
      </c>
      <c r="D144" s="1"/>
      <c r="E144" s="1"/>
      <c r="F144" s="12"/>
      <c r="G144" s="12"/>
      <c r="H144" s="6"/>
      <c r="J144" s="75"/>
    </row>
    <row r="145" spans="1:10" ht="14.1" customHeight="1" x14ac:dyDescent="0.2">
      <c r="A145" s="1"/>
      <c r="B145" s="1"/>
      <c r="C145" s="2" t="s">
        <v>152</v>
      </c>
      <c r="D145" s="1"/>
      <c r="E145" s="1" t="s">
        <v>153</v>
      </c>
      <c r="F145" s="13" t="s">
        <v>155</v>
      </c>
      <c r="G145" s="10">
        <v>0</v>
      </c>
      <c r="H145" s="6"/>
      <c r="J145" s="75"/>
    </row>
    <row r="146" spans="1:10" ht="14.1" customHeight="1" x14ac:dyDescent="0.2">
      <c r="A146" s="1"/>
      <c r="B146" s="1"/>
      <c r="C146" s="11"/>
      <c r="D146" s="1"/>
      <c r="E146" s="1"/>
      <c r="F146" s="12"/>
      <c r="G146" s="12"/>
      <c r="H146" s="6"/>
      <c r="J146" s="75"/>
    </row>
    <row r="147" spans="1:10" ht="14.1" customHeight="1" x14ac:dyDescent="0.2">
      <c r="A147" s="1"/>
      <c r="B147" s="1"/>
      <c r="C147" s="2" t="s">
        <v>168</v>
      </c>
      <c r="D147" s="1"/>
      <c r="E147" s="1"/>
      <c r="F147" s="12"/>
      <c r="G147" s="12"/>
      <c r="H147" s="6"/>
      <c r="J147" s="75"/>
    </row>
    <row r="148" spans="1:10" ht="14.1" customHeight="1" x14ac:dyDescent="0.2">
      <c r="A148" s="1"/>
      <c r="B148" s="1"/>
      <c r="C148" s="2" t="s">
        <v>152</v>
      </c>
      <c r="D148" s="1"/>
      <c r="E148" s="1" t="s">
        <v>153</v>
      </c>
      <c r="F148" s="13" t="s">
        <v>155</v>
      </c>
      <c r="G148" s="10">
        <v>0</v>
      </c>
      <c r="H148" s="6"/>
      <c r="J148" s="75"/>
    </row>
    <row r="149" spans="1:10" ht="14.1" customHeight="1" x14ac:dyDescent="0.2">
      <c r="A149" s="1"/>
      <c r="B149" s="1"/>
      <c r="C149" s="11"/>
      <c r="D149" s="1"/>
      <c r="E149" s="1"/>
      <c r="F149" s="12"/>
      <c r="G149" s="12"/>
      <c r="H149" s="6"/>
      <c r="J149" s="75"/>
    </row>
    <row r="150" spans="1:10" ht="14.1" customHeight="1" x14ac:dyDescent="0.2">
      <c r="A150" s="1"/>
      <c r="B150" s="1"/>
      <c r="C150" s="2" t="s">
        <v>169</v>
      </c>
      <c r="D150" s="1"/>
      <c r="E150" s="1"/>
      <c r="F150" s="12"/>
      <c r="G150" s="12"/>
      <c r="H150" s="6"/>
      <c r="J150" s="75"/>
    </row>
    <row r="151" spans="1:10" ht="14.1" customHeight="1" x14ac:dyDescent="0.2">
      <c r="A151" s="1"/>
      <c r="B151" s="1"/>
      <c r="C151" s="2" t="s">
        <v>152</v>
      </c>
      <c r="D151" s="1"/>
      <c r="E151" s="1" t="s">
        <v>153</v>
      </c>
      <c r="F151" s="13" t="s">
        <v>155</v>
      </c>
      <c r="G151" s="10">
        <v>0</v>
      </c>
      <c r="H151" s="6"/>
      <c r="J151" s="75"/>
    </row>
    <row r="152" spans="1:10" ht="14.1" customHeight="1" x14ac:dyDescent="0.2">
      <c r="A152" s="1"/>
      <c r="B152" s="1"/>
      <c r="C152" s="11"/>
      <c r="D152" s="1"/>
      <c r="E152" s="1"/>
      <c r="F152" s="12"/>
      <c r="G152" s="12"/>
      <c r="H152" s="6"/>
      <c r="J152" s="75"/>
    </row>
    <row r="153" spans="1:10" ht="14.1" customHeight="1" x14ac:dyDescent="0.2">
      <c r="A153" s="1"/>
      <c r="B153" s="1"/>
      <c r="C153" s="2" t="s">
        <v>170</v>
      </c>
      <c r="D153" s="1"/>
      <c r="E153" s="1"/>
      <c r="F153" s="12"/>
      <c r="G153" s="12"/>
      <c r="H153" s="6"/>
      <c r="J153" s="75"/>
    </row>
    <row r="154" spans="1:10" ht="17.100000000000001" customHeight="1" x14ac:dyDescent="0.2">
      <c r="A154" s="3">
        <v>1</v>
      </c>
      <c r="B154" s="4"/>
      <c r="C154" s="4" t="s">
        <v>171</v>
      </c>
      <c r="D154" s="4"/>
      <c r="E154" s="8"/>
      <c r="F154" s="6">
        <v>350.51633779899998</v>
      </c>
      <c r="G154" s="7">
        <v>4.5927629999999997E-2</v>
      </c>
      <c r="H154" s="29">
        <v>6.66</v>
      </c>
      <c r="J154" s="75"/>
    </row>
    <row r="155" spans="1:10" ht="14.1" customHeight="1" x14ac:dyDescent="0.2">
      <c r="A155" s="1"/>
      <c r="B155" s="1"/>
      <c r="C155" s="2" t="s">
        <v>152</v>
      </c>
      <c r="D155" s="1"/>
      <c r="E155" s="1" t="s">
        <v>153</v>
      </c>
      <c r="F155" s="9">
        <v>350.51633779899998</v>
      </c>
      <c r="G155" s="10">
        <v>4.5927629999999997E-2</v>
      </c>
      <c r="H155" s="6"/>
      <c r="J155" s="75"/>
    </row>
    <row r="156" spans="1:10" ht="14.1" customHeight="1" x14ac:dyDescent="0.2">
      <c r="A156" s="1"/>
      <c r="B156" s="1"/>
      <c r="C156" s="11"/>
      <c r="D156" s="1"/>
      <c r="E156" s="1"/>
      <c r="F156" s="12"/>
      <c r="G156" s="12"/>
      <c r="H156" s="6"/>
      <c r="J156" s="75"/>
    </row>
    <row r="157" spans="1:10" ht="14.1" customHeight="1" x14ac:dyDescent="0.2">
      <c r="A157" s="1"/>
      <c r="B157" s="1"/>
      <c r="C157" s="2" t="s">
        <v>172</v>
      </c>
      <c r="D157" s="1"/>
      <c r="E157" s="1"/>
      <c r="F157" s="9">
        <v>350.51633779899998</v>
      </c>
      <c r="G157" s="10">
        <v>4.5927629999999997E-2</v>
      </c>
      <c r="H157" s="6"/>
      <c r="J157" s="75"/>
    </row>
    <row r="158" spans="1:10" ht="14.1" customHeight="1" x14ac:dyDescent="0.2">
      <c r="A158" s="1"/>
      <c r="B158" s="1"/>
      <c r="C158" s="12"/>
      <c r="D158" s="1"/>
      <c r="E158" s="1"/>
      <c r="F158" s="1"/>
      <c r="G158" s="1"/>
      <c r="H158" s="6"/>
      <c r="J158" s="75"/>
    </row>
    <row r="159" spans="1:10" ht="14.1" customHeight="1" x14ac:dyDescent="0.2">
      <c r="A159" s="1"/>
      <c r="B159" s="1"/>
      <c r="C159" s="2" t="s">
        <v>173</v>
      </c>
      <c r="D159" s="1"/>
      <c r="E159" s="1"/>
      <c r="F159" s="1"/>
      <c r="G159" s="1"/>
      <c r="H159" s="6"/>
      <c r="J159" s="75"/>
    </row>
    <row r="160" spans="1:10" ht="14.1" customHeight="1" x14ac:dyDescent="0.2">
      <c r="A160" s="1"/>
      <c r="B160" s="1"/>
      <c r="C160" s="2" t="s">
        <v>174</v>
      </c>
      <c r="D160" s="1"/>
      <c r="E160" s="1"/>
      <c r="F160" s="1"/>
      <c r="G160" s="1"/>
      <c r="H160" s="6"/>
      <c r="J160" s="75"/>
    </row>
    <row r="161" spans="1:17" ht="14.1" customHeight="1" x14ac:dyDescent="0.2">
      <c r="A161" s="1"/>
      <c r="B161" s="1"/>
      <c r="C161" s="2" t="s">
        <v>152</v>
      </c>
      <c r="D161" s="1"/>
      <c r="E161" s="1" t="s">
        <v>153</v>
      </c>
      <c r="F161" s="13" t="s">
        <v>155</v>
      </c>
      <c r="G161" s="10">
        <v>0</v>
      </c>
      <c r="H161" s="6"/>
      <c r="J161" s="75"/>
    </row>
    <row r="162" spans="1:17" ht="14.1" customHeight="1" x14ac:dyDescent="0.2">
      <c r="A162" s="1"/>
      <c r="B162" s="1"/>
      <c r="C162" s="11"/>
      <c r="D162" s="1"/>
      <c r="E162" s="1"/>
      <c r="F162" s="12"/>
      <c r="G162" s="12"/>
      <c r="H162" s="6"/>
      <c r="J162" s="75"/>
    </row>
    <row r="163" spans="1:17" ht="14.1" customHeight="1" x14ac:dyDescent="0.2">
      <c r="A163" s="1"/>
      <c r="B163" s="1"/>
      <c r="C163" s="2" t="s">
        <v>177</v>
      </c>
      <c r="D163" s="1"/>
      <c r="E163" s="1"/>
      <c r="F163" s="1"/>
      <c r="G163" s="1"/>
      <c r="H163" s="6"/>
      <c r="J163" s="75"/>
    </row>
    <row r="164" spans="1:17" ht="14.1" customHeight="1" x14ac:dyDescent="0.2">
      <c r="A164" s="1"/>
      <c r="B164" s="1"/>
      <c r="C164" s="2" t="s">
        <v>178</v>
      </c>
      <c r="D164" s="1"/>
      <c r="E164" s="1"/>
      <c r="F164" s="1"/>
      <c r="G164" s="1"/>
      <c r="H164" s="6"/>
      <c r="J164" s="75"/>
    </row>
    <row r="165" spans="1:17" ht="14.1" customHeight="1" x14ac:dyDescent="0.2">
      <c r="A165" s="1"/>
      <c r="B165" s="1"/>
      <c r="C165" s="2" t="s">
        <v>152</v>
      </c>
      <c r="D165" s="1"/>
      <c r="E165" s="1" t="s">
        <v>153</v>
      </c>
      <c r="F165" s="13" t="s">
        <v>155</v>
      </c>
      <c r="G165" s="10">
        <v>0</v>
      </c>
      <c r="H165" s="6"/>
      <c r="J165" s="75"/>
    </row>
    <row r="166" spans="1:17" ht="14.1" customHeight="1" x14ac:dyDescent="0.2">
      <c r="A166" s="1"/>
      <c r="B166" s="1"/>
      <c r="C166" s="11"/>
      <c r="D166" s="1"/>
      <c r="E166" s="1"/>
      <c r="F166" s="12"/>
      <c r="G166" s="12"/>
      <c r="H166" s="6"/>
      <c r="J166" s="75"/>
    </row>
    <row r="167" spans="1:17" ht="24" customHeight="1" x14ac:dyDescent="0.2">
      <c r="A167" s="1"/>
      <c r="B167" s="1"/>
      <c r="C167" s="2" t="s">
        <v>179</v>
      </c>
      <c r="D167" s="1"/>
      <c r="E167" s="1"/>
      <c r="F167" s="12"/>
      <c r="G167" s="12"/>
      <c r="H167" s="6"/>
      <c r="J167" s="75"/>
    </row>
    <row r="168" spans="1:17" ht="14.1" customHeight="1" x14ac:dyDescent="0.2">
      <c r="A168" s="1"/>
      <c r="B168" s="1"/>
      <c r="C168" s="2" t="s">
        <v>152</v>
      </c>
      <c r="D168" s="1"/>
      <c r="E168" s="1" t="s">
        <v>153</v>
      </c>
      <c r="F168" s="13" t="s">
        <v>155</v>
      </c>
      <c r="G168" s="10">
        <v>0</v>
      </c>
      <c r="H168" s="6"/>
      <c r="J168" s="75"/>
    </row>
    <row r="169" spans="1:17" ht="14.1" customHeight="1" x14ac:dyDescent="0.2">
      <c r="A169" s="1"/>
      <c r="B169" s="1"/>
      <c r="C169" s="11"/>
      <c r="D169" s="1"/>
      <c r="E169" s="1"/>
      <c r="F169" s="12"/>
      <c r="G169" s="12"/>
      <c r="H169" s="6"/>
      <c r="J169" s="75"/>
    </row>
    <row r="170" spans="1:17" ht="18" customHeight="1" x14ac:dyDescent="0.2">
      <c r="A170" s="8"/>
      <c r="B170" s="4"/>
      <c r="C170" s="78" t="s">
        <v>1092</v>
      </c>
      <c r="D170" s="4"/>
      <c r="E170" s="8"/>
      <c r="F170" s="6">
        <v>-14.91138426</v>
      </c>
      <c r="G170" s="7">
        <v>-1.9538200000000002E-3</v>
      </c>
      <c r="H170" s="6"/>
      <c r="J170" s="75"/>
    </row>
    <row r="171" spans="1:17" ht="14.1" customHeight="1" x14ac:dyDescent="0.2">
      <c r="A171" s="11"/>
      <c r="B171" s="11"/>
      <c r="C171" s="2" t="s">
        <v>181</v>
      </c>
      <c r="D171" s="12"/>
      <c r="E171" s="12"/>
      <c r="F171" s="9">
        <v>7631.9271740940003</v>
      </c>
      <c r="G171" s="14">
        <v>1.00000004</v>
      </c>
      <c r="H171" s="14"/>
      <c r="J171" s="75"/>
    </row>
    <row r="172" spans="1:17" ht="14.1" customHeight="1" x14ac:dyDescent="0.2">
      <c r="A172" s="15"/>
      <c r="B172" s="15"/>
      <c r="C172" s="15"/>
      <c r="D172" s="16"/>
      <c r="E172" s="16"/>
      <c r="F172" s="16"/>
      <c r="G172" s="16"/>
      <c r="H172" s="16"/>
      <c r="J172" s="75"/>
    </row>
    <row r="173" spans="1:17" ht="12.75" customHeight="1" x14ac:dyDescent="0.2">
      <c r="A173" s="31"/>
      <c r="B173" s="286" t="s">
        <v>882</v>
      </c>
      <c r="C173" s="286"/>
      <c r="D173" s="286"/>
      <c r="E173" s="286"/>
      <c r="F173" s="286"/>
      <c r="G173" s="286"/>
      <c r="H173" s="286"/>
      <c r="J173" s="75"/>
    </row>
    <row r="174" spans="1:17" ht="14.1" customHeight="1" x14ac:dyDescent="0.2">
      <c r="A174" s="31"/>
      <c r="B174" s="286" t="s">
        <v>883</v>
      </c>
      <c r="C174" s="286"/>
      <c r="D174" s="286"/>
      <c r="E174" s="286"/>
      <c r="F174" s="286"/>
      <c r="G174" s="286"/>
      <c r="H174" s="286"/>
      <c r="J174" s="75"/>
    </row>
    <row r="175" spans="1:17" ht="17.100000000000001" customHeight="1" x14ac:dyDescent="0.2">
      <c r="A175" s="31"/>
      <c r="B175" s="286" t="s">
        <v>884</v>
      </c>
      <c r="C175" s="286"/>
      <c r="D175" s="286"/>
      <c r="E175" s="286"/>
      <c r="F175" s="286"/>
      <c r="G175" s="286"/>
      <c r="H175" s="286"/>
      <c r="J175" s="75"/>
    </row>
    <row r="176" spans="1:17" s="34" customFormat="1" ht="62.25" customHeight="1" x14ac:dyDescent="0.25">
      <c r="A176" s="33"/>
      <c r="B176" s="259" t="s">
        <v>885</v>
      </c>
      <c r="C176" s="259"/>
      <c r="D176" s="259"/>
      <c r="E176" s="259"/>
      <c r="F176" s="259"/>
      <c r="G176" s="259"/>
      <c r="H176" s="259"/>
      <c r="I176"/>
      <c r="J176" s="75"/>
      <c r="K176"/>
      <c r="L176"/>
      <c r="M176"/>
      <c r="N176"/>
      <c r="O176"/>
      <c r="P176"/>
      <c r="Q176"/>
    </row>
    <row r="177" spans="1:19" ht="12.75" customHeight="1" x14ac:dyDescent="0.2">
      <c r="A177" s="31"/>
      <c r="B177" s="286" t="s">
        <v>886</v>
      </c>
      <c r="C177" s="286"/>
      <c r="D177" s="286"/>
      <c r="E177" s="286"/>
      <c r="F177" s="286"/>
      <c r="G177" s="286"/>
      <c r="H177" s="286"/>
      <c r="J177" s="75"/>
    </row>
    <row r="178" spans="1:19" ht="12.75" customHeight="1" x14ac:dyDescent="0.2">
      <c r="A178" s="31"/>
      <c r="B178" s="286" t="s">
        <v>182</v>
      </c>
      <c r="C178" s="286"/>
      <c r="D178" s="286"/>
      <c r="E178" s="286"/>
      <c r="F178" s="286"/>
      <c r="G178" s="286"/>
      <c r="H178" s="286"/>
      <c r="J178" s="75"/>
    </row>
    <row r="179" spans="1:19" ht="14.1" customHeight="1" x14ac:dyDescent="0.2">
      <c r="A179" s="17"/>
      <c r="B179" s="17"/>
      <c r="C179" s="17"/>
      <c r="D179" s="19"/>
      <c r="E179" s="19"/>
      <c r="F179" s="19"/>
      <c r="G179" s="19"/>
      <c r="H179" s="19"/>
      <c r="J179" s="75"/>
    </row>
    <row r="180" spans="1:19" ht="14.1" customHeight="1" x14ac:dyDescent="0.2">
      <c r="A180" s="17"/>
      <c r="B180" s="283" t="s">
        <v>183</v>
      </c>
      <c r="C180" s="284"/>
      <c r="D180" s="285"/>
      <c r="E180" s="20"/>
      <c r="F180" s="19"/>
      <c r="G180" s="19"/>
      <c r="H180" s="19"/>
      <c r="J180" s="75"/>
      <c r="K180" s="30"/>
      <c r="L180" s="30"/>
      <c r="M180" s="30"/>
      <c r="N180" s="30"/>
    </row>
    <row r="181" spans="1:19" ht="29.1" customHeight="1" x14ac:dyDescent="0.2">
      <c r="A181" s="17"/>
      <c r="B181" s="281" t="s">
        <v>184</v>
      </c>
      <c r="C181" s="282"/>
      <c r="D181" s="2" t="s">
        <v>185</v>
      </c>
      <c r="E181" s="20"/>
      <c r="F181" s="19"/>
      <c r="G181" s="19"/>
      <c r="H181" s="19"/>
      <c r="J181" s="75"/>
    </row>
    <row r="182" spans="1:19" ht="17.100000000000001" customHeight="1" x14ac:dyDescent="0.25">
      <c r="A182" s="17"/>
      <c r="B182" s="281" t="s">
        <v>186</v>
      </c>
      <c r="C182" s="282"/>
      <c r="D182" s="2" t="s">
        <v>185</v>
      </c>
      <c r="E182" s="20"/>
      <c r="F182" s="19"/>
      <c r="G182" s="19"/>
      <c r="H182" s="19"/>
      <c r="J182" s="75"/>
      <c r="R182" s="34"/>
      <c r="S182" s="34"/>
    </row>
    <row r="183" spans="1:19" ht="17.100000000000001" customHeight="1" x14ac:dyDescent="0.2">
      <c r="A183" s="17"/>
      <c r="B183" s="281" t="s">
        <v>187</v>
      </c>
      <c r="C183" s="282"/>
      <c r="D183" s="12" t="s">
        <v>153</v>
      </c>
      <c r="E183" s="20"/>
      <c r="F183" s="19"/>
      <c r="G183" s="19"/>
      <c r="H183" s="19"/>
      <c r="J183" s="75"/>
    </row>
    <row r="184" spans="1:19" x14ac:dyDescent="0.2">
      <c r="A184" s="21"/>
      <c r="B184" s="22" t="s">
        <v>153</v>
      </c>
      <c r="C184" s="22" t="s">
        <v>1088</v>
      </c>
      <c r="D184" s="22" t="s">
        <v>188</v>
      </c>
      <c r="E184" s="21"/>
      <c r="F184" s="21"/>
      <c r="G184" s="21"/>
      <c r="H184" s="21"/>
      <c r="J184" s="75"/>
    </row>
    <row r="185" spans="1:19" x14ac:dyDescent="0.2">
      <c r="A185" s="21"/>
      <c r="B185" s="77" t="s">
        <v>189</v>
      </c>
      <c r="C185" s="22" t="s">
        <v>190</v>
      </c>
      <c r="D185" s="22" t="s">
        <v>191</v>
      </c>
      <c r="E185" s="21"/>
      <c r="F185" s="21"/>
      <c r="G185" s="21"/>
      <c r="H185" s="21"/>
      <c r="J185" s="75"/>
    </row>
    <row r="186" spans="1:19" ht="17.100000000000001" customHeight="1" x14ac:dyDescent="0.2">
      <c r="A186" s="21"/>
      <c r="B186" s="4" t="s">
        <v>192</v>
      </c>
      <c r="C186" s="23">
        <v>163.17449999999999</v>
      </c>
      <c r="D186" s="23">
        <v>168.59610000000001</v>
      </c>
      <c r="E186" s="21"/>
      <c r="F186" s="18"/>
      <c r="G186" s="24"/>
      <c r="H186" s="24"/>
      <c r="J186" s="75"/>
    </row>
    <row r="187" spans="1:19" ht="17.100000000000001" customHeight="1" x14ac:dyDescent="0.2">
      <c r="A187" s="21"/>
      <c r="B187" s="4" t="s">
        <v>1054</v>
      </c>
      <c r="C187" s="23">
        <v>82.902699999999996</v>
      </c>
      <c r="D187" s="23">
        <v>85.656499999999994</v>
      </c>
      <c r="E187" s="21"/>
      <c r="F187" s="18"/>
      <c r="G187" s="24"/>
      <c r="H187" s="24"/>
      <c r="J187" s="75"/>
    </row>
    <row r="188" spans="1:19" ht="17.100000000000001" customHeight="1" x14ac:dyDescent="0.2">
      <c r="A188" s="21"/>
      <c r="B188" s="4" t="s">
        <v>193</v>
      </c>
      <c r="C188" s="23">
        <v>155.8793</v>
      </c>
      <c r="D188" s="23">
        <v>160.98609999999999</v>
      </c>
      <c r="E188" s="21"/>
      <c r="F188" s="18"/>
      <c r="G188" s="24"/>
      <c r="H188" s="24"/>
      <c r="J188" s="75"/>
    </row>
    <row r="189" spans="1:19" ht="17.100000000000001" customHeight="1" x14ac:dyDescent="0.2">
      <c r="A189" s="21"/>
      <c r="B189" s="4" t="s">
        <v>1055</v>
      </c>
      <c r="C189" s="23">
        <v>79.198599999999999</v>
      </c>
      <c r="D189" s="23">
        <v>81.793300000000002</v>
      </c>
      <c r="E189" s="21"/>
      <c r="F189" s="18"/>
      <c r="G189" s="24"/>
      <c r="H189" s="24"/>
      <c r="J189" s="75"/>
    </row>
    <row r="190" spans="1:19" ht="14.1" customHeight="1" x14ac:dyDescent="0.2">
      <c r="A190" s="21"/>
      <c r="B190" s="21"/>
      <c r="C190" s="21"/>
      <c r="D190" s="21"/>
      <c r="E190" s="21"/>
      <c r="F190" s="21"/>
      <c r="G190" s="21"/>
      <c r="H190" s="21"/>
      <c r="J190" s="75"/>
    </row>
    <row r="191" spans="1:19" ht="17.100000000000001" customHeight="1" x14ac:dyDescent="0.2">
      <c r="A191" s="21"/>
      <c r="B191" s="281" t="s">
        <v>1056</v>
      </c>
      <c r="C191" s="282"/>
      <c r="D191" s="2" t="s">
        <v>185</v>
      </c>
      <c r="E191" s="21"/>
      <c r="F191" s="21"/>
      <c r="G191" s="21"/>
      <c r="H191" s="21"/>
      <c r="J191" s="75"/>
    </row>
    <row r="192" spans="1:19" ht="14.1" customHeight="1" x14ac:dyDescent="0.2">
      <c r="A192" s="21"/>
      <c r="B192" s="18"/>
      <c r="C192" s="18"/>
      <c r="D192" s="21"/>
      <c r="E192" s="21"/>
      <c r="F192" s="21"/>
      <c r="G192" s="21"/>
      <c r="H192" s="21"/>
      <c r="J192" s="75"/>
    </row>
    <row r="193" spans="1:10" ht="29.1" customHeight="1" x14ac:dyDescent="0.2">
      <c r="A193" s="21"/>
      <c r="B193" s="281" t="s">
        <v>194</v>
      </c>
      <c r="C193" s="282"/>
      <c r="D193" s="2" t="s">
        <v>185</v>
      </c>
      <c r="E193" s="25"/>
      <c r="F193" s="21"/>
      <c r="G193" s="21"/>
      <c r="H193" s="21"/>
      <c r="J193" s="75"/>
    </row>
    <row r="194" spans="1:10" ht="29.1" customHeight="1" x14ac:dyDescent="0.2">
      <c r="A194" s="21"/>
      <c r="B194" s="281" t="s">
        <v>195</v>
      </c>
      <c r="C194" s="282"/>
      <c r="D194" s="2" t="s">
        <v>185</v>
      </c>
      <c r="E194" s="25"/>
      <c r="F194" s="21"/>
      <c r="G194" s="21"/>
      <c r="H194" s="21"/>
      <c r="J194" s="75"/>
    </row>
    <row r="195" spans="1:10" ht="17.100000000000001" customHeight="1" x14ac:dyDescent="0.2">
      <c r="A195" s="21"/>
      <c r="B195" s="281" t="s">
        <v>196</v>
      </c>
      <c r="C195" s="282"/>
      <c r="D195" s="2" t="s">
        <v>185</v>
      </c>
      <c r="E195" s="25"/>
      <c r="F195" s="21"/>
      <c r="G195" s="21"/>
      <c r="H195" s="21"/>
      <c r="J195" s="75"/>
    </row>
    <row r="196" spans="1:10" ht="17.100000000000001" customHeight="1" x14ac:dyDescent="0.2">
      <c r="A196" s="21"/>
      <c r="B196" s="281" t="s">
        <v>197</v>
      </c>
      <c r="C196" s="282"/>
      <c r="D196" s="26">
        <v>0.331968642103392</v>
      </c>
      <c r="E196" s="21"/>
      <c r="F196" s="18"/>
      <c r="G196" s="24"/>
      <c r="H196" s="24"/>
      <c r="J196" s="75"/>
    </row>
  </sheetData>
  <mergeCells count="18">
    <mergeCell ref="B196:C196"/>
    <mergeCell ref="B191:C191"/>
    <mergeCell ref="B193:C193"/>
    <mergeCell ref="B194:C194"/>
    <mergeCell ref="B195:C195"/>
    <mergeCell ref="A1:H1"/>
    <mergeCell ref="A2:H2"/>
    <mergeCell ref="A3:H3"/>
    <mergeCell ref="B182:C182"/>
    <mergeCell ref="B183:C183"/>
    <mergeCell ref="B180:D180"/>
    <mergeCell ref="B181:C181"/>
    <mergeCell ref="B176:H176"/>
    <mergeCell ref="B177:H177"/>
    <mergeCell ref="B178:H178"/>
    <mergeCell ref="B173:H173"/>
    <mergeCell ref="B174:H174"/>
    <mergeCell ref="B175:H175"/>
  </mergeCells>
  <hyperlinks>
    <hyperlink ref="I1" location="Index!B22" display="Index" xr:uid="{256320C5-DA15-4A3D-BA10-54DAD2952C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Q172"/>
  <sheetViews>
    <sheetView showGridLines="0" workbookViewId="0">
      <selection activeCell="C85" sqref="C85"/>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7.7109375" customWidth="1"/>
    <col min="10" max="10" width="50.7109375" style="76" customWidth="1"/>
  </cols>
  <sheetData>
    <row r="1" spans="1:16" ht="15" x14ac:dyDescent="0.2">
      <c r="A1" s="250" t="s">
        <v>0</v>
      </c>
      <c r="B1" s="250"/>
      <c r="C1" s="250"/>
      <c r="D1" s="250"/>
      <c r="E1" s="250"/>
      <c r="F1" s="250"/>
      <c r="G1" s="250"/>
      <c r="H1" s="250"/>
      <c r="I1" s="50" t="s">
        <v>888</v>
      </c>
      <c r="J1" s="75"/>
    </row>
    <row r="2" spans="1:16" ht="15" customHeight="1" x14ac:dyDescent="0.2">
      <c r="A2" s="250" t="s">
        <v>835</v>
      </c>
      <c r="B2" s="250"/>
      <c r="C2" s="250"/>
      <c r="D2" s="250"/>
      <c r="E2" s="250"/>
      <c r="F2" s="250"/>
      <c r="G2" s="250"/>
      <c r="H2" s="250"/>
      <c r="J2" s="70" t="s">
        <v>889</v>
      </c>
      <c r="K2" s="66"/>
      <c r="L2" s="66"/>
      <c r="M2" s="66"/>
      <c r="N2" s="66"/>
    </row>
    <row r="3" spans="1:16" ht="15" x14ac:dyDescent="0.2">
      <c r="A3" s="250" t="s">
        <v>873</v>
      </c>
      <c r="B3" s="250"/>
      <c r="C3" s="250"/>
      <c r="D3" s="250"/>
      <c r="E3" s="250"/>
      <c r="F3" s="250"/>
      <c r="G3" s="250"/>
      <c r="H3" s="250"/>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331</v>
      </c>
      <c r="C7" s="165" t="s">
        <v>332</v>
      </c>
      <c r="D7" s="165" t="s">
        <v>39</v>
      </c>
      <c r="E7" s="166">
        <v>606077</v>
      </c>
      <c r="F7" s="167">
        <v>9212.9764770000002</v>
      </c>
      <c r="G7" s="168">
        <v>7.16035E-2</v>
      </c>
      <c r="H7" s="168"/>
      <c r="J7" s="75"/>
    </row>
    <row r="8" spans="1:16" ht="17.100000000000001" customHeight="1" x14ac:dyDescent="0.2">
      <c r="A8" s="164">
        <v>2</v>
      </c>
      <c r="B8" s="165" t="s">
        <v>14</v>
      </c>
      <c r="C8" s="165" t="s">
        <v>15</v>
      </c>
      <c r="D8" s="165" t="s">
        <v>16</v>
      </c>
      <c r="E8" s="166">
        <v>274000</v>
      </c>
      <c r="F8" s="167">
        <v>8039.16</v>
      </c>
      <c r="G8" s="168">
        <v>6.2480569999999999E-2</v>
      </c>
      <c r="H8" s="168"/>
      <c r="J8" s="75"/>
    </row>
    <row r="9" spans="1:16" ht="17.100000000000001" customHeight="1" x14ac:dyDescent="0.2">
      <c r="A9" s="164">
        <v>3</v>
      </c>
      <c r="B9" s="165" t="s">
        <v>37</v>
      </c>
      <c r="C9" s="165" t="s">
        <v>38</v>
      </c>
      <c r="D9" s="165" t="s">
        <v>39</v>
      </c>
      <c r="E9" s="166">
        <v>661000</v>
      </c>
      <c r="F9" s="167">
        <v>7604.1440000000002</v>
      </c>
      <c r="G9" s="168">
        <v>5.9099609999999997E-2</v>
      </c>
      <c r="H9" s="168"/>
      <c r="J9" s="75"/>
    </row>
    <row r="10" spans="1:16" ht="17.100000000000001" customHeight="1" x14ac:dyDescent="0.2">
      <c r="A10" s="164">
        <v>4</v>
      </c>
      <c r="B10" s="165" t="s">
        <v>337</v>
      </c>
      <c r="C10" s="165" t="s">
        <v>338</v>
      </c>
      <c r="D10" s="165" t="s">
        <v>232</v>
      </c>
      <c r="E10" s="166">
        <v>313000</v>
      </c>
      <c r="F10" s="167">
        <v>4446.3215</v>
      </c>
      <c r="G10" s="168">
        <v>3.455693E-2</v>
      </c>
      <c r="H10" s="168"/>
      <c r="J10" s="75"/>
    </row>
    <row r="11" spans="1:16" ht="17.100000000000001" customHeight="1" x14ac:dyDescent="0.2">
      <c r="A11" s="164">
        <v>5</v>
      </c>
      <c r="B11" s="165" t="s">
        <v>746</v>
      </c>
      <c r="C11" s="165" t="s">
        <v>747</v>
      </c>
      <c r="D11" s="165" t="s">
        <v>285</v>
      </c>
      <c r="E11" s="166">
        <v>39000</v>
      </c>
      <c r="F11" s="167">
        <v>3713.5994999999998</v>
      </c>
      <c r="G11" s="168">
        <v>2.8862200000000001E-2</v>
      </c>
      <c r="H11" s="168"/>
      <c r="J11" s="75"/>
    </row>
    <row r="12" spans="1:16" ht="17.100000000000001" customHeight="1" x14ac:dyDescent="0.2">
      <c r="A12" s="164">
        <v>6</v>
      </c>
      <c r="B12" s="165" t="s">
        <v>54</v>
      </c>
      <c r="C12" s="165" t="s">
        <v>55</v>
      </c>
      <c r="D12" s="165" t="s">
        <v>39</v>
      </c>
      <c r="E12" s="166">
        <v>444000</v>
      </c>
      <c r="F12" s="167">
        <v>3668.55</v>
      </c>
      <c r="G12" s="168">
        <v>2.851207E-2</v>
      </c>
      <c r="H12" s="168"/>
      <c r="J12" s="71" t="s">
        <v>947</v>
      </c>
    </row>
    <row r="13" spans="1:16" ht="17.100000000000001" customHeight="1" x14ac:dyDescent="0.2">
      <c r="A13" s="164">
        <v>7</v>
      </c>
      <c r="B13" s="165" t="s">
        <v>335</v>
      </c>
      <c r="C13" s="165" t="s">
        <v>336</v>
      </c>
      <c r="D13" s="165" t="s">
        <v>39</v>
      </c>
      <c r="E13" s="166">
        <v>311000</v>
      </c>
      <c r="F13" s="167">
        <v>3625.9490000000001</v>
      </c>
      <c r="G13" s="168">
        <v>2.818097E-2</v>
      </c>
      <c r="H13" s="168"/>
      <c r="J13" s="75"/>
    </row>
    <row r="14" spans="1:16" ht="29.1" customHeight="1" x14ac:dyDescent="0.2">
      <c r="A14" s="164">
        <v>8</v>
      </c>
      <c r="B14" s="165" t="s">
        <v>346</v>
      </c>
      <c r="C14" s="165" t="s">
        <v>347</v>
      </c>
      <c r="D14" s="165" t="s">
        <v>216</v>
      </c>
      <c r="E14" s="166">
        <v>217000</v>
      </c>
      <c r="F14" s="167">
        <v>3259.5569999999998</v>
      </c>
      <c r="G14" s="168">
        <v>2.5333370000000001E-2</v>
      </c>
      <c r="H14" s="168"/>
      <c r="J14" s="75"/>
    </row>
    <row r="15" spans="1:16" ht="17.100000000000001" customHeight="1" x14ac:dyDescent="0.2">
      <c r="A15" s="164">
        <v>9</v>
      </c>
      <c r="B15" s="165" t="s">
        <v>11</v>
      </c>
      <c r="C15" s="165" t="s">
        <v>12</v>
      </c>
      <c r="D15" s="165" t="s">
        <v>13</v>
      </c>
      <c r="E15" s="166">
        <v>89021</v>
      </c>
      <c r="F15" s="167">
        <v>3199.6818029999999</v>
      </c>
      <c r="G15" s="168">
        <v>2.4868009999999999E-2</v>
      </c>
      <c r="H15" s="168"/>
      <c r="J15" s="75"/>
    </row>
    <row r="16" spans="1:16" ht="17.100000000000001" customHeight="1" x14ac:dyDescent="0.2">
      <c r="A16" s="164">
        <v>10</v>
      </c>
      <c r="B16" s="165" t="s">
        <v>348</v>
      </c>
      <c r="C16" s="165" t="s">
        <v>349</v>
      </c>
      <c r="D16" s="165" t="s">
        <v>285</v>
      </c>
      <c r="E16" s="166">
        <v>288000</v>
      </c>
      <c r="F16" s="167">
        <v>2902.752</v>
      </c>
      <c r="G16" s="168">
        <v>2.256027E-2</v>
      </c>
      <c r="H16" s="168"/>
      <c r="J16" s="75"/>
    </row>
    <row r="17" spans="1:10" ht="17.100000000000001" customHeight="1" x14ac:dyDescent="0.2">
      <c r="A17" s="164">
        <v>11</v>
      </c>
      <c r="B17" s="165" t="s">
        <v>374</v>
      </c>
      <c r="C17" s="165" t="s">
        <v>375</v>
      </c>
      <c r="D17" s="165" t="s">
        <v>210</v>
      </c>
      <c r="E17" s="166">
        <v>62000</v>
      </c>
      <c r="F17" s="167">
        <v>2854.3560000000002</v>
      </c>
      <c r="G17" s="168">
        <v>2.218413E-2</v>
      </c>
      <c r="H17" s="168"/>
      <c r="J17" s="75"/>
    </row>
    <row r="18" spans="1:10" ht="17.100000000000001" customHeight="1" x14ac:dyDescent="0.2">
      <c r="A18" s="164">
        <v>12</v>
      </c>
      <c r="B18" s="165" t="s">
        <v>543</v>
      </c>
      <c r="C18" s="242" t="s">
        <v>1085</v>
      </c>
      <c r="D18" s="165" t="s">
        <v>19</v>
      </c>
      <c r="E18" s="166">
        <v>283000</v>
      </c>
      <c r="F18" s="167">
        <v>2650.1534999999999</v>
      </c>
      <c r="G18" s="168">
        <v>2.0597069999999999E-2</v>
      </c>
      <c r="H18" s="168"/>
      <c r="J18" s="75"/>
    </row>
    <row r="19" spans="1:10" ht="17.100000000000001" customHeight="1" x14ac:dyDescent="0.2">
      <c r="A19" s="164">
        <v>13</v>
      </c>
      <c r="B19" s="165" t="s">
        <v>533</v>
      </c>
      <c r="C19" s="165" t="s">
        <v>534</v>
      </c>
      <c r="D19" s="165" t="s">
        <v>39</v>
      </c>
      <c r="E19" s="166">
        <v>906000</v>
      </c>
      <c r="F19" s="167">
        <v>2550.39</v>
      </c>
      <c r="G19" s="168">
        <v>1.9821700000000001E-2</v>
      </c>
      <c r="H19" s="168"/>
      <c r="J19" s="75"/>
    </row>
    <row r="20" spans="1:10" ht="17.100000000000001" customHeight="1" x14ac:dyDescent="0.2">
      <c r="A20" s="164">
        <v>14</v>
      </c>
      <c r="B20" s="165" t="s">
        <v>89</v>
      </c>
      <c r="C20" s="165" t="s">
        <v>90</v>
      </c>
      <c r="D20" s="165" t="s">
        <v>62</v>
      </c>
      <c r="E20" s="166">
        <v>63000</v>
      </c>
      <c r="F20" s="167">
        <v>2508.8490000000002</v>
      </c>
      <c r="G20" s="168">
        <v>1.949884E-2</v>
      </c>
      <c r="H20" s="168"/>
      <c r="J20" s="75"/>
    </row>
    <row r="21" spans="1:10" ht="17.100000000000001" customHeight="1" x14ac:dyDescent="0.2">
      <c r="A21" s="164">
        <v>15</v>
      </c>
      <c r="B21" s="165" t="s">
        <v>339</v>
      </c>
      <c r="C21" s="165" t="s">
        <v>340</v>
      </c>
      <c r="D21" s="165" t="s">
        <v>232</v>
      </c>
      <c r="E21" s="166">
        <v>61324</v>
      </c>
      <c r="F21" s="167">
        <v>2342.975406</v>
      </c>
      <c r="G21" s="168">
        <v>1.8209670000000001E-2</v>
      </c>
      <c r="H21" s="168"/>
      <c r="J21" s="75"/>
    </row>
    <row r="22" spans="1:10" ht="17.100000000000001" customHeight="1" x14ac:dyDescent="0.2">
      <c r="A22" s="164">
        <v>16</v>
      </c>
      <c r="B22" s="165" t="s">
        <v>389</v>
      </c>
      <c r="C22" s="165" t="s">
        <v>390</v>
      </c>
      <c r="D22" s="165" t="s">
        <v>53</v>
      </c>
      <c r="E22" s="166">
        <v>32000</v>
      </c>
      <c r="F22" s="167">
        <v>2215.5360000000001</v>
      </c>
      <c r="G22" s="168">
        <v>1.7219209999999999E-2</v>
      </c>
      <c r="H22" s="168"/>
      <c r="J22" s="75" t="s">
        <v>948</v>
      </c>
    </row>
    <row r="23" spans="1:10" ht="17.100000000000001" customHeight="1" x14ac:dyDescent="0.2">
      <c r="A23" s="164">
        <v>17</v>
      </c>
      <c r="B23" s="165" t="s">
        <v>633</v>
      </c>
      <c r="C23" s="165" t="s">
        <v>634</v>
      </c>
      <c r="D23" s="165" t="s">
        <v>232</v>
      </c>
      <c r="E23" s="166">
        <v>175000</v>
      </c>
      <c r="F23" s="167">
        <v>2211.125</v>
      </c>
      <c r="G23" s="168">
        <v>1.7184919999999999E-2</v>
      </c>
      <c r="H23" s="168"/>
      <c r="J23" s="75"/>
    </row>
    <row r="24" spans="1:10" ht="17.100000000000001" customHeight="1" x14ac:dyDescent="0.2">
      <c r="A24" s="164">
        <v>18</v>
      </c>
      <c r="B24" s="165" t="s">
        <v>621</v>
      </c>
      <c r="C24" s="165" t="s">
        <v>622</v>
      </c>
      <c r="D24" s="165" t="s">
        <v>285</v>
      </c>
      <c r="E24" s="166">
        <v>15000</v>
      </c>
      <c r="F24" s="167">
        <v>1922.625</v>
      </c>
      <c r="G24" s="168">
        <v>1.494269E-2</v>
      </c>
      <c r="H24" s="168"/>
      <c r="J24" s="75"/>
    </row>
    <row r="25" spans="1:10" ht="29.1" customHeight="1" x14ac:dyDescent="0.2">
      <c r="A25" s="164">
        <v>19</v>
      </c>
      <c r="B25" s="165" t="s">
        <v>23</v>
      </c>
      <c r="C25" s="165" t="s">
        <v>24</v>
      </c>
      <c r="D25" s="165" t="s">
        <v>25</v>
      </c>
      <c r="E25" s="166">
        <v>19000</v>
      </c>
      <c r="F25" s="167">
        <v>1894.6514999999999</v>
      </c>
      <c r="G25" s="168">
        <v>1.472528E-2</v>
      </c>
      <c r="H25" s="168"/>
      <c r="J25" s="75"/>
    </row>
    <row r="26" spans="1:10" ht="17.100000000000001" customHeight="1" x14ac:dyDescent="0.2">
      <c r="A26" s="164">
        <v>20</v>
      </c>
      <c r="B26" s="165" t="s">
        <v>573</v>
      </c>
      <c r="C26" s="165" t="s">
        <v>574</v>
      </c>
      <c r="D26" s="165" t="s">
        <v>262</v>
      </c>
      <c r="E26" s="166">
        <v>33000</v>
      </c>
      <c r="F26" s="167">
        <v>1746.4590000000001</v>
      </c>
      <c r="G26" s="168">
        <v>1.357353E-2</v>
      </c>
      <c r="H26" s="168"/>
      <c r="J26" s="75"/>
    </row>
    <row r="27" spans="1:10" ht="17.100000000000001" customHeight="1" x14ac:dyDescent="0.2">
      <c r="A27" s="164">
        <v>21</v>
      </c>
      <c r="B27" s="165" t="s">
        <v>271</v>
      </c>
      <c r="C27" s="165" t="s">
        <v>272</v>
      </c>
      <c r="D27" s="165" t="s">
        <v>273</v>
      </c>
      <c r="E27" s="166">
        <v>85000</v>
      </c>
      <c r="F27" s="167">
        <v>1732.2149999999999</v>
      </c>
      <c r="G27" s="168">
        <v>1.346282E-2</v>
      </c>
      <c r="H27" s="168"/>
      <c r="J27" s="75"/>
    </row>
    <row r="28" spans="1:10" ht="29.1" customHeight="1" x14ac:dyDescent="0.2">
      <c r="A28" s="164">
        <v>22</v>
      </c>
      <c r="B28" s="165" t="s">
        <v>279</v>
      </c>
      <c r="C28" s="165" t="s">
        <v>280</v>
      </c>
      <c r="D28" s="165" t="s">
        <v>53</v>
      </c>
      <c r="E28" s="166">
        <v>142000</v>
      </c>
      <c r="F28" s="167">
        <v>1694.4860000000001</v>
      </c>
      <c r="G28" s="168">
        <v>1.316959E-2</v>
      </c>
      <c r="H28" s="168"/>
      <c r="J28" s="75"/>
    </row>
    <row r="29" spans="1:10" ht="17.100000000000001" customHeight="1" x14ac:dyDescent="0.2">
      <c r="A29" s="164">
        <v>23</v>
      </c>
      <c r="B29" s="165" t="s">
        <v>726</v>
      </c>
      <c r="C29" s="165" t="s">
        <v>727</v>
      </c>
      <c r="D29" s="165" t="s">
        <v>75</v>
      </c>
      <c r="E29" s="166">
        <v>111749</v>
      </c>
      <c r="F29" s="167">
        <v>1671.9326635</v>
      </c>
      <c r="G29" s="168">
        <v>1.299431E-2</v>
      </c>
      <c r="H29" s="168"/>
      <c r="J29" s="75"/>
    </row>
    <row r="30" spans="1:10" ht="17.100000000000001" customHeight="1" x14ac:dyDescent="0.2">
      <c r="A30" s="164">
        <v>24</v>
      </c>
      <c r="B30" s="165" t="s">
        <v>376</v>
      </c>
      <c r="C30" s="165" t="s">
        <v>377</v>
      </c>
      <c r="D30" s="165" t="s">
        <v>364</v>
      </c>
      <c r="E30" s="166">
        <v>73000</v>
      </c>
      <c r="F30" s="167">
        <v>1628.2284999999999</v>
      </c>
      <c r="G30" s="168">
        <v>1.265464E-2</v>
      </c>
      <c r="H30" s="168"/>
      <c r="J30" s="75"/>
    </row>
    <row r="31" spans="1:10" ht="17.100000000000001" customHeight="1" x14ac:dyDescent="0.2">
      <c r="A31" s="164">
        <v>25</v>
      </c>
      <c r="B31" s="165" t="s">
        <v>31</v>
      </c>
      <c r="C31" s="165" t="s">
        <v>32</v>
      </c>
      <c r="D31" s="165" t="s">
        <v>33</v>
      </c>
      <c r="E31" s="166">
        <v>23000</v>
      </c>
      <c r="F31" s="167">
        <v>1504.3724999999999</v>
      </c>
      <c r="G31" s="168">
        <v>1.1692019999999999E-2</v>
      </c>
      <c r="H31" s="168"/>
      <c r="J31" s="75"/>
    </row>
    <row r="32" spans="1:10" ht="17.100000000000001" customHeight="1" x14ac:dyDescent="0.2">
      <c r="A32" s="164">
        <v>26</v>
      </c>
      <c r="B32" s="165" t="s">
        <v>254</v>
      </c>
      <c r="C32" s="165" t="s">
        <v>255</v>
      </c>
      <c r="D32" s="165" t="s">
        <v>242</v>
      </c>
      <c r="E32" s="166">
        <v>317000</v>
      </c>
      <c r="F32" s="167">
        <v>1468.3440000000001</v>
      </c>
      <c r="G32" s="168">
        <v>1.141201E-2</v>
      </c>
      <c r="H32" s="168"/>
      <c r="J32" s="75"/>
    </row>
    <row r="33" spans="1:10" ht="17.100000000000001" customHeight="1" x14ac:dyDescent="0.2">
      <c r="A33" s="164">
        <v>27</v>
      </c>
      <c r="B33" s="165" t="s">
        <v>350</v>
      </c>
      <c r="C33" s="165" t="s">
        <v>351</v>
      </c>
      <c r="D33" s="165" t="s">
        <v>262</v>
      </c>
      <c r="E33" s="166">
        <v>35000</v>
      </c>
      <c r="F33" s="167">
        <v>1438.15</v>
      </c>
      <c r="G33" s="168">
        <v>1.1177339999999999E-2</v>
      </c>
      <c r="H33" s="168"/>
      <c r="J33" s="75"/>
    </row>
    <row r="34" spans="1:10" ht="17.100000000000001" customHeight="1" x14ac:dyDescent="0.2">
      <c r="A34" s="164">
        <v>28</v>
      </c>
      <c r="B34" s="165" t="s">
        <v>382</v>
      </c>
      <c r="C34" s="165" t="s">
        <v>383</v>
      </c>
      <c r="D34" s="165" t="s">
        <v>75</v>
      </c>
      <c r="E34" s="166">
        <v>40000</v>
      </c>
      <c r="F34" s="167">
        <v>1435.7</v>
      </c>
      <c r="G34" s="168">
        <v>1.1158299999999999E-2</v>
      </c>
      <c r="H34" s="168"/>
      <c r="J34" s="75"/>
    </row>
    <row r="35" spans="1:10" ht="29.1" customHeight="1" x14ac:dyDescent="0.2">
      <c r="A35" s="164">
        <v>29</v>
      </c>
      <c r="B35" s="165" t="s">
        <v>539</v>
      </c>
      <c r="C35" s="165" t="s">
        <v>540</v>
      </c>
      <c r="D35" s="165" t="s">
        <v>216</v>
      </c>
      <c r="E35" s="166">
        <v>102000</v>
      </c>
      <c r="F35" s="167">
        <v>1428</v>
      </c>
      <c r="G35" s="168">
        <v>1.1098459999999999E-2</v>
      </c>
      <c r="H35" s="168"/>
      <c r="J35" s="75"/>
    </row>
    <row r="36" spans="1:10" ht="17.100000000000001" customHeight="1" x14ac:dyDescent="0.2">
      <c r="A36" s="164">
        <v>30</v>
      </c>
      <c r="B36" s="165" t="s">
        <v>17</v>
      </c>
      <c r="C36" s="165" t="s">
        <v>18</v>
      </c>
      <c r="D36" s="165" t="s">
        <v>19</v>
      </c>
      <c r="E36" s="166">
        <v>105000</v>
      </c>
      <c r="F36" s="167">
        <v>1388.415</v>
      </c>
      <c r="G36" s="168">
        <v>1.07908E-2</v>
      </c>
      <c r="H36" s="168"/>
      <c r="J36" s="75"/>
    </row>
    <row r="37" spans="1:10" ht="17.100000000000001" customHeight="1" x14ac:dyDescent="0.2">
      <c r="A37" s="164">
        <v>31</v>
      </c>
      <c r="B37" s="165" t="s">
        <v>545</v>
      </c>
      <c r="C37" s="165" t="s">
        <v>546</v>
      </c>
      <c r="D37" s="165" t="s">
        <v>39</v>
      </c>
      <c r="E37" s="166">
        <v>83000</v>
      </c>
      <c r="F37" s="167">
        <v>1347.8785</v>
      </c>
      <c r="G37" s="168">
        <v>1.0475750000000001E-2</v>
      </c>
      <c r="H37" s="168"/>
      <c r="J37" s="75"/>
    </row>
    <row r="38" spans="1:10" ht="29.1" customHeight="1" x14ac:dyDescent="0.2">
      <c r="A38" s="164">
        <v>32</v>
      </c>
      <c r="B38" s="165" t="s">
        <v>804</v>
      </c>
      <c r="C38" s="165" t="s">
        <v>805</v>
      </c>
      <c r="D38" s="165" t="s">
        <v>316</v>
      </c>
      <c r="E38" s="166">
        <v>44000</v>
      </c>
      <c r="F38" s="167">
        <v>1341.56</v>
      </c>
      <c r="G38" s="168">
        <v>1.0426639999999999E-2</v>
      </c>
      <c r="H38" s="168"/>
      <c r="J38" s="75"/>
    </row>
    <row r="39" spans="1:10" ht="17.100000000000001" customHeight="1" x14ac:dyDescent="0.2">
      <c r="A39" s="164">
        <v>33</v>
      </c>
      <c r="B39" s="165" t="s">
        <v>263</v>
      </c>
      <c r="C39" s="165" t="s">
        <v>264</v>
      </c>
      <c r="D39" s="165" t="s">
        <v>210</v>
      </c>
      <c r="E39" s="166">
        <v>22000</v>
      </c>
      <c r="F39" s="167">
        <v>1331.825</v>
      </c>
      <c r="G39" s="168">
        <v>1.0350979999999999E-2</v>
      </c>
      <c r="H39" s="168"/>
      <c r="J39" s="75"/>
    </row>
    <row r="40" spans="1:10" ht="29.1" customHeight="1" x14ac:dyDescent="0.2">
      <c r="A40" s="164">
        <v>34</v>
      </c>
      <c r="B40" s="165" t="s">
        <v>402</v>
      </c>
      <c r="C40" s="165" t="s">
        <v>403</v>
      </c>
      <c r="D40" s="165" t="s">
        <v>216</v>
      </c>
      <c r="E40" s="166">
        <v>53410</v>
      </c>
      <c r="F40" s="167">
        <v>1262.8260399999999</v>
      </c>
      <c r="G40" s="168">
        <v>9.8147200000000007E-3</v>
      </c>
      <c r="H40" s="168"/>
      <c r="J40" s="75"/>
    </row>
    <row r="41" spans="1:10" ht="17.100000000000001" customHeight="1" x14ac:dyDescent="0.2">
      <c r="A41" s="164">
        <v>35</v>
      </c>
      <c r="B41" s="165" t="s">
        <v>202</v>
      </c>
      <c r="C41" s="165" t="s">
        <v>203</v>
      </c>
      <c r="D41" s="165" t="s">
        <v>39</v>
      </c>
      <c r="E41" s="166">
        <v>761794</v>
      </c>
      <c r="F41" s="167">
        <v>1238.677044</v>
      </c>
      <c r="G41" s="168">
        <v>9.62703E-3</v>
      </c>
      <c r="H41" s="168"/>
      <c r="J41" s="75"/>
    </row>
    <row r="42" spans="1:10" ht="53.1" customHeight="1" x14ac:dyDescent="0.2">
      <c r="A42" s="164">
        <v>36</v>
      </c>
      <c r="B42" s="165" t="s">
        <v>836</v>
      </c>
      <c r="C42" s="165" t="s">
        <v>837</v>
      </c>
      <c r="D42" s="165" t="s">
        <v>388</v>
      </c>
      <c r="E42" s="166">
        <v>35000</v>
      </c>
      <c r="F42" s="167">
        <v>1227.6075000000001</v>
      </c>
      <c r="G42" s="168">
        <v>9.5409999999999991E-3</v>
      </c>
      <c r="H42" s="168"/>
      <c r="J42" s="75"/>
    </row>
    <row r="43" spans="1:10" ht="17.100000000000001" customHeight="1" x14ac:dyDescent="0.2">
      <c r="A43" s="164">
        <v>37</v>
      </c>
      <c r="B43" s="165" t="s">
        <v>352</v>
      </c>
      <c r="C43" s="165" t="s">
        <v>353</v>
      </c>
      <c r="D43" s="165" t="s">
        <v>39</v>
      </c>
      <c r="E43" s="166">
        <v>194000</v>
      </c>
      <c r="F43" s="167">
        <v>1206.5830000000001</v>
      </c>
      <c r="G43" s="168">
        <v>9.3775999999999998E-3</v>
      </c>
      <c r="H43" s="168"/>
      <c r="J43" s="75"/>
    </row>
    <row r="44" spans="1:10" ht="29.1" customHeight="1" x14ac:dyDescent="0.2">
      <c r="A44" s="164">
        <v>38</v>
      </c>
      <c r="B44" s="165" t="s">
        <v>356</v>
      </c>
      <c r="C44" s="165" t="s">
        <v>357</v>
      </c>
      <c r="D44" s="165" t="s">
        <v>216</v>
      </c>
      <c r="E44" s="166">
        <v>104000</v>
      </c>
      <c r="F44" s="167">
        <v>1199.6400000000001</v>
      </c>
      <c r="G44" s="168">
        <v>9.3236399999999994E-3</v>
      </c>
      <c r="H44" s="168"/>
      <c r="J44" s="75"/>
    </row>
    <row r="45" spans="1:10" ht="17.100000000000001" customHeight="1" x14ac:dyDescent="0.2">
      <c r="A45" s="164">
        <v>39</v>
      </c>
      <c r="B45" s="165" t="s">
        <v>233</v>
      </c>
      <c r="C45" s="165" t="s">
        <v>234</v>
      </c>
      <c r="D45" s="165" t="s">
        <v>235</v>
      </c>
      <c r="E45" s="166">
        <v>117000</v>
      </c>
      <c r="F45" s="167">
        <v>1182.7529999999999</v>
      </c>
      <c r="G45" s="168">
        <v>9.1923899999999999E-3</v>
      </c>
      <c r="H45" s="168"/>
      <c r="J45" s="75"/>
    </row>
    <row r="46" spans="1:10" ht="17.100000000000001" customHeight="1" x14ac:dyDescent="0.2">
      <c r="A46" s="164">
        <v>40</v>
      </c>
      <c r="B46" s="165" t="s">
        <v>365</v>
      </c>
      <c r="C46" s="165" t="s">
        <v>366</v>
      </c>
      <c r="D46" s="165" t="s">
        <v>114</v>
      </c>
      <c r="E46" s="166">
        <v>690000</v>
      </c>
      <c r="F46" s="167">
        <v>1138.5</v>
      </c>
      <c r="G46" s="168">
        <v>8.8484500000000008E-3</v>
      </c>
      <c r="H46" s="168"/>
      <c r="J46" s="75"/>
    </row>
    <row r="47" spans="1:10" ht="17.100000000000001" customHeight="1" x14ac:dyDescent="0.2">
      <c r="A47" s="164">
        <v>41</v>
      </c>
      <c r="B47" s="165" t="s">
        <v>269</v>
      </c>
      <c r="C47" s="165" t="s">
        <v>270</v>
      </c>
      <c r="D47" s="165" t="s">
        <v>232</v>
      </c>
      <c r="E47" s="166">
        <v>22302</v>
      </c>
      <c r="F47" s="167">
        <v>1138.1268150000001</v>
      </c>
      <c r="G47" s="168">
        <v>8.8455500000000006E-3</v>
      </c>
      <c r="H47" s="168"/>
      <c r="J47" s="75"/>
    </row>
    <row r="48" spans="1:10" ht="29.1" customHeight="1" x14ac:dyDescent="0.2">
      <c r="A48" s="164">
        <v>42</v>
      </c>
      <c r="B48" s="165" t="s">
        <v>354</v>
      </c>
      <c r="C48" s="165" t="s">
        <v>355</v>
      </c>
      <c r="D48" s="165" t="s">
        <v>216</v>
      </c>
      <c r="E48" s="166">
        <v>18000</v>
      </c>
      <c r="F48" s="167">
        <v>1116.7739999999999</v>
      </c>
      <c r="G48" s="168">
        <v>8.6796000000000009E-3</v>
      </c>
      <c r="H48" s="168"/>
      <c r="J48" s="75"/>
    </row>
    <row r="49" spans="1:10" ht="17.100000000000001" customHeight="1" x14ac:dyDescent="0.2">
      <c r="A49" s="164">
        <v>43</v>
      </c>
      <c r="B49" s="165" t="s">
        <v>58</v>
      </c>
      <c r="C49" s="165" t="s">
        <v>59</v>
      </c>
      <c r="D49" s="165" t="s">
        <v>19</v>
      </c>
      <c r="E49" s="166">
        <v>124000</v>
      </c>
      <c r="F49" s="167">
        <v>1074.46</v>
      </c>
      <c r="G49" s="168">
        <v>8.3507300000000007E-3</v>
      </c>
      <c r="H49" s="168"/>
      <c r="J49" s="75"/>
    </row>
    <row r="50" spans="1:10" ht="29.1" customHeight="1" x14ac:dyDescent="0.2">
      <c r="A50" s="164">
        <v>44</v>
      </c>
      <c r="B50" s="165" t="s">
        <v>838</v>
      </c>
      <c r="C50" s="165" t="s">
        <v>422</v>
      </c>
      <c r="D50" s="165" t="s">
        <v>216</v>
      </c>
      <c r="E50" s="166">
        <v>79880</v>
      </c>
      <c r="F50" s="167">
        <v>1069.9926</v>
      </c>
      <c r="G50" s="168">
        <v>8.3160100000000004E-3</v>
      </c>
      <c r="H50" s="168"/>
      <c r="J50" s="75"/>
    </row>
    <row r="51" spans="1:10" ht="17.100000000000001" customHeight="1" x14ac:dyDescent="0.2">
      <c r="A51" s="164">
        <v>45</v>
      </c>
      <c r="B51" s="165" t="s">
        <v>83</v>
      </c>
      <c r="C51" s="165" t="s">
        <v>84</v>
      </c>
      <c r="D51" s="165" t="s">
        <v>36</v>
      </c>
      <c r="E51" s="166">
        <v>100000</v>
      </c>
      <c r="F51" s="167">
        <v>1022.35</v>
      </c>
      <c r="G51" s="168">
        <v>7.9457299999999998E-3</v>
      </c>
      <c r="H51" s="168"/>
      <c r="J51" s="75"/>
    </row>
    <row r="52" spans="1:10" ht="29.1" customHeight="1" x14ac:dyDescent="0.2">
      <c r="A52" s="164">
        <v>46</v>
      </c>
      <c r="B52" s="165" t="s">
        <v>541</v>
      </c>
      <c r="C52" s="165" t="s">
        <v>542</v>
      </c>
      <c r="D52" s="165" t="s">
        <v>414</v>
      </c>
      <c r="E52" s="166">
        <v>92000</v>
      </c>
      <c r="F52" s="167">
        <v>1019.682</v>
      </c>
      <c r="G52" s="168">
        <v>7.9249999999999998E-3</v>
      </c>
      <c r="H52" s="168"/>
      <c r="J52" s="75"/>
    </row>
    <row r="53" spans="1:10" ht="17.100000000000001" customHeight="1" x14ac:dyDescent="0.2">
      <c r="A53" s="164">
        <v>47</v>
      </c>
      <c r="B53" s="165" t="s">
        <v>360</v>
      </c>
      <c r="C53" s="165" t="s">
        <v>361</v>
      </c>
      <c r="D53" s="165" t="s">
        <v>39</v>
      </c>
      <c r="E53" s="166">
        <v>60000</v>
      </c>
      <c r="F53" s="167">
        <v>909.42</v>
      </c>
      <c r="G53" s="168">
        <v>7.0680400000000003E-3</v>
      </c>
      <c r="H53" s="168"/>
      <c r="J53" s="75"/>
    </row>
    <row r="54" spans="1:10" ht="17.100000000000001" customHeight="1" x14ac:dyDescent="0.2">
      <c r="A54" s="164">
        <v>48</v>
      </c>
      <c r="B54" s="165" t="s">
        <v>839</v>
      </c>
      <c r="C54" s="165" t="s">
        <v>840</v>
      </c>
      <c r="D54" s="165" t="s">
        <v>75</v>
      </c>
      <c r="E54" s="166">
        <v>65000</v>
      </c>
      <c r="F54" s="167">
        <v>889.94749999999999</v>
      </c>
      <c r="G54" s="168">
        <v>6.9166999999999996E-3</v>
      </c>
      <c r="H54" s="168"/>
      <c r="J54" s="75"/>
    </row>
    <row r="55" spans="1:10" ht="17.100000000000001" customHeight="1" x14ac:dyDescent="0.2">
      <c r="A55" s="164">
        <v>49</v>
      </c>
      <c r="B55" s="165" t="s">
        <v>333</v>
      </c>
      <c r="C55" s="165" t="s">
        <v>334</v>
      </c>
      <c r="D55" s="165" t="s">
        <v>210</v>
      </c>
      <c r="E55" s="166">
        <v>439890</v>
      </c>
      <c r="F55" s="167">
        <v>849.64753499999995</v>
      </c>
      <c r="G55" s="168">
        <v>6.6034800000000001E-3</v>
      </c>
      <c r="H55" s="168"/>
      <c r="J55" s="75"/>
    </row>
    <row r="56" spans="1:10" ht="17.100000000000001" customHeight="1" x14ac:dyDescent="0.2">
      <c r="A56" s="164">
        <v>50</v>
      </c>
      <c r="B56" s="165" t="s">
        <v>87</v>
      </c>
      <c r="C56" s="165" t="s">
        <v>88</v>
      </c>
      <c r="D56" s="165" t="s">
        <v>13</v>
      </c>
      <c r="E56" s="166">
        <v>126172</v>
      </c>
      <c r="F56" s="167">
        <v>827.75140599999997</v>
      </c>
      <c r="G56" s="168">
        <v>6.4333100000000002E-3</v>
      </c>
      <c r="H56" s="168"/>
      <c r="J56" s="75"/>
    </row>
    <row r="57" spans="1:10" ht="17.100000000000001" customHeight="1" x14ac:dyDescent="0.2">
      <c r="A57" s="164">
        <v>51</v>
      </c>
      <c r="B57" s="165" t="s">
        <v>81</v>
      </c>
      <c r="C57" s="165" t="s">
        <v>82</v>
      </c>
      <c r="D57" s="165" t="s">
        <v>36</v>
      </c>
      <c r="E57" s="166">
        <v>25000</v>
      </c>
      <c r="F57" s="167">
        <v>818.86249999999995</v>
      </c>
      <c r="G57" s="168">
        <v>6.3642200000000003E-3</v>
      </c>
      <c r="H57" s="168"/>
      <c r="J57" s="75"/>
    </row>
    <row r="58" spans="1:10" ht="17.100000000000001" customHeight="1" x14ac:dyDescent="0.2">
      <c r="A58" s="164">
        <v>52</v>
      </c>
      <c r="B58" s="165" t="s">
        <v>766</v>
      </c>
      <c r="C58" s="165" t="s">
        <v>767</v>
      </c>
      <c r="D58" s="165" t="s">
        <v>276</v>
      </c>
      <c r="E58" s="166">
        <v>30000</v>
      </c>
      <c r="F58" s="167">
        <v>752.22</v>
      </c>
      <c r="G58" s="168">
        <v>5.8462699999999998E-3</v>
      </c>
      <c r="H58" s="168"/>
      <c r="J58" s="75"/>
    </row>
    <row r="59" spans="1:10" ht="17.100000000000001" customHeight="1" x14ac:dyDescent="0.2">
      <c r="A59" s="164">
        <v>53</v>
      </c>
      <c r="B59" s="165" t="s">
        <v>756</v>
      </c>
      <c r="C59" s="165" t="s">
        <v>757</v>
      </c>
      <c r="D59" s="165" t="s">
        <v>75</v>
      </c>
      <c r="E59" s="166">
        <v>26000</v>
      </c>
      <c r="F59" s="167">
        <v>747.73400000000004</v>
      </c>
      <c r="G59" s="168">
        <v>5.8114100000000004E-3</v>
      </c>
      <c r="H59" s="168"/>
      <c r="J59" s="75"/>
    </row>
    <row r="60" spans="1:10" ht="17.100000000000001" customHeight="1" x14ac:dyDescent="0.2">
      <c r="A60" s="164">
        <v>54</v>
      </c>
      <c r="B60" s="165" t="s">
        <v>258</v>
      </c>
      <c r="C60" s="165" t="s">
        <v>259</v>
      </c>
      <c r="D60" s="165" t="s">
        <v>39</v>
      </c>
      <c r="E60" s="166">
        <v>476239</v>
      </c>
      <c r="F60" s="167">
        <v>734.36053800000002</v>
      </c>
      <c r="G60" s="168">
        <v>5.7074700000000001E-3</v>
      </c>
      <c r="H60" s="168"/>
      <c r="J60" s="75"/>
    </row>
    <row r="61" spans="1:10" ht="17.100000000000001" customHeight="1" x14ac:dyDescent="0.2">
      <c r="A61" s="164">
        <v>55</v>
      </c>
      <c r="B61" s="165" t="s">
        <v>362</v>
      </c>
      <c r="C61" s="165" t="s">
        <v>363</v>
      </c>
      <c r="D61" s="165" t="s">
        <v>364</v>
      </c>
      <c r="E61" s="166">
        <v>159000</v>
      </c>
      <c r="F61" s="167">
        <v>692.68349999999998</v>
      </c>
      <c r="G61" s="168">
        <v>5.3835599999999999E-3</v>
      </c>
      <c r="H61" s="168"/>
      <c r="J61" s="75"/>
    </row>
    <row r="62" spans="1:10" ht="17.100000000000001" customHeight="1" x14ac:dyDescent="0.2">
      <c r="A62" s="164">
        <v>56</v>
      </c>
      <c r="B62" s="165" t="s">
        <v>236</v>
      </c>
      <c r="C62" s="165" t="s">
        <v>237</v>
      </c>
      <c r="D62" s="165" t="s">
        <v>36</v>
      </c>
      <c r="E62" s="166">
        <v>12000</v>
      </c>
      <c r="F62" s="167">
        <v>679.98599999999999</v>
      </c>
      <c r="G62" s="168">
        <v>5.2848699999999997E-3</v>
      </c>
      <c r="H62" s="168"/>
      <c r="J62" s="75"/>
    </row>
    <row r="63" spans="1:10" ht="17.100000000000001" customHeight="1" x14ac:dyDescent="0.2">
      <c r="A63" s="164">
        <v>57</v>
      </c>
      <c r="B63" s="165" t="s">
        <v>734</v>
      </c>
      <c r="C63" s="165" t="s">
        <v>735</v>
      </c>
      <c r="D63" s="165" t="s">
        <v>276</v>
      </c>
      <c r="E63" s="166">
        <v>14000</v>
      </c>
      <c r="F63" s="167">
        <v>668.63300000000004</v>
      </c>
      <c r="G63" s="168">
        <v>5.1966299999999998E-3</v>
      </c>
      <c r="H63" s="168"/>
      <c r="J63" s="75"/>
    </row>
    <row r="64" spans="1:10" ht="17.100000000000001" customHeight="1" x14ac:dyDescent="0.2">
      <c r="A64" s="164">
        <v>58</v>
      </c>
      <c r="B64" s="165" t="s">
        <v>750</v>
      </c>
      <c r="C64" s="165" t="s">
        <v>751</v>
      </c>
      <c r="D64" s="165" t="s">
        <v>232</v>
      </c>
      <c r="E64" s="166">
        <v>33000</v>
      </c>
      <c r="F64" s="167">
        <v>663.26700000000005</v>
      </c>
      <c r="G64" s="168">
        <v>5.1549300000000003E-3</v>
      </c>
      <c r="H64" s="168"/>
      <c r="J64" s="75"/>
    </row>
    <row r="65" spans="1:10" ht="29.1" customHeight="1" x14ac:dyDescent="0.2">
      <c r="A65" s="164">
        <v>59</v>
      </c>
      <c r="B65" s="165" t="s">
        <v>752</v>
      </c>
      <c r="C65" s="165" t="s">
        <v>753</v>
      </c>
      <c r="D65" s="165" t="s">
        <v>316</v>
      </c>
      <c r="E65" s="166">
        <v>50000</v>
      </c>
      <c r="F65" s="167">
        <v>660.35</v>
      </c>
      <c r="G65" s="168">
        <v>5.1322599999999996E-3</v>
      </c>
      <c r="H65" s="168"/>
      <c r="J65" s="75"/>
    </row>
    <row r="66" spans="1:10" ht="29.1" customHeight="1" x14ac:dyDescent="0.2">
      <c r="A66" s="164">
        <v>60</v>
      </c>
      <c r="B66" s="165" t="s">
        <v>97</v>
      </c>
      <c r="C66" s="165" t="s">
        <v>98</v>
      </c>
      <c r="D66" s="165" t="s">
        <v>99</v>
      </c>
      <c r="E66" s="166">
        <v>47000</v>
      </c>
      <c r="F66" s="167">
        <v>622.70299999999997</v>
      </c>
      <c r="G66" s="168">
        <v>4.8396699999999999E-3</v>
      </c>
      <c r="H66" s="168"/>
      <c r="J66" s="75"/>
    </row>
    <row r="67" spans="1:10" ht="17.100000000000001" customHeight="1" x14ac:dyDescent="0.2">
      <c r="A67" s="164">
        <v>61</v>
      </c>
      <c r="B67" s="165" t="s">
        <v>617</v>
      </c>
      <c r="C67" s="165" t="s">
        <v>618</v>
      </c>
      <c r="D67" s="165" t="s">
        <v>273</v>
      </c>
      <c r="E67" s="166">
        <v>52000</v>
      </c>
      <c r="F67" s="167">
        <v>612.04</v>
      </c>
      <c r="G67" s="168">
        <v>4.7567900000000003E-3</v>
      </c>
      <c r="H67" s="168"/>
      <c r="J67" s="75"/>
    </row>
    <row r="68" spans="1:10" ht="17.100000000000001" customHeight="1" x14ac:dyDescent="0.2">
      <c r="A68" s="164">
        <v>62</v>
      </c>
      <c r="B68" s="165" t="s">
        <v>841</v>
      </c>
      <c r="C68" s="165" t="s">
        <v>842</v>
      </c>
      <c r="D68" s="165" t="s">
        <v>276</v>
      </c>
      <c r="E68" s="166">
        <v>35000</v>
      </c>
      <c r="F68" s="167">
        <v>583.06500000000005</v>
      </c>
      <c r="G68" s="168">
        <v>4.5316000000000002E-3</v>
      </c>
      <c r="H68" s="168"/>
      <c r="J68" s="75"/>
    </row>
    <row r="69" spans="1:10" ht="17.100000000000001" customHeight="1" x14ac:dyDescent="0.2">
      <c r="A69" s="164">
        <v>63</v>
      </c>
      <c r="B69" s="165" t="s">
        <v>129</v>
      </c>
      <c r="C69" s="165" t="s">
        <v>130</v>
      </c>
      <c r="D69" s="165" t="s">
        <v>80</v>
      </c>
      <c r="E69" s="166">
        <v>38000</v>
      </c>
      <c r="F69" s="167">
        <v>563.673</v>
      </c>
      <c r="G69" s="168">
        <v>4.3808800000000002E-3</v>
      </c>
      <c r="H69" s="168"/>
      <c r="J69" s="75"/>
    </row>
    <row r="70" spans="1:10" ht="29.1" customHeight="1" x14ac:dyDescent="0.2">
      <c r="A70" s="164">
        <v>64</v>
      </c>
      <c r="B70" s="165" t="s">
        <v>565</v>
      </c>
      <c r="C70" s="165" t="s">
        <v>566</v>
      </c>
      <c r="D70" s="165" t="s">
        <v>216</v>
      </c>
      <c r="E70" s="166">
        <v>75951</v>
      </c>
      <c r="F70" s="167">
        <v>501.6183795</v>
      </c>
      <c r="G70" s="168">
        <v>3.89859E-3</v>
      </c>
      <c r="H70" s="168"/>
      <c r="J70" s="75"/>
    </row>
    <row r="71" spans="1:10" ht="17.100000000000001" customHeight="1" x14ac:dyDescent="0.2">
      <c r="A71" s="164">
        <v>65</v>
      </c>
      <c r="B71" s="165" t="s">
        <v>478</v>
      </c>
      <c r="C71" s="165" t="s">
        <v>479</v>
      </c>
      <c r="D71" s="165" t="s">
        <v>53</v>
      </c>
      <c r="E71" s="166">
        <v>61000</v>
      </c>
      <c r="F71" s="167">
        <v>465.2165</v>
      </c>
      <c r="G71" s="168">
        <v>3.61568E-3</v>
      </c>
      <c r="H71" s="168"/>
      <c r="J71" s="75"/>
    </row>
    <row r="72" spans="1:10" ht="17.100000000000001" customHeight="1" x14ac:dyDescent="0.2">
      <c r="A72" s="164">
        <v>66</v>
      </c>
      <c r="B72" s="165" t="s">
        <v>102</v>
      </c>
      <c r="C72" s="165" t="s">
        <v>103</v>
      </c>
      <c r="D72" s="165" t="s">
        <v>104</v>
      </c>
      <c r="E72" s="166">
        <v>12000</v>
      </c>
      <c r="F72" s="167">
        <v>442.78199999999998</v>
      </c>
      <c r="G72" s="168">
        <v>3.4413099999999999E-3</v>
      </c>
      <c r="H72" s="168"/>
      <c r="J72" s="75"/>
    </row>
    <row r="73" spans="1:10" ht="29.1" customHeight="1" x14ac:dyDescent="0.2">
      <c r="A73" s="164">
        <v>67</v>
      </c>
      <c r="B73" s="165" t="s">
        <v>141</v>
      </c>
      <c r="C73" s="165" t="s">
        <v>142</v>
      </c>
      <c r="D73" s="165" t="s">
        <v>25</v>
      </c>
      <c r="E73" s="166">
        <v>21069</v>
      </c>
      <c r="F73" s="167">
        <v>387.27982350000002</v>
      </c>
      <c r="G73" s="168">
        <v>3.00995E-3</v>
      </c>
      <c r="H73" s="168"/>
      <c r="J73" s="75"/>
    </row>
    <row r="74" spans="1:10" ht="17.100000000000001" customHeight="1" x14ac:dyDescent="0.2">
      <c r="A74" s="164">
        <v>68</v>
      </c>
      <c r="B74" s="165" t="s">
        <v>482</v>
      </c>
      <c r="C74" s="165" t="s">
        <v>483</v>
      </c>
      <c r="D74" s="165" t="s">
        <v>242</v>
      </c>
      <c r="E74" s="166">
        <v>26000</v>
      </c>
      <c r="F74" s="167">
        <v>369.928</v>
      </c>
      <c r="G74" s="168">
        <v>2.8750899999999999E-3</v>
      </c>
      <c r="H74" s="168"/>
      <c r="J74" s="75"/>
    </row>
    <row r="75" spans="1:10" ht="29.1" customHeight="1" x14ac:dyDescent="0.2">
      <c r="A75" s="164">
        <v>69</v>
      </c>
      <c r="B75" s="165" t="s">
        <v>246</v>
      </c>
      <c r="C75" s="165" t="s">
        <v>247</v>
      </c>
      <c r="D75" s="165" t="s">
        <v>216</v>
      </c>
      <c r="E75" s="166">
        <v>7000</v>
      </c>
      <c r="F75" s="167">
        <v>338.31349999999998</v>
      </c>
      <c r="G75" s="168">
        <v>2.6293800000000002E-3</v>
      </c>
      <c r="H75" s="168"/>
      <c r="J75" s="75"/>
    </row>
    <row r="76" spans="1:10" ht="29.1" customHeight="1" x14ac:dyDescent="0.2">
      <c r="A76" s="164">
        <v>70</v>
      </c>
      <c r="B76" s="165" t="s">
        <v>314</v>
      </c>
      <c r="C76" s="165" t="s">
        <v>315</v>
      </c>
      <c r="D76" s="165" t="s">
        <v>316</v>
      </c>
      <c r="E76" s="166">
        <v>7000</v>
      </c>
      <c r="F76" s="167">
        <v>239.3475</v>
      </c>
      <c r="G76" s="168">
        <v>1.8602200000000001E-3</v>
      </c>
      <c r="H76" s="168"/>
      <c r="J76" s="75"/>
    </row>
    <row r="77" spans="1:10" ht="17.100000000000001" customHeight="1" x14ac:dyDescent="0.2">
      <c r="A77" s="164">
        <v>71</v>
      </c>
      <c r="B77" s="165" t="s">
        <v>827</v>
      </c>
      <c r="C77" s="165" t="s">
        <v>828</v>
      </c>
      <c r="D77" s="165" t="s">
        <v>232</v>
      </c>
      <c r="E77" s="166">
        <v>5000</v>
      </c>
      <c r="F77" s="167">
        <v>235.32</v>
      </c>
      <c r="G77" s="168">
        <v>1.82891E-3</v>
      </c>
      <c r="H77" s="168"/>
      <c r="J77" s="75"/>
    </row>
    <row r="78" spans="1:10" ht="17.100000000000001" customHeight="1" x14ac:dyDescent="0.2">
      <c r="A78" s="164">
        <v>72</v>
      </c>
      <c r="B78" s="165" t="s">
        <v>758</v>
      </c>
      <c r="C78" s="165" t="s">
        <v>759</v>
      </c>
      <c r="D78" s="165" t="s">
        <v>53</v>
      </c>
      <c r="E78" s="166">
        <v>53206</v>
      </c>
      <c r="F78" s="167">
        <v>136.73942</v>
      </c>
      <c r="G78" s="168">
        <v>1.06274E-3</v>
      </c>
      <c r="H78" s="168"/>
      <c r="J78" s="75"/>
    </row>
    <row r="79" spans="1:10" ht="17.100000000000001" customHeight="1" x14ac:dyDescent="0.2">
      <c r="A79" s="164">
        <v>73</v>
      </c>
      <c r="B79" s="165" t="s">
        <v>412</v>
      </c>
      <c r="C79" s="165" t="s">
        <v>413</v>
      </c>
      <c r="D79" s="165" t="s">
        <v>53</v>
      </c>
      <c r="E79" s="166">
        <v>31000</v>
      </c>
      <c r="F79" s="167">
        <v>116.87</v>
      </c>
      <c r="G79" s="168">
        <v>9.0832E-4</v>
      </c>
      <c r="H79" s="168"/>
      <c r="J79" s="75"/>
    </row>
    <row r="80" spans="1:10" ht="14.1" customHeight="1" x14ac:dyDescent="0.2">
      <c r="A80" s="162"/>
      <c r="B80" s="162"/>
      <c r="C80" s="163" t="s">
        <v>152</v>
      </c>
      <c r="D80" s="162"/>
      <c r="E80" s="162" t="s">
        <v>153</v>
      </c>
      <c r="F80" s="169">
        <v>122388.64995049997</v>
      </c>
      <c r="G80" s="170">
        <v>0.95123378999999997</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154</v>
      </c>
      <c r="D82" s="162"/>
      <c r="E82" s="162"/>
      <c r="F82" s="162"/>
      <c r="G82" s="162"/>
      <c r="H82" s="16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156</v>
      </c>
      <c r="D85" s="162"/>
      <c r="E85" s="162"/>
      <c r="F85" s="162"/>
      <c r="G85" s="162"/>
      <c r="H85" s="162"/>
      <c r="J85" s="75"/>
    </row>
    <row r="86" spans="1:10" ht="17.100000000000001" customHeight="1" x14ac:dyDescent="0.2">
      <c r="A86" s="164">
        <v>1</v>
      </c>
      <c r="B86" s="165" t="s">
        <v>635</v>
      </c>
      <c r="C86" s="165" t="s">
        <v>1199</v>
      </c>
      <c r="D86" s="165" t="s">
        <v>242</v>
      </c>
      <c r="E86" s="166">
        <v>374002</v>
      </c>
      <c r="F86" s="167">
        <v>16.194286600000002</v>
      </c>
      <c r="G86" s="168">
        <v>1.2585999999999999E-4</v>
      </c>
      <c r="H86" s="168"/>
      <c r="J86" s="75"/>
    </row>
    <row r="87" spans="1:10" ht="17.100000000000001" customHeight="1" x14ac:dyDescent="0.2">
      <c r="A87" s="164">
        <v>2</v>
      </c>
      <c r="B87" s="165" t="s">
        <v>781</v>
      </c>
      <c r="C87" s="165" t="s">
        <v>1213</v>
      </c>
      <c r="D87" s="165"/>
      <c r="E87" s="166">
        <v>200000</v>
      </c>
      <c r="F87" s="167">
        <v>1.9999999999999999E-6</v>
      </c>
      <c r="G87" s="174" t="s">
        <v>151</v>
      </c>
      <c r="H87" s="174"/>
      <c r="J87" s="75"/>
    </row>
    <row r="88" spans="1:10" ht="14.1" customHeight="1" x14ac:dyDescent="0.2">
      <c r="A88" s="162"/>
      <c r="B88" s="162"/>
      <c r="C88" s="163" t="s">
        <v>152</v>
      </c>
      <c r="D88" s="162"/>
      <c r="E88" s="162" t="s">
        <v>153</v>
      </c>
      <c r="F88" s="169">
        <v>16.1942886</v>
      </c>
      <c r="G88" s="207">
        <v>1.3014E-4</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157</v>
      </c>
      <c r="D90" s="162"/>
      <c r="E90" s="162"/>
      <c r="F90" s="162"/>
      <c r="G90" s="162"/>
      <c r="H90" s="16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158</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159</v>
      </c>
      <c r="D96" s="162"/>
      <c r="E96" s="162"/>
      <c r="F96" s="172"/>
      <c r="G96" s="172"/>
      <c r="H96" s="172"/>
      <c r="J96" s="75"/>
    </row>
    <row r="97" spans="1:10" ht="14.1" customHeight="1" x14ac:dyDescent="0.2">
      <c r="A97" s="162"/>
      <c r="B97" s="162"/>
      <c r="C97" s="163" t="s">
        <v>152</v>
      </c>
      <c r="D97" s="162"/>
      <c r="E97" s="162" t="s">
        <v>153</v>
      </c>
      <c r="F97" s="173" t="s">
        <v>155</v>
      </c>
      <c r="G97" s="170">
        <v>0</v>
      </c>
      <c r="H97" s="170"/>
      <c r="J97" s="75"/>
    </row>
    <row r="98" spans="1:10" ht="14.1" customHeight="1" x14ac:dyDescent="0.2">
      <c r="A98" s="162"/>
      <c r="B98" s="162"/>
      <c r="C98" s="171"/>
      <c r="D98" s="162"/>
      <c r="E98" s="162"/>
      <c r="F98" s="172"/>
      <c r="G98" s="172"/>
      <c r="H98" s="172"/>
      <c r="J98" s="75"/>
    </row>
    <row r="99" spans="1:10" ht="18" customHeight="1" x14ac:dyDescent="0.2">
      <c r="A99" s="162"/>
      <c r="B99" s="162"/>
      <c r="C99" s="163" t="s">
        <v>160</v>
      </c>
      <c r="D99" s="162"/>
      <c r="E99" s="162"/>
      <c r="F99" s="169">
        <v>122404.8442391</v>
      </c>
      <c r="G99" s="170">
        <v>0.95133378999999996</v>
      </c>
      <c r="H99" s="170"/>
      <c r="J99" s="75"/>
    </row>
    <row r="100" spans="1:10" ht="14.1" customHeight="1" x14ac:dyDescent="0.2">
      <c r="A100" s="162"/>
      <c r="B100" s="162"/>
      <c r="C100" s="171"/>
      <c r="D100" s="162"/>
      <c r="E100" s="162"/>
      <c r="F100" s="172"/>
      <c r="G100" s="172"/>
      <c r="H100" s="172"/>
      <c r="J100" s="75"/>
    </row>
    <row r="101" spans="1:10" ht="14.1" customHeight="1" x14ac:dyDescent="0.2">
      <c r="A101" s="162"/>
      <c r="B101" s="162"/>
      <c r="C101" s="163" t="s">
        <v>161</v>
      </c>
      <c r="D101" s="162"/>
      <c r="E101" s="162"/>
      <c r="F101" s="172"/>
      <c r="G101" s="172"/>
      <c r="H101" s="172"/>
      <c r="J101" s="75"/>
    </row>
    <row r="102" spans="1:10" ht="24" customHeight="1" x14ac:dyDescent="0.2">
      <c r="A102" s="162"/>
      <c r="B102" s="162"/>
      <c r="C102" s="163" t="s">
        <v>10</v>
      </c>
      <c r="D102" s="162"/>
      <c r="E102" s="162"/>
      <c r="F102" s="172"/>
      <c r="G102" s="172"/>
      <c r="H102" s="172"/>
      <c r="J102" s="75"/>
    </row>
    <row r="103" spans="1:10" ht="14.1" customHeight="1" x14ac:dyDescent="0.2">
      <c r="A103" s="162"/>
      <c r="B103" s="162"/>
      <c r="C103" s="163" t="s">
        <v>152</v>
      </c>
      <c r="D103" s="162"/>
      <c r="E103" s="162" t="s">
        <v>153</v>
      </c>
      <c r="F103" s="173" t="s">
        <v>155</v>
      </c>
      <c r="G103" s="170">
        <v>0</v>
      </c>
      <c r="H103" s="170"/>
      <c r="J103" s="75"/>
    </row>
    <row r="104" spans="1:10" ht="14.1" customHeight="1" x14ac:dyDescent="0.2">
      <c r="A104" s="162"/>
      <c r="B104" s="162"/>
      <c r="C104" s="171"/>
      <c r="D104" s="162"/>
      <c r="E104" s="162"/>
      <c r="F104" s="172"/>
      <c r="G104" s="172"/>
      <c r="H104" s="172"/>
      <c r="J104" s="75"/>
    </row>
    <row r="105" spans="1:10" ht="14.1" customHeight="1" x14ac:dyDescent="0.2">
      <c r="A105" s="162"/>
      <c r="B105" s="162"/>
      <c r="C105" s="163" t="s">
        <v>162</v>
      </c>
      <c r="D105" s="162"/>
      <c r="E105" s="162"/>
      <c r="F105" s="162"/>
      <c r="G105" s="162"/>
      <c r="H105" s="162"/>
      <c r="J105" s="75"/>
    </row>
    <row r="106" spans="1:10" ht="14.1" customHeight="1" x14ac:dyDescent="0.2">
      <c r="A106" s="162"/>
      <c r="B106" s="162"/>
      <c r="C106" s="163" t="s">
        <v>152</v>
      </c>
      <c r="D106" s="162"/>
      <c r="E106" s="162" t="s">
        <v>153</v>
      </c>
      <c r="F106" s="173" t="s">
        <v>155</v>
      </c>
      <c r="G106" s="170">
        <v>0</v>
      </c>
      <c r="H106" s="170"/>
      <c r="J106" s="75"/>
    </row>
    <row r="107" spans="1:10" ht="14.1" customHeight="1" x14ac:dyDescent="0.2">
      <c r="A107" s="162"/>
      <c r="B107" s="162"/>
      <c r="C107" s="171"/>
      <c r="D107" s="162"/>
      <c r="E107" s="162"/>
      <c r="F107" s="172"/>
      <c r="G107" s="172"/>
      <c r="H107" s="172"/>
      <c r="J107" s="75"/>
    </row>
    <row r="108" spans="1:10" ht="14.1" customHeight="1" x14ac:dyDescent="0.2">
      <c r="A108" s="162"/>
      <c r="B108" s="162"/>
      <c r="C108" s="163" t="s">
        <v>163</v>
      </c>
      <c r="D108" s="162"/>
      <c r="E108" s="162"/>
      <c r="F108" s="162"/>
      <c r="G108" s="162"/>
      <c r="H108" s="162"/>
      <c r="J108" s="75"/>
    </row>
    <row r="109" spans="1:10" ht="14.1" customHeight="1" x14ac:dyDescent="0.2">
      <c r="A109" s="162"/>
      <c r="B109" s="162"/>
      <c r="C109" s="163" t="s">
        <v>152</v>
      </c>
      <c r="D109" s="162"/>
      <c r="E109" s="162" t="s">
        <v>153</v>
      </c>
      <c r="F109" s="173" t="s">
        <v>155</v>
      </c>
      <c r="G109" s="170">
        <v>0</v>
      </c>
      <c r="H109" s="170"/>
      <c r="J109" s="75"/>
    </row>
    <row r="110" spans="1:10" ht="14.1" customHeight="1" x14ac:dyDescent="0.2">
      <c r="A110" s="162"/>
      <c r="B110" s="162"/>
      <c r="C110" s="171"/>
      <c r="D110" s="162"/>
      <c r="E110" s="162"/>
      <c r="F110" s="172"/>
      <c r="G110" s="172"/>
      <c r="H110" s="172"/>
      <c r="J110" s="75"/>
    </row>
    <row r="111" spans="1:10" ht="14.1" customHeight="1" x14ac:dyDescent="0.2">
      <c r="A111" s="162"/>
      <c r="B111" s="162"/>
      <c r="C111" s="163" t="s">
        <v>164</v>
      </c>
      <c r="D111" s="162"/>
      <c r="E111" s="162"/>
      <c r="F111" s="172"/>
      <c r="G111" s="172"/>
      <c r="H111" s="172"/>
      <c r="J111" s="75"/>
    </row>
    <row r="112" spans="1:10" ht="14.1" customHeight="1" x14ac:dyDescent="0.2">
      <c r="A112" s="162"/>
      <c r="B112" s="162"/>
      <c r="C112" s="163" t="s">
        <v>152</v>
      </c>
      <c r="D112" s="162"/>
      <c r="E112" s="162" t="s">
        <v>153</v>
      </c>
      <c r="F112" s="173" t="s">
        <v>155</v>
      </c>
      <c r="G112" s="170">
        <v>0</v>
      </c>
      <c r="H112" s="170"/>
      <c r="J112" s="75"/>
    </row>
    <row r="113" spans="1:10" ht="14.1" customHeight="1" x14ac:dyDescent="0.2">
      <c r="A113" s="162"/>
      <c r="B113" s="162"/>
      <c r="C113" s="171"/>
      <c r="D113" s="162"/>
      <c r="E113" s="162"/>
      <c r="F113" s="172"/>
      <c r="G113" s="172"/>
      <c r="H113" s="172"/>
      <c r="J113" s="75"/>
    </row>
    <row r="114" spans="1:10" ht="14.1" customHeight="1" x14ac:dyDescent="0.2">
      <c r="A114" s="162"/>
      <c r="B114" s="162"/>
      <c r="C114" s="163" t="s">
        <v>165</v>
      </c>
      <c r="D114" s="162"/>
      <c r="E114" s="162"/>
      <c r="F114" s="169">
        <v>0</v>
      </c>
      <c r="G114" s="170">
        <v>0</v>
      </c>
      <c r="H114" s="170"/>
      <c r="J114" s="75"/>
    </row>
    <row r="115" spans="1:10" ht="14.1" customHeight="1" x14ac:dyDescent="0.2">
      <c r="A115" s="162"/>
      <c r="B115" s="162"/>
      <c r="C115" s="171"/>
      <c r="D115" s="162"/>
      <c r="E115" s="162"/>
      <c r="F115" s="172"/>
      <c r="G115" s="172"/>
      <c r="H115" s="172"/>
      <c r="J115" s="75"/>
    </row>
    <row r="116" spans="1:10" ht="14.1" customHeight="1" x14ac:dyDescent="0.2">
      <c r="A116" s="162"/>
      <c r="B116" s="162"/>
      <c r="C116" s="163" t="s">
        <v>166</v>
      </c>
      <c r="D116" s="162"/>
      <c r="E116" s="162"/>
      <c r="F116" s="172"/>
      <c r="G116" s="172"/>
      <c r="H116" s="172"/>
      <c r="J116" s="75"/>
    </row>
    <row r="117" spans="1:10" ht="14.1" customHeight="1" x14ac:dyDescent="0.2">
      <c r="A117" s="162"/>
      <c r="B117" s="162"/>
      <c r="C117" s="163" t="s">
        <v>167</v>
      </c>
      <c r="D117" s="162"/>
      <c r="E117" s="162"/>
      <c r="F117" s="172"/>
      <c r="G117" s="172"/>
      <c r="H117" s="172"/>
      <c r="J117" s="75"/>
    </row>
    <row r="118" spans="1:10" ht="14.1" customHeight="1" x14ac:dyDescent="0.2">
      <c r="A118" s="162"/>
      <c r="B118" s="162"/>
      <c r="C118" s="163" t="s">
        <v>152</v>
      </c>
      <c r="D118" s="162"/>
      <c r="E118" s="162" t="s">
        <v>153</v>
      </c>
      <c r="F118" s="173" t="s">
        <v>155</v>
      </c>
      <c r="G118" s="170">
        <v>0</v>
      </c>
      <c r="H118" s="170"/>
      <c r="J118" s="75"/>
    </row>
    <row r="119" spans="1:10" ht="14.1" customHeight="1" x14ac:dyDescent="0.2">
      <c r="A119" s="162"/>
      <c r="B119" s="162"/>
      <c r="C119" s="171"/>
      <c r="D119" s="162"/>
      <c r="E119" s="162"/>
      <c r="F119" s="172"/>
      <c r="G119" s="172"/>
      <c r="H119" s="172"/>
      <c r="J119" s="75"/>
    </row>
    <row r="120" spans="1:10" ht="14.1" customHeight="1" x14ac:dyDescent="0.2">
      <c r="A120" s="162"/>
      <c r="B120" s="162"/>
      <c r="C120" s="163" t="s">
        <v>168</v>
      </c>
      <c r="D120" s="162"/>
      <c r="E120" s="162"/>
      <c r="F120" s="172"/>
      <c r="G120" s="172"/>
      <c r="H120" s="172"/>
      <c r="J120" s="75"/>
    </row>
    <row r="121" spans="1:10" ht="14.1" customHeight="1" x14ac:dyDescent="0.2">
      <c r="A121" s="162"/>
      <c r="B121" s="162"/>
      <c r="C121" s="163" t="s">
        <v>152</v>
      </c>
      <c r="D121" s="162"/>
      <c r="E121" s="162" t="s">
        <v>153</v>
      </c>
      <c r="F121" s="173" t="s">
        <v>155</v>
      </c>
      <c r="G121" s="170">
        <v>0</v>
      </c>
      <c r="H121" s="170"/>
      <c r="J121" s="75"/>
    </row>
    <row r="122" spans="1:10" ht="14.1" customHeight="1" x14ac:dyDescent="0.2">
      <c r="A122" s="162"/>
      <c r="B122" s="162"/>
      <c r="C122" s="171"/>
      <c r="D122" s="162"/>
      <c r="E122" s="162"/>
      <c r="F122" s="172"/>
      <c r="G122" s="172"/>
      <c r="H122" s="172"/>
      <c r="J122" s="75"/>
    </row>
    <row r="123" spans="1:10" ht="14.1" customHeight="1" x14ac:dyDescent="0.2">
      <c r="A123" s="162"/>
      <c r="B123" s="162"/>
      <c r="C123" s="163" t="s">
        <v>169</v>
      </c>
      <c r="D123" s="162"/>
      <c r="E123" s="162"/>
      <c r="F123" s="172"/>
      <c r="G123" s="172"/>
      <c r="H123" s="172"/>
      <c r="J123" s="75"/>
    </row>
    <row r="124" spans="1:10" ht="14.1" customHeight="1" x14ac:dyDescent="0.2">
      <c r="A124" s="162"/>
      <c r="B124" s="162"/>
      <c r="C124" s="163" t="s">
        <v>152</v>
      </c>
      <c r="D124" s="162"/>
      <c r="E124" s="162" t="s">
        <v>153</v>
      </c>
      <c r="F124" s="173" t="s">
        <v>155</v>
      </c>
      <c r="G124" s="170">
        <v>0</v>
      </c>
      <c r="H124" s="170"/>
      <c r="J124" s="75"/>
    </row>
    <row r="125" spans="1:10" ht="14.1" customHeight="1" x14ac:dyDescent="0.2">
      <c r="A125" s="162"/>
      <c r="B125" s="162"/>
      <c r="C125" s="171"/>
      <c r="D125" s="162"/>
      <c r="E125" s="162"/>
      <c r="F125" s="172"/>
      <c r="G125" s="172"/>
      <c r="H125" s="172"/>
      <c r="J125" s="75"/>
    </row>
    <row r="126" spans="1:10" ht="14.1" customHeight="1" x14ac:dyDescent="0.2">
      <c r="A126" s="162"/>
      <c r="B126" s="162"/>
      <c r="C126" s="163" t="s">
        <v>170</v>
      </c>
      <c r="D126" s="162"/>
      <c r="E126" s="162"/>
      <c r="F126" s="172"/>
      <c r="G126" s="172"/>
      <c r="H126" s="172"/>
      <c r="J126" s="75"/>
    </row>
    <row r="127" spans="1:10" ht="17.100000000000001" customHeight="1" x14ac:dyDescent="0.2">
      <c r="A127" s="164">
        <v>1</v>
      </c>
      <c r="B127" s="165"/>
      <c r="C127" s="165" t="s">
        <v>171</v>
      </c>
      <c r="D127" s="165"/>
      <c r="E127" s="174"/>
      <c r="F127" s="167">
        <v>4018.1255462889999</v>
      </c>
      <c r="G127" s="168">
        <v>3.122898E-2</v>
      </c>
      <c r="H127" s="175">
        <v>6.66</v>
      </c>
      <c r="J127" s="75"/>
    </row>
    <row r="128" spans="1:10" ht="14.1" customHeight="1" x14ac:dyDescent="0.2">
      <c r="A128" s="162"/>
      <c r="B128" s="162"/>
      <c r="C128" s="163" t="s">
        <v>152</v>
      </c>
      <c r="D128" s="162"/>
      <c r="E128" s="162" t="s">
        <v>153</v>
      </c>
      <c r="F128" s="169">
        <v>4018.1255462889999</v>
      </c>
      <c r="G128" s="170">
        <v>3.122898E-2</v>
      </c>
      <c r="H128" s="170"/>
      <c r="J128" s="75"/>
    </row>
    <row r="129" spans="1:10" ht="14.1" customHeight="1" x14ac:dyDescent="0.2">
      <c r="A129" s="162"/>
      <c r="B129" s="162"/>
      <c r="C129" s="171"/>
      <c r="D129" s="162"/>
      <c r="E129" s="162"/>
      <c r="F129" s="172"/>
      <c r="G129" s="172"/>
      <c r="H129" s="172"/>
      <c r="J129" s="75"/>
    </row>
    <row r="130" spans="1:10" ht="14.1" customHeight="1" x14ac:dyDescent="0.2">
      <c r="A130" s="162"/>
      <c r="B130" s="162"/>
      <c r="C130" s="163" t="s">
        <v>172</v>
      </c>
      <c r="D130" s="162"/>
      <c r="E130" s="162"/>
      <c r="F130" s="169">
        <v>4018.1255462889999</v>
      </c>
      <c r="G130" s="170">
        <v>3.122898E-2</v>
      </c>
      <c r="H130" s="170"/>
      <c r="J130" s="75"/>
    </row>
    <row r="131" spans="1:10" ht="14.1" customHeight="1" x14ac:dyDescent="0.2">
      <c r="A131" s="162"/>
      <c r="B131" s="162"/>
      <c r="C131" s="172"/>
      <c r="D131" s="162"/>
      <c r="E131" s="162"/>
      <c r="F131" s="162"/>
      <c r="G131" s="162"/>
      <c r="H131" s="162"/>
      <c r="J131" s="75"/>
    </row>
    <row r="132" spans="1:10" ht="14.1" customHeight="1" x14ac:dyDescent="0.2">
      <c r="A132" s="162"/>
      <c r="B132" s="162"/>
      <c r="C132" s="163" t="s">
        <v>173</v>
      </c>
      <c r="D132" s="162"/>
      <c r="E132" s="162"/>
      <c r="F132" s="162"/>
      <c r="G132" s="162"/>
      <c r="H132" s="162"/>
      <c r="J132" s="75"/>
    </row>
    <row r="133" spans="1:10" ht="14.1" customHeight="1" x14ac:dyDescent="0.2">
      <c r="A133" s="162"/>
      <c r="B133" s="162"/>
      <c r="C133" s="163" t="s">
        <v>174</v>
      </c>
      <c r="D133" s="162"/>
      <c r="E133" s="162"/>
      <c r="F133" s="162"/>
      <c r="G133" s="162"/>
      <c r="H133" s="162"/>
      <c r="J133" s="75"/>
    </row>
    <row r="134" spans="1:10" ht="17.100000000000001" customHeight="1" x14ac:dyDescent="0.2">
      <c r="A134" s="164">
        <v>1</v>
      </c>
      <c r="B134" s="165" t="s">
        <v>175</v>
      </c>
      <c r="C134" s="165" t="s">
        <v>176</v>
      </c>
      <c r="D134" s="165"/>
      <c r="E134" s="176">
        <v>94433.475000000006</v>
      </c>
      <c r="F134" s="167">
        <v>2026.3883525020001</v>
      </c>
      <c r="G134" s="168">
        <v>1.574915E-2</v>
      </c>
      <c r="H134" s="168"/>
      <c r="J134" s="75"/>
    </row>
    <row r="135" spans="1:10" ht="14.1" customHeight="1" x14ac:dyDescent="0.2">
      <c r="A135" s="162"/>
      <c r="B135" s="162"/>
      <c r="C135" s="163" t="s">
        <v>152</v>
      </c>
      <c r="D135" s="162"/>
      <c r="E135" s="162" t="s">
        <v>153</v>
      </c>
      <c r="F135" s="169">
        <v>2026.3883525020001</v>
      </c>
      <c r="G135" s="170">
        <v>1.574915E-2</v>
      </c>
      <c r="H135" s="170"/>
      <c r="J135" s="75"/>
    </row>
    <row r="136" spans="1:10" ht="14.1" customHeight="1" x14ac:dyDescent="0.2">
      <c r="A136" s="162"/>
      <c r="B136" s="162"/>
      <c r="C136" s="171"/>
      <c r="D136" s="162"/>
      <c r="E136" s="162"/>
      <c r="F136" s="172"/>
      <c r="G136" s="172"/>
      <c r="H136" s="172"/>
      <c r="J136" s="75"/>
    </row>
    <row r="137" spans="1:10" ht="14.1" customHeight="1" x14ac:dyDescent="0.2">
      <c r="A137" s="162"/>
      <c r="B137" s="162"/>
      <c r="C137" s="163" t="s">
        <v>177</v>
      </c>
      <c r="D137" s="162"/>
      <c r="E137" s="162"/>
      <c r="F137" s="162"/>
      <c r="G137" s="162"/>
      <c r="H137" s="162"/>
      <c r="J137" s="75"/>
    </row>
    <row r="138" spans="1:10" ht="14.1" customHeight="1" x14ac:dyDescent="0.2">
      <c r="A138" s="162"/>
      <c r="B138" s="162"/>
      <c r="C138" s="163" t="s">
        <v>178</v>
      </c>
      <c r="D138" s="162"/>
      <c r="E138" s="162"/>
      <c r="F138" s="162"/>
      <c r="G138" s="162"/>
      <c r="H138" s="162"/>
      <c r="J138" s="75"/>
    </row>
    <row r="139" spans="1:10" ht="14.1" customHeight="1" x14ac:dyDescent="0.2">
      <c r="A139" s="162"/>
      <c r="B139" s="162"/>
      <c r="C139" s="163" t="s">
        <v>152</v>
      </c>
      <c r="D139" s="162"/>
      <c r="E139" s="162" t="s">
        <v>153</v>
      </c>
      <c r="F139" s="173" t="s">
        <v>155</v>
      </c>
      <c r="G139" s="170">
        <v>0</v>
      </c>
      <c r="H139" s="170"/>
      <c r="J139" s="75"/>
    </row>
    <row r="140" spans="1:10" ht="14.1" customHeight="1" x14ac:dyDescent="0.2">
      <c r="A140" s="162"/>
      <c r="B140" s="162"/>
      <c r="C140" s="171"/>
      <c r="D140" s="162"/>
      <c r="E140" s="162"/>
      <c r="F140" s="172"/>
      <c r="G140" s="172"/>
      <c r="H140" s="172"/>
      <c r="J140" s="75"/>
    </row>
    <row r="141" spans="1:10" ht="24" customHeight="1" x14ac:dyDescent="0.2">
      <c r="A141" s="162"/>
      <c r="B141" s="162"/>
      <c r="C141" s="163" t="s">
        <v>179</v>
      </c>
      <c r="D141" s="162"/>
      <c r="E141" s="162"/>
      <c r="F141" s="172"/>
      <c r="G141" s="172"/>
      <c r="H141" s="172"/>
      <c r="J141" s="75"/>
    </row>
    <row r="142" spans="1:10" ht="14.1" customHeight="1" x14ac:dyDescent="0.2">
      <c r="A142" s="162"/>
      <c r="B142" s="162"/>
      <c r="C142" s="163" t="s">
        <v>152</v>
      </c>
      <c r="D142" s="162"/>
      <c r="E142" s="162" t="s">
        <v>153</v>
      </c>
      <c r="F142" s="173" t="s">
        <v>155</v>
      </c>
      <c r="G142" s="170">
        <v>0</v>
      </c>
      <c r="H142" s="170"/>
      <c r="J142" s="75"/>
    </row>
    <row r="143" spans="1:10" ht="14.1" customHeight="1" x14ac:dyDescent="0.2">
      <c r="A143" s="162"/>
      <c r="B143" s="165"/>
      <c r="C143" s="165"/>
      <c r="D143" s="163"/>
      <c r="E143" s="162"/>
      <c r="F143" s="165"/>
      <c r="G143" s="174"/>
      <c r="H143" s="174"/>
      <c r="J143" s="75"/>
    </row>
    <row r="144" spans="1:10" ht="18" customHeight="1" x14ac:dyDescent="0.2">
      <c r="A144" s="174"/>
      <c r="B144" s="165"/>
      <c r="C144" s="165" t="s">
        <v>180</v>
      </c>
      <c r="D144" s="165"/>
      <c r="E144" s="174"/>
      <c r="F144" s="167">
        <v>217.2018454</v>
      </c>
      <c r="G144" s="168">
        <v>1.6881000000000001E-3</v>
      </c>
      <c r="H144" s="168"/>
      <c r="J144" s="75"/>
    </row>
    <row r="145" spans="1:17" ht="14.1" customHeight="1" x14ac:dyDescent="0.2">
      <c r="A145" s="171"/>
      <c r="B145" s="171"/>
      <c r="C145" s="163" t="s">
        <v>181</v>
      </c>
      <c r="D145" s="172"/>
      <c r="E145" s="172"/>
      <c r="F145" s="169">
        <v>128666.55998329099</v>
      </c>
      <c r="G145" s="177">
        <v>1.0000000200000001</v>
      </c>
      <c r="H145" s="177"/>
      <c r="J145" s="75"/>
    </row>
    <row r="146" spans="1:17" ht="14.1" customHeight="1" x14ac:dyDescent="0.2">
      <c r="A146" s="178"/>
      <c r="B146" s="178"/>
      <c r="C146" s="178"/>
      <c r="D146" s="179"/>
      <c r="E146" s="179"/>
      <c r="F146" s="179"/>
      <c r="G146" s="179"/>
      <c r="H146" s="179"/>
      <c r="J146" s="75"/>
    </row>
    <row r="147" spans="1:17" ht="12.75" customHeight="1" x14ac:dyDescent="0.2">
      <c r="A147" s="180"/>
      <c r="B147" s="258" t="s">
        <v>882</v>
      </c>
      <c r="C147" s="258"/>
      <c r="D147" s="258"/>
      <c r="E147" s="258"/>
      <c r="F147" s="258"/>
      <c r="G147" s="258"/>
      <c r="H147" s="258"/>
      <c r="J147" s="75"/>
    </row>
    <row r="148" spans="1:17" ht="14.1" customHeight="1" x14ac:dyDescent="0.2">
      <c r="A148" s="180"/>
      <c r="B148" s="258" t="s">
        <v>883</v>
      </c>
      <c r="C148" s="258"/>
      <c r="D148" s="258"/>
      <c r="E148" s="258"/>
      <c r="F148" s="258"/>
      <c r="G148" s="258"/>
      <c r="H148" s="258"/>
      <c r="J148" s="75"/>
    </row>
    <row r="149" spans="1:17" ht="17.100000000000001" customHeight="1" x14ac:dyDescent="0.2">
      <c r="A149" s="180"/>
      <c r="B149" s="258" t="s">
        <v>884</v>
      </c>
      <c r="C149" s="258"/>
      <c r="D149" s="258"/>
      <c r="E149" s="258"/>
      <c r="F149" s="258"/>
      <c r="G149" s="258"/>
      <c r="H149" s="258"/>
      <c r="J149" s="75"/>
    </row>
    <row r="150" spans="1:17" s="34" customFormat="1" ht="62.25" customHeight="1" x14ac:dyDescent="0.25">
      <c r="A150" s="33"/>
      <c r="B150" s="259" t="s">
        <v>885</v>
      </c>
      <c r="C150" s="259"/>
      <c r="D150" s="259"/>
      <c r="E150" s="259"/>
      <c r="F150" s="259"/>
      <c r="G150" s="259"/>
      <c r="H150" s="259"/>
      <c r="I150"/>
      <c r="J150" s="75"/>
      <c r="K150"/>
      <c r="L150"/>
      <c r="M150"/>
      <c r="N150"/>
      <c r="O150"/>
      <c r="P150"/>
      <c r="Q150"/>
    </row>
    <row r="151" spans="1:17" ht="12.75" customHeight="1" x14ac:dyDescent="0.2">
      <c r="A151" s="180"/>
      <c r="B151" s="258" t="s">
        <v>886</v>
      </c>
      <c r="C151" s="258"/>
      <c r="D151" s="258"/>
      <c r="E151" s="258"/>
      <c r="F151" s="258"/>
      <c r="G151" s="258"/>
      <c r="H151" s="258"/>
      <c r="J151" s="75"/>
    </row>
    <row r="152" spans="1:17" ht="14.1" customHeight="1" x14ac:dyDescent="0.25">
      <c r="A152" s="181"/>
      <c r="B152" s="181"/>
      <c r="C152" s="181"/>
      <c r="D152" s="182"/>
      <c r="E152" s="182"/>
      <c r="F152" s="182"/>
      <c r="G152" s="182"/>
      <c r="H152" s="182"/>
      <c r="J152" s="75"/>
      <c r="Q152" s="34"/>
    </row>
    <row r="153" spans="1:17" ht="14.1" customHeight="1" x14ac:dyDescent="0.2">
      <c r="A153" s="181"/>
      <c r="B153" s="255" t="s">
        <v>183</v>
      </c>
      <c r="C153" s="256"/>
      <c r="D153" s="257"/>
      <c r="E153" s="183"/>
      <c r="F153" s="182"/>
      <c r="G153" s="182"/>
      <c r="H153" s="182"/>
      <c r="J153" s="75"/>
    </row>
    <row r="154" spans="1:17" ht="29.1" customHeight="1" x14ac:dyDescent="0.2">
      <c r="A154" s="181"/>
      <c r="B154" s="253" t="s">
        <v>184</v>
      </c>
      <c r="C154" s="254"/>
      <c r="D154" s="184" t="s">
        <v>904</v>
      </c>
      <c r="E154" s="183"/>
      <c r="F154" s="182"/>
      <c r="G154" s="182"/>
      <c r="H154" s="182"/>
      <c r="J154" s="75"/>
    </row>
    <row r="155" spans="1:17" ht="17.100000000000001" customHeight="1" x14ac:dyDescent="0.2">
      <c r="A155" s="181"/>
      <c r="B155" s="251" t="s">
        <v>899</v>
      </c>
      <c r="C155" s="252"/>
      <c r="D155" s="243" t="s">
        <v>949</v>
      </c>
      <c r="E155" s="183"/>
      <c r="F155" s="182"/>
      <c r="G155" s="182"/>
      <c r="H155" s="182"/>
      <c r="J155" s="75"/>
    </row>
    <row r="156" spans="1:17" ht="17.100000000000001" customHeight="1" x14ac:dyDescent="0.2">
      <c r="A156" s="181"/>
      <c r="B156" s="253" t="s">
        <v>187</v>
      </c>
      <c r="C156" s="254"/>
      <c r="D156" s="172" t="s">
        <v>153</v>
      </c>
      <c r="E156" s="183"/>
      <c r="F156" s="182"/>
      <c r="G156" s="182"/>
      <c r="H156" s="182"/>
      <c r="J156" s="75"/>
    </row>
    <row r="157" spans="1:17" x14ac:dyDescent="0.2">
      <c r="A157" s="185"/>
      <c r="B157" s="186" t="s">
        <v>153</v>
      </c>
      <c r="C157" s="186" t="s">
        <v>1088</v>
      </c>
      <c r="D157" s="186" t="s">
        <v>188</v>
      </c>
      <c r="E157" s="185"/>
      <c r="F157" s="185"/>
      <c r="G157" s="185"/>
      <c r="H157" s="185"/>
      <c r="J157" s="75"/>
    </row>
    <row r="158" spans="1:17" x14ac:dyDescent="0.2">
      <c r="A158" s="185"/>
      <c r="B158" s="187" t="s">
        <v>189</v>
      </c>
      <c r="C158" s="186" t="s">
        <v>190</v>
      </c>
      <c r="D158" s="186" t="s">
        <v>191</v>
      </c>
      <c r="E158" s="185"/>
      <c r="F158" s="185"/>
      <c r="G158" s="185"/>
      <c r="H158" s="185"/>
      <c r="J158" s="75"/>
    </row>
    <row r="159" spans="1:17" ht="17.100000000000001" customHeight="1" x14ac:dyDescent="0.2">
      <c r="A159" s="185"/>
      <c r="B159" s="165" t="s">
        <v>192</v>
      </c>
      <c r="C159" s="188">
        <v>470.13720000000001</v>
      </c>
      <c r="D159" s="188">
        <v>487.32089999999999</v>
      </c>
      <c r="E159" s="185"/>
      <c r="F159" s="189"/>
      <c r="G159" s="190"/>
      <c r="H159" s="190"/>
      <c r="J159" s="75"/>
    </row>
    <row r="160" spans="1:17" ht="29.1" customHeight="1" x14ac:dyDescent="0.2">
      <c r="A160" s="185"/>
      <c r="B160" s="165" t="s">
        <v>1057</v>
      </c>
      <c r="C160" s="188">
        <v>469.6832</v>
      </c>
      <c r="D160" s="188">
        <v>486.84609999999998</v>
      </c>
      <c r="E160" s="185"/>
      <c r="F160" s="189"/>
      <c r="G160" s="190"/>
      <c r="H160" s="190"/>
      <c r="J160" s="75"/>
    </row>
    <row r="161" spans="1:10" ht="17.100000000000001" customHeight="1" x14ac:dyDescent="0.2">
      <c r="A161" s="185"/>
      <c r="B161" s="165" t="s">
        <v>193</v>
      </c>
      <c r="C161" s="188">
        <v>442.81810000000002</v>
      </c>
      <c r="D161" s="188">
        <v>458.8295</v>
      </c>
      <c r="E161" s="185"/>
      <c r="F161" s="189"/>
      <c r="G161" s="190"/>
      <c r="H161" s="190"/>
      <c r="J161" s="75"/>
    </row>
    <row r="162" spans="1:10" ht="29.1" customHeight="1" x14ac:dyDescent="0.2">
      <c r="A162" s="185"/>
      <c r="B162" s="165" t="s">
        <v>1058</v>
      </c>
      <c r="C162" s="188">
        <v>383.05090000000001</v>
      </c>
      <c r="D162" s="188">
        <v>396.89800000000002</v>
      </c>
      <c r="E162" s="185"/>
      <c r="F162" s="189"/>
      <c r="G162" s="190"/>
      <c r="H162" s="190"/>
      <c r="J162" s="75"/>
    </row>
    <row r="163" spans="1:10" ht="14.1" customHeight="1" x14ac:dyDescent="0.2">
      <c r="A163" s="185"/>
      <c r="B163" s="185"/>
      <c r="C163" s="185"/>
      <c r="D163" s="185"/>
      <c r="E163" s="185"/>
      <c r="F163" s="185"/>
      <c r="G163" s="185"/>
      <c r="H163" s="185"/>
      <c r="J163" s="75"/>
    </row>
    <row r="164" spans="1:10" ht="17.100000000000001" customHeight="1" x14ac:dyDescent="0.2">
      <c r="A164" s="185"/>
      <c r="B164" s="253" t="s">
        <v>1056</v>
      </c>
      <c r="C164" s="254"/>
      <c r="D164" s="163" t="s">
        <v>185</v>
      </c>
      <c r="E164" s="185"/>
      <c r="F164" s="185"/>
      <c r="G164" s="185"/>
      <c r="H164" s="185"/>
      <c r="J164" s="75"/>
    </row>
    <row r="165" spans="1:10" ht="14.1" customHeight="1" x14ac:dyDescent="0.2">
      <c r="A165" s="185"/>
      <c r="B165" s="189"/>
      <c r="C165" s="189"/>
      <c r="D165" s="185"/>
      <c r="E165" s="185"/>
      <c r="F165" s="185"/>
      <c r="G165" s="185"/>
      <c r="H165" s="185"/>
      <c r="J165" s="75"/>
    </row>
    <row r="166" spans="1:10" ht="29.1" customHeight="1" x14ac:dyDescent="0.2">
      <c r="A166" s="185"/>
      <c r="B166" s="253" t="s">
        <v>194</v>
      </c>
      <c r="C166" s="254"/>
      <c r="D166" s="163" t="s">
        <v>185</v>
      </c>
      <c r="E166" s="191"/>
      <c r="F166" s="185"/>
      <c r="G166" s="185"/>
      <c r="H166" s="185"/>
      <c r="J166" s="75"/>
    </row>
    <row r="167" spans="1:10" ht="29.1" customHeight="1" x14ac:dyDescent="0.2">
      <c r="A167" s="185"/>
      <c r="B167" s="253" t="s">
        <v>195</v>
      </c>
      <c r="C167" s="254"/>
      <c r="D167" s="163" t="s">
        <v>185</v>
      </c>
      <c r="E167" s="191"/>
      <c r="F167" s="185"/>
      <c r="G167" s="185"/>
      <c r="H167" s="185"/>
      <c r="J167" s="75"/>
    </row>
    <row r="168" spans="1:10" ht="17.100000000000001" customHeight="1" x14ac:dyDescent="0.2">
      <c r="A168" s="185"/>
      <c r="B168" s="253" t="s">
        <v>197</v>
      </c>
      <c r="C168" s="254"/>
      <c r="D168" s="192">
        <v>0.30641728571130505</v>
      </c>
      <c r="E168" s="185"/>
      <c r="F168" s="189"/>
      <c r="G168" s="190"/>
      <c r="H168" s="190"/>
      <c r="J168" s="75"/>
    </row>
    <row r="169" spans="1:10" x14ac:dyDescent="0.2">
      <c r="J169" s="75"/>
    </row>
    <row r="170" spans="1:10" ht="13.5" x14ac:dyDescent="0.25">
      <c r="B170" s="193" t="s">
        <v>1002</v>
      </c>
      <c r="C170" s="244"/>
      <c r="D170" s="244"/>
      <c r="E170" s="57"/>
      <c r="F170" s="58"/>
      <c r="J170" s="75"/>
    </row>
    <row r="171" spans="1:10" ht="40.5" x14ac:dyDescent="0.25">
      <c r="B171" s="245" t="s">
        <v>906</v>
      </c>
      <c r="C171" s="245" t="s">
        <v>907</v>
      </c>
      <c r="D171" s="245" t="s">
        <v>908</v>
      </c>
      <c r="E171" s="245" t="s">
        <v>909</v>
      </c>
      <c r="F171" s="245" t="s">
        <v>910</v>
      </c>
      <c r="J171" s="75"/>
    </row>
    <row r="172" spans="1:10" ht="13.5" x14ac:dyDescent="0.2">
      <c r="B172" s="246" t="s">
        <v>950</v>
      </c>
      <c r="C172" s="247" t="s">
        <v>938</v>
      </c>
      <c r="D172" s="59">
        <v>0</v>
      </c>
      <c r="E172" s="60">
        <v>0</v>
      </c>
      <c r="F172" s="248">
        <v>0.54925000000000002</v>
      </c>
      <c r="J172" s="75"/>
    </row>
  </sheetData>
  <mergeCells count="16">
    <mergeCell ref="B168:C168"/>
    <mergeCell ref="A1:H1"/>
    <mergeCell ref="A2:H2"/>
    <mergeCell ref="A3:H3"/>
    <mergeCell ref="B155:C155"/>
    <mergeCell ref="B156:C156"/>
    <mergeCell ref="B164:C164"/>
    <mergeCell ref="B166:C166"/>
    <mergeCell ref="B167:C167"/>
    <mergeCell ref="B153:D153"/>
    <mergeCell ref="B154:C154"/>
    <mergeCell ref="B147:H147"/>
    <mergeCell ref="B148:H148"/>
    <mergeCell ref="B149:H149"/>
    <mergeCell ref="B150:H150"/>
    <mergeCell ref="B151:H151"/>
  </mergeCells>
  <hyperlinks>
    <hyperlink ref="I1" location="Index!B23" display="Index" xr:uid="{13347F9A-3818-4F75-9EDC-7988F0DF419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Q126"/>
  <sheetViews>
    <sheetView showGridLines="0" workbookViewId="0">
      <selection activeCell="C63" sqref="C6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6" ht="15" x14ac:dyDescent="0.2">
      <c r="A1" s="250" t="s">
        <v>0</v>
      </c>
      <c r="B1" s="250"/>
      <c r="C1" s="250"/>
      <c r="D1" s="250"/>
      <c r="E1" s="250"/>
      <c r="F1" s="250"/>
      <c r="G1" s="250"/>
      <c r="H1" s="250"/>
      <c r="I1" s="35" t="s">
        <v>888</v>
      </c>
      <c r="J1" s="75"/>
    </row>
    <row r="2" spans="1:16" ht="15" customHeight="1" x14ac:dyDescent="0.2">
      <c r="A2" s="250" t="s">
        <v>843</v>
      </c>
      <c r="B2" s="250"/>
      <c r="C2" s="250"/>
      <c r="D2" s="250"/>
      <c r="E2" s="250"/>
      <c r="F2" s="250"/>
      <c r="G2" s="250"/>
      <c r="H2" s="250"/>
      <c r="J2" s="70" t="s">
        <v>889</v>
      </c>
      <c r="K2" s="66"/>
      <c r="L2" s="66"/>
      <c r="M2" s="66"/>
      <c r="N2" s="66"/>
    </row>
    <row r="3" spans="1:16" ht="15" x14ac:dyDescent="0.2">
      <c r="A3" s="250" t="s">
        <v>873</v>
      </c>
      <c r="B3" s="250"/>
      <c r="C3" s="250"/>
      <c r="D3" s="250"/>
      <c r="E3" s="250"/>
      <c r="F3" s="250"/>
      <c r="G3" s="250"/>
      <c r="H3" s="250"/>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17</v>
      </c>
      <c r="C7" s="165" t="s">
        <v>18</v>
      </c>
      <c r="D7" s="165" t="s">
        <v>19</v>
      </c>
      <c r="E7" s="166">
        <v>987983</v>
      </c>
      <c r="F7" s="167">
        <v>13064.099209</v>
      </c>
      <c r="G7" s="168">
        <v>9.3452110000000005E-2</v>
      </c>
      <c r="H7" s="168"/>
      <c r="J7" s="75"/>
    </row>
    <row r="8" spans="1:16" ht="17.100000000000001" customHeight="1" x14ac:dyDescent="0.2">
      <c r="A8" s="164">
        <v>2</v>
      </c>
      <c r="B8" s="165" t="s">
        <v>362</v>
      </c>
      <c r="C8" s="165" t="s">
        <v>363</v>
      </c>
      <c r="D8" s="165" t="s">
        <v>364</v>
      </c>
      <c r="E8" s="166">
        <v>2991251</v>
      </c>
      <c r="F8" s="167">
        <v>13031.384981499999</v>
      </c>
      <c r="G8" s="168">
        <v>9.3218090000000003E-2</v>
      </c>
      <c r="H8" s="168"/>
      <c r="J8" s="75"/>
    </row>
    <row r="9" spans="1:16" ht="17.100000000000001" customHeight="1" x14ac:dyDescent="0.2">
      <c r="A9" s="164">
        <v>3</v>
      </c>
      <c r="B9" s="165" t="s">
        <v>204</v>
      </c>
      <c r="C9" s="165" t="s">
        <v>205</v>
      </c>
      <c r="D9" s="165" t="s">
        <v>75</v>
      </c>
      <c r="E9" s="166">
        <v>2454592</v>
      </c>
      <c r="F9" s="167">
        <v>10164.465472</v>
      </c>
      <c r="G9" s="168">
        <v>7.2710010000000005E-2</v>
      </c>
      <c r="H9" s="168"/>
      <c r="J9" s="75"/>
    </row>
    <row r="10" spans="1:16" ht="17.100000000000001" customHeight="1" x14ac:dyDescent="0.2">
      <c r="A10" s="164">
        <v>4</v>
      </c>
      <c r="B10" s="165" t="s">
        <v>382</v>
      </c>
      <c r="C10" s="165" t="s">
        <v>383</v>
      </c>
      <c r="D10" s="165" t="s">
        <v>75</v>
      </c>
      <c r="E10" s="166">
        <v>255389</v>
      </c>
      <c r="F10" s="167">
        <v>9166.5496824999991</v>
      </c>
      <c r="G10" s="168">
        <v>6.5571560000000001E-2</v>
      </c>
      <c r="H10" s="168"/>
      <c r="J10" s="75"/>
    </row>
    <row r="11" spans="1:16" ht="17.100000000000001" customHeight="1" x14ac:dyDescent="0.2">
      <c r="A11" s="164">
        <v>5</v>
      </c>
      <c r="B11" s="165" t="s">
        <v>376</v>
      </c>
      <c r="C11" s="165" t="s">
        <v>377</v>
      </c>
      <c r="D11" s="165" t="s">
        <v>364</v>
      </c>
      <c r="E11" s="166">
        <v>408013</v>
      </c>
      <c r="F11" s="167">
        <v>9100.5259585000003</v>
      </c>
      <c r="G11" s="168">
        <v>6.5099270000000001E-2</v>
      </c>
      <c r="H11" s="168"/>
      <c r="J11" s="75"/>
    </row>
    <row r="12" spans="1:16" ht="17.100000000000001" customHeight="1" x14ac:dyDescent="0.2">
      <c r="A12" s="164">
        <v>6</v>
      </c>
      <c r="B12" s="165" t="s">
        <v>623</v>
      </c>
      <c r="C12" s="165" t="s">
        <v>624</v>
      </c>
      <c r="D12" s="165" t="s">
        <v>285</v>
      </c>
      <c r="E12" s="166">
        <v>407736</v>
      </c>
      <c r="F12" s="167">
        <v>8792.215236</v>
      </c>
      <c r="G12" s="168">
        <v>6.2893820000000003E-2</v>
      </c>
      <c r="H12" s="168"/>
      <c r="J12" s="71"/>
    </row>
    <row r="13" spans="1:16" ht="17.100000000000001" customHeight="1" x14ac:dyDescent="0.2">
      <c r="A13" s="164">
        <v>7</v>
      </c>
      <c r="B13" s="165" t="s">
        <v>621</v>
      </c>
      <c r="C13" s="165" t="s">
        <v>622</v>
      </c>
      <c r="D13" s="165" t="s">
        <v>285</v>
      </c>
      <c r="E13" s="166">
        <v>49344</v>
      </c>
      <c r="F13" s="167">
        <v>6324.6671999999999</v>
      </c>
      <c r="G13" s="168">
        <v>4.5242579999999998E-2</v>
      </c>
      <c r="H13" s="168"/>
      <c r="J13" s="75" t="s">
        <v>951</v>
      </c>
    </row>
    <row r="14" spans="1:16" ht="17.100000000000001" customHeight="1" x14ac:dyDescent="0.2">
      <c r="A14" s="164">
        <v>8</v>
      </c>
      <c r="B14" s="165" t="s">
        <v>617</v>
      </c>
      <c r="C14" s="165" t="s">
        <v>618</v>
      </c>
      <c r="D14" s="165" t="s">
        <v>273</v>
      </c>
      <c r="E14" s="166">
        <v>480998</v>
      </c>
      <c r="F14" s="167">
        <v>5661.3464599999998</v>
      </c>
      <c r="G14" s="168">
        <v>4.0497610000000003E-2</v>
      </c>
      <c r="H14" s="168"/>
      <c r="J14" s="75"/>
    </row>
    <row r="15" spans="1:16" ht="17.100000000000001" customHeight="1" x14ac:dyDescent="0.2">
      <c r="A15" s="164">
        <v>9</v>
      </c>
      <c r="B15" s="165" t="s">
        <v>460</v>
      </c>
      <c r="C15" s="165" t="s">
        <v>461</v>
      </c>
      <c r="D15" s="165" t="s">
        <v>75</v>
      </c>
      <c r="E15" s="166">
        <v>246492</v>
      </c>
      <c r="F15" s="167">
        <v>5209.7316659999997</v>
      </c>
      <c r="G15" s="168">
        <v>3.7267050000000003E-2</v>
      </c>
      <c r="H15" s="168"/>
      <c r="J15" s="75"/>
    </row>
    <row r="16" spans="1:16" ht="17.100000000000001" customHeight="1" x14ac:dyDescent="0.2">
      <c r="A16" s="164">
        <v>10</v>
      </c>
      <c r="B16" s="165" t="s">
        <v>589</v>
      </c>
      <c r="C16" s="165" t="s">
        <v>590</v>
      </c>
      <c r="D16" s="165" t="s">
        <v>406</v>
      </c>
      <c r="E16" s="166">
        <v>1066731</v>
      </c>
      <c r="F16" s="167">
        <v>5193.9132390000004</v>
      </c>
      <c r="G16" s="168">
        <v>3.7153890000000002E-2</v>
      </c>
      <c r="H16" s="168"/>
      <c r="J16" s="75"/>
    </row>
    <row r="17" spans="1:10" ht="17.100000000000001" customHeight="1" x14ac:dyDescent="0.2">
      <c r="A17" s="164">
        <v>11</v>
      </c>
      <c r="B17" s="165" t="s">
        <v>766</v>
      </c>
      <c r="C17" s="165" t="s">
        <v>767</v>
      </c>
      <c r="D17" s="165" t="s">
        <v>276</v>
      </c>
      <c r="E17" s="166">
        <v>169170</v>
      </c>
      <c r="F17" s="167">
        <v>4241.7685799999999</v>
      </c>
      <c r="G17" s="168">
        <v>3.0342870000000001E-2</v>
      </c>
      <c r="H17" s="168"/>
      <c r="J17" s="75"/>
    </row>
    <row r="18" spans="1:10" ht="17.100000000000001" customHeight="1" x14ac:dyDescent="0.2">
      <c r="A18" s="164">
        <v>12</v>
      </c>
      <c r="B18" s="165" t="s">
        <v>831</v>
      </c>
      <c r="C18" s="165" t="s">
        <v>832</v>
      </c>
      <c r="D18" s="165" t="s">
        <v>213</v>
      </c>
      <c r="E18" s="166">
        <v>68048</v>
      </c>
      <c r="F18" s="167">
        <v>4046.8826079999999</v>
      </c>
      <c r="G18" s="168">
        <v>2.894878E-2</v>
      </c>
      <c r="H18" s="168"/>
      <c r="J18" s="75"/>
    </row>
    <row r="19" spans="1:10" ht="17.100000000000001" customHeight="1" x14ac:dyDescent="0.2">
      <c r="A19" s="164">
        <v>13</v>
      </c>
      <c r="B19" s="165" t="s">
        <v>341</v>
      </c>
      <c r="C19" s="165" t="s">
        <v>342</v>
      </c>
      <c r="D19" s="165" t="s">
        <v>273</v>
      </c>
      <c r="E19" s="166">
        <v>237937</v>
      </c>
      <c r="F19" s="167">
        <v>3520.1589465000002</v>
      </c>
      <c r="G19" s="168">
        <v>2.5180939999999999E-2</v>
      </c>
      <c r="H19" s="168"/>
      <c r="J19" s="75"/>
    </row>
    <row r="20" spans="1:10" ht="17.100000000000001" customHeight="1" x14ac:dyDescent="0.2">
      <c r="A20" s="164">
        <v>14</v>
      </c>
      <c r="B20" s="165" t="s">
        <v>756</v>
      </c>
      <c r="C20" s="165" t="s">
        <v>757</v>
      </c>
      <c r="D20" s="165" t="s">
        <v>75</v>
      </c>
      <c r="E20" s="166">
        <v>121208</v>
      </c>
      <c r="F20" s="167">
        <v>3485.8208719999998</v>
      </c>
      <c r="G20" s="168">
        <v>2.4935309999999999E-2</v>
      </c>
      <c r="H20" s="168"/>
      <c r="J20" s="75"/>
    </row>
    <row r="21" spans="1:10" ht="17.100000000000001" customHeight="1" x14ac:dyDescent="0.2">
      <c r="A21" s="164">
        <v>15</v>
      </c>
      <c r="B21" s="165" t="s">
        <v>825</v>
      </c>
      <c r="C21" s="165" t="s">
        <v>826</v>
      </c>
      <c r="D21" s="165" t="s">
        <v>53</v>
      </c>
      <c r="E21" s="166">
        <v>42124</v>
      </c>
      <c r="F21" s="167">
        <v>3418.8470259999999</v>
      </c>
      <c r="G21" s="168">
        <v>2.4456220000000001E-2</v>
      </c>
      <c r="H21" s="168"/>
      <c r="J21" s="75"/>
    </row>
    <row r="22" spans="1:10" ht="17.100000000000001" customHeight="1" x14ac:dyDescent="0.2">
      <c r="A22" s="164">
        <v>16</v>
      </c>
      <c r="B22" s="165" t="s">
        <v>263</v>
      </c>
      <c r="C22" s="165" t="s">
        <v>264</v>
      </c>
      <c r="D22" s="165" t="s">
        <v>210</v>
      </c>
      <c r="E22" s="166">
        <v>55303</v>
      </c>
      <c r="F22" s="167">
        <v>3347.9053625000001</v>
      </c>
      <c r="G22" s="168">
        <v>2.3948750000000001E-2</v>
      </c>
      <c r="H22" s="168"/>
      <c r="J22" s="71"/>
    </row>
    <row r="23" spans="1:10" ht="17.100000000000001" customHeight="1" x14ac:dyDescent="0.2">
      <c r="A23" s="164">
        <v>17</v>
      </c>
      <c r="B23" s="165" t="s">
        <v>78</v>
      </c>
      <c r="C23" s="165" t="s">
        <v>79</v>
      </c>
      <c r="D23" s="165" t="s">
        <v>80</v>
      </c>
      <c r="E23" s="166">
        <v>262525</v>
      </c>
      <c r="F23" s="167">
        <v>2711.6207250000002</v>
      </c>
      <c r="G23" s="168">
        <v>1.939718E-2</v>
      </c>
      <c r="H23" s="168"/>
      <c r="J23" s="75"/>
    </row>
    <row r="24" spans="1:10" ht="17.100000000000001" customHeight="1" x14ac:dyDescent="0.2">
      <c r="A24" s="164">
        <v>18</v>
      </c>
      <c r="B24" s="165" t="s">
        <v>844</v>
      </c>
      <c r="C24" s="165" t="s">
        <v>845</v>
      </c>
      <c r="D24" s="165" t="s">
        <v>210</v>
      </c>
      <c r="E24" s="166">
        <v>1219211</v>
      </c>
      <c r="F24" s="167">
        <v>2560.9527054999999</v>
      </c>
      <c r="G24" s="168">
        <v>1.83194E-2</v>
      </c>
      <c r="H24" s="168"/>
      <c r="J24" s="75"/>
    </row>
    <row r="25" spans="1:10" ht="17.100000000000001" customHeight="1" x14ac:dyDescent="0.2">
      <c r="A25" s="164">
        <v>19</v>
      </c>
      <c r="B25" s="165" t="s">
        <v>488</v>
      </c>
      <c r="C25" s="165" t="s">
        <v>489</v>
      </c>
      <c r="D25" s="165" t="s">
        <v>242</v>
      </c>
      <c r="E25" s="166">
        <v>295409</v>
      </c>
      <c r="F25" s="167">
        <v>2505.0683199999999</v>
      </c>
      <c r="G25" s="168">
        <v>1.7919640000000001E-2</v>
      </c>
      <c r="H25" s="168"/>
      <c r="J25" s="75"/>
    </row>
    <row r="26" spans="1:10" ht="17.100000000000001" customHeight="1" x14ac:dyDescent="0.2">
      <c r="A26" s="164">
        <v>20</v>
      </c>
      <c r="B26" s="165" t="s">
        <v>374</v>
      </c>
      <c r="C26" s="165" t="s">
        <v>375</v>
      </c>
      <c r="D26" s="165" t="s">
        <v>210</v>
      </c>
      <c r="E26" s="166">
        <v>53729</v>
      </c>
      <c r="F26" s="167">
        <v>2473.5757020000001</v>
      </c>
      <c r="G26" s="168">
        <v>1.7694359999999999E-2</v>
      </c>
      <c r="H26" s="168"/>
      <c r="J26" s="75"/>
    </row>
    <row r="27" spans="1:10" ht="17.100000000000001" customHeight="1" x14ac:dyDescent="0.2">
      <c r="A27" s="164">
        <v>21</v>
      </c>
      <c r="B27" s="165" t="s">
        <v>734</v>
      </c>
      <c r="C27" s="165" t="s">
        <v>735</v>
      </c>
      <c r="D27" s="165" t="s">
        <v>276</v>
      </c>
      <c r="E27" s="166">
        <v>51578</v>
      </c>
      <c r="F27" s="167">
        <v>2463.3394910000002</v>
      </c>
      <c r="G27" s="168">
        <v>1.762114E-2</v>
      </c>
      <c r="H27" s="168"/>
      <c r="J27" s="75"/>
    </row>
    <row r="28" spans="1:10" ht="17.100000000000001" customHeight="1" x14ac:dyDescent="0.2">
      <c r="A28" s="164">
        <v>22</v>
      </c>
      <c r="B28" s="165" t="s">
        <v>619</v>
      </c>
      <c r="C28" s="165" t="s">
        <v>620</v>
      </c>
      <c r="D28" s="165" t="s">
        <v>285</v>
      </c>
      <c r="E28" s="166">
        <v>25666</v>
      </c>
      <c r="F28" s="167">
        <v>2285.2108090000002</v>
      </c>
      <c r="G28" s="168">
        <v>1.6346920000000001E-2</v>
      </c>
      <c r="H28" s="168"/>
      <c r="J28" s="75"/>
    </row>
    <row r="29" spans="1:10" ht="17.100000000000001" customHeight="1" x14ac:dyDescent="0.2">
      <c r="A29" s="164">
        <v>23</v>
      </c>
      <c r="B29" s="165" t="s">
        <v>296</v>
      </c>
      <c r="C29" s="165" t="s">
        <v>297</v>
      </c>
      <c r="D29" s="165" t="s">
        <v>242</v>
      </c>
      <c r="E29" s="166">
        <v>1266558</v>
      </c>
      <c r="F29" s="167">
        <v>2106.9192330000001</v>
      </c>
      <c r="G29" s="168">
        <v>1.507154E-2</v>
      </c>
      <c r="H29" s="168"/>
      <c r="J29" s="75"/>
    </row>
    <row r="30" spans="1:10" ht="17.100000000000001" customHeight="1" x14ac:dyDescent="0.2">
      <c r="A30" s="164">
        <v>24</v>
      </c>
      <c r="B30" s="165" t="s">
        <v>391</v>
      </c>
      <c r="C30" s="165" t="s">
        <v>392</v>
      </c>
      <c r="D30" s="165" t="s">
        <v>393</v>
      </c>
      <c r="E30" s="166">
        <v>5467</v>
      </c>
      <c r="F30" s="167">
        <v>1901.6440135</v>
      </c>
      <c r="G30" s="168">
        <v>1.360313E-2</v>
      </c>
      <c r="H30" s="168"/>
      <c r="J30" s="75"/>
    </row>
    <row r="31" spans="1:10" ht="17.100000000000001" customHeight="1" x14ac:dyDescent="0.2">
      <c r="A31" s="164">
        <v>25</v>
      </c>
      <c r="B31" s="165" t="s">
        <v>147</v>
      </c>
      <c r="C31" s="165" t="s">
        <v>148</v>
      </c>
      <c r="D31" s="165" t="s">
        <v>75</v>
      </c>
      <c r="E31" s="166">
        <v>556462</v>
      </c>
      <c r="F31" s="167">
        <v>1757.306996</v>
      </c>
      <c r="G31" s="168">
        <v>1.2570639999999999E-2</v>
      </c>
      <c r="H31" s="168"/>
      <c r="J31" s="75"/>
    </row>
    <row r="32" spans="1:10" ht="17.100000000000001" customHeight="1" x14ac:dyDescent="0.2">
      <c r="A32" s="164">
        <v>26</v>
      </c>
      <c r="B32" s="165" t="s">
        <v>271</v>
      </c>
      <c r="C32" s="165" t="s">
        <v>272</v>
      </c>
      <c r="D32" s="165" t="s">
        <v>273</v>
      </c>
      <c r="E32" s="166">
        <v>82792</v>
      </c>
      <c r="F32" s="167">
        <v>1687.2181680000001</v>
      </c>
      <c r="G32" s="168">
        <v>1.206927E-2</v>
      </c>
      <c r="H32" s="168"/>
      <c r="J32" s="75"/>
    </row>
    <row r="33" spans="1:10" ht="17.100000000000001" customHeight="1" x14ac:dyDescent="0.2">
      <c r="A33" s="164">
        <v>27</v>
      </c>
      <c r="B33" s="165" t="s">
        <v>274</v>
      </c>
      <c r="C33" s="165" t="s">
        <v>275</v>
      </c>
      <c r="D33" s="165" t="s">
        <v>276</v>
      </c>
      <c r="E33" s="166">
        <v>151951</v>
      </c>
      <c r="F33" s="167">
        <v>1673.436363</v>
      </c>
      <c r="G33" s="168">
        <v>1.1970679999999999E-2</v>
      </c>
      <c r="H33" s="168"/>
      <c r="J33" s="75"/>
    </row>
    <row r="34" spans="1:10" ht="17.100000000000001" customHeight="1" x14ac:dyDescent="0.2">
      <c r="A34" s="164">
        <v>28</v>
      </c>
      <c r="B34" s="165" t="s">
        <v>839</v>
      </c>
      <c r="C34" s="165" t="s">
        <v>840</v>
      </c>
      <c r="D34" s="165" t="s">
        <v>75</v>
      </c>
      <c r="E34" s="166">
        <v>115213</v>
      </c>
      <c r="F34" s="167">
        <v>1577.4387895</v>
      </c>
      <c r="G34" s="168">
        <v>1.1283980000000001E-2</v>
      </c>
      <c r="H34" s="168"/>
      <c r="J34" s="75"/>
    </row>
    <row r="35" spans="1:10" ht="17.100000000000001" customHeight="1" x14ac:dyDescent="0.2">
      <c r="A35" s="164">
        <v>29</v>
      </c>
      <c r="B35" s="165" t="s">
        <v>137</v>
      </c>
      <c r="C35" s="165" t="s">
        <v>138</v>
      </c>
      <c r="D35" s="165" t="s">
        <v>104</v>
      </c>
      <c r="E35" s="166">
        <v>250000</v>
      </c>
      <c r="F35" s="167">
        <v>1571</v>
      </c>
      <c r="G35" s="168">
        <v>1.123792E-2</v>
      </c>
      <c r="H35" s="168"/>
      <c r="J35" s="75"/>
    </row>
    <row r="36" spans="1:10" ht="17.100000000000001" customHeight="1" x14ac:dyDescent="0.2">
      <c r="A36" s="164">
        <v>30</v>
      </c>
      <c r="B36" s="165" t="s">
        <v>499</v>
      </c>
      <c r="C36" s="165" t="s">
        <v>500</v>
      </c>
      <c r="D36" s="165" t="s">
        <v>75</v>
      </c>
      <c r="E36" s="166">
        <v>158374</v>
      </c>
      <c r="F36" s="167">
        <v>1327.4908680000001</v>
      </c>
      <c r="G36" s="168">
        <v>9.4960099999999992E-3</v>
      </c>
      <c r="H36" s="168"/>
      <c r="J36" s="75"/>
    </row>
    <row r="37" spans="1:10" ht="17.100000000000001" customHeight="1" x14ac:dyDescent="0.2">
      <c r="A37" s="164">
        <v>31</v>
      </c>
      <c r="B37" s="165" t="s">
        <v>846</v>
      </c>
      <c r="C37" s="165" t="s">
        <v>847</v>
      </c>
      <c r="D37" s="165" t="s">
        <v>75</v>
      </c>
      <c r="E37" s="166">
        <v>257002</v>
      </c>
      <c r="F37" s="167">
        <v>1210.993424</v>
      </c>
      <c r="G37" s="168">
        <v>8.6626600000000008E-3</v>
      </c>
      <c r="H37" s="168"/>
      <c r="J37" s="75"/>
    </row>
    <row r="38" spans="1:10" ht="17.100000000000001" customHeight="1" x14ac:dyDescent="0.2">
      <c r="A38" s="164">
        <v>32</v>
      </c>
      <c r="B38" s="165" t="s">
        <v>208</v>
      </c>
      <c r="C38" s="165" t="s">
        <v>209</v>
      </c>
      <c r="D38" s="165" t="s">
        <v>210</v>
      </c>
      <c r="E38" s="166">
        <v>19796</v>
      </c>
      <c r="F38" s="167">
        <v>872.98380399999996</v>
      </c>
      <c r="G38" s="168">
        <v>6.2447600000000002E-3</v>
      </c>
      <c r="H38" s="168"/>
      <c r="J38" s="75"/>
    </row>
    <row r="39" spans="1:10" ht="17.100000000000001" customHeight="1" x14ac:dyDescent="0.2">
      <c r="A39" s="164">
        <v>33</v>
      </c>
      <c r="B39" s="165" t="s">
        <v>240</v>
      </c>
      <c r="C39" s="165" t="s">
        <v>241</v>
      </c>
      <c r="D39" s="165" t="s">
        <v>242</v>
      </c>
      <c r="E39" s="166">
        <v>21982</v>
      </c>
      <c r="F39" s="167">
        <v>190.12231800000001</v>
      </c>
      <c r="G39" s="168">
        <v>1.36001E-3</v>
      </c>
      <c r="H39" s="168"/>
      <c r="J39" s="75"/>
    </row>
    <row r="40" spans="1:10" ht="14.1" customHeight="1" x14ac:dyDescent="0.2">
      <c r="A40" s="162"/>
      <c r="B40" s="162"/>
      <c r="C40" s="163" t="s">
        <v>152</v>
      </c>
      <c r="D40" s="162"/>
      <c r="E40" s="162" t="s">
        <v>153</v>
      </c>
      <c r="F40" s="169">
        <v>138646.60422899999</v>
      </c>
      <c r="G40" s="170">
        <v>0.99178809999999995</v>
      </c>
      <c r="H40" s="170"/>
      <c r="J40" s="75"/>
    </row>
    <row r="41" spans="1:10" ht="14.1" customHeight="1" x14ac:dyDescent="0.2">
      <c r="A41" s="162"/>
      <c r="B41" s="162"/>
      <c r="C41" s="171"/>
      <c r="D41" s="162"/>
      <c r="E41" s="162"/>
      <c r="F41" s="172"/>
      <c r="G41" s="172"/>
      <c r="H41" s="172"/>
      <c r="J41" s="75"/>
    </row>
    <row r="42" spans="1:10" ht="14.1" customHeight="1" x14ac:dyDescent="0.2">
      <c r="A42" s="162"/>
      <c r="B42" s="162"/>
      <c r="C42" s="163" t="s">
        <v>154</v>
      </c>
      <c r="D42" s="162"/>
      <c r="E42" s="162"/>
      <c r="F42" s="162"/>
      <c r="G42" s="162"/>
      <c r="H42" s="162"/>
      <c r="J42" s="75"/>
    </row>
    <row r="43" spans="1:10" ht="14.1" customHeight="1" x14ac:dyDescent="0.2">
      <c r="A43" s="162"/>
      <c r="B43" s="162"/>
      <c r="C43" s="163" t="s">
        <v>152</v>
      </c>
      <c r="D43" s="162"/>
      <c r="E43" s="162" t="s">
        <v>153</v>
      </c>
      <c r="F43" s="173" t="s">
        <v>155</v>
      </c>
      <c r="G43" s="170">
        <v>0</v>
      </c>
      <c r="H43" s="170"/>
      <c r="J43" s="75"/>
    </row>
    <row r="44" spans="1:10" ht="14.1" customHeight="1" x14ac:dyDescent="0.2">
      <c r="A44" s="162"/>
      <c r="B44" s="162"/>
      <c r="C44" s="171"/>
      <c r="D44" s="162"/>
      <c r="E44" s="162"/>
      <c r="F44" s="172"/>
      <c r="G44" s="172"/>
      <c r="H44" s="172"/>
      <c r="J44" s="75"/>
    </row>
    <row r="45" spans="1:10" ht="14.1" customHeight="1" x14ac:dyDescent="0.2">
      <c r="A45" s="162"/>
      <c r="B45" s="162"/>
      <c r="C45" s="163" t="s">
        <v>156</v>
      </c>
      <c r="D45" s="162"/>
      <c r="E45" s="162"/>
      <c r="F45" s="162"/>
      <c r="G45" s="162"/>
      <c r="H45" s="162"/>
      <c r="J45" s="75"/>
    </row>
    <row r="46" spans="1:10" ht="14.1" customHeight="1" x14ac:dyDescent="0.2">
      <c r="A46" s="162"/>
      <c r="B46" s="162"/>
      <c r="C46" s="163" t="s">
        <v>152</v>
      </c>
      <c r="D46" s="162"/>
      <c r="E46" s="162" t="s">
        <v>153</v>
      </c>
      <c r="F46" s="173" t="s">
        <v>155</v>
      </c>
      <c r="G46" s="170">
        <v>0</v>
      </c>
      <c r="H46" s="170"/>
      <c r="J46" s="75"/>
    </row>
    <row r="47" spans="1:10" ht="14.1" customHeight="1" x14ac:dyDescent="0.2">
      <c r="A47" s="162"/>
      <c r="B47" s="162"/>
      <c r="C47" s="171"/>
      <c r="D47" s="162"/>
      <c r="E47" s="162"/>
      <c r="F47" s="172"/>
      <c r="G47" s="172"/>
      <c r="H47" s="172"/>
      <c r="J47" s="75"/>
    </row>
    <row r="48" spans="1:10" ht="14.1" customHeight="1" x14ac:dyDescent="0.2">
      <c r="A48" s="162"/>
      <c r="B48" s="162"/>
      <c r="C48" s="163" t="s">
        <v>157</v>
      </c>
      <c r="D48" s="162"/>
      <c r="E48" s="162"/>
      <c r="F48" s="162"/>
      <c r="G48" s="162"/>
      <c r="H48" s="162"/>
      <c r="J48" s="75"/>
    </row>
    <row r="49" spans="1:10" ht="14.1" customHeight="1" x14ac:dyDescent="0.2">
      <c r="A49" s="162"/>
      <c r="B49" s="162"/>
      <c r="C49" s="163" t="s">
        <v>152</v>
      </c>
      <c r="D49" s="162"/>
      <c r="E49" s="162" t="s">
        <v>153</v>
      </c>
      <c r="F49" s="173" t="s">
        <v>155</v>
      </c>
      <c r="G49" s="170">
        <v>0</v>
      </c>
      <c r="H49" s="170"/>
      <c r="J49" s="75"/>
    </row>
    <row r="50" spans="1:10" ht="14.1" customHeight="1" x14ac:dyDescent="0.2">
      <c r="A50" s="162"/>
      <c r="B50" s="162"/>
      <c r="C50" s="171"/>
      <c r="D50" s="162"/>
      <c r="E50" s="162"/>
      <c r="F50" s="172"/>
      <c r="G50" s="172"/>
      <c r="H50" s="172"/>
      <c r="J50" s="75"/>
    </row>
    <row r="51" spans="1:10" ht="14.1" customHeight="1" x14ac:dyDescent="0.2">
      <c r="A51" s="162"/>
      <c r="B51" s="162"/>
      <c r="C51" s="163" t="s">
        <v>158</v>
      </c>
      <c r="D51" s="162"/>
      <c r="E51" s="162"/>
      <c r="F51" s="172"/>
      <c r="G51" s="172"/>
      <c r="H51" s="172"/>
      <c r="J51" s="75"/>
    </row>
    <row r="52" spans="1:10" ht="14.1" customHeight="1" x14ac:dyDescent="0.2">
      <c r="A52" s="162"/>
      <c r="B52" s="162"/>
      <c r="C52" s="163" t="s">
        <v>152</v>
      </c>
      <c r="D52" s="162"/>
      <c r="E52" s="162" t="s">
        <v>153</v>
      </c>
      <c r="F52" s="173" t="s">
        <v>155</v>
      </c>
      <c r="G52" s="170">
        <v>0</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159</v>
      </c>
      <c r="D54" s="162"/>
      <c r="E54" s="162"/>
      <c r="F54" s="172"/>
      <c r="G54" s="172"/>
      <c r="H54" s="17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8" customHeight="1" x14ac:dyDescent="0.2">
      <c r="A57" s="162"/>
      <c r="B57" s="162"/>
      <c r="C57" s="163" t="s">
        <v>160</v>
      </c>
      <c r="D57" s="162"/>
      <c r="E57" s="162"/>
      <c r="F57" s="169">
        <v>138646.60422899999</v>
      </c>
      <c r="G57" s="170">
        <v>0.99178809999999995</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161</v>
      </c>
      <c r="D59" s="162"/>
      <c r="E59" s="162"/>
      <c r="F59" s="172"/>
      <c r="G59" s="172"/>
      <c r="H59" s="172"/>
      <c r="J59" s="75"/>
    </row>
    <row r="60" spans="1:10" ht="24" customHeight="1" x14ac:dyDescent="0.2">
      <c r="A60" s="162"/>
      <c r="B60" s="162"/>
      <c r="C60" s="163" t="s">
        <v>10</v>
      </c>
      <c r="D60" s="162"/>
      <c r="E60" s="162"/>
      <c r="F60" s="172"/>
      <c r="G60" s="172"/>
      <c r="H60" s="172"/>
      <c r="J60" s="75"/>
    </row>
    <row r="61" spans="1:10" ht="14.1" customHeight="1" x14ac:dyDescent="0.2">
      <c r="A61" s="162"/>
      <c r="B61" s="162"/>
      <c r="C61" s="163" t="s">
        <v>152</v>
      </c>
      <c r="D61" s="162"/>
      <c r="E61" s="162" t="s">
        <v>153</v>
      </c>
      <c r="F61" s="173" t="s">
        <v>155</v>
      </c>
      <c r="G61" s="170">
        <v>0</v>
      </c>
      <c r="H61" s="170"/>
      <c r="J61" s="75"/>
    </row>
    <row r="62" spans="1:10" ht="14.1" customHeight="1" x14ac:dyDescent="0.2">
      <c r="A62" s="162"/>
      <c r="B62" s="162"/>
      <c r="C62" s="171"/>
      <c r="D62" s="162"/>
      <c r="E62" s="162"/>
      <c r="F62" s="172"/>
      <c r="G62" s="172"/>
      <c r="H62" s="172"/>
      <c r="J62" s="75"/>
    </row>
    <row r="63" spans="1:10" ht="14.1" customHeight="1" x14ac:dyDescent="0.2">
      <c r="A63" s="162"/>
      <c r="B63" s="162"/>
      <c r="C63" s="163" t="s">
        <v>162</v>
      </c>
      <c r="D63" s="162"/>
      <c r="E63" s="162"/>
      <c r="F63" s="162"/>
      <c r="G63" s="162"/>
      <c r="H63" s="162"/>
      <c r="J63" s="75"/>
    </row>
    <row r="64" spans="1:10" ht="14.1" customHeight="1" x14ac:dyDescent="0.2">
      <c r="A64" s="162"/>
      <c r="B64" s="162"/>
      <c r="C64" s="163" t="s">
        <v>152</v>
      </c>
      <c r="D64" s="162"/>
      <c r="E64" s="162" t="s">
        <v>153</v>
      </c>
      <c r="F64" s="173" t="s">
        <v>155</v>
      </c>
      <c r="G64" s="170">
        <v>0</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163</v>
      </c>
      <c r="D66" s="162"/>
      <c r="E66" s="162"/>
      <c r="F66" s="162"/>
      <c r="G66" s="162"/>
      <c r="H66" s="16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164</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165</v>
      </c>
      <c r="D72" s="162"/>
      <c r="E72" s="162"/>
      <c r="F72" s="169">
        <v>0</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166</v>
      </c>
      <c r="D74" s="162"/>
      <c r="E74" s="162"/>
      <c r="F74" s="172"/>
      <c r="G74" s="172"/>
      <c r="H74" s="172"/>
      <c r="J74" s="75"/>
    </row>
    <row r="75" spans="1:10" ht="14.1" customHeight="1" x14ac:dyDescent="0.2">
      <c r="A75" s="162"/>
      <c r="B75" s="162"/>
      <c r="C75" s="163" t="s">
        <v>167</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168</v>
      </c>
      <c r="D78" s="162"/>
      <c r="E78" s="162"/>
      <c r="F78" s="172"/>
      <c r="G78" s="172"/>
      <c r="H78" s="17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169</v>
      </c>
      <c r="D81" s="162"/>
      <c r="E81" s="162"/>
      <c r="F81" s="172"/>
      <c r="G81" s="172"/>
      <c r="H81" s="17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170</v>
      </c>
      <c r="D84" s="162"/>
      <c r="E84" s="162"/>
      <c r="F84" s="172"/>
      <c r="G84" s="172"/>
      <c r="H84" s="172"/>
      <c r="J84" s="75"/>
    </row>
    <row r="85" spans="1:10" ht="17.100000000000001" customHeight="1" x14ac:dyDescent="0.2">
      <c r="A85" s="164">
        <v>1</v>
      </c>
      <c r="B85" s="165"/>
      <c r="C85" s="165" t="s">
        <v>171</v>
      </c>
      <c r="D85" s="165"/>
      <c r="E85" s="174"/>
      <c r="F85" s="167">
        <v>1455.3822059019999</v>
      </c>
      <c r="G85" s="168">
        <v>1.0410859999999999E-2</v>
      </c>
      <c r="H85" s="175">
        <v>6.66</v>
      </c>
      <c r="J85" s="75"/>
    </row>
    <row r="86" spans="1:10" ht="14.1" customHeight="1" x14ac:dyDescent="0.2">
      <c r="A86" s="162"/>
      <c r="B86" s="162"/>
      <c r="C86" s="163" t="s">
        <v>152</v>
      </c>
      <c r="D86" s="162"/>
      <c r="E86" s="162" t="s">
        <v>153</v>
      </c>
      <c r="F86" s="169">
        <v>1455.3822059019999</v>
      </c>
      <c r="G86" s="170">
        <v>1.0410859999999999E-2</v>
      </c>
      <c r="H86" s="170"/>
      <c r="J86" s="75"/>
    </row>
    <row r="87" spans="1:10" ht="14.1" customHeight="1" x14ac:dyDescent="0.2">
      <c r="A87" s="162"/>
      <c r="B87" s="162"/>
      <c r="C87" s="171"/>
      <c r="D87" s="162"/>
      <c r="E87" s="162"/>
      <c r="F87" s="172"/>
      <c r="G87" s="172"/>
      <c r="H87" s="172"/>
      <c r="J87" s="75"/>
    </row>
    <row r="88" spans="1:10" ht="14.1" customHeight="1" x14ac:dyDescent="0.2">
      <c r="A88" s="162"/>
      <c r="B88" s="162"/>
      <c r="C88" s="163" t="s">
        <v>172</v>
      </c>
      <c r="D88" s="162"/>
      <c r="E88" s="162"/>
      <c r="F88" s="169">
        <v>1455.3822059019999</v>
      </c>
      <c r="G88" s="170">
        <v>1.0410859999999999E-2</v>
      </c>
      <c r="H88" s="170"/>
      <c r="J88" s="75"/>
    </row>
    <row r="89" spans="1:10" ht="14.1" customHeight="1" x14ac:dyDescent="0.2">
      <c r="A89" s="162"/>
      <c r="B89" s="162"/>
      <c r="C89" s="172"/>
      <c r="D89" s="162"/>
      <c r="E89" s="162"/>
      <c r="F89" s="162"/>
      <c r="G89" s="162"/>
      <c r="H89" s="162"/>
      <c r="J89" s="75"/>
    </row>
    <row r="90" spans="1:10" ht="14.1" customHeight="1" x14ac:dyDescent="0.2">
      <c r="A90" s="162"/>
      <c r="B90" s="162"/>
      <c r="C90" s="163" t="s">
        <v>173</v>
      </c>
      <c r="D90" s="162"/>
      <c r="E90" s="162"/>
      <c r="F90" s="162"/>
      <c r="G90" s="162"/>
      <c r="H90" s="162"/>
      <c r="J90" s="75"/>
    </row>
    <row r="91" spans="1:10" ht="14.1" customHeight="1" x14ac:dyDescent="0.2">
      <c r="A91" s="162"/>
      <c r="B91" s="162"/>
      <c r="C91" s="163" t="s">
        <v>174</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177</v>
      </c>
      <c r="D94" s="162"/>
      <c r="E94" s="162"/>
      <c r="F94" s="162"/>
      <c r="G94" s="162"/>
      <c r="H94" s="162"/>
      <c r="J94" s="75"/>
    </row>
    <row r="95" spans="1:10" ht="14.1" customHeight="1" x14ac:dyDescent="0.2">
      <c r="A95" s="162"/>
      <c r="B95" s="162"/>
      <c r="C95" s="163" t="s">
        <v>178</v>
      </c>
      <c r="D95" s="162"/>
      <c r="E95" s="162"/>
      <c r="F95" s="162"/>
      <c r="G95" s="162"/>
      <c r="H95" s="162"/>
      <c r="J95" s="75"/>
    </row>
    <row r="96" spans="1:10" ht="14.1" customHeight="1" x14ac:dyDescent="0.2">
      <c r="A96" s="162"/>
      <c r="B96" s="162"/>
      <c r="C96" s="163" t="s">
        <v>152</v>
      </c>
      <c r="D96" s="162"/>
      <c r="E96" s="162" t="s">
        <v>153</v>
      </c>
      <c r="F96" s="173" t="s">
        <v>155</v>
      </c>
      <c r="G96" s="170">
        <v>0</v>
      </c>
      <c r="H96" s="170"/>
      <c r="J96" s="75"/>
    </row>
    <row r="97" spans="1:17" ht="14.1" customHeight="1" x14ac:dyDescent="0.2">
      <c r="A97" s="162"/>
      <c r="B97" s="162"/>
      <c r="C97" s="171"/>
      <c r="D97" s="162"/>
      <c r="E97" s="162"/>
      <c r="F97" s="172"/>
      <c r="G97" s="172"/>
      <c r="H97" s="172"/>
      <c r="J97" s="75"/>
    </row>
    <row r="98" spans="1:17" ht="24" customHeight="1" x14ac:dyDescent="0.2">
      <c r="A98" s="162"/>
      <c r="B98" s="162"/>
      <c r="C98" s="163" t="s">
        <v>179</v>
      </c>
      <c r="D98" s="162"/>
      <c r="E98" s="162"/>
      <c r="F98" s="172"/>
      <c r="G98" s="172"/>
      <c r="H98" s="172"/>
      <c r="J98" s="75"/>
    </row>
    <row r="99" spans="1:17" ht="14.1" customHeight="1" x14ac:dyDescent="0.2">
      <c r="A99" s="162"/>
      <c r="B99" s="162"/>
      <c r="C99" s="163" t="s">
        <v>152</v>
      </c>
      <c r="D99" s="162"/>
      <c r="E99" s="162" t="s">
        <v>153</v>
      </c>
      <c r="F99" s="173" t="s">
        <v>155</v>
      </c>
      <c r="G99" s="170">
        <v>0</v>
      </c>
      <c r="H99" s="170"/>
      <c r="J99" s="75"/>
    </row>
    <row r="100" spans="1:17" ht="14.1" customHeight="1" x14ac:dyDescent="0.2">
      <c r="A100" s="162"/>
      <c r="B100" s="165"/>
      <c r="C100" s="165"/>
      <c r="D100" s="163"/>
      <c r="E100" s="162"/>
      <c r="F100" s="165"/>
      <c r="G100" s="174"/>
      <c r="H100" s="174"/>
      <c r="J100" s="75"/>
    </row>
    <row r="101" spans="1:17" ht="18" customHeight="1" x14ac:dyDescent="0.2">
      <c r="A101" s="174"/>
      <c r="B101" s="165"/>
      <c r="C101" s="165" t="s">
        <v>180</v>
      </c>
      <c r="D101" s="165"/>
      <c r="E101" s="174"/>
      <c r="F101" s="167">
        <v>-307.39765564999999</v>
      </c>
      <c r="G101" s="168">
        <v>-2.19892E-3</v>
      </c>
      <c r="H101" s="168"/>
      <c r="J101" s="75"/>
    </row>
    <row r="102" spans="1:17" ht="14.1" customHeight="1" x14ac:dyDescent="0.2">
      <c r="A102" s="171"/>
      <c r="B102" s="171"/>
      <c r="C102" s="163" t="s">
        <v>181</v>
      </c>
      <c r="D102" s="172"/>
      <c r="E102" s="172"/>
      <c r="F102" s="169">
        <v>139794.58877925199</v>
      </c>
      <c r="G102" s="177">
        <v>1.00000004</v>
      </c>
      <c r="H102" s="177"/>
      <c r="J102" s="75"/>
    </row>
    <row r="103" spans="1:17" ht="14.1" customHeight="1" x14ac:dyDescent="0.2">
      <c r="A103" s="178"/>
      <c r="B103" s="178"/>
      <c r="C103" s="178"/>
      <c r="D103" s="179"/>
      <c r="E103" s="179"/>
      <c r="F103" s="179"/>
      <c r="G103" s="179"/>
      <c r="H103" s="179"/>
      <c r="J103" s="75"/>
    </row>
    <row r="104" spans="1:17" ht="12.75" customHeight="1" x14ac:dyDescent="0.2">
      <c r="A104" s="180"/>
      <c r="B104" s="258" t="s">
        <v>882</v>
      </c>
      <c r="C104" s="258"/>
      <c r="D104" s="258"/>
      <c r="E104" s="258"/>
      <c r="F104" s="258"/>
      <c r="G104" s="258"/>
      <c r="H104" s="258"/>
      <c r="J104" s="75"/>
    </row>
    <row r="105" spans="1:17" ht="14.1" customHeight="1" x14ac:dyDescent="0.2">
      <c r="A105" s="180"/>
      <c r="B105" s="258" t="s">
        <v>883</v>
      </c>
      <c r="C105" s="258"/>
      <c r="D105" s="258"/>
      <c r="E105" s="258"/>
      <c r="F105" s="258"/>
      <c r="G105" s="258"/>
      <c r="H105" s="258"/>
      <c r="J105" s="75"/>
    </row>
    <row r="106" spans="1:17" ht="17.100000000000001" customHeight="1" x14ac:dyDescent="0.2">
      <c r="A106" s="180"/>
      <c r="B106" s="258" t="s">
        <v>884</v>
      </c>
      <c r="C106" s="258"/>
      <c r="D106" s="258"/>
      <c r="E106" s="258"/>
      <c r="F106" s="258"/>
      <c r="G106" s="258"/>
      <c r="H106" s="258"/>
      <c r="J106" s="75"/>
    </row>
    <row r="107" spans="1:17" s="34" customFormat="1" ht="62.25" customHeight="1" x14ac:dyDescent="0.25">
      <c r="A107" s="33"/>
      <c r="B107" s="259" t="s">
        <v>885</v>
      </c>
      <c r="C107" s="259"/>
      <c r="D107" s="259"/>
      <c r="E107" s="259"/>
      <c r="F107" s="259"/>
      <c r="G107" s="259"/>
      <c r="H107" s="259"/>
      <c r="I107"/>
      <c r="J107" s="75"/>
      <c r="K107"/>
      <c r="L107"/>
      <c r="M107"/>
      <c r="N107"/>
      <c r="O107"/>
      <c r="P107"/>
      <c r="Q107"/>
    </row>
    <row r="108" spans="1:17" ht="12.75" customHeight="1" x14ac:dyDescent="0.2">
      <c r="A108" s="180"/>
      <c r="B108" s="258" t="s">
        <v>886</v>
      </c>
      <c r="C108" s="258"/>
      <c r="D108" s="258"/>
      <c r="E108" s="258"/>
      <c r="F108" s="258"/>
      <c r="G108" s="258"/>
      <c r="H108" s="258"/>
      <c r="J108" s="75"/>
    </row>
    <row r="109" spans="1:17" ht="14.1" customHeight="1" x14ac:dyDescent="0.2">
      <c r="A109" s="181"/>
      <c r="B109" s="181"/>
      <c r="C109" s="181"/>
      <c r="D109" s="182"/>
      <c r="E109" s="182"/>
      <c r="F109" s="182"/>
      <c r="G109" s="182"/>
      <c r="H109" s="182"/>
      <c r="J109" s="75"/>
    </row>
    <row r="110" spans="1:17" ht="14.1" customHeight="1" x14ac:dyDescent="0.2">
      <c r="A110" s="181"/>
      <c r="B110" s="255" t="s">
        <v>183</v>
      </c>
      <c r="C110" s="256"/>
      <c r="D110" s="257"/>
      <c r="E110" s="183"/>
      <c r="F110" s="182"/>
      <c r="G110" s="182"/>
      <c r="H110" s="182"/>
      <c r="J110" s="75"/>
    </row>
    <row r="111" spans="1:17" ht="29.1" customHeight="1" x14ac:dyDescent="0.2">
      <c r="A111" s="181"/>
      <c r="B111" s="253" t="s">
        <v>184</v>
      </c>
      <c r="C111" s="254"/>
      <c r="D111" s="163" t="s">
        <v>185</v>
      </c>
      <c r="E111" s="183"/>
      <c r="F111" s="182"/>
      <c r="G111" s="182"/>
      <c r="H111" s="182"/>
      <c r="J111" s="75"/>
    </row>
    <row r="112" spans="1:17" ht="17.100000000000001" customHeight="1" x14ac:dyDescent="0.25">
      <c r="A112" s="181"/>
      <c r="B112" s="253" t="s">
        <v>186</v>
      </c>
      <c r="C112" s="254"/>
      <c r="D112" s="163" t="s">
        <v>185</v>
      </c>
      <c r="E112" s="183"/>
      <c r="F112" s="182"/>
      <c r="G112" s="182"/>
      <c r="H112" s="182"/>
      <c r="J112" s="75"/>
      <c r="Q112" s="34"/>
    </row>
    <row r="113" spans="1:10" ht="17.100000000000001" customHeight="1" x14ac:dyDescent="0.2">
      <c r="A113" s="181"/>
      <c r="B113" s="253" t="s">
        <v>187</v>
      </c>
      <c r="C113" s="254"/>
      <c r="D113" s="172" t="s">
        <v>153</v>
      </c>
      <c r="E113" s="183"/>
      <c r="F113" s="182"/>
      <c r="G113" s="182"/>
      <c r="H113" s="182"/>
      <c r="J113" s="75"/>
    </row>
    <row r="114" spans="1:10" x14ac:dyDescent="0.2">
      <c r="A114" s="185"/>
      <c r="B114" s="186" t="s">
        <v>153</v>
      </c>
      <c r="C114" s="186" t="s">
        <v>1088</v>
      </c>
      <c r="D114" s="186" t="s">
        <v>188</v>
      </c>
      <c r="E114" s="185"/>
      <c r="F114" s="185"/>
      <c r="G114" s="185"/>
      <c r="H114" s="185"/>
      <c r="J114" s="75"/>
    </row>
    <row r="115" spans="1:10" x14ac:dyDescent="0.2">
      <c r="A115" s="185"/>
      <c r="B115" s="187" t="s">
        <v>189</v>
      </c>
      <c r="C115" s="186" t="s">
        <v>190</v>
      </c>
      <c r="D115" s="186" t="s">
        <v>191</v>
      </c>
      <c r="E115" s="185"/>
      <c r="F115" s="185"/>
      <c r="G115" s="185"/>
      <c r="H115" s="185"/>
      <c r="J115" s="75"/>
    </row>
    <row r="116" spans="1:10" ht="17.100000000000001" customHeight="1" x14ac:dyDescent="0.2">
      <c r="A116" s="185"/>
      <c r="B116" s="165" t="s">
        <v>192</v>
      </c>
      <c r="C116" s="188">
        <v>88.136600000000001</v>
      </c>
      <c r="D116" s="188">
        <v>90.860200000000006</v>
      </c>
      <c r="E116" s="185"/>
      <c r="F116" s="189"/>
      <c r="G116" s="190"/>
      <c r="H116" s="190"/>
      <c r="J116" s="75"/>
    </row>
    <row r="117" spans="1:10" ht="17.100000000000001" customHeight="1" x14ac:dyDescent="0.2">
      <c r="A117" s="185"/>
      <c r="B117" s="165" t="s">
        <v>1054</v>
      </c>
      <c r="C117" s="188">
        <v>29.349499999999999</v>
      </c>
      <c r="D117" s="188">
        <v>30.256499999999999</v>
      </c>
      <c r="E117" s="185"/>
      <c r="F117" s="189"/>
      <c r="G117" s="190"/>
      <c r="H117" s="190"/>
      <c r="J117" s="75"/>
    </row>
    <row r="118" spans="1:10" ht="17.100000000000001" customHeight="1" x14ac:dyDescent="0.2">
      <c r="A118" s="185"/>
      <c r="B118" s="165" t="s">
        <v>193</v>
      </c>
      <c r="C118" s="188">
        <v>81.316299999999998</v>
      </c>
      <c r="D118" s="188">
        <v>83.761499999999998</v>
      </c>
      <c r="E118" s="185"/>
      <c r="F118" s="189"/>
      <c r="G118" s="190"/>
      <c r="H118" s="190"/>
      <c r="J118" s="75"/>
    </row>
    <row r="119" spans="1:10" ht="17.100000000000001" customHeight="1" x14ac:dyDescent="0.2">
      <c r="A119" s="185"/>
      <c r="B119" s="165" t="s">
        <v>1055</v>
      </c>
      <c r="C119" s="188">
        <v>26.630099999999999</v>
      </c>
      <c r="D119" s="188">
        <v>27.430800000000001</v>
      </c>
      <c r="E119" s="185"/>
      <c r="F119" s="189"/>
      <c r="G119" s="190"/>
      <c r="H119" s="190"/>
      <c r="J119" s="75"/>
    </row>
    <row r="120" spans="1:10" ht="14.1" customHeight="1" x14ac:dyDescent="0.2">
      <c r="A120" s="185"/>
      <c r="B120" s="185"/>
      <c r="C120" s="185"/>
      <c r="D120" s="185"/>
      <c r="E120" s="185"/>
      <c r="F120" s="185"/>
      <c r="G120" s="185"/>
      <c r="H120" s="185"/>
      <c r="J120" s="75"/>
    </row>
    <row r="121" spans="1:10" ht="17.100000000000001" customHeight="1" x14ac:dyDescent="0.2">
      <c r="A121" s="185"/>
      <c r="B121" s="253" t="s">
        <v>1056</v>
      </c>
      <c r="C121" s="254"/>
      <c r="D121" s="163" t="s">
        <v>185</v>
      </c>
      <c r="E121" s="185"/>
      <c r="F121" s="185"/>
      <c r="G121" s="185"/>
      <c r="H121" s="185"/>
      <c r="J121" s="75"/>
    </row>
    <row r="122" spans="1:10" ht="14.1" customHeight="1" x14ac:dyDescent="0.2">
      <c r="A122" s="185"/>
      <c r="B122" s="189"/>
      <c r="C122" s="189"/>
      <c r="D122" s="185"/>
      <c r="E122" s="185"/>
      <c r="F122" s="185"/>
      <c r="G122" s="185"/>
      <c r="H122" s="185"/>
      <c r="J122" s="75"/>
    </row>
    <row r="123" spans="1:10" ht="29.1" customHeight="1" x14ac:dyDescent="0.2">
      <c r="A123" s="185"/>
      <c r="B123" s="253" t="s">
        <v>194</v>
      </c>
      <c r="C123" s="254"/>
      <c r="D123" s="163" t="s">
        <v>185</v>
      </c>
      <c r="E123" s="191"/>
      <c r="F123" s="185"/>
      <c r="G123" s="185"/>
      <c r="H123" s="185"/>
      <c r="J123" s="75"/>
    </row>
    <row r="124" spans="1:10" ht="29.1" customHeight="1" x14ac:dyDescent="0.2">
      <c r="A124" s="185"/>
      <c r="B124" s="253" t="s">
        <v>195</v>
      </c>
      <c r="C124" s="254"/>
      <c r="D124" s="163" t="s">
        <v>185</v>
      </c>
      <c r="E124" s="191"/>
      <c r="F124" s="185"/>
      <c r="G124" s="185"/>
      <c r="H124" s="185"/>
      <c r="J124" s="75"/>
    </row>
    <row r="125" spans="1:10" ht="17.100000000000001" customHeight="1" x14ac:dyDescent="0.2">
      <c r="A125" s="185"/>
      <c r="B125" s="253" t="s">
        <v>196</v>
      </c>
      <c r="C125" s="254"/>
      <c r="D125" s="163" t="s">
        <v>185</v>
      </c>
      <c r="E125" s="191"/>
      <c r="F125" s="185"/>
      <c r="G125" s="185"/>
      <c r="H125" s="185"/>
      <c r="J125" s="75"/>
    </row>
    <row r="126" spans="1:10" ht="17.100000000000001" customHeight="1" x14ac:dyDescent="0.2">
      <c r="A126" s="185"/>
      <c r="B126" s="253" t="s">
        <v>197</v>
      </c>
      <c r="C126" s="254"/>
      <c r="D126" s="192">
        <v>0.26559971508993835</v>
      </c>
      <c r="E126" s="185"/>
      <c r="F126" s="189"/>
      <c r="G126" s="190"/>
      <c r="H126" s="190"/>
      <c r="J126" s="75"/>
    </row>
  </sheetData>
  <mergeCells count="17">
    <mergeCell ref="B126:C126"/>
    <mergeCell ref="B121:C121"/>
    <mergeCell ref="B123:C123"/>
    <mergeCell ref="B124:C124"/>
    <mergeCell ref="B125:C125"/>
    <mergeCell ref="A1:H1"/>
    <mergeCell ref="A2:H2"/>
    <mergeCell ref="A3:H3"/>
    <mergeCell ref="B112:C112"/>
    <mergeCell ref="B113:C113"/>
    <mergeCell ref="B110:D110"/>
    <mergeCell ref="B111:C111"/>
    <mergeCell ref="B108:H108"/>
    <mergeCell ref="B104:H104"/>
    <mergeCell ref="B105:H105"/>
    <mergeCell ref="B106:H106"/>
    <mergeCell ref="B107:H107"/>
  </mergeCells>
  <hyperlinks>
    <hyperlink ref="I1" location="Index!B24" display="Index" xr:uid="{6D7EB78C-68C5-41D8-99A3-ED61F8A838B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S150"/>
  <sheetViews>
    <sheetView showGridLines="0" workbookViewId="0">
      <selection activeCell="C84" sqref="C8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7" ht="15" x14ac:dyDescent="0.2">
      <c r="A1" s="250" t="s">
        <v>0</v>
      </c>
      <c r="B1" s="250"/>
      <c r="C1" s="250"/>
      <c r="D1" s="250"/>
      <c r="E1" s="250"/>
      <c r="F1" s="250"/>
      <c r="G1" s="250"/>
      <c r="H1" s="250"/>
      <c r="I1" s="35" t="s">
        <v>888</v>
      </c>
      <c r="J1" s="75"/>
    </row>
    <row r="2" spans="1:17" ht="15" customHeight="1" x14ac:dyDescent="0.2">
      <c r="A2" s="250" t="s">
        <v>848</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75"/>
    </row>
    <row r="4" spans="1:17" s="28" customFormat="1" ht="30" x14ac:dyDescent="0.2">
      <c r="A4" s="161" t="s">
        <v>2</v>
      </c>
      <c r="B4" s="161" t="s">
        <v>3</v>
      </c>
      <c r="C4" s="161" t="s">
        <v>4</v>
      </c>
      <c r="D4" s="161" t="s">
        <v>5</v>
      </c>
      <c r="E4" s="161" t="s">
        <v>6</v>
      </c>
      <c r="F4" s="161" t="s">
        <v>7</v>
      </c>
      <c r="G4" s="161" t="s">
        <v>8</v>
      </c>
      <c r="H4" s="161" t="s">
        <v>872</v>
      </c>
      <c r="J4" s="75"/>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17</v>
      </c>
      <c r="C7" s="165" t="s">
        <v>18</v>
      </c>
      <c r="D7" s="165" t="s">
        <v>19</v>
      </c>
      <c r="E7" s="166">
        <v>2277503</v>
      </c>
      <c r="F7" s="167">
        <v>30115.422169000001</v>
      </c>
      <c r="G7" s="168">
        <v>8.8933020000000002E-2</v>
      </c>
      <c r="H7" s="167"/>
      <c r="J7" s="75"/>
    </row>
    <row r="8" spans="1:17" ht="17.100000000000001" customHeight="1" x14ac:dyDescent="0.2">
      <c r="A8" s="164">
        <v>2</v>
      </c>
      <c r="B8" s="165" t="s">
        <v>331</v>
      </c>
      <c r="C8" s="165" t="s">
        <v>332</v>
      </c>
      <c r="D8" s="165" t="s">
        <v>39</v>
      </c>
      <c r="E8" s="166">
        <v>1718718</v>
      </c>
      <c r="F8" s="167">
        <v>26126.232317999998</v>
      </c>
      <c r="G8" s="168">
        <v>7.7152650000000003E-2</v>
      </c>
      <c r="H8" s="167"/>
      <c r="J8" s="75"/>
    </row>
    <row r="9" spans="1:17" ht="17.100000000000001" customHeight="1" x14ac:dyDescent="0.2">
      <c r="A9" s="164">
        <v>3</v>
      </c>
      <c r="B9" s="165" t="s">
        <v>37</v>
      </c>
      <c r="C9" s="165" t="s">
        <v>38</v>
      </c>
      <c r="D9" s="165" t="s">
        <v>39</v>
      </c>
      <c r="E9" s="166">
        <v>1645408</v>
      </c>
      <c r="F9" s="167">
        <v>18928.773632</v>
      </c>
      <c r="G9" s="168">
        <v>5.5898040000000003E-2</v>
      </c>
      <c r="H9" s="167"/>
      <c r="J9" s="75"/>
    </row>
    <row r="10" spans="1:17" ht="17.100000000000001" customHeight="1" x14ac:dyDescent="0.2">
      <c r="A10" s="164">
        <v>4</v>
      </c>
      <c r="B10" s="165" t="s">
        <v>14</v>
      </c>
      <c r="C10" s="165" t="s">
        <v>15</v>
      </c>
      <c r="D10" s="165" t="s">
        <v>16</v>
      </c>
      <c r="E10" s="166">
        <v>598066</v>
      </c>
      <c r="F10" s="167">
        <v>17547.256440000001</v>
      </c>
      <c r="G10" s="168">
        <v>5.1818320000000001E-2</v>
      </c>
      <c r="H10" s="167"/>
      <c r="J10" s="75"/>
    </row>
    <row r="11" spans="1:17" ht="17.100000000000001" customHeight="1" x14ac:dyDescent="0.2">
      <c r="A11" s="164">
        <v>5</v>
      </c>
      <c r="B11" s="165" t="s">
        <v>294</v>
      </c>
      <c r="C11" s="165" t="s">
        <v>295</v>
      </c>
      <c r="D11" s="165" t="s">
        <v>53</v>
      </c>
      <c r="E11" s="166">
        <v>872919</v>
      </c>
      <c r="F11" s="167">
        <v>9399.5917919999993</v>
      </c>
      <c r="G11" s="168">
        <v>2.7757670000000002E-2</v>
      </c>
      <c r="H11" s="167"/>
      <c r="J11" s="75"/>
    </row>
    <row r="12" spans="1:17" ht="17.100000000000001" customHeight="1" x14ac:dyDescent="0.2">
      <c r="A12" s="164">
        <v>6</v>
      </c>
      <c r="B12" s="165" t="s">
        <v>468</v>
      </c>
      <c r="C12" s="165" t="s">
        <v>469</v>
      </c>
      <c r="D12" s="165" t="s">
        <v>53</v>
      </c>
      <c r="E12" s="166">
        <v>1592273</v>
      </c>
      <c r="F12" s="167">
        <v>9146.8122485000004</v>
      </c>
      <c r="G12" s="168">
        <v>2.7011199999999999E-2</v>
      </c>
      <c r="H12" s="167"/>
      <c r="J12" s="71"/>
    </row>
    <row r="13" spans="1:17" ht="25.5" x14ac:dyDescent="0.2">
      <c r="A13" s="164">
        <v>7</v>
      </c>
      <c r="B13" s="165" t="s">
        <v>382</v>
      </c>
      <c r="C13" s="165" t="s">
        <v>383</v>
      </c>
      <c r="D13" s="165" t="s">
        <v>75</v>
      </c>
      <c r="E13" s="166">
        <v>250730</v>
      </c>
      <c r="F13" s="167">
        <v>8999.3265250000004</v>
      </c>
      <c r="G13" s="168">
        <v>2.6575660000000001E-2</v>
      </c>
      <c r="H13" s="167"/>
      <c r="J13" s="75" t="s">
        <v>952</v>
      </c>
    </row>
    <row r="14" spans="1:17" ht="17.100000000000001" customHeight="1" x14ac:dyDescent="0.2">
      <c r="A14" s="164">
        <v>8</v>
      </c>
      <c r="B14" s="165" t="s">
        <v>831</v>
      </c>
      <c r="C14" s="165" t="s">
        <v>832</v>
      </c>
      <c r="D14" s="165" t="s">
        <v>213</v>
      </c>
      <c r="E14" s="166">
        <v>144028</v>
      </c>
      <c r="F14" s="167">
        <v>8565.4891879999996</v>
      </c>
      <c r="G14" s="168">
        <v>2.5294509999999999E-2</v>
      </c>
      <c r="H14" s="167"/>
      <c r="J14" s="75"/>
    </row>
    <row r="15" spans="1:17" ht="17.100000000000001" customHeight="1" x14ac:dyDescent="0.2">
      <c r="A15" s="164">
        <v>9</v>
      </c>
      <c r="B15" s="165" t="s">
        <v>335</v>
      </c>
      <c r="C15" s="165" t="s">
        <v>336</v>
      </c>
      <c r="D15" s="165" t="s">
        <v>39</v>
      </c>
      <c r="E15" s="166">
        <v>668396</v>
      </c>
      <c r="F15" s="167">
        <v>7792.8289640000003</v>
      </c>
      <c r="G15" s="168">
        <v>2.3012790000000002E-2</v>
      </c>
      <c r="H15" s="167"/>
      <c r="J15" s="75"/>
    </row>
    <row r="16" spans="1:17" ht="29.1" customHeight="1" x14ac:dyDescent="0.2">
      <c r="A16" s="164">
        <v>10</v>
      </c>
      <c r="B16" s="165" t="s">
        <v>627</v>
      </c>
      <c r="C16" s="165" t="s">
        <v>628</v>
      </c>
      <c r="D16" s="165" t="s">
        <v>235</v>
      </c>
      <c r="E16" s="166">
        <v>1323993</v>
      </c>
      <c r="F16" s="167">
        <v>7585.1558969999996</v>
      </c>
      <c r="G16" s="168">
        <v>2.2399510000000001E-2</v>
      </c>
      <c r="H16" s="167"/>
      <c r="J16" s="75"/>
    </row>
    <row r="17" spans="1:10" ht="17.100000000000001" customHeight="1" x14ac:dyDescent="0.2">
      <c r="A17" s="164">
        <v>11</v>
      </c>
      <c r="B17" s="165" t="s">
        <v>125</v>
      </c>
      <c r="C17" s="165" t="s">
        <v>126</v>
      </c>
      <c r="D17" s="165" t="s">
        <v>53</v>
      </c>
      <c r="E17" s="166">
        <v>1646875</v>
      </c>
      <c r="F17" s="167">
        <v>7271.7765625000002</v>
      </c>
      <c r="G17" s="168">
        <v>2.147408E-2</v>
      </c>
      <c r="H17" s="167"/>
      <c r="J17" s="75"/>
    </row>
    <row r="18" spans="1:10" ht="17.100000000000001" customHeight="1" x14ac:dyDescent="0.2">
      <c r="A18" s="164">
        <v>12</v>
      </c>
      <c r="B18" s="165" t="s">
        <v>827</v>
      </c>
      <c r="C18" s="165" t="s">
        <v>828</v>
      </c>
      <c r="D18" s="165" t="s">
        <v>232</v>
      </c>
      <c r="E18" s="166">
        <v>147333</v>
      </c>
      <c r="F18" s="167">
        <v>6934.080312</v>
      </c>
      <c r="G18" s="168">
        <v>2.047684E-2</v>
      </c>
      <c r="H18" s="167"/>
      <c r="J18" s="75"/>
    </row>
    <row r="19" spans="1:10" ht="17.100000000000001" customHeight="1" x14ac:dyDescent="0.2">
      <c r="A19" s="164">
        <v>13</v>
      </c>
      <c r="B19" s="165" t="s">
        <v>258</v>
      </c>
      <c r="C19" s="165" t="s">
        <v>259</v>
      </c>
      <c r="D19" s="165" t="s">
        <v>39</v>
      </c>
      <c r="E19" s="166">
        <v>4488527</v>
      </c>
      <c r="F19" s="167">
        <v>6921.308634</v>
      </c>
      <c r="G19" s="168">
        <v>2.0439120000000002E-2</v>
      </c>
      <c r="H19" s="167"/>
      <c r="J19" s="75"/>
    </row>
    <row r="20" spans="1:10" ht="17.100000000000001" customHeight="1" x14ac:dyDescent="0.2">
      <c r="A20" s="164">
        <v>14</v>
      </c>
      <c r="B20" s="165" t="s">
        <v>240</v>
      </c>
      <c r="C20" s="165" t="s">
        <v>241</v>
      </c>
      <c r="D20" s="165" t="s">
        <v>242</v>
      </c>
      <c r="E20" s="166">
        <v>732261</v>
      </c>
      <c r="F20" s="167">
        <v>6333.3253889999996</v>
      </c>
      <c r="G20" s="168">
        <v>1.8702770000000001E-2</v>
      </c>
      <c r="H20" s="167"/>
      <c r="J20" s="75"/>
    </row>
    <row r="21" spans="1:10" ht="17.100000000000001" customHeight="1" x14ac:dyDescent="0.2">
      <c r="A21" s="164">
        <v>15</v>
      </c>
      <c r="B21" s="165" t="s">
        <v>211</v>
      </c>
      <c r="C21" s="165" t="s">
        <v>212</v>
      </c>
      <c r="D21" s="165" t="s">
        <v>213</v>
      </c>
      <c r="E21" s="166">
        <v>1408236</v>
      </c>
      <c r="F21" s="167">
        <v>6175.8189780000002</v>
      </c>
      <c r="G21" s="168">
        <v>1.8237639999999999E-2</v>
      </c>
      <c r="H21" s="167"/>
      <c r="J21" s="75"/>
    </row>
    <row r="22" spans="1:10" ht="17.100000000000001" customHeight="1" x14ac:dyDescent="0.2">
      <c r="A22" s="164">
        <v>16</v>
      </c>
      <c r="B22" s="165" t="s">
        <v>478</v>
      </c>
      <c r="C22" s="165" t="s">
        <v>479</v>
      </c>
      <c r="D22" s="165" t="s">
        <v>53</v>
      </c>
      <c r="E22" s="166">
        <v>805133</v>
      </c>
      <c r="F22" s="167">
        <v>6140.3468245000004</v>
      </c>
      <c r="G22" s="168">
        <v>1.8132889999999999E-2</v>
      </c>
      <c r="H22" s="167"/>
      <c r="J22" s="71"/>
    </row>
    <row r="23" spans="1:10" ht="25.5" x14ac:dyDescent="0.2">
      <c r="A23" s="164">
        <v>17</v>
      </c>
      <c r="B23" s="165" t="s">
        <v>488</v>
      </c>
      <c r="C23" s="165" t="s">
        <v>489</v>
      </c>
      <c r="D23" s="165" t="s">
        <v>242</v>
      </c>
      <c r="E23" s="166">
        <v>717133</v>
      </c>
      <c r="F23" s="167">
        <v>6081.28784</v>
      </c>
      <c r="G23" s="168">
        <v>1.7958479999999999E-2</v>
      </c>
      <c r="H23" s="167"/>
      <c r="J23" s="75" t="s">
        <v>953</v>
      </c>
    </row>
    <row r="24" spans="1:10" ht="17.100000000000001" customHeight="1" x14ac:dyDescent="0.2">
      <c r="A24" s="164">
        <v>18</v>
      </c>
      <c r="B24" s="165" t="s">
        <v>389</v>
      </c>
      <c r="C24" s="165" t="s">
        <v>390</v>
      </c>
      <c r="D24" s="165" t="s">
        <v>53</v>
      </c>
      <c r="E24" s="166">
        <v>86344</v>
      </c>
      <c r="F24" s="167">
        <v>5978.0700120000001</v>
      </c>
      <c r="G24" s="168">
        <v>1.765367E-2</v>
      </c>
      <c r="H24" s="167"/>
      <c r="J24" s="75"/>
    </row>
    <row r="25" spans="1:10" x14ac:dyDescent="0.2">
      <c r="A25" s="164">
        <v>19</v>
      </c>
      <c r="B25" s="165" t="s">
        <v>462</v>
      </c>
      <c r="C25" s="165" t="s">
        <v>463</v>
      </c>
      <c r="D25" s="165" t="s">
        <v>39</v>
      </c>
      <c r="E25" s="166">
        <v>6014225</v>
      </c>
      <c r="F25" s="167">
        <v>5836.8053625000002</v>
      </c>
      <c r="G25" s="168">
        <v>1.723651E-2</v>
      </c>
      <c r="H25" s="167"/>
      <c r="J25" s="75"/>
    </row>
    <row r="26" spans="1:10" ht="17.100000000000001" customHeight="1" x14ac:dyDescent="0.2">
      <c r="A26" s="164">
        <v>20</v>
      </c>
      <c r="B26" s="165" t="s">
        <v>849</v>
      </c>
      <c r="C26" s="165" t="s">
        <v>850</v>
      </c>
      <c r="D26" s="165" t="s">
        <v>262</v>
      </c>
      <c r="E26" s="166">
        <v>762185</v>
      </c>
      <c r="F26" s="167">
        <v>5764.0240624999997</v>
      </c>
      <c r="G26" s="168">
        <v>1.7021580000000001E-2</v>
      </c>
      <c r="H26" s="167"/>
      <c r="J26" s="75"/>
    </row>
    <row r="27" spans="1:10" ht="17.100000000000001" customHeight="1" x14ac:dyDescent="0.2">
      <c r="A27" s="164">
        <v>21</v>
      </c>
      <c r="B27" s="165" t="s">
        <v>60</v>
      </c>
      <c r="C27" s="165" t="s">
        <v>61</v>
      </c>
      <c r="D27" s="165" t="s">
        <v>62</v>
      </c>
      <c r="E27" s="166">
        <v>557919</v>
      </c>
      <c r="F27" s="167">
        <v>5735.4073200000003</v>
      </c>
      <c r="G27" s="168">
        <v>1.6937069999999999E-2</v>
      </c>
      <c r="H27" s="167"/>
      <c r="J27" s="75"/>
    </row>
    <row r="28" spans="1:10" ht="17.100000000000001" customHeight="1" x14ac:dyDescent="0.2">
      <c r="A28" s="164">
        <v>22</v>
      </c>
      <c r="B28" s="165" t="s">
        <v>374</v>
      </c>
      <c r="C28" s="165" t="s">
        <v>375</v>
      </c>
      <c r="D28" s="165" t="s">
        <v>210</v>
      </c>
      <c r="E28" s="166">
        <v>120690</v>
      </c>
      <c r="F28" s="167">
        <v>5556.3262199999999</v>
      </c>
      <c r="G28" s="168">
        <v>1.6408229999999999E-2</v>
      </c>
      <c r="H28" s="167"/>
      <c r="J28" s="75"/>
    </row>
    <row r="29" spans="1:10" ht="17.100000000000001" customHeight="1" x14ac:dyDescent="0.2">
      <c r="A29" s="164">
        <v>23</v>
      </c>
      <c r="B29" s="165" t="s">
        <v>480</v>
      </c>
      <c r="C29" s="165" t="s">
        <v>481</v>
      </c>
      <c r="D29" s="165" t="s">
        <v>417</v>
      </c>
      <c r="E29" s="166">
        <v>399510</v>
      </c>
      <c r="F29" s="167">
        <v>5437.9303650000002</v>
      </c>
      <c r="G29" s="168">
        <v>1.6058599999999999E-2</v>
      </c>
      <c r="H29" s="167"/>
      <c r="J29" s="75"/>
    </row>
    <row r="30" spans="1:10" ht="17.100000000000001" customHeight="1" x14ac:dyDescent="0.2">
      <c r="A30" s="164">
        <v>24</v>
      </c>
      <c r="B30" s="165" t="s">
        <v>535</v>
      </c>
      <c r="C30" s="165" t="s">
        <v>536</v>
      </c>
      <c r="D30" s="165" t="s">
        <v>235</v>
      </c>
      <c r="E30" s="166">
        <v>378452</v>
      </c>
      <c r="F30" s="167">
        <v>5436.6522059999998</v>
      </c>
      <c r="G30" s="168">
        <v>1.6054829999999999E-2</v>
      </c>
      <c r="H30" s="167"/>
      <c r="J30" s="75"/>
    </row>
    <row r="31" spans="1:10" ht="17.100000000000001" customHeight="1" x14ac:dyDescent="0.2">
      <c r="A31" s="164">
        <v>25</v>
      </c>
      <c r="B31" s="165" t="s">
        <v>569</v>
      </c>
      <c r="C31" s="165" t="s">
        <v>570</v>
      </c>
      <c r="D31" s="165" t="s">
        <v>232</v>
      </c>
      <c r="E31" s="166">
        <v>733372</v>
      </c>
      <c r="F31" s="167">
        <v>5112.3362120000002</v>
      </c>
      <c r="G31" s="168">
        <v>1.50971E-2</v>
      </c>
      <c r="H31" s="167"/>
      <c r="J31" s="75"/>
    </row>
    <row r="32" spans="1:10" ht="17.100000000000001" customHeight="1" x14ac:dyDescent="0.2">
      <c r="A32" s="164">
        <v>26</v>
      </c>
      <c r="B32" s="165" t="s">
        <v>490</v>
      </c>
      <c r="C32" s="165" t="s">
        <v>491</v>
      </c>
      <c r="D32" s="165" t="s">
        <v>80</v>
      </c>
      <c r="E32" s="166">
        <v>159923</v>
      </c>
      <c r="F32" s="167">
        <v>5040.2132295000001</v>
      </c>
      <c r="G32" s="168">
        <v>1.4884110000000001E-2</v>
      </c>
      <c r="H32" s="167"/>
      <c r="J32" s="75"/>
    </row>
    <row r="33" spans="1:10" ht="17.100000000000001" customHeight="1" x14ac:dyDescent="0.2">
      <c r="A33" s="164">
        <v>27</v>
      </c>
      <c r="B33" s="165" t="s">
        <v>360</v>
      </c>
      <c r="C33" s="165" t="s">
        <v>361</v>
      </c>
      <c r="D33" s="165" t="s">
        <v>39</v>
      </c>
      <c r="E33" s="166">
        <v>323308</v>
      </c>
      <c r="F33" s="167">
        <v>4900.3793560000004</v>
      </c>
      <c r="G33" s="168">
        <v>1.447117E-2</v>
      </c>
      <c r="H33" s="167"/>
      <c r="J33" s="75"/>
    </row>
    <row r="34" spans="1:10" ht="17.100000000000001" customHeight="1" x14ac:dyDescent="0.2">
      <c r="A34" s="164">
        <v>28</v>
      </c>
      <c r="B34" s="165" t="s">
        <v>269</v>
      </c>
      <c r="C34" s="165" t="s">
        <v>270</v>
      </c>
      <c r="D34" s="165" t="s">
        <v>232</v>
      </c>
      <c r="E34" s="166">
        <v>93633</v>
      </c>
      <c r="F34" s="167">
        <v>4778.3260725</v>
      </c>
      <c r="G34" s="168">
        <v>1.411074E-2</v>
      </c>
      <c r="H34" s="167"/>
      <c r="J34" s="75"/>
    </row>
    <row r="35" spans="1:10" ht="17.100000000000001" customHeight="1" x14ac:dyDescent="0.2">
      <c r="A35" s="164">
        <v>29</v>
      </c>
      <c r="B35" s="165" t="s">
        <v>494</v>
      </c>
      <c r="C35" s="165" t="s">
        <v>495</v>
      </c>
      <c r="D35" s="165" t="s">
        <v>496</v>
      </c>
      <c r="E35" s="166">
        <v>395218</v>
      </c>
      <c r="F35" s="167">
        <v>4426.4416000000001</v>
      </c>
      <c r="G35" s="168">
        <v>1.3071599999999999E-2</v>
      </c>
      <c r="H35" s="167"/>
      <c r="J35" s="75"/>
    </row>
    <row r="36" spans="1:10" ht="17.100000000000001" customHeight="1" x14ac:dyDescent="0.2">
      <c r="A36" s="164">
        <v>30</v>
      </c>
      <c r="B36" s="165" t="s">
        <v>281</v>
      </c>
      <c r="C36" s="165" t="s">
        <v>282</v>
      </c>
      <c r="D36" s="165" t="s">
        <v>53</v>
      </c>
      <c r="E36" s="166">
        <v>265869</v>
      </c>
      <c r="F36" s="167">
        <v>4317.9784289999998</v>
      </c>
      <c r="G36" s="168">
        <v>1.27513E-2</v>
      </c>
      <c r="H36" s="167"/>
      <c r="J36" s="75"/>
    </row>
    <row r="37" spans="1:10" ht="17.100000000000001" customHeight="1" x14ac:dyDescent="0.2">
      <c r="A37" s="164">
        <v>31</v>
      </c>
      <c r="B37" s="165" t="s">
        <v>350</v>
      </c>
      <c r="C37" s="165" t="s">
        <v>351</v>
      </c>
      <c r="D37" s="165" t="s">
        <v>262</v>
      </c>
      <c r="E37" s="166">
        <v>99597</v>
      </c>
      <c r="F37" s="167">
        <v>4092.4407299999998</v>
      </c>
      <c r="G37" s="168">
        <v>1.208527E-2</v>
      </c>
      <c r="H37" s="167"/>
      <c r="J37" s="75"/>
    </row>
    <row r="38" spans="1:10" ht="17.100000000000001" customHeight="1" x14ac:dyDescent="0.2">
      <c r="A38" s="164">
        <v>32</v>
      </c>
      <c r="B38" s="165" t="s">
        <v>263</v>
      </c>
      <c r="C38" s="165" t="s">
        <v>264</v>
      </c>
      <c r="D38" s="165" t="s">
        <v>210</v>
      </c>
      <c r="E38" s="166">
        <v>67293</v>
      </c>
      <c r="F38" s="167">
        <v>4073.7499874999999</v>
      </c>
      <c r="G38" s="168">
        <v>1.203008E-2</v>
      </c>
      <c r="H38" s="167"/>
      <c r="J38" s="75"/>
    </row>
    <row r="39" spans="1:10" ht="17.100000000000001" customHeight="1" x14ac:dyDescent="0.2">
      <c r="A39" s="164">
        <v>33</v>
      </c>
      <c r="B39" s="165" t="s">
        <v>470</v>
      </c>
      <c r="C39" s="165" t="s">
        <v>471</v>
      </c>
      <c r="D39" s="165" t="s">
        <v>262</v>
      </c>
      <c r="E39" s="166">
        <v>144959</v>
      </c>
      <c r="F39" s="167">
        <v>4039.427494</v>
      </c>
      <c r="G39" s="168">
        <v>1.192872E-2</v>
      </c>
      <c r="H39" s="167"/>
      <c r="J39" s="75"/>
    </row>
    <row r="40" spans="1:10" ht="17.100000000000001" customHeight="1" x14ac:dyDescent="0.2">
      <c r="A40" s="164">
        <v>34</v>
      </c>
      <c r="B40" s="165" t="s">
        <v>204</v>
      </c>
      <c r="C40" s="165" t="s">
        <v>205</v>
      </c>
      <c r="D40" s="165" t="s">
        <v>75</v>
      </c>
      <c r="E40" s="166">
        <v>953000</v>
      </c>
      <c r="F40" s="167">
        <v>3946.373</v>
      </c>
      <c r="G40" s="168">
        <v>1.165392E-2</v>
      </c>
      <c r="H40" s="167"/>
      <c r="J40" s="75"/>
    </row>
    <row r="41" spans="1:10" ht="17.100000000000001" customHeight="1" x14ac:dyDescent="0.2">
      <c r="A41" s="164">
        <v>35</v>
      </c>
      <c r="B41" s="165" t="s">
        <v>230</v>
      </c>
      <c r="C41" s="165" t="s">
        <v>231</v>
      </c>
      <c r="D41" s="165" t="s">
        <v>232</v>
      </c>
      <c r="E41" s="166">
        <v>113157</v>
      </c>
      <c r="F41" s="167">
        <v>3811.8067019999999</v>
      </c>
      <c r="G41" s="168">
        <v>1.1256540000000001E-2</v>
      </c>
      <c r="H41" s="167"/>
      <c r="J41" s="75"/>
    </row>
    <row r="42" spans="1:10" ht="17.100000000000001" customHeight="1" x14ac:dyDescent="0.2">
      <c r="A42" s="164">
        <v>36</v>
      </c>
      <c r="B42" s="165" t="s">
        <v>633</v>
      </c>
      <c r="C42" s="165" t="s">
        <v>634</v>
      </c>
      <c r="D42" s="165" t="s">
        <v>232</v>
      </c>
      <c r="E42" s="166">
        <v>299465</v>
      </c>
      <c r="F42" s="167">
        <v>3783.7402750000001</v>
      </c>
      <c r="G42" s="168">
        <v>1.117366E-2</v>
      </c>
      <c r="H42" s="167"/>
      <c r="J42" s="75"/>
    </row>
    <row r="43" spans="1:10" ht="17.100000000000001" customHeight="1" x14ac:dyDescent="0.2">
      <c r="A43" s="164">
        <v>37</v>
      </c>
      <c r="B43" s="165" t="s">
        <v>851</v>
      </c>
      <c r="C43" s="165" t="s">
        <v>852</v>
      </c>
      <c r="D43" s="165" t="s">
        <v>75</v>
      </c>
      <c r="E43" s="166">
        <v>403356</v>
      </c>
      <c r="F43" s="167">
        <v>3766.5383280000001</v>
      </c>
      <c r="G43" s="168">
        <v>1.112286E-2</v>
      </c>
      <c r="H43" s="167"/>
      <c r="J43" s="75"/>
    </row>
    <row r="44" spans="1:10" ht="17.100000000000001" customHeight="1" x14ac:dyDescent="0.2">
      <c r="A44" s="164">
        <v>38</v>
      </c>
      <c r="B44" s="165" t="s">
        <v>256</v>
      </c>
      <c r="C44" s="165" t="s">
        <v>257</v>
      </c>
      <c r="D44" s="165" t="s">
        <v>65</v>
      </c>
      <c r="E44" s="166">
        <v>1095226</v>
      </c>
      <c r="F44" s="167">
        <v>3241.8689599999998</v>
      </c>
      <c r="G44" s="168">
        <v>9.5734700000000006E-3</v>
      </c>
      <c r="H44" s="167"/>
      <c r="J44" s="75"/>
    </row>
    <row r="45" spans="1:10" ht="17.100000000000001" customHeight="1" x14ac:dyDescent="0.2">
      <c r="A45" s="164">
        <v>39</v>
      </c>
      <c r="B45" s="165" t="s">
        <v>482</v>
      </c>
      <c r="C45" s="165" t="s">
        <v>483</v>
      </c>
      <c r="D45" s="165" t="s">
        <v>242</v>
      </c>
      <c r="E45" s="166">
        <v>226690</v>
      </c>
      <c r="F45" s="167">
        <v>3225.3453199999999</v>
      </c>
      <c r="G45" s="168">
        <v>9.5246800000000006E-3</v>
      </c>
      <c r="H45" s="167"/>
      <c r="J45" s="75"/>
    </row>
    <row r="46" spans="1:10" ht="17.100000000000001" customHeight="1" x14ac:dyDescent="0.2">
      <c r="A46" s="164">
        <v>40</v>
      </c>
      <c r="B46" s="165" t="s">
        <v>507</v>
      </c>
      <c r="C46" s="165" t="s">
        <v>508</v>
      </c>
      <c r="D46" s="165" t="s">
        <v>62</v>
      </c>
      <c r="E46" s="166">
        <v>353653</v>
      </c>
      <c r="F46" s="167">
        <v>3102.597769</v>
      </c>
      <c r="G46" s="168">
        <v>9.1622000000000006E-3</v>
      </c>
      <c r="H46" s="167"/>
      <c r="J46" s="75"/>
    </row>
    <row r="47" spans="1:10" ht="17.100000000000001" customHeight="1" x14ac:dyDescent="0.2">
      <c r="A47" s="164">
        <v>41</v>
      </c>
      <c r="B47" s="165" t="s">
        <v>528</v>
      </c>
      <c r="C47" s="165" t="s">
        <v>529</v>
      </c>
      <c r="D47" s="165" t="s">
        <v>39</v>
      </c>
      <c r="E47" s="166">
        <v>816126</v>
      </c>
      <c r="F47" s="167">
        <v>3042.9257910000001</v>
      </c>
      <c r="G47" s="168">
        <v>8.9859799999999993E-3</v>
      </c>
      <c r="H47" s="167"/>
      <c r="J47" s="75"/>
    </row>
    <row r="48" spans="1:10" ht="17.100000000000001" customHeight="1" x14ac:dyDescent="0.2">
      <c r="A48" s="164">
        <v>42</v>
      </c>
      <c r="B48" s="165" t="s">
        <v>391</v>
      </c>
      <c r="C48" s="165" t="s">
        <v>392</v>
      </c>
      <c r="D48" s="165" t="s">
        <v>393</v>
      </c>
      <c r="E48" s="166">
        <v>8549</v>
      </c>
      <c r="F48" s="167">
        <v>2973.6884344999999</v>
      </c>
      <c r="G48" s="168">
        <v>8.7815199999999993E-3</v>
      </c>
      <c r="H48" s="167"/>
      <c r="J48" s="75"/>
    </row>
    <row r="49" spans="1:10" ht="25.5" x14ac:dyDescent="0.2">
      <c r="A49" s="164">
        <v>43</v>
      </c>
      <c r="B49" s="165" t="s">
        <v>554</v>
      </c>
      <c r="C49" s="165" t="s">
        <v>555</v>
      </c>
      <c r="D49" s="165" t="s">
        <v>556</v>
      </c>
      <c r="E49" s="166">
        <v>557508</v>
      </c>
      <c r="F49" s="167">
        <v>2605.5136379999999</v>
      </c>
      <c r="G49" s="168">
        <v>7.6942699999999996E-3</v>
      </c>
      <c r="H49" s="167"/>
      <c r="J49" s="75"/>
    </row>
    <row r="50" spans="1:10" ht="17.100000000000001" customHeight="1" x14ac:dyDescent="0.2">
      <c r="A50" s="164">
        <v>44</v>
      </c>
      <c r="B50" s="165" t="s">
        <v>591</v>
      </c>
      <c r="C50" s="165" t="s">
        <v>592</v>
      </c>
      <c r="D50" s="165" t="s">
        <v>213</v>
      </c>
      <c r="E50" s="166">
        <v>661963</v>
      </c>
      <c r="F50" s="167">
        <v>2304.6241845</v>
      </c>
      <c r="G50" s="168">
        <v>6.8057200000000003E-3</v>
      </c>
      <c r="H50" s="167"/>
      <c r="J50" s="75"/>
    </row>
    <row r="51" spans="1:10" ht="17.100000000000001" customHeight="1" x14ac:dyDescent="0.2">
      <c r="A51" s="164">
        <v>45</v>
      </c>
      <c r="B51" s="165" t="s">
        <v>600</v>
      </c>
      <c r="C51" s="165" t="s">
        <v>601</v>
      </c>
      <c r="D51" s="165" t="s">
        <v>262</v>
      </c>
      <c r="E51" s="166">
        <v>236039</v>
      </c>
      <c r="F51" s="167">
        <v>2243.4326755000002</v>
      </c>
      <c r="G51" s="168">
        <v>6.6250199999999997E-3</v>
      </c>
      <c r="H51" s="167"/>
      <c r="J51" s="75"/>
    </row>
    <row r="52" spans="1:10" ht="17.100000000000001" customHeight="1" x14ac:dyDescent="0.2">
      <c r="A52" s="164">
        <v>46</v>
      </c>
      <c r="B52" s="165" t="s">
        <v>610</v>
      </c>
      <c r="C52" s="165" t="s">
        <v>611</v>
      </c>
      <c r="D52" s="165" t="s">
        <v>235</v>
      </c>
      <c r="E52" s="166">
        <v>361058</v>
      </c>
      <c r="F52" s="167">
        <v>1840.6736840000001</v>
      </c>
      <c r="G52" s="168">
        <v>5.4356400000000003E-3</v>
      </c>
      <c r="H52" s="167"/>
      <c r="J52" s="75"/>
    </row>
    <row r="53" spans="1:10" ht="17.100000000000001" customHeight="1" x14ac:dyDescent="0.2">
      <c r="A53" s="164">
        <v>47</v>
      </c>
      <c r="B53" s="165" t="s">
        <v>773</v>
      </c>
      <c r="C53" s="165" t="s">
        <v>774</v>
      </c>
      <c r="D53" s="165" t="s">
        <v>213</v>
      </c>
      <c r="E53" s="166">
        <v>78719</v>
      </c>
      <c r="F53" s="167">
        <v>1430.9146225</v>
      </c>
      <c r="G53" s="168">
        <v>4.2255900000000004E-3</v>
      </c>
      <c r="H53" s="167"/>
      <c r="J53" s="75"/>
    </row>
    <row r="54" spans="1:10" ht="17.100000000000001" customHeight="1" x14ac:dyDescent="0.2">
      <c r="A54" s="164">
        <v>48</v>
      </c>
      <c r="B54" s="165" t="s">
        <v>853</v>
      </c>
      <c r="C54" s="165" t="s">
        <v>854</v>
      </c>
      <c r="D54" s="165" t="s">
        <v>65</v>
      </c>
      <c r="E54" s="166">
        <v>285201</v>
      </c>
      <c r="F54" s="167">
        <v>1338.163092</v>
      </c>
      <c r="G54" s="168">
        <v>3.9516899999999999E-3</v>
      </c>
      <c r="H54" s="167"/>
      <c r="J54" s="75"/>
    </row>
    <row r="55" spans="1:10" ht="29.1" customHeight="1" x14ac:dyDescent="0.2">
      <c r="A55" s="164">
        <v>49</v>
      </c>
      <c r="B55" s="165" t="s">
        <v>279</v>
      </c>
      <c r="C55" s="165" t="s">
        <v>280</v>
      </c>
      <c r="D55" s="165" t="s">
        <v>53</v>
      </c>
      <c r="E55" s="166">
        <v>102687</v>
      </c>
      <c r="F55" s="167">
        <v>1225.363971</v>
      </c>
      <c r="G55" s="168">
        <v>3.6185900000000001E-3</v>
      </c>
      <c r="H55" s="167"/>
      <c r="J55" s="75"/>
    </row>
    <row r="56" spans="1:10" ht="14.1" customHeight="1" x14ac:dyDescent="0.2">
      <c r="A56" s="162"/>
      <c r="B56" s="162"/>
      <c r="C56" s="163" t="s">
        <v>152</v>
      </c>
      <c r="D56" s="162"/>
      <c r="E56" s="162" t="s">
        <v>153</v>
      </c>
      <c r="F56" s="169">
        <v>314474.91281900002</v>
      </c>
      <c r="G56" s="170">
        <v>0.92866711999999996</v>
      </c>
      <c r="H56" s="167"/>
      <c r="J56" s="75"/>
    </row>
    <row r="57" spans="1:10" ht="14.1" customHeight="1" x14ac:dyDescent="0.2">
      <c r="A57" s="162"/>
      <c r="B57" s="162"/>
      <c r="C57" s="171"/>
      <c r="D57" s="162"/>
      <c r="E57" s="162"/>
      <c r="F57" s="172"/>
      <c r="G57" s="172"/>
      <c r="H57" s="167"/>
      <c r="J57" s="75"/>
    </row>
    <row r="58" spans="1:10" ht="14.1" customHeight="1" x14ac:dyDescent="0.2">
      <c r="A58" s="162"/>
      <c r="B58" s="162"/>
      <c r="C58" s="163" t="s">
        <v>154</v>
      </c>
      <c r="D58" s="162"/>
      <c r="E58" s="162"/>
      <c r="F58" s="162"/>
      <c r="G58" s="162"/>
      <c r="H58" s="167"/>
      <c r="J58" s="75"/>
    </row>
    <row r="59" spans="1:10" ht="17.100000000000001" customHeight="1" x14ac:dyDescent="0.2">
      <c r="A59" s="164">
        <v>1</v>
      </c>
      <c r="B59" s="165" t="s">
        <v>855</v>
      </c>
      <c r="C59" s="200" t="s">
        <v>1067</v>
      </c>
      <c r="D59" s="165" t="s">
        <v>242</v>
      </c>
      <c r="E59" s="166">
        <v>37829</v>
      </c>
      <c r="F59" s="167">
        <v>2091.8578762130001</v>
      </c>
      <c r="G59" s="168">
        <v>6.1774100000000004E-3</v>
      </c>
      <c r="H59" s="167"/>
      <c r="J59" s="75"/>
    </row>
    <row r="60" spans="1:10" ht="14.1" customHeight="1" x14ac:dyDescent="0.2">
      <c r="A60" s="162"/>
      <c r="B60" s="162"/>
      <c r="C60" s="163" t="s">
        <v>152</v>
      </c>
      <c r="D60" s="162"/>
      <c r="E60" s="162" t="s">
        <v>153</v>
      </c>
      <c r="F60" s="169">
        <v>2091.8578762130001</v>
      </c>
      <c r="G60" s="170">
        <v>6.1774100000000004E-3</v>
      </c>
      <c r="H60" s="167"/>
      <c r="J60" s="75"/>
    </row>
    <row r="61" spans="1:10" ht="14.1" customHeight="1" x14ac:dyDescent="0.2">
      <c r="A61" s="162"/>
      <c r="B61" s="162"/>
      <c r="C61" s="171"/>
      <c r="D61" s="162"/>
      <c r="E61" s="162"/>
      <c r="F61" s="172"/>
      <c r="G61" s="172"/>
      <c r="H61" s="167"/>
      <c r="J61" s="75"/>
    </row>
    <row r="62" spans="1:10" ht="14.1" customHeight="1" x14ac:dyDescent="0.2">
      <c r="A62" s="162"/>
      <c r="B62" s="162"/>
      <c r="C62" s="163" t="s">
        <v>156</v>
      </c>
      <c r="D62" s="162"/>
      <c r="E62" s="162"/>
      <c r="F62" s="162"/>
      <c r="G62" s="162"/>
      <c r="H62" s="167"/>
      <c r="J62" s="75"/>
    </row>
    <row r="63" spans="1:10" ht="14.1" customHeight="1" x14ac:dyDescent="0.2">
      <c r="A63" s="162"/>
      <c r="B63" s="162"/>
      <c r="C63" s="163" t="s">
        <v>152</v>
      </c>
      <c r="D63" s="162"/>
      <c r="E63" s="162" t="s">
        <v>153</v>
      </c>
      <c r="F63" s="173" t="s">
        <v>155</v>
      </c>
      <c r="G63" s="170">
        <v>0</v>
      </c>
      <c r="H63" s="167"/>
      <c r="J63" s="75"/>
    </row>
    <row r="64" spans="1:10" ht="14.1" customHeight="1" x14ac:dyDescent="0.2">
      <c r="A64" s="162"/>
      <c r="B64" s="162"/>
      <c r="C64" s="171"/>
      <c r="D64" s="162"/>
      <c r="E64" s="162"/>
      <c r="F64" s="172"/>
      <c r="G64" s="172"/>
      <c r="H64" s="167"/>
      <c r="J64" s="75"/>
    </row>
    <row r="65" spans="1:10" ht="14.1" customHeight="1" x14ac:dyDescent="0.2">
      <c r="A65" s="162"/>
      <c r="B65" s="162"/>
      <c r="C65" s="163" t="s">
        <v>157</v>
      </c>
      <c r="D65" s="162"/>
      <c r="E65" s="162"/>
      <c r="F65" s="162"/>
      <c r="G65" s="162"/>
      <c r="H65" s="167"/>
      <c r="J65" s="75"/>
    </row>
    <row r="66" spans="1:10" ht="14.1" customHeight="1" x14ac:dyDescent="0.2">
      <c r="A66" s="162"/>
      <c r="B66" s="162"/>
      <c r="C66" s="163" t="s">
        <v>152</v>
      </c>
      <c r="D66" s="162"/>
      <c r="E66" s="162" t="s">
        <v>153</v>
      </c>
      <c r="F66" s="173" t="s">
        <v>155</v>
      </c>
      <c r="G66" s="170">
        <v>0</v>
      </c>
      <c r="H66" s="167"/>
      <c r="J66" s="75"/>
    </row>
    <row r="67" spans="1:10" ht="14.1" customHeight="1" x14ac:dyDescent="0.2">
      <c r="A67" s="162"/>
      <c r="B67" s="162"/>
      <c r="C67" s="171"/>
      <c r="D67" s="162"/>
      <c r="E67" s="162"/>
      <c r="F67" s="172"/>
      <c r="G67" s="172"/>
      <c r="H67" s="167"/>
      <c r="J67" s="75"/>
    </row>
    <row r="68" spans="1:10" ht="14.1" customHeight="1" x14ac:dyDescent="0.2">
      <c r="A68" s="162"/>
      <c r="B68" s="162"/>
      <c r="C68" s="163" t="s">
        <v>158</v>
      </c>
      <c r="D68" s="162"/>
      <c r="E68" s="162"/>
      <c r="F68" s="172"/>
      <c r="G68" s="172"/>
      <c r="H68" s="167"/>
      <c r="J68" s="75"/>
    </row>
    <row r="69" spans="1:10" ht="14.1" customHeight="1" x14ac:dyDescent="0.2">
      <c r="A69" s="162"/>
      <c r="B69" s="162"/>
      <c r="C69" s="163" t="s">
        <v>152</v>
      </c>
      <c r="D69" s="162"/>
      <c r="E69" s="162" t="s">
        <v>153</v>
      </c>
      <c r="F69" s="173" t="s">
        <v>155</v>
      </c>
      <c r="G69" s="170">
        <v>0</v>
      </c>
      <c r="H69" s="167"/>
      <c r="J69" s="75"/>
    </row>
    <row r="70" spans="1:10" ht="14.1" customHeight="1" x14ac:dyDescent="0.2">
      <c r="A70" s="162"/>
      <c r="B70" s="162"/>
      <c r="C70" s="171"/>
      <c r="D70" s="162"/>
      <c r="E70" s="162"/>
      <c r="F70" s="172"/>
      <c r="G70" s="172"/>
      <c r="H70" s="167"/>
      <c r="J70" s="75"/>
    </row>
    <row r="71" spans="1:10" ht="14.1" customHeight="1" x14ac:dyDescent="0.2">
      <c r="A71" s="162"/>
      <c r="B71" s="162"/>
      <c r="C71" s="163" t="s">
        <v>159</v>
      </c>
      <c r="D71" s="162"/>
      <c r="E71" s="162"/>
      <c r="F71" s="172"/>
      <c r="G71" s="172"/>
      <c r="H71" s="167"/>
      <c r="J71" s="75"/>
    </row>
    <row r="72" spans="1:10" ht="17.100000000000001" customHeight="1" x14ac:dyDescent="0.2">
      <c r="A72" s="164">
        <v>1</v>
      </c>
      <c r="B72" s="165"/>
      <c r="C72" s="165" t="s">
        <v>1045</v>
      </c>
      <c r="D72" s="165" t="s">
        <v>636</v>
      </c>
      <c r="E72" s="166">
        <v>584375</v>
      </c>
      <c r="F72" s="167">
        <v>2737.796875</v>
      </c>
      <c r="G72" s="168">
        <v>8.0849100000000007E-3</v>
      </c>
      <c r="H72" s="167"/>
      <c r="J72" s="75"/>
    </row>
    <row r="73" spans="1:10" ht="17.100000000000001" customHeight="1" x14ac:dyDescent="0.2">
      <c r="A73" s="164">
        <v>2</v>
      </c>
      <c r="B73" s="165"/>
      <c r="C73" s="165" t="s">
        <v>1046</v>
      </c>
      <c r="D73" s="165" t="s">
        <v>636</v>
      </c>
      <c r="E73" s="166">
        <v>3135</v>
      </c>
      <c r="F73" s="167">
        <v>1097.1120599999999</v>
      </c>
      <c r="G73" s="168">
        <v>3.2398499999999998E-3</v>
      </c>
      <c r="H73" s="167"/>
      <c r="J73" s="75"/>
    </row>
    <row r="74" spans="1:10" ht="17.100000000000001" customHeight="1" x14ac:dyDescent="0.2">
      <c r="A74" s="164">
        <v>3</v>
      </c>
      <c r="B74" s="165"/>
      <c r="C74" s="165" t="s">
        <v>1044</v>
      </c>
      <c r="D74" s="165" t="s">
        <v>636</v>
      </c>
      <c r="E74" s="166">
        <v>60800</v>
      </c>
      <c r="F74" s="167">
        <v>1094.9168</v>
      </c>
      <c r="G74" s="168">
        <v>3.2333700000000002E-3</v>
      </c>
      <c r="H74" s="167"/>
      <c r="J74" s="75"/>
    </row>
    <row r="75" spans="1:10" ht="25.5" x14ac:dyDescent="0.2">
      <c r="A75" s="164">
        <v>4</v>
      </c>
      <c r="B75" s="165"/>
      <c r="C75" s="165" t="s">
        <v>1003</v>
      </c>
      <c r="D75" s="165" t="s">
        <v>636</v>
      </c>
      <c r="E75" s="166">
        <v>108000</v>
      </c>
      <c r="F75" s="167">
        <v>621.43200000000002</v>
      </c>
      <c r="G75" s="168">
        <v>1.8351299999999999E-3</v>
      </c>
      <c r="H75" s="167"/>
      <c r="J75" s="75"/>
    </row>
    <row r="76" spans="1:10" ht="14.1" customHeight="1" x14ac:dyDescent="0.2">
      <c r="A76" s="162"/>
      <c r="B76" s="162"/>
      <c r="C76" s="163" t="s">
        <v>152</v>
      </c>
      <c r="D76" s="162"/>
      <c r="E76" s="162" t="s">
        <v>153</v>
      </c>
      <c r="F76" s="169">
        <v>5551.2577350000001</v>
      </c>
      <c r="G76" s="170">
        <v>1.639326E-2</v>
      </c>
      <c r="H76" s="167"/>
      <c r="J76" s="75"/>
    </row>
    <row r="77" spans="1:10" ht="14.1" customHeight="1" x14ac:dyDescent="0.2">
      <c r="A77" s="162"/>
      <c r="B77" s="162"/>
      <c r="C77" s="171"/>
      <c r="D77" s="162"/>
      <c r="E77" s="162"/>
      <c r="F77" s="172"/>
      <c r="G77" s="172"/>
      <c r="H77" s="167"/>
      <c r="J77" s="75"/>
    </row>
    <row r="78" spans="1:10" ht="18" customHeight="1" x14ac:dyDescent="0.2">
      <c r="A78" s="162"/>
      <c r="B78" s="162"/>
      <c r="C78" s="163" t="s">
        <v>160</v>
      </c>
      <c r="D78" s="162"/>
      <c r="E78" s="162"/>
      <c r="F78" s="169">
        <v>322118.02843021299</v>
      </c>
      <c r="G78" s="170">
        <v>0.95123778999999997</v>
      </c>
      <c r="H78" s="167"/>
      <c r="J78" s="75"/>
    </row>
    <row r="79" spans="1:10" ht="14.1" customHeight="1" x14ac:dyDescent="0.2">
      <c r="A79" s="162"/>
      <c r="B79" s="162"/>
      <c r="C79" s="171"/>
      <c r="D79" s="162"/>
      <c r="E79" s="162"/>
      <c r="F79" s="172"/>
      <c r="G79" s="172"/>
      <c r="H79" s="167"/>
      <c r="J79" s="75"/>
    </row>
    <row r="80" spans="1:10" ht="14.1" customHeight="1" x14ac:dyDescent="0.2">
      <c r="A80" s="162"/>
      <c r="B80" s="162"/>
      <c r="C80" s="163" t="s">
        <v>161</v>
      </c>
      <c r="D80" s="162"/>
      <c r="E80" s="162"/>
      <c r="F80" s="172"/>
      <c r="G80" s="172"/>
      <c r="H80" s="167"/>
      <c r="J80" s="75"/>
    </row>
    <row r="81" spans="1:10" ht="24" customHeight="1" x14ac:dyDescent="0.2">
      <c r="A81" s="162"/>
      <c r="B81" s="162"/>
      <c r="C81" s="163" t="s">
        <v>10</v>
      </c>
      <c r="D81" s="162"/>
      <c r="E81" s="162"/>
      <c r="F81" s="172"/>
      <c r="G81" s="172"/>
      <c r="H81" s="167"/>
      <c r="J81" s="75"/>
    </row>
    <row r="82" spans="1:10" ht="14.1" customHeight="1" x14ac:dyDescent="0.2">
      <c r="A82" s="162"/>
      <c r="B82" s="162"/>
      <c r="C82" s="163" t="s">
        <v>152</v>
      </c>
      <c r="D82" s="162"/>
      <c r="E82" s="162" t="s">
        <v>153</v>
      </c>
      <c r="F82" s="173" t="s">
        <v>155</v>
      </c>
      <c r="G82" s="170">
        <v>0</v>
      </c>
      <c r="H82" s="167"/>
      <c r="J82" s="75"/>
    </row>
    <row r="83" spans="1:10" ht="14.1" customHeight="1" x14ac:dyDescent="0.2">
      <c r="A83" s="162"/>
      <c r="B83" s="162"/>
      <c r="C83" s="171"/>
      <c r="D83" s="162"/>
      <c r="E83" s="162"/>
      <c r="F83" s="172"/>
      <c r="G83" s="172"/>
      <c r="H83" s="167"/>
      <c r="J83" s="75"/>
    </row>
    <row r="84" spans="1:10" ht="14.1" customHeight="1" x14ac:dyDescent="0.2">
      <c r="A84" s="162"/>
      <c r="B84" s="162"/>
      <c r="C84" s="163" t="s">
        <v>162</v>
      </c>
      <c r="D84" s="162"/>
      <c r="E84" s="162"/>
      <c r="F84" s="162"/>
      <c r="G84" s="162"/>
      <c r="H84" s="167"/>
      <c r="J84" s="75"/>
    </row>
    <row r="85" spans="1:10" ht="14.1" customHeight="1" x14ac:dyDescent="0.2">
      <c r="A85" s="162"/>
      <c r="B85" s="162"/>
      <c r="C85" s="163" t="s">
        <v>152</v>
      </c>
      <c r="D85" s="162"/>
      <c r="E85" s="162" t="s">
        <v>153</v>
      </c>
      <c r="F85" s="173" t="s">
        <v>155</v>
      </c>
      <c r="G85" s="170">
        <v>0</v>
      </c>
      <c r="H85" s="167"/>
      <c r="J85" s="75"/>
    </row>
    <row r="86" spans="1:10" ht="14.1" customHeight="1" x14ac:dyDescent="0.2">
      <c r="A86" s="162"/>
      <c r="B86" s="162"/>
      <c r="C86" s="171"/>
      <c r="D86" s="162"/>
      <c r="E86" s="162"/>
      <c r="F86" s="172"/>
      <c r="G86" s="172"/>
      <c r="H86" s="167"/>
      <c r="J86" s="75"/>
    </row>
    <row r="87" spans="1:10" ht="14.1" customHeight="1" x14ac:dyDescent="0.2">
      <c r="A87" s="162"/>
      <c r="B87" s="162"/>
      <c r="C87" s="163" t="s">
        <v>163</v>
      </c>
      <c r="D87" s="162"/>
      <c r="E87" s="162"/>
      <c r="F87" s="162"/>
      <c r="G87" s="162"/>
      <c r="H87" s="167"/>
      <c r="J87" s="75"/>
    </row>
    <row r="88" spans="1:10" ht="14.1" customHeight="1" x14ac:dyDescent="0.2">
      <c r="A88" s="162"/>
      <c r="B88" s="162"/>
      <c r="C88" s="163" t="s">
        <v>152</v>
      </c>
      <c r="D88" s="162"/>
      <c r="E88" s="162" t="s">
        <v>153</v>
      </c>
      <c r="F88" s="173" t="s">
        <v>155</v>
      </c>
      <c r="G88" s="170">
        <v>0</v>
      </c>
      <c r="H88" s="167"/>
      <c r="J88" s="75"/>
    </row>
    <row r="89" spans="1:10" ht="14.1" customHeight="1" x14ac:dyDescent="0.2">
      <c r="A89" s="162"/>
      <c r="B89" s="162"/>
      <c r="C89" s="171"/>
      <c r="D89" s="162"/>
      <c r="E89" s="162"/>
      <c r="F89" s="172"/>
      <c r="G89" s="172"/>
      <c r="H89" s="167"/>
      <c r="J89" s="75"/>
    </row>
    <row r="90" spans="1:10" ht="14.1" customHeight="1" x14ac:dyDescent="0.2">
      <c r="A90" s="162"/>
      <c r="B90" s="162"/>
      <c r="C90" s="163" t="s">
        <v>164</v>
      </c>
      <c r="D90" s="162"/>
      <c r="E90" s="162"/>
      <c r="F90" s="172"/>
      <c r="G90" s="172"/>
      <c r="H90" s="167"/>
      <c r="J90" s="75"/>
    </row>
    <row r="91" spans="1:10" ht="14.1" customHeight="1" x14ac:dyDescent="0.2">
      <c r="A91" s="162"/>
      <c r="B91" s="162"/>
      <c r="C91" s="163" t="s">
        <v>152</v>
      </c>
      <c r="D91" s="162"/>
      <c r="E91" s="162" t="s">
        <v>153</v>
      </c>
      <c r="F91" s="173" t="s">
        <v>155</v>
      </c>
      <c r="G91" s="170">
        <v>0</v>
      </c>
      <c r="H91" s="167"/>
      <c r="J91" s="75"/>
    </row>
    <row r="92" spans="1:10" ht="14.1" customHeight="1" x14ac:dyDescent="0.2">
      <c r="A92" s="162"/>
      <c r="B92" s="162"/>
      <c r="C92" s="171"/>
      <c r="D92" s="162"/>
      <c r="E92" s="162"/>
      <c r="F92" s="172"/>
      <c r="G92" s="172"/>
      <c r="H92" s="167"/>
      <c r="J92" s="75"/>
    </row>
    <row r="93" spans="1:10" ht="14.1" customHeight="1" x14ac:dyDescent="0.2">
      <c r="A93" s="162"/>
      <c r="B93" s="162"/>
      <c r="C93" s="163" t="s">
        <v>165</v>
      </c>
      <c r="D93" s="162"/>
      <c r="E93" s="162"/>
      <c r="F93" s="169">
        <v>0</v>
      </c>
      <c r="G93" s="170">
        <v>0</v>
      </c>
      <c r="H93" s="167"/>
      <c r="J93" s="75"/>
    </row>
    <row r="94" spans="1:10" ht="14.1" customHeight="1" x14ac:dyDescent="0.2">
      <c r="A94" s="162"/>
      <c r="B94" s="162"/>
      <c r="C94" s="171"/>
      <c r="D94" s="162"/>
      <c r="E94" s="162"/>
      <c r="F94" s="172"/>
      <c r="G94" s="172"/>
      <c r="H94" s="167"/>
      <c r="J94" s="75"/>
    </row>
    <row r="95" spans="1:10" ht="14.1" customHeight="1" x14ac:dyDescent="0.2">
      <c r="A95" s="162"/>
      <c r="B95" s="162"/>
      <c r="C95" s="163" t="s">
        <v>166</v>
      </c>
      <c r="D95" s="162"/>
      <c r="E95" s="162"/>
      <c r="F95" s="172"/>
      <c r="G95" s="172"/>
      <c r="H95" s="167"/>
      <c r="J95" s="75"/>
    </row>
    <row r="96" spans="1:10" ht="14.1" customHeight="1" x14ac:dyDescent="0.2">
      <c r="A96" s="162"/>
      <c r="B96" s="162"/>
      <c r="C96" s="163" t="s">
        <v>167</v>
      </c>
      <c r="D96" s="162"/>
      <c r="E96" s="162"/>
      <c r="F96" s="172"/>
      <c r="G96" s="172"/>
      <c r="H96" s="167"/>
      <c r="J96" s="75"/>
    </row>
    <row r="97" spans="1:10" ht="14.1" customHeight="1" x14ac:dyDescent="0.2">
      <c r="A97" s="162"/>
      <c r="B97" s="162"/>
      <c r="C97" s="163" t="s">
        <v>152</v>
      </c>
      <c r="D97" s="162"/>
      <c r="E97" s="162" t="s">
        <v>153</v>
      </c>
      <c r="F97" s="173" t="s">
        <v>155</v>
      </c>
      <c r="G97" s="170">
        <v>0</v>
      </c>
      <c r="H97" s="167"/>
      <c r="J97" s="75"/>
    </row>
    <row r="98" spans="1:10" ht="14.1" customHeight="1" x14ac:dyDescent="0.2">
      <c r="A98" s="162"/>
      <c r="B98" s="162"/>
      <c r="C98" s="171"/>
      <c r="D98" s="162"/>
      <c r="E98" s="162"/>
      <c r="F98" s="172"/>
      <c r="G98" s="172"/>
      <c r="H98" s="167"/>
      <c r="J98" s="75"/>
    </row>
    <row r="99" spans="1:10" ht="14.1" customHeight="1" x14ac:dyDescent="0.2">
      <c r="A99" s="162"/>
      <c r="B99" s="162"/>
      <c r="C99" s="163" t="s">
        <v>168</v>
      </c>
      <c r="D99" s="162"/>
      <c r="E99" s="162"/>
      <c r="F99" s="172"/>
      <c r="G99" s="172"/>
      <c r="H99" s="167"/>
      <c r="J99" s="75"/>
    </row>
    <row r="100" spans="1:10" ht="14.1" customHeight="1" x14ac:dyDescent="0.2">
      <c r="A100" s="162"/>
      <c r="B100" s="162"/>
      <c r="C100" s="163" t="s">
        <v>152</v>
      </c>
      <c r="D100" s="162"/>
      <c r="E100" s="162" t="s">
        <v>153</v>
      </c>
      <c r="F100" s="173" t="s">
        <v>155</v>
      </c>
      <c r="G100" s="170">
        <v>0</v>
      </c>
      <c r="H100" s="167"/>
      <c r="J100" s="75"/>
    </row>
    <row r="101" spans="1:10" ht="14.1" customHeight="1" x14ac:dyDescent="0.2">
      <c r="A101" s="162"/>
      <c r="B101" s="162"/>
      <c r="C101" s="171"/>
      <c r="D101" s="162"/>
      <c r="E101" s="162"/>
      <c r="F101" s="172"/>
      <c r="G101" s="172"/>
      <c r="H101" s="167"/>
      <c r="J101" s="75"/>
    </row>
    <row r="102" spans="1:10" ht="14.1" customHeight="1" x14ac:dyDescent="0.2">
      <c r="A102" s="162"/>
      <c r="B102" s="162"/>
      <c r="C102" s="163" t="s">
        <v>169</v>
      </c>
      <c r="D102" s="162"/>
      <c r="E102" s="162"/>
      <c r="F102" s="172"/>
      <c r="G102" s="172"/>
      <c r="H102" s="167"/>
      <c r="J102" s="75"/>
    </row>
    <row r="103" spans="1:10" ht="17.100000000000001" customHeight="1" x14ac:dyDescent="0.2">
      <c r="A103" s="164">
        <v>1</v>
      </c>
      <c r="B103" s="165" t="s">
        <v>712</v>
      </c>
      <c r="C103" s="200" t="s">
        <v>1077</v>
      </c>
      <c r="D103" s="165" t="s">
        <v>441</v>
      </c>
      <c r="E103" s="166">
        <v>2000000</v>
      </c>
      <c r="F103" s="167">
        <v>1939.5219999999999</v>
      </c>
      <c r="G103" s="168">
        <v>5.7275499999999997E-3</v>
      </c>
      <c r="H103" s="167">
        <v>7.0256999999999996</v>
      </c>
      <c r="J103" s="75"/>
    </row>
    <row r="104" spans="1:10" ht="14.1" customHeight="1" x14ac:dyDescent="0.2">
      <c r="A104" s="162"/>
      <c r="B104" s="162"/>
      <c r="C104" s="163" t="s">
        <v>152</v>
      </c>
      <c r="D104" s="162"/>
      <c r="E104" s="162" t="s">
        <v>153</v>
      </c>
      <c r="F104" s="169">
        <v>1939.5219999999999</v>
      </c>
      <c r="G104" s="170">
        <v>5.7275499999999997E-3</v>
      </c>
      <c r="H104" s="167"/>
      <c r="J104" s="75"/>
    </row>
    <row r="105" spans="1:10" ht="14.1" customHeight="1" x14ac:dyDescent="0.2">
      <c r="A105" s="162"/>
      <c r="B105" s="162"/>
      <c r="C105" s="171"/>
      <c r="D105" s="162"/>
      <c r="E105" s="162"/>
      <c r="F105" s="172"/>
      <c r="G105" s="172"/>
      <c r="H105" s="167"/>
      <c r="J105" s="75"/>
    </row>
    <row r="106" spans="1:10" ht="14.1" customHeight="1" x14ac:dyDescent="0.2">
      <c r="A106" s="162"/>
      <c r="B106" s="162"/>
      <c r="C106" s="163" t="s">
        <v>170</v>
      </c>
      <c r="D106" s="162"/>
      <c r="E106" s="162"/>
      <c r="F106" s="172"/>
      <c r="G106" s="172"/>
      <c r="H106" s="167"/>
      <c r="J106" s="75"/>
    </row>
    <row r="107" spans="1:10" ht="17.100000000000001" customHeight="1" x14ac:dyDescent="0.2">
      <c r="A107" s="164">
        <v>1</v>
      </c>
      <c r="B107" s="165"/>
      <c r="C107" s="165" t="s">
        <v>171</v>
      </c>
      <c r="D107" s="165"/>
      <c r="E107" s="174"/>
      <c r="F107" s="167">
        <v>12227.559299744</v>
      </c>
      <c r="G107" s="168">
        <v>3.6108870000000001E-2</v>
      </c>
      <c r="H107" s="175">
        <v>6.66</v>
      </c>
      <c r="J107" s="75"/>
    </row>
    <row r="108" spans="1:10" ht="14.1" customHeight="1" x14ac:dyDescent="0.2">
      <c r="A108" s="162"/>
      <c r="B108" s="162"/>
      <c r="C108" s="163" t="s">
        <v>152</v>
      </c>
      <c r="D108" s="162"/>
      <c r="E108" s="162" t="s">
        <v>153</v>
      </c>
      <c r="F108" s="169">
        <v>12227.559299744</v>
      </c>
      <c r="G108" s="170">
        <v>3.6108870000000001E-2</v>
      </c>
      <c r="H108" s="167"/>
      <c r="J108" s="75"/>
    </row>
    <row r="109" spans="1:10" ht="14.1" customHeight="1" x14ac:dyDescent="0.2">
      <c r="A109" s="162"/>
      <c r="B109" s="162"/>
      <c r="C109" s="171"/>
      <c r="D109" s="162"/>
      <c r="E109" s="162"/>
      <c r="F109" s="172"/>
      <c r="G109" s="172"/>
      <c r="H109" s="167"/>
      <c r="J109" s="75"/>
    </row>
    <row r="110" spans="1:10" ht="14.1" customHeight="1" x14ac:dyDescent="0.2">
      <c r="A110" s="162"/>
      <c r="B110" s="162"/>
      <c r="C110" s="163" t="s">
        <v>172</v>
      </c>
      <c r="D110" s="162"/>
      <c r="E110" s="162"/>
      <c r="F110" s="169">
        <v>14167.081299744001</v>
      </c>
      <c r="G110" s="170">
        <v>4.1836419999999999E-2</v>
      </c>
      <c r="H110" s="167"/>
      <c r="J110" s="75"/>
    </row>
    <row r="111" spans="1:10" ht="14.1" customHeight="1" x14ac:dyDescent="0.2">
      <c r="A111" s="162"/>
      <c r="B111" s="162"/>
      <c r="C111" s="172"/>
      <c r="D111" s="162"/>
      <c r="E111" s="162"/>
      <c r="F111" s="162"/>
      <c r="G111" s="162"/>
      <c r="H111" s="167"/>
      <c r="J111" s="75"/>
    </row>
    <row r="112" spans="1:10" ht="14.1" customHeight="1" x14ac:dyDescent="0.2">
      <c r="A112" s="162"/>
      <c r="B112" s="162"/>
      <c r="C112" s="163" t="s">
        <v>173</v>
      </c>
      <c r="D112" s="162"/>
      <c r="E112" s="162"/>
      <c r="F112" s="162"/>
      <c r="G112" s="162"/>
      <c r="H112" s="167"/>
      <c r="J112" s="75"/>
    </row>
    <row r="113" spans="1:10" ht="14.1" customHeight="1" x14ac:dyDescent="0.2">
      <c r="A113" s="162"/>
      <c r="B113" s="162"/>
      <c r="C113" s="163" t="s">
        <v>174</v>
      </c>
      <c r="D113" s="162"/>
      <c r="E113" s="162"/>
      <c r="F113" s="162"/>
      <c r="G113" s="162"/>
      <c r="H113" s="167"/>
      <c r="J113" s="75"/>
    </row>
    <row r="114" spans="1:10" ht="17.100000000000001" customHeight="1" x14ac:dyDescent="0.2">
      <c r="A114" s="164">
        <v>1</v>
      </c>
      <c r="B114" s="165" t="s">
        <v>175</v>
      </c>
      <c r="C114" s="165" t="s">
        <v>176</v>
      </c>
      <c r="D114" s="165"/>
      <c r="E114" s="176">
        <v>349611.12900000002</v>
      </c>
      <c r="F114" s="167">
        <v>7502.0846125890002</v>
      </c>
      <c r="G114" s="168">
        <v>2.2154199999999999E-2</v>
      </c>
      <c r="H114" s="167"/>
      <c r="J114" s="75"/>
    </row>
    <row r="115" spans="1:10" ht="14.1" customHeight="1" x14ac:dyDescent="0.2">
      <c r="A115" s="162"/>
      <c r="B115" s="162"/>
      <c r="C115" s="163" t="s">
        <v>152</v>
      </c>
      <c r="D115" s="162"/>
      <c r="E115" s="162" t="s">
        <v>153</v>
      </c>
      <c r="F115" s="169">
        <v>7502.0846125890002</v>
      </c>
      <c r="G115" s="170">
        <v>2.2154199999999999E-2</v>
      </c>
      <c r="H115" s="167"/>
      <c r="J115" s="75"/>
    </row>
    <row r="116" spans="1:10" ht="14.1" customHeight="1" x14ac:dyDescent="0.2">
      <c r="A116" s="162"/>
      <c r="B116" s="162"/>
      <c r="C116" s="171"/>
      <c r="D116" s="162"/>
      <c r="E116" s="162"/>
      <c r="F116" s="172"/>
      <c r="G116" s="172"/>
      <c r="H116" s="167"/>
      <c r="J116" s="75"/>
    </row>
    <row r="117" spans="1:10" ht="14.1" customHeight="1" x14ac:dyDescent="0.2">
      <c r="A117" s="162"/>
      <c r="B117" s="162"/>
      <c r="C117" s="163" t="s">
        <v>177</v>
      </c>
      <c r="D117" s="162"/>
      <c r="E117" s="162"/>
      <c r="F117" s="162"/>
      <c r="G117" s="162"/>
      <c r="H117" s="167"/>
      <c r="J117" s="75"/>
    </row>
    <row r="118" spans="1:10" ht="14.1" customHeight="1" x14ac:dyDescent="0.2">
      <c r="A118" s="162"/>
      <c r="B118" s="162"/>
      <c r="C118" s="163" t="s">
        <v>178</v>
      </c>
      <c r="D118" s="162"/>
      <c r="E118" s="162"/>
      <c r="F118" s="162"/>
      <c r="G118" s="162"/>
      <c r="H118" s="167"/>
      <c r="J118" s="75"/>
    </row>
    <row r="119" spans="1:10" ht="14.1" customHeight="1" x14ac:dyDescent="0.2">
      <c r="A119" s="162"/>
      <c r="B119" s="162"/>
      <c r="C119" s="163" t="s">
        <v>152</v>
      </c>
      <c r="D119" s="162"/>
      <c r="E119" s="162" t="s">
        <v>153</v>
      </c>
      <c r="F119" s="173" t="s">
        <v>155</v>
      </c>
      <c r="G119" s="170">
        <v>0</v>
      </c>
      <c r="H119" s="167"/>
      <c r="J119" s="75"/>
    </row>
    <row r="120" spans="1:10" ht="14.1" customHeight="1" x14ac:dyDescent="0.2">
      <c r="A120" s="162"/>
      <c r="B120" s="162"/>
      <c r="C120" s="171"/>
      <c r="D120" s="162"/>
      <c r="E120" s="162"/>
      <c r="F120" s="172"/>
      <c r="G120" s="172"/>
      <c r="H120" s="167"/>
      <c r="J120" s="75"/>
    </row>
    <row r="121" spans="1:10" ht="24" customHeight="1" x14ac:dyDescent="0.2">
      <c r="A121" s="162"/>
      <c r="B121" s="162"/>
      <c r="C121" s="163" t="s">
        <v>179</v>
      </c>
      <c r="D121" s="162"/>
      <c r="E121" s="162"/>
      <c r="F121" s="172"/>
      <c r="G121" s="172"/>
      <c r="H121" s="167"/>
      <c r="J121" s="75"/>
    </row>
    <row r="122" spans="1:10" ht="14.1" customHeight="1" x14ac:dyDescent="0.2">
      <c r="A122" s="162"/>
      <c r="B122" s="162"/>
      <c r="C122" s="163" t="s">
        <v>152</v>
      </c>
      <c r="D122" s="162"/>
      <c r="E122" s="162" t="s">
        <v>153</v>
      </c>
      <c r="F122" s="173" t="s">
        <v>155</v>
      </c>
      <c r="G122" s="170">
        <v>0</v>
      </c>
      <c r="H122" s="167"/>
      <c r="J122" s="75"/>
    </row>
    <row r="123" spans="1:10" ht="14.1" customHeight="1" x14ac:dyDescent="0.2">
      <c r="A123" s="162"/>
      <c r="B123" s="162"/>
      <c r="C123" s="171"/>
      <c r="D123" s="162"/>
      <c r="E123" s="162"/>
      <c r="F123" s="172"/>
      <c r="G123" s="172"/>
      <c r="H123" s="167"/>
      <c r="J123" s="75"/>
    </row>
    <row r="124" spans="1:10" ht="18" customHeight="1" x14ac:dyDescent="0.2">
      <c r="A124" s="174"/>
      <c r="B124" s="165"/>
      <c r="C124" s="165" t="s">
        <v>698</v>
      </c>
      <c r="D124" s="165"/>
      <c r="E124" s="174"/>
      <c r="F124" s="167">
        <v>1064.9492296999999</v>
      </c>
      <c r="G124" s="168">
        <v>3.1448700000000001E-3</v>
      </c>
      <c r="H124" s="167"/>
      <c r="J124" s="75"/>
    </row>
    <row r="125" spans="1:10" ht="18" customHeight="1" x14ac:dyDescent="0.2">
      <c r="A125" s="174"/>
      <c r="B125" s="165"/>
      <c r="C125" s="232" t="s">
        <v>1092</v>
      </c>
      <c r="D125" s="165"/>
      <c r="E125" s="174"/>
      <c r="F125" s="167">
        <v>-6221.7469345899999</v>
      </c>
      <c r="G125" s="168">
        <v>-1.8373270000000001E-2</v>
      </c>
      <c r="H125" s="167"/>
      <c r="J125" s="75"/>
    </row>
    <row r="126" spans="1:10" ht="14.1" customHeight="1" x14ac:dyDescent="0.2">
      <c r="A126" s="171"/>
      <c r="B126" s="171"/>
      <c r="C126" s="163" t="s">
        <v>181</v>
      </c>
      <c r="D126" s="172"/>
      <c r="E126" s="172"/>
      <c r="F126" s="169">
        <v>338630.39663765603</v>
      </c>
      <c r="G126" s="177">
        <v>1.0000000099999999</v>
      </c>
      <c r="H126" s="177"/>
      <c r="J126" s="75"/>
    </row>
    <row r="127" spans="1:10" ht="14.1" customHeight="1" x14ac:dyDescent="0.2">
      <c r="A127" s="178"/>
      <c r="B127" s="178"/>
      <c r="C127" s="178"/>
      <c r="D127" s="179"/>
      <c r="E127" s="179"/>
      <c r="F127" s="179"/>
      <c r="G127" s="179"/>
      <c r="H127" s="179"/>
      <c r="J127" s="75"/>
    </row>
    <row r="128" spans="1:10" ht="12.75" customHeight="1" x14ac:dyDescent="0.2">
      <c r="A128" s="180"/>
      <c r="B128" s="258" t="s">
        <v>882</v>
      </c>
      <c r="C128" s="258"/>
      <c r="D128" s="258"/>
      <c r="E128" s="258"/>
      <c r="F128" s="258"/>
      <c r="G128" s="258"/>
      <c r="H128" s="258"/>
      <c r="J128" s="75"/>
    </row>
    <row r="129" spans="1:19" ht="14.1" customHeight="1" x14ac:dyDescent="0.2">
      <c r="A129" s="180"/>
      <c r="B129" s="258" t="s">
        <v>883</v>
      </c>
      <c r="C129" s="258"/>
      <c r="D129" s="258"/>
      <c r="E129" s="258"/>
      <c r="F129" s="258"/>
      <c r="G129" s="258"/>
      <c r="H129" s="258"/>
      <c r="J129" s="75"/>
    </row>
    <row r="130" spans="1:19" ht="17.100000000000001" customHeight="1" x14ac:dyDescent="0.2">
      <c r="A130" s="180"/>
      <c r="B130" s="258" t="s">
        <v>884</v>
      </c>
      <c r="C130" s="258"/>
      <c r="D130" s="258"/>
      <c r="E130" s="258"/>
      <c r="F130" s="258"/>
      <c r="G130" s="258"/>
      <c r="H130" s="258"/>
      <c r="J130" s="75"/>
    </row>
    <row r="131" spans="1:19" s="34" customFormat="1" ht="62.25" customHeight="1" x14ac:dyDescent="0.25">
      <c r="A131" s="33"/>
      <c r="B131" s="259" t="s">
        <v>885</v>
      </c>
      <c r="C131" s="259"/>
      <c r="D131" s="259"/>
      <c r="E131" s="259"/>
      <c r="F131" s="259"/>
      <c r="G131" s="259"/>
      <c r="H131" s="259"/>
      <c r="I131"/>
      <c r="J131" s="75"/>
      <c r="K131"/>
      <c r="L131"/>
      <c r="M131"/>
      <c r="N131"/>
      <c r="O131"/>
      <c r="P131"/>
      <c r="Q131"/>
    </row>
    <row r="132" spans="1:19" ht="12.75" customHeight="1" x14ac:dyDescent="0.2">
      <c r="A132" s="180"/>
      <c r="B132" s="258" t="s">
        <v>886</v>
      </c>
      <c r="C132" s="258"/>
      <c r="D132" s="258"/>
      <c r="E132" s="258"/>
      <c r="F132" s="258"/>
      <c r="G132" s="258"/>
      <c r="H132" s="258"/>
      <c r="J132" s="75"/>
    </row>
    <row r="133" spans="1:19" ht="14.1" customHeight="1" x14ac:dyDescent="0.2">
      <c r="A133" s="181"/>
      <c r="B133" s="181"/>
      <c r="C133" s="181"/>
      <c r="D133" s="182"/>
      <c r="E133" s="182"/>
      <c r="F133" s="182"/>
      <c r="G133" s="182"/>
      <c r="H133" s="182"/>
      <c r="J133" s="75"/>
    </row>
    <row r="134" spans="1:19" ht="14.1" customHeight="1" x14ac:dyDescent="0.25">
      <c r="A134" s="181"/>
      <c r="B134" s="255" t="s">
        <v>183</v>
      </c>
      <c r="C134" s="256"/>
      <c r="D134" s="257"/>
      <c r="E134" s="183"/>
      <c r="F134" s="182"/>
      <c r="G134" s="182"/>
      <c r="H134" s="182"/>
      <c r="J134" s="75"/>
      <c r="R134" s="34"/>
      <c r="S134" s="34"/>
    </row>
    <row r="135" spans="1:19" ht="29.1" customHeight="1" x14ac:dyDescent="0.2">
      <c r="A135" s="181"/>
      <c r="B135" s="253" t="s">
        <v>184</v>
      </c>
      <c r="C135" s="254"/>
      <c r="D135" s="163" t="s">
        <v>185</v>
      </c>
      <c r="E135" s="183"/>
      <c r="F135" s="182"/>
      <c r="G135" s="182"/>
      <c r="H135" s="182"/>
      <c r="J135" s="75"/>
    </row>
    <row r="136" spans="1:19" ht="17.100000000000001" customHeight="1" x14ac:dyDescent="0.2">
      <c r="A136" s="181"/>
      <c r="B136" s="253" t="s">
        <v>186</v>
      </c>
      <c r="C136" s="254"/>
      <c r="D136" s="163" t="s">
        <v>185</v>
      </c>
      <c r="E136" s="183"/>
      <c r="F136" s="182"/>
      <c r="G136" s="182"/>
      <c r="H136" s="182"/>
      <c r="J136" s="75"/>
    </row>
    <row r="137" spans="1:19" ht="17.100000000000001" customHeight="1" x14ac:dyDescent="0.2">
      <c r="A137" s="181"/>
      <c r="B137" s="253" t="s">
        <v>187</v>
      </c>
      <c r="C137" s="254"/>
      <c r="D137" s="172" t="s">
        <v>153</v>
      </c>
      <c r="E137" s="183"/>
      <c r="F137" s="182"/>
      <c r="G137" s="182"/>
      <c r="H137" s="182"/>
      <c r="J137" s="75"/>
    </row>
    <row r="138" spans="1:19" x14ac:dyDescent="0.2">
      <c r="A138" s="185"/>
      <c r="B138" s="186" t="s">
        <v>153</v>
      </c>
      <c r="C138" s="186" t="s">
        <v>1088</v>
      </c>
      <c r="D138" s="186" t="s">
        <v>188</v>
      </c>
      <c r="E138" s="185"/>
      <c r="F138" s="185"/>
      <c r="G138" s="185"/>
      <c r="H138" s="185"/>
      <c r="J138" s="75"/>
    </row>
    <row r="139" spans="1:19" x14ac:dyDescent="0.2">
      <c r="A139" s="185"/>
      <c r="B139" s="187" t="s">
        <v>189</v>
      </c>
      <c r="C139" s="186" t="s">
        <v>190</v>
      </c>
      <c r="D139" s="186" t="s">
        <v>191</v>
      </c>
      <c r="E139" s="185"/>
      <c r="F139" s="185"/>
      <c r="G139" s="185"/>
      <c r="H139" s="185"/>
      <c r="J139" s="75"/>
    </row>
    <row r="140" spans="1:19" ht="17.100000000000001" customHeight="1" x14ac:dyDescent="0.2">
      <c r="A140" s="185"/>
      <c r="B140" s="165" t="s">
        <v>192</v>
      </c>
      <c r="C140" s="188">
        <v>29.8536</v>
      </c>
      <c r="D140" s="188">
        <v>30.747900000000001</v>
      </c>
      <c r="E140" s="185"/>
      <c r="F140" s="189"/>
      <c r="G140" s="190"/>
      <c r="H140" s="190"/>
      <c r="J140" s="75"/>
    </row>
    <row r="141" spans="1:19" ht="17.100000000000001" customHeight="1" x14ac:dyDescent="0.2">
      <c r="A141" s="185"/>
      <c r="B141" s="165" t="s">
        <v>1054</v>
      </c>
      <c r="C141" s="188">
        <v>22.085100000000001</v>
      </c>
      <c r="D141" s="188">
        <v>22.746600000000001</v>
      </c>
      <c r="E141" s="185"/>
      <c r="F141" s="189"/>
      <c r="G141" s="190"/>
      <c r="H141" s="190"/>
      <c r="J141" s="75"/>
    </row>
    <row r="142" spans="1:19" ht="17.100000000000001" customHeight="1" x14ac:dyDescent="0.2">
      <c r="A142" s="185"/>
      <c r="B142" s="165" t="s">
        <v>193</v>
      </c>
      <c r="C142" s="188">
        <v>27.997699999999998</v>
      </c>
      <c r="D142" s="188">
        <v>28.804300000000001</v>
      </c>
      <c r="E142" s="185"/>
      <c r="F142" s="189"/>
      <c r="G142" s="190"/>
      <c r="H142" s="190"/>
      <c r="J142" s="75"/>
    </row>
    <row r="143" spans="1:19" ht="17.100000000000001" customHeight="1" x14ac:dyDescent="0.2">
      <c r="A143" s="185"/>
      <c r="B143" s="165" t="s">
        <v>1055</v>
      </c>
      <c r="C143" s="188">
        <v>20.690200000000001</v>
      </c>
      <c r="D143" s="188">
        <v>21.286300000000001</v>
      </c>
      <c r="E143" s="185"/>
      <c r="F143" s="189"/>
      <c r="G143" s="190"/>
      <c r="H143" s="190"/>
      <c r="J143" s="75"/>
    </row>
    <row r="144" spans="1:19" ht="14.1" customHeight="1" x14ac:dyDescent="0.2">
      <c r="A144" s="185"/>
      <c r="B144" s="185"/>
      <c r="C144" s="185"/>
      <c r="D144" s="185"/>
      <c r="E144" s="185"/>
      <c r="F144" s="185"/>
      <c r="G144" s="185"/>
      <c r="H144" s="185"/>
      <c r="J144" s="75"/>
    </row>
    <row r="145" spans="1:10" ht="17.100000000000001" customHeight="1" x14ac:dyDescent="0.2">
      <c r="A145" s="185"/>
      <c r="B145" s="253" t="s">
        <v>1056</v>
      </c>
      <c r="C145" s="254"/>
      <c r="D145" s="163" t="s">
        <v>185</v>
      </c>
      <c r="E145" s="185"/>
      <c r="F145" s="185"/>
      <c r="G145" s="185"/>
      <c r="H145" s="185"/>
      <c r="J145" s="75"/>
    </row>
    <row r="146" spans="1:10" ht="14.1" customHeight="1" x14ac:dyDescent="0.2">
      <c r="A146" s="185"/>
      <c r="B146" s="189"/>
      <c r="C146" s="189"/>
      <c r="D146" s="185"/>
      <c r="E146" s="185"/>
      <c r="F146" s="185"/>
      <c r="G146" s="185"/>
      <c r="H146" s="185"/>
      <c r="J146" s="75"/>
    </row>
    <row r="147" spans="1:10" ht="29.1" customHeight="1" x14ac:dyDescent="0.2">
      <c r="A147" s="185"/>
      <c r="B147" s="253" t="s">
        <v>194</v>
      </c>
      <c r="C147" s="254"/>
      <c r="D147" s="184" t="s">
        <v>934</v>
      </c>
      <c r="E147" s="191"/>
      <c r="F147" s="185"/>
      <c r="G147" s="185"/>
      <c r="H147" s="185"/>
      <c r="J147" s="75"/>
    </row>
    <row r="148" spans="1:10" ht="29.1" customHeight="1" x14ac:dyDescent="0.2">
      <c r="A148" s="185"/>
      <c r="B148" s="253" t="s">
        <v>195</v>
      </c>
      <c r="C148" s="254"/>
      <c r="D148" s="249" t="s">
        <v>954</v>
      </c>
      <c r="E148" s="191"/>
      <c r="F148" s="185"/>
      <c r="G148" s="185"/>
      <c r="H148" s="185"/>
      <c r="J148" s="75"/>
    </row>
    <row r="149" spans="1:10" ht="17.100000000000001" customHeight="1" x14ac:dyDescent="0.2">
      <c r="A149" s="185"/>
      <c r="B149" s="253" t="s">
        <v>196</v>
      </c>
      <c r="C149" s="254"/>
      <c r="D149" s="163" t="s">
        <v>185</v>
      </c>
      <c r="E149" s="191"/>
      <c r="F149" s="185"/>
      <c r="G149" s="185"/>
      <c r="H149" s="185"/>
      <c r="J149" s="75"/>
    </row>
    <row r="150" spans="1:10" ht="17.100000000000001" customHeight="1" x14ac:dyDescent="0.2">
      <c r="A150" s="185"/>
      <c r="B150" s="253" t="s">
        <v>197</v>
      </c>
      <c r="C150" s="254"/>
      <c r="D150" s="192">
        <v>0.56485533134091581</v>
      </c>
      <c r="E150" s="185"/>
      <c r="F150" s="189"/>
      <c r="G150" s="190"/>
      <c r="H150" s="190"/>
      <c r="J150" s="75"/>
    </row>
  </sheetData>
  <mergeCells count="17">
    <mergeCell ref="B150:C150"/>
    <mergeCell ref="B145:C145"/>
    <mergeCell ref="B147:C147"/>
    <mergeCell ref="B148:C148"/>
    <mergeCell ref="B149:C149"/>
    <mergeCell ref="A1:H1"/>
    <mergeCell ref="A2:H2"/>
    <mergeCell ref="A3:H3"/>
    <mergeCell ref="B136:C136"/>
    <mergeCell ref="B137:C137"/>
    <mergeCell ref="B134:D134"/>
    <mergeCell ref="B135:C135"/>
    <mergeCell ref="B132:H132"/>
    <mergeCell ref="B128:H128"/>
    <mergeCell ref="B129:H129"/>
    <mergeCell ref="B130:H130"/>
    <mergeCell ref="B131:H131"/>
  </mergeCells>
  <hyperlinks>
    <hyperlink ref="I1" location="Index!B25" display="Index" xr:uid="{50AEC6D5-3B02-40D2-AA76-94E2ECDA426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R157"/>
  <sheetViews>
    <sheetView showGridLines="0" workbookViewId="0">
      <selection activeCell="C94" sqref="C9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6" ht="15" x14ac:dyDescent="0.2">
      <c r="A1" s="250" t="s">
        <v>0</v>
      </c>
      <c r="B1" s="250"/>
      <c r="C1" s="250"/>
      <c r="D1" s="250"/>
      <c r="E1" s="250"/>
      <c r="F1" s="250"/>
      <c r="G1" s="250"/>
      <c r="H1" s="250"/>
      <c r="I1" s="35" t="s">
        <v>888</v>
      </c>
      <c r="J1" s="75"/>
    </row>
    <row r="2" spans="1:16" ht="15" customHeight="1" x14ac:dyDescent="0.2">
      <c r="A2" s="250" t="s">
        <v>856</v>
      </c>
      <c r="B2" s="250"/>
      <c r="C2" s="250"/>
      <c r="D2" s="250"/>
      <c r="E2" s="250"/>
      <c r="F2" s="250"/>
      <c r="G2" s="250"/>
      <c r="H2" s="250"/>
      <c r="J2" s="70" t="s">
        <v>889</v>
      </c>
      <c r="K2" s="66"/>
      <c r="L2" s="66"/>
      <c r="M2" s="66"/>
      <c r="N2" s="66"/>
    </row>
    <row r="3" spans="1:16" ht="15" x14ac:dyDescent="0.2">
      <c r="A3" s="250" t="s">
        <v>873</v>
      </c>
      <c r="B3" s="250"/>
      <c r="C3" s="250"/>
      <c r="D3" s="250"/>
      <c r="E3" s="250"/>
      <c r="F3" s="250"/>
      <c r="G3" s="250"/>
      <c r="H3" s="250"/>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331</v>
      </c>
      <c r="C7" s="165" t="s">
        <v>332</v>
      </c>
      <c r="D7" s="165" t="s">
        <v>39</v>
      </c>
      <c r="E7" s="166">
        <v>929000</v>
      </c>
      <c r="F7" s="167">
        <v>14121.728999999999</v>
      </c>
      <c r="G7" s="168">
        <v>8.8109060000000003E-2</v>
      </c>
      <c r="H7" s="168"/>
      <c r="J7" s="75"/>
    </row>
    <row r="8" spans="1:16" ht="17.100000000000001" customHeight="1" x14ac:dyDescent="0.2">
      <c r="A8" s="164">
        <v>2</v>
      </c>
      <c r="B8" s="165" t="s">
        <v>14</v>
      </c>
      <c r="C8" s="165" t="s">
        <v>15</v>
      </c>
      <c r="D8" s="165" t="s">
        <v>16</v>
      </c>
      <c r="E8" s="166">
        <v>460000</v>
      </c>
      <c r="F8" s="167">
        <v>13496.4</v>
      </c>
      <c r="G8" s="168">
        <v>8.4207470000000006E-2</v>
      </c>
      <c r="H8" s="168"/>
      <c r="J8" s="75"/>
    </row>
    <row r="9" spans="1:16" ht="17.100000000000001" customHeight="1" x14ac:dyDescent="0.2">
      <c r="A9" s="164">
        <v>3</v>
      </c>
      <c r="B9" s="165" t="s">
        <v>37</v>
      </c>
      <c r="C9" s="165" t="s">
        <v>38</v>
      </c>
      <c r="D9" s="165" t="s">
        <v>39</v>
      </c>
      <c r="E9" s="166">
        <v>986000</v>
      </c>
      <c r="F9" s="167">
        <v>11342.944</v>
      </c>
      <c r="G9" s="168">
        <v>7.0771509999999996E-2</v>
      </c>
      <c r="H9" s="168"/>
      <c r="J9" s="75"/>
    </row>
    <row r="10" spans="1:16" ht="17.100000000000001" customHeight="1" x14ac:dyDescent="0.2">
      <c r="A10" s="164">
        <v>4</v>
      </c>
      <c r="B10" s="165" t="s">
        <v>337</v>
      </c>
      <c r="C10" s="165" t="s">
        <v>338</v>
      </c>
      <c r="D10" s="165" t="s">
        <v>232</v>
      </c>
      <c r="E10" s="166">
        <v>436000</v>
      </c>
      <c r="F10" s="167">
        <v>6193.598</v>
      </c>
      <c r="G10" s="168">
        <v>3.8643429999999999E-2</v>
      </c>
      <c r="H10" s="168"/>
      <c r="J10" s="75"/>
    </row>
    <row r="11" spans="1:16" ht="17.100000000000001" customHeight="1" x14ac:dyDescent="0.2">
      <c r="A11" s="164">
        <v>5</v>
      </c>
      <c r="B11" s="165" t="s">
        <v>11</v>
      </c>
      <c r="C11" s="165" t="s">
        <v>12</v>
      </c>
      <c r="D11" s="165" t="s">
        <v>13</v>
      </c>
      <c r="E11" s="166">
        <v>156446</v>
      </c>
      <c r="F11" s="167">
        <v>5623.1385780000001</v>
      </c>
      <c r="G11" s="168">
        <v>3.5084190000000001E-2</v>
      </c>
      <c r="H11" s="168"/>
      <c r="J11" s="75"/>
    </row>
    <row r="12" spans="1:16" ht="29.1" customHeight="1" x14ac:dyDescent="0.2">
      <c r="A12" s="164">
        <v>6</v>
      </c>
      <c r="B12" s="165" t="s">
        <v>346</v>
      </c>
      <c r="C12" s="165" t="s">
        <v>347</v>
      </c>
      <c r="D12" s="165" t="s">
        <v>216</v>
      </c>
      <c r="E12" s="166">
        <v>358000</v>
      </c>
      <c r="F12" s="167">
        <v>5377.518</v>
      </c>
      <c r="G12" s="168">
        <v>3.3551699999999997E-2</v>
      </c>
      <c r="H12" s="168"/>
      <c r="J12" s="71"/>
    </row>
    <row r="13" spans="1:16" ht="17.100000000000001" customHeight="1" x14ac:dyDescent="0.2">
      <c r="A13" s="164">
        <v>7</v>
      </c>
      <c r="B13" s="165" t="s">
        <v>335</v>
      </c>
      <c r="C13" s="165" t="s">
        <v>336</v>
      </c>
      <c r="D13" s="165" t="s">
        <v>39</v>
      </c>
      <c r="E13" s="166">
        <v>446000</v>
      </c>
      <c r="F13" s="167">
        <v>5199.9139999999998</v>
      </c>
      <c r="G13" s="168">
        <v>3.2443590000000001E-2</v>
      </c>
      <c r="H13" s="168"/>
      <c r="J13" s="75" t="s">
        <v>947</v>
      </c>
    </row>
    <row r="14" spans="1:16" ht="17.100000000000001" customHeight="1" x14ac:dyDescent="0.2">
      <c r="A14" s="164">
        <v>8</v>
      </c>
      <c r="B14" s="165" t="s">
        <v>54</v>
      </c>
      <c r="C14" s="165" t="s">
        <v>55</v>
      </c>
      <c r="D14" s="165" t="s">
        <v>39</v>
      </c>
      <c r="E14" s="166">
        <v>584000</v>
      </c>
      <c r="F14" s="167">
        <v>4825.3</v>
      </c>
      <c r="G14" s="168">
        <v>3.0106270000000001E-2</v>
      </c>
      <c r="H14" s="168"/>
      <c r="J14" s="75"/>
    </row>
    <row r="15" spans="1:16" ht="17.100000000000001" customHeight="1" x14ac:dyDescent="0.2">
      <c r="A15" s="164">
        <v>9</v>
      </c>
      <c r="B15" s="165" t="s">
        <v>348</v>
      </c>
      <c r="C15" s="165" t="s">
        <v>349</v>
      </c>
      <c r="D15" s="165" t="s">
        <v>285</v>
      </c>
      <c r="E15" s="166">
        <v>457000</v>
      </c>
      <c r="F15" s="167">
        <v>4606.1030000000001</v>
      </c>
      <c r="G15" s="168">
        <v>2.8738650000000001E-2</v>
      </c>
      <c r="H15" s="168"/>
      <c r="J15" s="75"/>
    </row>
    <row r="16" spans="1:16" ht="17.100000000000001" customHeight="1" x14ac:dyDescent="0.2">
      <c r="A16" s="164">
        <v>10</v>
      </c>
      <c r="B16" s="165" t="s">
        <v>339</v>
      </c>
      <c r="C16" s="165" t="s">
        <v>340</v>
      </c>
      <c r="D16" s="165" t="s">
        <v>232</v>
      </c>
      <c r="E16" s="166">
        <v>114734</v>
      </c>
      <c r="F16" s="167">
        <v>4383.5845710000003</v>
      </c>
      <c r="G16" s="168">
        <v>2.7350300000000001E-2</v>
      </c>
      <c r="H16" s="168"/>
      <c r="J16" s="75"/>
    </row>
    <row r="17" spans="1:10" ht="17.100000000000001" customHeight="1" x14ac:dyDescent="0.2">
      <c r="A17" s="164">
        <v>11</v>
      </c>
      <c r="B17" s="165" t="s">
        <v>89</v>
      </c>
      <c r="C17" s="165" t="s">
        <v>90</v>
      </c>
      <c r="D17" s="165" t="s">
        <v>62</v>
      </c>
      <c r="E17" s="166">
        <v>104000</v>
      </c>
      <c r="F17" s="167">
        <v>4141.5919999999996</v>
      </c>
      <c r="G17" s="168">
        <v>2.5840450000000001E-2</v>
      </c>
      <c r="H17" s="168"/>
      <c r="J17" s="75"/>
    </row>
    <row r="18" spans="1:10" ht="17.100000000000001" customHeight="1" x14ac:dyDescent="0.2">
      <c r="A18" s="164">
        <v>12</v>
      </c>
      <c r="B18" s="165" t="s">
        <v>17</v>
      </c>
      <c r="C18" s="165" t="s">
        <v>18</v>
      </c>
      <c r="D18" s="165" t="s">
        <v>19</v>
      </c>
      <c r="E18" s="166">
        <v>304000</v>
      </c>
      <c r="F18" s="167">
        <v>4019.7919999999999</v>
      </c>
      <c r="G18" s="168">
        <v>2.508051E-2</v>
      </c>
      <c r="H18" s="168"/>
      <c r="J18" s="75"/>
    </row>
    <row r="19" spans="1:10" ht="17.100000000000001" customHeight="1" x14ac:dyDescent="0.2">
      <c r="A19" s="164">
        <v>13</v>
      </c>
      <c r="B19" s="165" t="s">
        <v>374</v>
      </c>
      <c r="C19" s="165" t="s">
        <v>375</v>
      </c>
      <c r="D19" s="165" t="s">
        <v>210</v>
      </c>
      <c r="E19" s="166">
        <v>73000</v>
      </c>
      <c r="F19" s="167">
        <v>3360.7739999999999</v>
      </c>
      <c r="G19" s="168">
        <v>2.096872E-2</v>
      </c>
      <c r="H19" s="168"/>
      <c r="J19" s="75"/>
    </row>
    <row r="20" spans="1:10" ht="17.100000000000001" customHeight="1" x14ac:dyDescent="0.2">
      <c r="A20" s="164">
        <v>14</v>
      </c>
      <c r="B20" s="165" t="s">
        <v>573</v>
      </c>
      <c r="C20" s="165" t="s">
        <v>574</v>
      </c>
      <c r="D20" s="165" t="s">
        <v>262</v>
      </c>
      <c r="E20" s="166">
        <v>57744</v>
      </c>
      <c r="F20" s="167">
        <v>3055.9857120000001</v>
      </c>
      <c r="G20" s="168">
        <v>1.9067069999999998E-2</v>
      </c>
      <c r="H20" s="168"/>
      <c r="J20" s="75"/>
    </row>
    <row r="21" spans="1:10" ht="17.100000000000001" customHeight="1" x14ac:dyDescent="0.2">
      <c r="A21" s="164">
        <v>15</v>
      </c>
      <c r="B21" s="165" t="s">
        <v>396</v>
      </c>
      <c r="C21" s="165" t="s">
        <v>397</v>
      </c>
      <c r="D21" s="165" t="s">
        <v>53</v>
      </c>
      <c r="E21" s="166">
        <v>176000</v>
      </c>
      <c r="F21" s="167">
        <v>2842.4</v>
      </c>
      <c r="G21" s="168">
        <v>1.7734460000000001E-2</v>
      </c>
      <c r="H21" s="168"/>
      <c r="J21" s="75"/>
    </row>
    <row r="22" spans="1:10" ht="17.100000000000001" customHeight="1" x14ac:dyDescent="0.2">
      <c r="A22" s="164">
        <v>16</v>
      </c>
      <c r="B22" s="165" t="s">
        <v>621</v>
      </c>
      <c r="C22" s="165" t="s">
        <v>622</v>
      </c>
      <c r="D22" s="165" t="s">
        <v>285</v>
      </c>
      <c r="E22" s="166">
        <v>21000</v>
      </c>
      <c r="F22" s="167">
        <v>2691.6750000000002</v>
      </c>
      <c r="G22" s="168">
        <v>1.6794050000000001E-2</v>
      </c>
      <c r="H22" s="168"/>
      <c r="J22" s="71"/>
    </row>
    <row r="23" spans="1:10" ht="29.1" customHeight="1" x14ac:dyDescent="0.2">
      <c r="A23" s="164">
        <v>17</v>
      </c>
      <c r="B23" s="165" t="s">
        <v>279</v>
      </c>
      <c r="C23" s="165" t="s">
        <v>280</v>
      </c>
      <c r="D23" s="165" t="s">
        <v>53</v>
      </c>
      <c r="E23" s="166">
        <v>211078</v>
      </c>
      <c r="F23" s="167">
        <v>2518.7937740000002</v>
      </c>
      <c r="G23" s="168">
        <v>1.5715400000000001E-2</v>
      </c>
      <c r="H23" s="168"/>
      <c r="J23" s="75" t="s">
        <v>948</v>
      </c>
    </row>
    <row r="24" spans="1:10" ht="29.1" customHeight="1" x14ac:dyDescent="0.2">
      <c r="A24" s="164">
        <v>18</v>
      </c>
      <c r="B24" s="165" t="s">
        <v>23</v>
      </c>
      <c r="C24" s="165" t="s">
        <v>24</v>
      </c>
      <c r="D24" s="165" t="s">
        <v>25</v>
      </c>
      <c r="E24" s="166">
        <v>25000</v>
      </c>
      <c r="F24" s="167">
        <v>2492.9625000000001</v>
      </c>
      <c r="G24" s="168">
        <v>1.555423E-2</v>
      </c>
      <c r="H24" s="168"/>
      <c r="J24" s="75"/>
    </row>
    <row r="25" spans="1:10" ht="17.100000000000001" customHeight="1" x14ac:dyDescent="0.2">
      <c r="A25" s="164">
        <v>19</v>
      </c>
      <c r="B25" s="165" t="s">
        <v>533</v>
      </c>
      <c r="C25" s="165" t="s">
        <v>534</v>
      </c>
      <c r="D25" s="165" t="s">
        <v>39</v>
      </c>
      <c r="E25" s="166">
        <v>885000</v>
      </c>
      <c r="F25" s="167">
        <v>2491.2750000000001</v>
      </c>
      <c r="G25" s="168">
        <v>1.5543700000000001E-2</v>
      </c>
      <c r="H25" s="168"/>
      <c r="J25" s="75"/>
    </row>
    <row r="26" spans="1:10" ht="17.100000000000001" customHeight="1" x14ac:dyDescent="0.2">
      <c r="A26" s="164">
        <v>20</v>
      </c>
      <c r="B26" s="165" t="s">
        <v>341</v>
      </c>
      <c r="C26" s="165" t="s">
        <v>342</v>
      </c>
      <c r="D26" s="165" t="s">
        <v>273</v>
      </c>
      <c r="E26" s="166">
        <v>161000</v>
      </c>
      <c r="F26" s="167">
        <v>2381.9144999999999</v>
      </c>
      <c r="G26" s="168">
        <v>1.486137E-2</v>
      </c>
      <c r="H26" s="168"/>
      <c r="J26" s="75"/>
    </row>
    <row r="27" spans="1:10" ht="17.100000000000001" customHeight="1" x14ac:dyDescent="0.2">
      <c r="A27" s="164">
        <v>21</v>
      </c>
      <c r="B27" s="165" t="s">
        <v>376</v>
      </c>
      <c r="C27" s="165" t="s">
        <v>377</v>
      </c>
      <c r="D27" s="165" t="s">
        <v>364</v>
      </c>
      <c r="E27" s="166">
        <v>103000</v>
      </c>
      <c r="F27" s="167">
        <v>2297.3634999999999</v>
      </c>
      <c r="G27" s="168">
        <v>1.433384E-2</v>
      </c>
      <c r="H27" s="168"/>
      <c r="J27" s="75"/>
    </row>
    <row r="28" spans="1:10" ht="29.1" customHeight="1" x14ac:dyDescent="0.2">
      <c r="A28" s="164">
        <v>22</v>
      </c>
      <c r="B28" s="165" t="s">
        <v>539</v>
      </c>
      <c r="C28" s="165" t="s">
        <v>540</v>
      </c>
      <c r="D28" s="165" t="s">
        <v>216</v>
      </c>
      <c r="E28" s="166">
        <v>160020</v>
      </c>
      <c r="F28" s="167">
        <v>2240.2800000000002</v>
      </c>
      <c r="G28" s="168">
        <v>1.3977679999999999E-2</v>
      </c>
      <c r="H28" s="168"/>
      <c r="J28" s="75"/>
    </row>
    <row r="29" spans="1:10" ht="17.100000000000001" customHeight="1" x14ac:dyDescent="0.2">
      <c r="A29" s="164">
        <v>23</v>
      </c>
      <c r="B29" s="165" t="s">
        <v>382</v>
      </c>
      <c r="C29" s="165" t="s">
        <v>383</v>
      </c>
      <c r="D29" s="165" t="s">
        <v>75</v>
      </c>
      <c r="E29" s="166">
        <v>59713</v>
      </c>
      <c r="F29" s="167">
        <v>2143.2488524999999</v>
      </c>
      <c r="G29" s="168">
        <v>1.337228E-2</v>
      </c>
      <c r="H29" s="168"/>
      <c r="J29" s="75"/>
    </row>
    <row r="30" spans="1:10" ht="17.100000000000001" customHeight="1" x14ac:dyDescent="0.2">
      <c r="A30" s="164">
        <v>24</v>
      </c>
      <c r="B30" s="165" t="s">
        <v>71</v>
      </c>
      <c r="C30" s="165" t="s">
        <v>72</v>
      </c>
      <c r="D30" s="165" t="s">
        <v>36</v>
      </c>
      <c r="E30" s="166">
        <v>98000</v>
      </c>
      <c r="F30" s="167">
        <v>2084.1170000000002</v>
      </c>
      <c r="G30" s="168">
        <v>1.300334E-2</v>
      </c>
      <c r="H30" s="168"/>
      <c r="J30" s="75"/>
    </row>
    <row r="31" spans="1:10" ht="17.100000000000001" customHeight="1" x14ac:dyDescent="0.2">
      <c r="A31" s="164">
        <v>25</v>
      </c>
      <c r="B31" s="165" t="s">
        <v>726</v>
      </c>
      <c r="C31" s="165" t="s">
        <v>727</v>
      </c>
      <c r="D31" s="165" t="s">
        <v>75</v>
      </c>
      <c r="E31" s="166">
        <v>138229</v>
      </c>
      <c r="F31" s="167">
        <v>2068.1131835000001</v>
      </c>
      <c r="G31" s="168">
        <v>1.290348E-2</v>
      </c>
      <c r="H31" s="168"/>
      <c r="J31" s="75"/>
    </row>
    <row r="32" spans="1:10" ht="17.100000000000001" customHeight="1" x14ac:dyDescent="0.2">
      <c r="A32" s="164">
        <v>26</v>
      </c>
      <c r="B32" s="165" t="s">
        <v>254</v>
      </c>
      <c r="C32" s="165" t="s">
        <v>255</v>
      </c>
      <c r="D32" s="165" t="s">
        <v>242</v>
      </c>
      <c r="E32" s="166">
        <v>439000</v>
      </c>
      <c r="F32" s="167">
        <v>2033.4480000000001</v>
      </c>
      <c r="G32" s="168">
        <v>1.2687199999999999E-2</v>
      </c>
      <c r="H32" s="168"/>
      <c r="J32" s="75"/>
    </row>
    <row r="33" spans="1:10" ht="17.100000000000001" customHeight="1" x14ac:dyDescent="0.2">
      <c r="A33" s="164">
        <v>27</v>
      </c>
      <c r="B33" s="165" t="s">
        <v>31</v>
      </c>
      <c r="C33" s="165" t="s">
        <v>32</v>
      </c>
      <c r="D33" s="165" t="s">
        <v>33</v>
      </c>
      <c r="E33" s="166">
        <v>31000</v>
      </c>
      <c r="F33" s="167">
        <v>2027.6324999999999</v>
      </c>
      <c r="G33" s="168">
        <v>1.265092E-2</v>
      </c>
      <c r="H33" s="168"/>
      <c r="J33" s="75"/>
    </row>
    <row r="34" spans="1:10" ht="17.100000000000001" customHeight="1" x14ac:dyDescent="0.2">
      <c r="A34" s="164">
        <v>28</v>
      </c>
      <c r="B34" s="165" t="s">
        <v>263</v>
      </c>
      <c r="C34" s="165" t="s">
        <v>264</v>
      </c>
      <c r="D34" s="165" t="s">
        <v>210</v>
      </c>
      <c r="E34" s="166">
        <v>31000</v>
      </c>
      <c r="F34" s="167">
        <v>1876.6624999999999</v>
      </c>
      <c r="G34" s="168">
        <v>1.1708980000000001E-2</v>
      </c>
      <c r="H34" s="168"/>
      <c r="J34" s="75"/>
    </row>
    <row r="35" spans="1:10" ht="29.1" customHeight="1" x14ac:dyDescent="0.2">
      <c r="A35" s="164">
        <v>29</v>
      </c>
      <c r="B35" s="165" t="s">
        <v>804</v>
      </c>
      <c r="C35" s="165" t="s">
        <v>805</v>
      </c>
      <c r="D35" s="165" t="s">
        <v>316</v>
      </c>
      <c r="E35" s="166">
        <v>60000</v>
      </c>
      <c r="F35" s="167">
        <v>1829.4</v>
      </c>
      <c r="G35" s="168">
        <v>1.141409E-2</v>
      </c>
      <c r="H35" s="168"/>
      <c r="J35" s="75"/>
    </row>
    <row r="36" spans="1:10" ht="17.100000000000001" customHeight="1" x14ac:dyDescent="0.2">
      <c r="A36" s="164">
        <v>30</v>
      </c>
      <c r="B36" s="165" t="s">
        <v>112</v>
      </c>
      <c r="C36" s="165" t="s">
        <v>113</v>
      </c>
      <c r="D36" s="165" t="s">
        <v>114</v>
      </c>
      <c r="E36" s="166">
        <v>194000</v>
      </c>
      <c r="F36" s="167">
        <v>1803.521</v>
      </c>
      <c r="G36" s="168">
        <v>1.125263E-2</v>
      </c>
      <c r="H36" s="168"/>
      <c r="J36" s="75"/>
    </row>
    <row r="37" spans="1:10" ht="29.1" customHeight="1" x14ac:dyDescent="0.2">
      <c r="A37" s="164">
        <v>31</v>
      </c>
      <c r="B37" s="165" t="s">
        <v>541</v>
      </c>
      <c r="C37" s="165" t="s">
        <v>542</v>
      </c>
      <c r="D37" s="165" t="s">
        <v>414</v>
      </c>
      <c r="E37" s="166">
        <v>162000</v>
      </c>
      <c r="F37" s="167">
        <v>1795.527</v>
      </c>
      <c r="G37" s="168">
        <v>1.1202749999999999E-2</v>
      </c>
      <c r="H37" s="168"/>
      <c r="J37" s="75"/>
    </row>
    <row r="38" spans="1:10" ht="17.100000000000001" customHeight="1" x14ac:dyDescent="0.2">
      <c r="A38" s="164">
        <v>32</v>
      </c>
      <c r="B38" s="165" t="s">
        <v>352</v>
      </c>
      <c r="C38" s="165" t="s">
        <v>353</v>
      </c>
      <c r="D38" s="165" t="s">
        <v>39</v>
      </c>
      <c r="E38" s="166">
        <v>283000</v>
      </c>
      <c r="F38" s="167">
        <v>1760.1185</v>
      </c>
      <c r="G38" s="168">
        <v>1.098183E-2</v>
      </c>
      <c r="H38" s="168"/>
      <c r="J38" s="75"/>
    </row>
    <row r="39" spans="1:10" ht="17.100000000000001" customHeight="1" x14ac:dyDescent="0.2">
      <c r="A39" s="164">
        <v>33</v>
      </c>
      <c r="B39" s="165" t="s">
        <v>633</v>
      </c>
      <c r="C39" s="165" t="s">
        <v>634</v>
      </c>
      <c r="D39" s="165" t="s">
        <v>232</v>
      </c>
      <c r="E39" s="166">
        <v>139000</v>
      </c>
      <c r="F39" s="167">
        <v>1756.2650000000001</v>
      </c>
      <c r="G39" s="168">
        <v>1.095778E-2</v>
      </c>
      <c r="H39" s="168"/>
      <c r="J39" s="75"/>
    </row>
    <row r="40" spans="1:10" ht="17.100000000000001" customHeight="1" x14ac:dyDescent="0.2">
      <c r="A40" s="164">
        <v>34</v>
      </c>
      <c r="B40" s="165" t="s">
        <v>233</v>
      </c>
      <c r="C40" s="165" t="s">
        <v>234</v>
      </c>
      <c r="D40" s="165" t="s">
        <v>235</v>
      </c>
      <c r="E40" s="166">
        <v>171000</v>
      </c>
      <c r="F40" s="167">
        <v>1728.6389999999999</v>
      </c>
      <c r="G40" s="168">
        <v>1.078542E-2</v>
      </c>
      <c r="H40" s="168"/>
      <c r="J40" s="75"/>
    </row>
    <row r="41" spans="1:10" ht="17.100000000000001" customHeight="1" x14ac:dyDescent="0.2">
      <c r="A41" s="164">
        <v>35</v>
      </c>
      <c r="B41" s="165" t="s">
        <v>202</v>
      </c>
      <c r="C41" s="165" t="s">
        <v>203</v>
      </c>
      <c r="D41" s="165" t="s">
        <v>39</v>
      </c>
      <c r="E41" s="166">
        <v>1020470</v>
      </c>
      <c r="F41" s="167">
        <v>1659.28422</v>
      </c>
      <c r="G41" s="168">
        <v>1.0352699999999999E-2</v>
      </c>
      <c r="H41" s="168"/>
      <c r="J41" s="75"/>
    </row>
    <row r="42" spans="1:10" ht="17.100000000000001" customHeight="1" x14ac:dyDescent="0.2">
      <c r="A42" s="164">
        <v>36</v>
      </c>
      <c r="B42" s="165" t="s">
        <v>271</v>
      </c>
      <c r="C42" s="165" t="s">
        <v>272</v>
      </c>
      <c r="D42" s="165" t="s">
        <v>273</v>
      </c>
      <c r="E42" s="166">
        <v>79000</v>
      </c>
      <c r="F42" s="167">
        <v>1609.941</v>
      </c>
      <c r="G42" s="168">
        <v>1.0044829999999999E-2</v>
      </c>
      <c r="H42" s="168"/>
      <c r="J42" s="75"/>
    </row>
    <row r="43" spans="1:10" ht="17.100000000000001" customHeight="1" x14ac:dyDescent="0.2">
      <c r="A43" s="164">
        <v>37</v>
      </c>
      <c r="B43" s="165" t="s">
        <v>545</v>
      </c>
      <c r="C43" s="165" t="s">
        <v>546</v>
      </c>
      <c r="D43" s="165" t="s">
        <v>39</v>
      </c>
      <c r="E43" s="166">
        <v>96000</v>
      </c>
      <c r="F43" s="167">
        <v>1558.992</v>
      </c>
      <c r="G43" s="168">
        <v>9.7269499999999998E-3</v>
      </c>
      <c r="H43" s="168"/>
      <c r="J43" s="75"/>
    </row>
    <row r="44" spans="1:10" ht="29.1" customHeight="1" x14ac:dyDescent="0.2">
      <c r="A44" s="164">
        <v>38</v>
      </c>
      <c r="B44" s="165" t="s">
        <v>752</v>
      </c>
      <c r="C44" s="165" t="s">
        <v>753</v>
      </c>
      <c r="D44" s="165" t="s">
        <v>316</v>
      </c>
      <c r="E44" s="166">
        <v>100000</v>
      </c>
      <c r="F44" s="167">
        <v>1320.7</v>
      </c>
      <c r="G44" s="168">
        <v>8.2401799999999997E-3</v>
      </c>
      <c r="H44" s="168"/>
      <c r="J44" s="75"/>
    </row>
    <row r="45" spans="1:10" ht="17.100000000000001" customHeight="1" x14ac:dyDescent="0.2">
      <c r="A45" s="164">
        <v>39</v>
      </c>
      <c r="B45" s="165" t="s">
        <v>839</v>
      </c>
      <c r="C45" s="165" t="s">
        <v>840</v>
      </c>
      <c r="D45" s="165" t="s">
        <v>75</v>
      </c>
      <c r="E45" s="166">
        <v>96000</v>
      </c>
      <c r="F45" s="167">
        <v>1314.384</v>
      </c>
      <c r="G45" s="168">
        <v>8.2007799999999995E-3</v>
      </c>
      <c r="H45" s="168"/>
      <c r="J45" s="75"/>
    </row>
    <row r="46" spans="1:10" ht="17.100000000000001" customHeight="1" x14ac:dyDescent="0.2">
      <c r="A46" s="164">
        <v>40</v>
      </c>
      <c r="B46" s="165" t="s">
        <v>360</v>
      </c>
      <c r="C46" s="165" t="s">
        <v>361</v>
      </c>
      <c r="D46" s="165" t="s">
        <v>39</v>
      </c>
      <c r="E46" s="166">
        <v>84000</v>
      </c>
      <c r="F46" s="167">
        <v>1273.1880000000001</v>
      </c>
      <c r="G46" s="168">
        <v>7.9437399999999995E-3</v>
      </c>
      <c r="H46" s="168"/>
      <c r="J46" s="75"/>
    </row>
    <row r="47" spans="1:10" ht="17.100000000000001" customHeight="1" x14ac:dyDescent="0.2">
      <c r="A47" s="164">
        <v>41</v>
      </c>
      <c r="B47" s="165" t="s">
        <v>269</v>
      </c>
      <c r="C47" s="165" t="s">
        <v>270</v>
      </c>
      <c r="D47" s="165" t="s">
        <v>232</v>
      </c>
      <c r="E47" s="166">
        <v>23000</v>
      </c>
      <c r="F47" s="167">
        <v>1173.7474999999999</v>
      </c>
      <c r="G47" s="168">
        <v>7.3233100000000004E-3</v>
      </c>
      <c r="H47" s="168"/>
      <c r="J47" s="75"/>
    </row>
    <row r="48" spans="1:10" ht="17.100000000000001" customHeight="1" x14ac:dyDescent="0.2">
      <c r="A48" s="164">
        <v>42</v>
      </c>
      <c r="B48" s="165" t="s">
        <v>750</v>
      </c>
      <c r="C48" s="165" t="s">
        <v>751</v>
      </c>
      <c r="D48" s="165" t="s">
        <v>232</v>
      </c>
      <c r="E48" s="166">
        <v>57000</v>
      </c>
      <c r="F48" s="167">
        <v>1145.643</v>
      </c>
      <c r="G48" s="168">
        <v>7.1479600000000001E-3</v>
      </c>
      <c r="H48" s="168"/>
      <c r="J48" s="75"/>
    </row>
    <row r="49" spans="1:10" ht="17.100000000000001" customHeight="1" x14ac:dyDescent="0.2">
      <c r="A49" s="164">
        <v>43</v>
      </c>
      <c r="B49" s="165" t="s">
        <v>617</v>
      </c>
      <c r="C49" s="165" t="s">
        <v>618</v>
      </c>
      <c r="D49" s="165" t="s">
        <v>273</v>
      </c>
      <c r="E49" s="166">
        <v>96000</v>
      </c>
      <c r="F49" s="167">
        <v>1129.92</v>
      </c>
      <c r="G49" s="168">
        <v>7.0498599999999998E-3</v>
      </c>
      <c r="H49" s="168"/>
      <c r="J49" s="75"/>
    </row>
    <row r="50" spans="1:10" ht="17.100000000000001" customHeight="1" x14ac:dyDescent="0.2">
      <c r="A50" s="164">
        <v>44</v>
      </c>
      <c r="B50" s="165" t="s">
        <v>841</v>
      </c>
      <c r="C50" s="165" t="s">
        <v>842</v>
      </c>
      <c r="D50" s="165" t="s">
        <v>276</v>
      </c>
      <c r="E50" s="166">
        <v>67000</v>
      </c>
      <c r="F50" s="167">
        <v>1116.153</v>
      </c>
      <c r="G50" s="168">
        <v>6.9639599999999999E-3</v>
      </c>
      <c r="H50" s="168"/>
      <c r="J50" s="75"/>
    </row>
    <row r="51" spans="1:10" ht="17.100000000000001" customHeight="1" x14ac:dyDescent="0.2">
      <c r="A51" s="164">
        <v>45</v>
      </c>
      <c r="B51" s="165" t="s">
        <v>734</v>
      </c>
      <c r="C51" s="165" t="s">
        <v>735</v>
      </c>
      <c r="D51" s="165" t="s">
        <v>276</v>
      </c>
      <c r="E51" s="166">
        <v>22000</v>
      </c>
      <c r="F51" s="167">
        <v>1050.7090000000001</v>
      </c>
      <c r="G51" s="168">
        <v>6.5556399999999997E-3</v>
      </c>
      <c r="H51" s="168"/>
      <c r="J51" s="75"/>
    </row>
    <row r="52" spans="1:10" ht="17.100000000000001" customHeight="1" x14ac:dyDescent="0.2">
      <c r="A52" s="164">
        <v>46</v>
      </c>
      <c r="B52" s="165" t="s">
        <v>362</v>
      </c>
      <c r="C52" s="165" t="s">
        <v>363</v>
      </c>
      <c r="D52" s="165" t="s">
        <v>364</v>
      </c>
      <c r="E52" s="166">
        <v>240000</v>
      </c>
      <c r="F52" s="167">
        <v>1045.56</v>
      </c>
      <c r="G52" s="168">
        <v>6.5235199999999997E-3</v>
      </c>
      <c r="H52" s="168"/>
      <c r="J52" s="75"/>
    </row>
    <row r="53" spans="1:10" ht="17.100000000000001" customHeight="1" x14ac:dyDescent="0.2">
      <c r="A53" s="164">
        <v>47</v>
      </c>
      <c r="B53" s="165" t="s">
        <v>766</v>
      </c>
      <c r="C53" s="165" t="s">
        <v>767</v>
      </c>
      <c r="D53" s="165" t="s">
        <v>276</v>
      </c>
      <c r="E53" s="166">
        <v>40000</v>
      </c>
      <c r="F53" s="167">
        <v>1002.96</v>
      </c>
      <c r="G53" s="168">
        <v>6.2577199999999996E-3</v>
      </c>
      <c r="H53" s="168"/>
      <c r="J53" s="75"/>
    </row>
    <row r="54" spans="1:10" ht="29.1" customHeight="1" x14ac:dyDescent="0.2">
      <c r="A54" s="164">
        <v>48</v>
      </c>
      <c r="B54" s="165" t="s">
        <v>356</v>
      </c>
      <c r="C54" s="165" t="s">
        <v>357</v>
      </c>
      <c r="D54" s="165" t="s">
        <v>216</v>
      </c>
      <c r="E54" s="166">
        <v>82000</v>
      </c>
      <c r="F54" s="167">
        <v>945.87</v>
      </c>
      <c r="G54" s="168">
        <v>5.9015200000000004E-3</v>
      </c>
      <c r="H54" s="168"/>
      <c r="J54" s="75"/>
    </row>
    <row r="55" spans="1:10" ht="17.100000000000001" customHeight="1" x14ac:dyDescent="0.2">
      <c r="A55" s="164">
        <v>49</v>
      </c>
      <c r="B55" s="165" t="s">
        <v>350</v>
      </c>
      <c r="C55" s="165" t="s">
        <v>351</v>
      </c>
      <c r="D55" s="165" t="s">
        <v>262</v>
      </c>
      <c r="E55" s="166">
        <v>20719</v>
      </c>
      <c r="F55" s="167">
        <v>851.34370999999999</v>
      </c>
      <c r="G55" s="168">
        <v>5.3117499999999996E-3</v>
      </c>
      <c r="H55" s="168"/>
      <c r="J55" s="75"/>
    </row>
    <row r="56" spans="1:10" ht="29.1" customHeight="1" x14ac:dyDescent="0.2">
      <c r="A56" s="164">
        <v>50</v>
      </c>
      <c r="B56" s="165" t="s">
        <v>97</v>
      </c>
      <c r="C56" s="165" t="s">
        <v>98</v>
      </c>
      <c r="D56" s="165" t="s">
        <v>99</v>
      </c>
      <c r="E56" s="166">
        <v>64000</v>
      </c>
      <c r="F56" s="167">
        <v>847.93600000000004</v>
      </c>
      <c r="G56" s="168">
        <v>5.2904900000000001E-3</v>
      </c>
      <c r="H56" s="168"/>
      <c r="J56" s="75"/>
    </row>
    <row r="57" spans="1:10" ht="17.100000000000001" customHeight="1" x14ac:dyDescent="0.2">
      <c r="A57" s="164">
        <v>51</v>
      </c>
      <c r="B57" s="165" t="s">
        <v>756</v>
      </c>
      <c r="C57" s="165" t="s">
        <v>757</v>
      </c>
      <c r="D57" s="165" t="s">
        <v>75</v>
      </c>
      <c r="E57" s="166">
        <v>29000</v>
      </c>
      <c r="F57" s="167">
        <v>834.01099999999997</v>
      </c>
      <c r="G57" s="168">
        <v>5.20361E-3</v>
      </c>
      <c r="H57" s="168"/>
      <c r="J57" s="75"/>
    </row>
    <row r="58" spans="1:10" ht="17.100000000000001" customHeight="1" x14ac:dyDescent="0.2">
      <c r="A58" s="164">
        <v>52</v>
      </c>
      <c r="B58" s="165" t="s">
        <v>129</v>
      </c>
      <c r="C58" s="165" t="s">
        <v>130</v>
      </c>
      <c r="D58" s="165" t="s">
        <v>80</v>
      </c>
      <c r="E58" s="166">
        <v>55000</v>
      </c>
      <c r="F58" s="167">
        <v>815.84249999999997</v>
      </c>
      <c r="G58" s="168">
        <v>5.0902500000000002E-3</v>
      </c>
      <c r="H58" s="168"/>
      <c r="J58" s="75"/>
    </row>
    <row r="59" spans="1:10" ht="17.100000000000001" customHeight="1" x14ac:dyDescent="0.2">
      <c r="A59" s="164">
        <v>53</v>
      </c>
      <c r="B59" s="165" t="s">
        <v>236</v>
      </c>
      <c r="C59" s="165" t="s">
        <v>237</v>
      </c>
      <c r="D59" s="165" t="s">
        <v>36</v>
      </c>
      <c r="E59" s="166">
        <v>13672</v>
      </c>
      <c r="F59" s="167">
        <v>774.73071600000003</v>
      </c>
      <c r="G59" s="168">
        <v>4.8337400000000004E-3</v>
      </c>
      <c r="H59" s="168"/>
      <c r="J59" s="75"/>
    </row>
    <row r="60" spans="1:10" ht="29.1" customHeight="1" x14ac:dyDescent="0.2">
      <c r="A60" s="164">
        <v>54</v>
      </c>
      <c r="B60" s="165" t="s">
        <v>314</v>
      </c>
      <c r="C60" s="165" t="s">
        <v>315</v>
      </c>
      <c r="D60" s="165" t="s">
        <v>316</v>
      </c>
      <c r="E60" s="166">
        <v>20000</v>
      </c>
      <c r="F60" s="167">
        <v>683.85</v>
      </c>
      <c r="G60" s="168">
        <v>4.2667099999999999E-3</v>
      </c>
      <c r="H60" s="168"/>
      <c r="J60" s="75"/>
    </row>
    <row r="61" spans="1:10" ht="17.100000000000001" customHeight="1" x14ac:dyDescent="0.2">
      <c r="A61" s="164">
        <v>55</v>
      </c>
      <c r="B61" s="165" t="s">
        <v>102</v>
      </c>
      <c r="C61" s="165" t="s">
        <v>103</v>
      </c>
      <c r="D61" s="165" t="s">
        <v>104</v>
      </c>
      <c r="E61" s="166">
        <v>18000</v>
      </c>
      <c r="F61" s="167">
        <v>664.173</v>
      </c>
      <c r="G61" s="168">
        <v>4.1439399999999996E-3</v>
      </c>
      <c r="H61" s="168"/>
      <c r="J61" s="75"/>
    </row>
    <row r="62" spans="1:10" ht="17.100000000000001" customHeight="1" x14ac:dyDescent="0.2">
      <c r="A62" s="164">
        <v>56</v>
      </c>
      <c r="B62" s="165" t="s">
        <v>482</v>
      </c>
      <c r="C62" s="165" t="s">
        <v>483</v>
      </c>
      <c r="D62" s="165" t="s">
        <v>242</v>
      </c>
      <c r="E62" s="166">
        <v>46000</v>
      </c>
      <c r="F62" s="167">
        <v>654.48800000000006</v>
      </c>
      <c r="G62" s="168">
        <v>4.0835200000000002E-3</v>
      </c>
      <c r="H62" s="168"/>
      <c r="J62" s="75"/>
    </row>
    <row r="63" spans="1:10" ht="29.1" customHeight="1" x14ac:dyDescent="0.2">
      <c r="A63" s="164">
        <v>57</v>
      </c>
      <c r="B63" s="165" t="s">
        <v>141</v>
      </c>
      <c r="C63" s="165" t="s">
        <v>142</v>
      </c>
      <c r="D63" s="165" t="s">
        <v>25</v>
      </c>
      <c r="E63" s="166">
        <v>32737</v>
      </c>
      <c r="F63" s="167">
        <v>601.75516549999998</v>
      </c>
      <c r="G63" s="168">
        <v>3.7545E-3</v>
      </c>
      <c r="H63" s="168"/>
      <c r="J63" s="75"/>
    </row>
    <row r="64" spans="1:10" ht="17.100000000000001" customHeight="1" x14ac:dyDescent="0.2">
      <c r="A64" s="164">
        <v>58</v>
      </c>
      <c r="B64" s="165" t="s">
        <v>365</v>
      </c>
      <c r="C64" s="165" t="s">
        <v>366</v>
      </c>
      <c r="D64" s="165" t="s">
        <v>114</v>
      </c>
      <c r="E64" s="166">
        <v>300000</v>
      </c>
      <c r="F64" s="167">
        <v>495</v>
      </c>
      <c r="G64" s="168">
        <v>3.0884300000000001E-3</v>
      </c>
      <c r="H64" s="168"/>
      <c r="J64" s="75"/>
    </row>
    <row r="65" spans="1:10" ht="29.1" customHeight="1" x14ac:dyDescent="0.2">
      <c r="A65" s="164">
        <v>59</v>
      </c>
      <c r="B65" s="165" t="s">
        <v>246</v>
      </c>
      <c r="C65" s="165" t="s">
        <v>247</v>
      </c>
      <c r="D65" s="165" t="s">
        <v>216</v>
      </c>
      <c r="E65" s="166">
        <v>10000</v>
      </c>
      <c r="F65" s="167">
        <v>483.30500000000001</v>
      </c>
      <c r="G65" s="168">
        <v>3.0154600000000002E-3</v>
      </c>
      <c r="H65" s="168"/>
      <c r="J65" s="75"/>
    </row>
    <row r="66" spans="1:10" ht="17.100000000000001" customHeight="1" x14ac:dyDescent="0.2">
      <c r="A66" s="164">
        <v>60</v>
      </c>
      <c r="B66" s="165" t="s">
        <v>827</v>
      </c>
      <c r="C66" s="165" t="s">
        <v>828</v>
      </c>
      <c r="D66" s="165" t="s">
        <v>232</v>
      </c>
      <c r="E66" s="166">
        <v>7000</v>
      </c>
      <c r="F66" s="167">
        <v>329.44799999999998</v>
      </c>
      <c r="G66" s="168">
        <v>2.05551E-3</v>
      </c>
      <c r="H66" s="168"/>
      <c r="J66" s="75"/>
    </row>
    <row r="67" spans="1:10" ht="29.1" customHeight="1" x14ac:dyDescent="0.2">
      <c r="A67" s="164">
        <v>61</v>
      </c>
      <c r="B67" s="165" t="s">
        <v>565</v>
      </c>
      <c r="C67" s="165" t="s">
        <v>566</v>
      </c>
      <c r="D67" s="165" t="s">
        <v>216</v>
      </c>
      <c r="E67" s="166">
        <v>43972</v>
      </c>
      <c r="F67" s="167">
        <v>290.41307399999999</v>
      </c>
      <c r="G67" s="168">
        <v>1.81196E-3</v>
      </c>
      <c r="H67" s="168"/>
      <c r="J67" s="75"/>
    </row>
    <row r="68" spans="1:10" ht="17.100000000000001" customHeight="1" x14ac:dyDescent="0.2">
      <c r="A68" s="164">
        <v>62</v>
      </c>
      <c r="B68" s="165" t="s">
        <v>478</v>
      </c>
      <c r="C68" s="165" t="s">
        <v>479</v>
      </c>
      <c r="D68" s="165" t="s">
        <v>53</v>
      </c>
      <c r="E68" s="166">
        <v>36000</v>
      </c>
      <c r="F68" s="167">
        <v>274.55399999999997</v>
      </c>
      <c r="G68" s="168">
        <v>1.7130100000000001E-3</v>
      </c>
      <c r="H68" s="168"/>
      <c r="J68" s="75"/>
    </row>
    <row r="69" spans="1:10" ht="17.100000000000001" customHeight="1" x14ac:dyDescent="0.2">
      <c r="A69" s="164">
        <v>63</v>
      </c>
      <c r="B69" s="165" t="s">
        <v>333</v>
      </c>
      <c r="C69" s="165" t="s">
        <v>334</v>
      </c>
      <c r="D69" s="165" t="s">
        <v>210</v>
      </c>
      <c r="E69" s="166">
        <v>89000</v>
      </c>
      <c r="F69" s="167">
        <v>171.90350000000001</v>
      </c>
      <c r="G69" s="168">
        <v>1.07255E-3</v>
      </c>
      <c r="H69" s="168"/>
      <c r="J69" s="75"/>
    </row>
    <row r="70" spans="1:10" ht="17.100000000000001" customHeight="1" x14ac:dyDescent="0.2">
      <c r="A70" s="164">
        <v>64</v>
      </c>
      <c r="B70" s="165" t="s">
        <v>758</v>
      </c>
      <c r="C70" s="165" t="s">
        <v>759</v>
      </c>
      <c r="D70" s="165" t="s">
        <v>53</v>
      </c>
      <c r="E70" s="166">
        <v>49718</v>
      </c>
      <c r="F70" s="167">
        <v>127.77526</v>
      </c>
      <c r="G70" s="168">
        <v>7.9721999999999996E-4</v>
      </c>
      <c r="H70" s="168"/>
      <c r="J70" s="75"/>
    </row>
    <row r="71" spans="1:10" ht="14.1" customHeight="1" x14ac:dyDescent="0.2">
      <c r="A71" s="162"/>
      <c r="B71" s="162"/>
      <c r="C71" s="163" t="s">
        <v>152</v>
      </c>
      <c r="D71" s="162"/>
      <c r="E71" s="162" t="s">
        <v>153</v>
      </c>
      <c r="F71" s="169">
        <v>158859.31031649999</v>
      </c>
      <c r="G71" s="170">
        <v>0.99116367000000005</v>
      </c>
      <c r="H71" s="170"/>
      <c r="J71" s="75"/>
    </row>
    <row r="72" spans="1:10" ht="14.1" customHeight="1" x14ac:dyDescent="0.2">
      <c r="A72" s="162"/>
      <c r="B72" s="162"/>
      <c r="C72" s="171"/>
      <c r="D72" s="162"/>
      <c r="E72" s="162"/>
      <c r="F72" s="172"/>
      <c r="G72" s="172"/>
      <c r="H72" s="172"/>
      <c r="J72" s="75"/>
    </row>
    <row r="73" spans="1:10" ht="14.1" customHeight="1" x14ac:dyDescent="0.2">
      <c r="A73" s="162"/>
      <c r="B73" s="162"/>
      <c r="C73" s="163" t="s">
        <v>154</v>
      </c>
      <c r="D73" s="162"/>
      <c r="E73" s="162"/>
      <c r="F73" s="162"/>
      <c r="G73" s="162"/>
      <c r="H73" s="162"/>
      <c r="J73" s="75"/>
    </row>
    <row r="74" spans="1:10" ht="14.1" customHeight="1" x14ac:dyDescent="0.2">
      <c r="A74" s="162"/>
      <c r="B74" s="162"/>
      <c r="C74" s="163" t="s">
        <v>152</v>
      </c>
      <c r="D74" s="162"/>
      <c r="E74" s="162" t="s">
        <v>153</v>
      </c>
      <c r="F74" s="173" t="s">
        <v>155</v>
      </c>
      <c r="G74" s="170">
        <v>0</v>
      </c>
      <c r="H74" s="170"/>
      <c r="J74" s="75"/>
    </row>
    <row r="75" spans="1:10" ht="14.1" customHeight="1" x14ac:dyDescent="0.2">
      <c r="A75" s="162"/>
      <c r="B75" s="162"/>
      <c r="C75" s="171"/>
      <c r="D75" s="162"/>
      <c r="E75" s="162"/>
      <c r="F75" s="172"/>
      <c r="G75" s="172"/>
      <c r="H75" s="172"/>
      <c r="J75" s="75"/>
    </row>
    <row r="76" spans="1:10" ht="14.1" customHeight="1" x14ac:dyDescent="0.2">
      <c r="A76" s="162"/>
      <c r="B76" s="162"/>
      <c r="C76" s="163" t="s">
        <v>156</v>
      </c>
      <c r="D76" s="162"/>
      <c r="E76" s="162"/>
      <c r="F76" s="162"/>
      <c r="G76" s="162"/>
      <c r="H76" s="162"/>
      <c r="J76" s="75"/>
    </row>
    <row r="77" spans="1:10" ht="14.1" customHeight="1" x14ac:dyDescent="0.2">
      <c r="A77" s="162"/>
      <c r="B77" s="162"/>
      <c r="C77" s="163" t="s">
        <v>152</v>
      </c>
      <c r="D77" s="162"/>
      <c r="E77" s="162" t="s">
        <v>153</v>
      </c>
      <c r="F77" s="173" t="s">
        <v>155</v>
      </c>
      <c r="G77" s="170">
        <v>0</v>
      </c>
      <c r="H77" s="170"/>
      <c r="J77" s="75"/>
    </row>
    <row r="78" spans="1:10" ht="14.1" customHeight="1" x14ac:dyDescent="0.2">
      <c r="A78" s="162"/>
      <c r="B78" s="162"/>
      <c r="C78" s="171"/>
      <c r="D78" s="162"/>
      <c r="E78" s="162"/>
      <c r="F78" s="172"/>
      <c r="G78" s="172"/>
      <c r="H78" s="172"/>
      <c r="J78" s="75"/>
    </row>
    <row r="79" spans="1:10" ht="14.1" customHeight="1" x14ac:dyDescent="0.2">
      <c r="A79" s="162"/>
      <c r="B79" s="162"/>
      <c r="C79" s="163" t="s">
        <v>157</v>
      </c>
      <c r="D79" s="162"/>
      <c r="E79" s="162"/>
      <c r="F79" s="162"/>
      <c r="G79" s="162"/>
      <c r="H79" s="162"/>
      <c r="J79" s="75"/>
    </row>
    <row r="80" spans="1:10" ht="14.1" customHeight="1" x14ac:dyDescent="0.2">
      <c r="A80" s="162"/>
      <c r="B80" s="162"/>
      <c r="C80" s="163" t="s">
        <v>152</v>
      </c>
      <c r="D80" s="162"/>
      <c r="E80" s="162" t="s">
        <v>153</v>
      </c>
      <c r="F80" s="173" t="s">
        <v>155</v>
      </c>
      <c r="G80" s="170">
        <v>0</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158</v>
      </c>
      <c r="D82" s="162"/>
      <c r="E82" s="162"/>
      <c r="F82" s="172"/>
      <c r="G82" s="172"/>
      <c r="H82" s="17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159</v>
      </c>
      <c r="D85" s="162"/>
      <c r="E85" s="162"/>
      <c r="F85" s="172"/>
      <c r="G85" s="172"/>
      <c r="H85" s="172"/>
      <c r="J85" s="75"/>
    </row>
    <row r="86" spans="1:10" ht="14.1" customHeight="1" x14ac:dyDescent="0.2">
      <c r="A86" s="162"/>
      <c r="B86" s="162"/>
      <c r="C86" s="163" t="s">
        <v>152</v>
      </c>
      <c r="D86" s="162"/>
      <c r="E86" s="162" t="s">
        <v>153</v>
      </c>
      <c r="F86" s="173" t="s">
        <v>155</v>
      </c>
      <c r="G86" s="170">
        <v>0</v>
      </c>
      <c r="H86" s="170"/>
      <c r="J86" s="75"/>
    </row>
    <row r="87" spans="1:10" ht="14.1" customHeight="1" x14ac:dyDescent="0.2">
      <c r="A87" s="162"/>
      <c r="B87" s="162"/>
      <c r="C87" s="171"/>
      <c r="D87" s="162"/>
      <c r="E87" s="162"/>
      <c r="F87" s="172"/>
      <c r="G87" s="172"/>
      <c r="H87" s="172"/>
      <c r="J87" s="75"/>
    </row>
    <row r="88" spans="1:10" ht="18" customHeight="1" x14ac:dyDescent="0.2">
      <c r="A88" s="162"/>
      <c r="B88" s="162"/>
      <c r="C88" s="163" t="s">
        <v>160</v>
      </c>
      <c r="D88" s="162"/>
      <c r="E88" s="162"/>
      <c r="F88" s="169">
        <v>158859.31031649999</v>
      </c>
      <c r="G88" s="170">
        <v>0.99116367000000005</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161</v>
      </c>
      <c r="D90" s="162"/>
      <c r="E90" s="162"/>
      <c r="F90" s="172"/>
      <c r="G90" s="172"/>
      <c r="H90" s="172"/>
      <c r="J90" s="75"/>
    </row>
    <row r="91" spans="1:10" ht="24" customHeight="1" x14ac:dyDescent="0.2">
      <c r="A91" s="162"/>
      <c r="B91" s="162"/>
      <c r="C91" s="163" t="s">
        <v>10</v>
      </c>
      <c r="D91" s="162"/>
      <c r="E91" s="162"/>
      <c r="F91" s="172"/>
      <c r="G91" s="172"/>
      <c r="H91" s="17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162</v>
      </c>
      <c r="D94" s="162"/>
      <c r="E94" s="162"/>
      <c r="F94" s="162"/>
      <c r="G94" s="162"/>
      <c r="H94" s="16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163</v>
      </c>
      <c r="D97" s="162"/>
      <c r="E97" s="162"/>
      <c r="F97" s="162"/>
      <c r="G97" s="162"/>
      <c r="H97" s="162"/>
      <c r="J97" s="75"/>
    </row>
    <row r="98" spans="1:10" ht="14.1" customHeight="1" x14ac:dyDescent="0.2">
      <c r="A98" s="162"/>
      <c r="B98" s="162"/>
      <c r="C98" s="163" t="s">
        <v>152</v>
      </c>
      <c r="D98" s="162"/>
      <c r="E98" s="162" t="s">
        <v>153</v>
      </c>
      <c r="F98" s="173" t="s">
        <v>155</v>
      </c>
      <c r="G98" s="170">
        <v>0</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164</v>
      </c>
      <c r="D100" s="162"/>
      <c r="E100" s="162"/>
      <c r="F100" s="172"/>
      <c r="G100" s="172"/>
      <c r="H100" s="172"/>
      <c r="J100" s="75"/>
    </row>
    <row r="101" spans="1:10" ht="14.1" customHeight="1" x14ac:dyDescent="0.2">
      <c r="A101" s="162"/>
      <c r="B101" s="162"/>
      <c r="C101" s="163" t="s">
        <v>152</v>
      </c>
      <c r="D101" s="162"/>
      <c r="E101" s="162" t="s">
        <v>153</v>
      </c>
      <c r="F101" s="173" t="s">
        <v>155</v>
      </c>
      <c r="G101" s="170">
        <v>0</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165</v>
      </c>
      <c r="D103" s="162"/>
      <c r="E103" s="162"/>
      <c r="F103" s="169">
        <v>0</v>
      </c>
      <c r="G103" s="170">
        <v>0</v>
      </c>
      <c r="H103" s="170"/>
      <c r="J103" s="75"/>
    </row>
    <row r="104" spans="1:10" ht="14.1" customHeight="1" x14ac:dyDescent="0.2">
      <c r="A104" s="162"/>
      <c r="B104" s="162"/>
      <c r="C104" s="171"/>
      <c r="D104" s="162"/>
      <c r="E104" s="162"/>
      <c r="F104" s="172"/>
      <c r="G104" s="172"/>
      <c r="H104" s="172"/>
      <c r="J104" s="75"/>
    </row>
    <row r="105" spans="1:10" ht="14.1" customHeight="1" x14ac:dyDescent="0.2">
      <c r="A105" s="162"/>
      <c r="B105" s="162"/>
      <c r="C105" s="163" t="s">
        <v>166</v>
      </c>
      <c r="D105" s="162"/>
      <c r="E105" s="162"/>
      <c r="F105" s="172"/>
      <c r="G105" s="172"/>
      <c r="H105" s="172"/>
      <c r="J105" s="75"/>
    </row>
    <row r="106" spans="1:10" ht="14.1" customHeight="1" x14ac:dyDescent="0.2">
      <c r="A106" s="162"/>
      <c r="B106" s="162"/>
      <c r="C106" s="163" t="s">
        <v>167</v>
      </c>
      <c r="D106" s="162"/>
      <c r="E106" s="162"/>
      <c r="F106" s="172"/>
      <c r="G106" s="172"/>
      <c r="H106" s="17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168</v>
      </c>
      <c r="D109" s="162"/>
      <c r="E109" s="162"/>
      <c r="F109" s="172"/>
      <c r="G109" s="172"/>
      <c r="H109" s="172"/>
      <c r="J109" s="75"/>
    </row>
    <row r="110" spans="1:10" ht="14.1" customHeight="1" x14ac:dyDescent="0.2">
      <c r="A110" s="162"/>
      <c r="B110" s="162"/>
      <c r="C110" s="163" t="s">
        <v>152</v>
      </c>
      <c r="D110" s="162"/>
      <c r="E110" s="162" t="s">
        <v>153</v>
      </c>
      <c r="F110" s="173" t="s">
        <v>155</v>
      </c>
      <c r="G110" s="170">
        <v>0</v>
      </c>
      <c r="H110" s="170"/>
      <c r="J110" s="75"/>
    </row>
    <row r="111" spans="1:10" ht="14.1" customHeight="1" x14ac:dyDescent="0.2">
      <c r="A111" s="162"/>
      <c r="B111" s="162"/>
      <c r="C111" s="171"/>
      <c r="D111" s="162"/>
      <c r="E111" s="162"/>
      <c r="F111" s="172"/>
      <c r="G111" s="172"/>
      <c r="H111" s="172"/>
      <c r="J111" s="75"/>
    </row>
    <row r="112" spans="1:10" ht="14.1" customHeight="1" x14ac:dyDescent="0.2">
      <c r="A112" s="162"/>
      <c r="B112" s="162"/>
      <c r="C112" s="163" t="s">
        <v>169</v>
      </c>
      <c r="D112" s="162"/>
      <c r="E112" s="162"/>
      <c r="F112" s="172"/>
      <c r="G112" s="172"/>
      <c r="H112" s="172"/>
      <c r="J112" s="75"/>
    </row>
    <row r="113" spans="1:10" ht="14.1" customHeight="1" x14ac:dyDescent="0.2">
      <c r="A113" s="162"/>
      <c r="B113" s="162"/>
      <c r="C113" s="163" t="s">
        <v>152</v>
      </c>
      <c r="D113" s="162"/>
      <c r="E113" s="162" t="s">
        <v>153</v>
      </c>
      <c r="F113" s="173" t="s">
        <v>155</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170</v>
      </c>
      <c r="D115" s="162"/>
      <c r="E115" s="162"/>
      <c r="F115" s="172"/>
      <c r="G115" s="172"/>
      <c r="H115" s="172"/>
      <c r="J115" s="75"/>
    </row>
    <row r="116" spans="1:10" ht="17.100000000000001" customHeight="1" x14ac:dyDescent="0.2">
      <c r="A116" s="164">
        <v>1</v>
      </c>
      <c r="B116" s="165"/>
      <c r="C116" s="165" t="s">
        <v>171</v>
      </c>
      <c r="D116" s="165"/>
      <c r="E116" s="174"/>
      <c r="F116" s="167">
        <v>469.51300350100001</v>
      </c>
      <c r="G116" s="168">
        <v>2.9294099999999999E-3</v>
      </c>
      <c r="H116" s="175">
        <v>6.66</v>
      </c>
      <c r="J116" s="75"/>
    </row>
    <row r="117" spans="1:10" ht="14.1" customHeight="1" x14ac:dyDescent="0.2">
      <c r="A117" s="162"/>
      <c r="B117" s="162"/>
      <c r="C117" s="163" t="s">
        <v>152</v>
      </c>
      <c r="D117" s="162"/>
      <c r="E117" s="162" t="s">
        <v>153</v>
      </c>
      <c r="F117" s="169">
        <v>469.51300350100001</v>
      </c>
      <c r="G117" s="170">
        <v>2.9294099999999999E-3</v>
      </c>
      <c r="H117" s="170"/>
      <c r="J117" s="75"/>
    </row>
    <row r="118" spans="1:10" ht="14.1" customHeight="1" x14ac:dyDescent="0.2">
      <c r="A118" s="162"/>
      <c r="B118" s="162"/>
      <c r="C118" s="171"/>
      <c r="D118" s="162"/>
      <c r="E118" s="162"/>
      <c r="F118" s="172"/>
      <c r="G118" s="172"/>
      <c r="H118" s="172"/>
      <c r="J118" s="75"/>
    </row>
    <row r="119" spans="1:10" ht="14.1" customHeight="1" x14ac:dyDescent="0.2">
      <c r="A119" s="162"/>
      <c r="B119" s="162"/>
      <c r="C119" s="163" t="s">
        <v>172</v>
      </c>
      <c r="D119" s="162"/>
      <c r="E119" s="162"/>
      <c r="F119" s="169">
        <v>469.51300350100001</v>
      </c>
      <c r="G119" s="170">
        <v>2.9294099999999999E-3</v>
      </c>
      <c r="H119" s="170"/>
      <c r="J119" s="75"/>
    </row>
    <row r="120" spans="1:10" ht="14.1" customHeight="1" x14ac:dyDescent="0.2">
      <c r="A120" s="162"/>
      <c r="B120" s="162"/>
      <c r="C120" s="172"/>
      <c r="D120" s="162"/>
      <c r="E120" s="162"/>
      <c r="F120" s="162"/>
      <c r="G120" s="162"/>
      <c r="H120" s="162"/>
      <c r="J120" s="75"/>
    </row>
    <row r="121" spans="1:10" ht="14.1" customHeight="1" x14ac:dyDescent="0.2">
      <c r="A121" s="162"/>
      <c r="B121" s="162"/>
      <c r="C121" s="163" t="s">
        <v>173</v>
      </c>
      <c r="D121" s="162"/>
      <c r="E121" s="162"/>
      <c r="F121" s="162"/>
      <c r="G121" s="162"/>
      <c r="H121" s="162"/>
      <c r="J121" s="75"/>
    </row>
    <row r="122" spans="1:10" ht="14.1" customHeight="1" x14ac:dyDescent="0.2">
      <c r="A122" s="162"/>
      <c r="B122" s="162"/>
      <c r="C122" s="163" t="s">
        <v>174</v>
      </c>
      <c r="D122" s="162"/>
      <c r="E122" s="162"/>
      <c r="F122" s="162"/>
      <c r="G122" s="162"/>
      <c r="H122" s="162"/>
      <c r="J122" s="75"/>
    </row>
    <row r="123" spans="1:10" ht="14.1" customHeight="1" x14ac:dyDescent="0.2">
      <c r="A123" s="162"/>
      <c r="B123" s="162"/>
      <c r="C123" s="163" t="s">
        <v>152</v>
      </c>
      <c r="D123" s="162"/>
      <c r="E123" s="162" t="s">
        <v>153</v>
      </c>
      <c r="F123" s="173" t="s">
        <v>155</v>
      </c>
      <c r="G123" s="170">
        <v>0</v>
      </c>
      <c r="H123" s="170"/>
      <c r="J123" s="75"/>
    </row>
    <row r="124" spans="1:10" ht="14.1" customHeight="1" x14ac:dyDescent="0.2">
      <c r="A124" s="162"/>
      <c r="B124" s="162"/>
      <c r="C124" s="171"/>
      <c r="D124" s="162"/>
      <c r="E124" s="162"/>
      <c r="F124" s="172"/>
      <c r="G124" s="172"/>
      <c r="H124" s="172"/>
      <c r="J124" s="75"/>
    </row>
    <row r="125" spans="1:10" ht="14.1" customHeight="1" x14ac:dyDescent="0.2">
      <c r="A125" s="162"/>
      <c r="B125" s="162"/>
      <c r="C125" s="163" t="s">
        <v>177</v>
      </c>
      <c r="D125" s="162"/>
      <c r="E125" s="162"/>
      <c r="F125" s="162"/>
      <c r="G125" s="162"/>
      <c r="H125" s="162"/>
      <c r="J125" s="75"/>
    </row>
    <row r="126" spans="1:10" ht="14.1" customHeight="1" x14ac:dyDescent="0.2">
      <c r="A126" s="162"/>
      <c r="B126" s="162"/>
      <c r="C126" s="163" t="s">
        <v>178</v>
      </c>
      <c r="D126" s="162"/>
      <c r="E126" s="162"/>
      <c r="F126" s="162"/>
      <c r="G126" s="162"/>
      <c r="H126" s="162"/>
      <c r="J126" s="75"/>
    </row>
    <row r="127" spans="1:10" ht="14.1" customHeight="1" x14ac:dyDescent="0.2">
      <c r="A127" s="162"/>
      <c r="B127" s="162"/>
      <c r="C127" s="163" t="s">
        <v>152</v>
      </c>
      <c r="D127" s="162"/>
      <c r="E127" s="162" t="s">
        <v>153</v>
      </c>
      <c r="F127" s="173" t="s">
        <v>155</v>
      </c>
      <c r="G127" s="170">
        <v>0</v>
      </c>
      <c r="H127" s="170"/>
      <c r="J127" s="75"/>
    </row>
    <row r="128" spans="1:10" ht="14.1" customHeight="1" x14ac:dyDescent="0.2">
      <c r="A128" s="162"/>
      <c r="B128" s="162"/>
      <c r="C128" s="171"/>
      <c r="D128" s="162"/>
      <c r="E128" s="162"/>
      <c r="F128" s="172"/>
      <c r="G128" s="172"/>
      <c r="H128" s="172"/>
      <c r="J128" s="75"/>
    </row>
    <row r="129" spans="1:18" ht="24" customHeight="1" x14ac:dyDescent="0.2">
      <c r="A129" s="162"/>
      <c r="B129" s="162"/>
      <c r="C129" s="163" t="s">
        <v>179</v>
      </c>
      <c r="D129" s="162"/>
      <c r="E129" s="162"/>
      <c r="F129" s="172"/>
      <c r="G129" s="172"/>
      <c r="H129" s="172"/>
      <c r="J129" s="75"/>
    </row>
    <row r="130" spans="1:18" ht="14.1" customHeight="1" x14ac:dyDescent="0.2">
      <c r="A130" s="162"/>
      <c r="B130" s="162"/>
      <c r="C130" s="163" t="s">
        <v>152</v>
      </c>
      <c r="D130" s="162"/>
      <c r="E130" s="162" t="s">
        <v>153</v>
      </c>
      <c r="F130" s="173" t="s">
        <v>155</v>
      </c>
      <c r="G130" s="170">
        <v>0</v>
      </c>
      <c r="H130" s="170"/>
      <c r="J130" s="75"/>
    </row>
    <row r="131" spans="1:18" ht="14.1" customHeight="1" x14ac:dyDescent="0.2">
      <c r="A131" s="162"/>
      <c r="B131" s="165"/>
      <c r="C131" s="165"/>
      <c r="D131" s="163"/>
      <c r="E131" s="162"/>
      <c r="F131" s="165"/>
      <c r="G131" s="174"/>
      <c r="H131" s="174"/>
      <c r="J131" s="75"/>
    </row>
    <row r="132" spans="1:18" ht="18" customHeight="1" x14ac:dyDescent="0.2">
      <c r="A132" s="174"/>
      <c r="B132" s="165"/>
      <c r="C132" s="165" t="s">
        <v>180</v>
      </c>
      <c r="D132" s="165"/>
      <c r="E132" s="174"/>
      <c r="F132" s="167">
        <v>946.73757262000004</v>
      </c>
      <c r="G132" s="168">
        <v>5.9069400000000003E-3</v>
      </c>
      <c r="H132" s="168"/>
      <c r="J132" s="75"/>
    </row>
    <row r="133" spans="1:18" ht="14.1" customHeight="1" x14ac:dyDescent="0.2">
      <c r="A133" s="171"/>
      <c r="B133" s="171"/>
      <c r="C133" s="163" t="s">
        <v>181</v>
      </c>
      <c r="D133" s="172"/>
      <c r="E133" s="172"/>
      <c r="F133" s="169">
        <v>160275.560892621</v>
      </c>
      <c r="G133" s="177">
        <v>1.0000000200000001</v>
      </c>
      <c r="H133" s="177"/>
      <c r="J133" s="75"/>
    </row>
    <row r="134" spans="1:18" ht="14.1" customHeight="1" x14ac:dyDescent="0.2">
      <c r="A134" s="178"/>
      <c r="B134" s="178"/>
      <c r="C134" s="178"/>
      <c r="D134" s="179"/>
      <c r="E134" s="179"/>
      <c r="F134" s="179"/>
      <c r="G134" s="179"/>
      <c r="H134" s="179"/>
      <c r="J134" s="75"/>
    </row>
    <row r="135" spans="1:18" ht="12.75" customHeight="1" x14ac:dyDescent="0.2">
      <c r="A135" s="180"/>
      <c r="B135" s="258" t="s">
        <v>882</v>
      </c>
      <c r="C135" s="258"/>
      <c r="D135" s="258"/>
      <c r="E135" s="258"/>
      <c r="F135" s="258"/>
      <c r="G135" s="258"/>
      <c r="H135" s="258"/>
      <c r="J135" s="75"/>
    </row>
    <row r="136" spans="1:18" ht="14.1" customHeight="1" x14ac:dyDescent="0.2">
      <c r="A136" s="180"/>
      <c r="B136" s="258" t="s">
        <v>883</v>
      </c>
      <c r="C136" s="258"/>
      <c r="D136" s="258"/>
      <c r="E136" s="258"/>
      <c r="F136" s="258"/>
      <c r="G136" s="258"/>
      <c r="H136" s="258"/>
      <c r="J136" s="75"/>
    </row>
    <row r="137" spans="1:18" ht="17.100000000000001" customHeight="1" x14ac:dyDescent="0.2">
      <c r="A137" s="180"/>
      <c r="B137" s="258" t="s">
        <v>884</v>
      </c>
      <c r="C137" s="258"/>
      <c r="D137" s="258"/>
      <c r="E137" s="258"/>
      <c r="F137" s="258"/>
      <c r="G137" s="258"/>
      <c r="H137" s="258"/>
      <c r="J137" s="75"/>
    </row>
    <row r="138" spans="1:18" s="34" customFormat="1" ht="62.25" customHeight="1" x14ac:dyDescent="0.25">
      <c r="A138" s="33"/>
      <c r="B138" s="259" t="s">
        <v>885</v>
      </c>
      <c r="C138" s="259"/>
      <c r="D138" s="259"/>
      <c r="E138" s="259"/>
      <c r="F138" s="259"/>
      <c r="G138" s="259"/>
      <c r="H138" s="259"/>
      <c r="I138"/>
      <c r="J138" s="75"/>
      <c r="K138"/>
      <c r="L138"/>
      <c r="M138"/>
      <c r="N138"/>
      <c r="O138"/>
      <c r="P138"/>
      <c r="Q138"/>
    </row>
    <row r="139" spans="1:18" ht="12.75" customHeight="1" x14ac:dyDescent="0.2">
      <c r="A139" s="180"/>
      <c r="B139" s="258" t="s">
        <v>886</v>
      </c>
      <c r="C139" s="258"/>
      <c r="D139" s="258"/>
      <c r="E139" s="258"/>
      <c r="F139" s="258"/>
      <c r="G139" s="258"/>
      <c r="H139" s="258"/>
      <c r="J139" s="75"/>
    </row>
    <row r="140" spans="1:18" ht="14.1" customHeight="1" x14ac:dyDescent="0.2">
      <c r="A140" s="181"/>
      <c r="B140" s="181"/>
      <c r="C140" s="181"/>
      <c r="D140" s="182"/>
      <c r="E140" s="182"/>
      <c r="F140" s="182"/>
      <c r="G140" s="182"/>
      <c r="H140" s="182"/>
      <c r="J140" s="75"/>
    </row>
    <row r="141" spans="1:18" ht="14.1" customHeight="1" x14ac:dyDescent="0.2">
      <c r="A141" s="181"/>
      <c r="B141" s="255" t="s">
        <v>183</v>
      </c>
      <c r="C141" s="256"/>
      <c r="D141" s="257"/>
      <c r="E141" s="183"/>
      <c r="F141" s="182"/>
      <c r="G141" s="182"/>
      <c r="H141" s="182"/>
      <c r="J141" s="75"/>
    </row>
    <row r="142" spans="1:18" ht="29.1" customHeight="1" x14ac:dyDescent="0.2">
      <c r="A142" s="181"/>
      <c r="B142" s="253" t="s">
        <v>184</v>
      </c>
      <c r="C142" s="254"/>
      <c r="D142" s="163" t="s">
        <v>185</v>
      </c>
      <c r="E142" s="183"/>
      <c r="F142" s="182"/>
      <c r="G142" s="182"/>
      <c r="H142" s="182"/>
      <c r="J142" s="75"/>
    </row>
    <row r="143" spans="1:18" ht="17.100000000000001" customHeight="1" x14ac:dyDescent="0.25">
      <c r="A143" s="181"/>
      <c r="B143" s="253" t="s">
        <v>186</v>
      </c>
      <c r="C143" s="254"/>
      <c r="D143" s="163" t="s">
        <v>185</v>
      </c>
      <c r="E143" s="183"/>
      <c r="F143" s="182"/>
      <c r="G143" s="182"/>
      <c r="H143" s="182"/>
      <c r="J143" s="75"/>
      <c r="Q143" s="34"/>
      <c r="R143" s="34"/>
    </row>
    <row r="144" spans="1:18" ht="17.100000000000001" customHeight="1" x14ac:dyDescent="0.2">
      <c r="A144" s="181"/>
      <c r="B144" s="253" t="s">
        <v>187</v>
      </c>
      <c r="C144" s="254"/>
      <c r="D144" s="172" t="s">
        <v>153</v>
      </c>
      <c r="E144" s="183"/>
      <c r="F144" s="182"/>
      <c r="G144" s="182"/>
      <c r="H144" s="182"/>
      <c r="J144" s="75"/>
    </row>
    <row r="145" spans="1:10" x14ac:dyDescent="0.2">
      <c r="A145" s="185"/>
      <c r="B145" s="186" t="s">
        <v>153</v>
      </c>
      <c r="C145" s="186" t="s">
        <v>1088</v>
      </c>
      <c r="D145" s="186" t="s">
        <v>188</v>
      </c>
      <c r="E145" s="185"/>
      <c r="F145" s="185"/>
      <c r="G145" s="185"/>
      <c r="H145" s="185"/>
      <c r="J145" s="75"/>
    </row>
    <row r="146" spans="1:10" x14ac:dyDescent="0.2">
      <c r="A146" s="185"/>
      <c r="B146" s="187" t="s">
        <v>189</v>
      </c>
      <c r="C146" s="186" t="s">
        <v>190</v>
      </c>
      <c r="D146" s="186" t="s">
        <v>191</v>
      </c>
      <c r="E146" s="185"/>
      <c r="F146" s="185"/>
      <c r="G146" s="185"/>
      <c r="H146" s="185"/>
      <c r="J146" s="75"/>
    </row>
    <row r="147" spans="1:10" ht="17.100000000000001" customHeight="1" x14ac:dyDescent="0.2">
      <c r="A147" s="185"/>
      <c r="B147" s="165" t="s">
        <v>192</v>
      </c>
      <c r="C147" s="188">
        <v>204.17240000000001</v>
      </c>
      <c r="D147" s="188">
        <v>208.64709999999999</v>
      </c>
      <c r="E147" s="185"/>
      <c r="F147" s="189"/>
      <c r="G147" s="190"/>
      <c r="H147" s="190"/>
      <c r="J147" s="75"/>
    </row>
    <row r="148" spans="1:10" ht="17.100000000000001" customHeight="1" x14ac:dyDescent="0.2">
      <c r="A148" s="185"/>
      <c r="B148" s="165" t="s">
        <v>1054</v>
      </c>
      <c r="C148" s="188">
        <v>18.700900000000001</v>
      </c>
      <c r="D148" s="188">
        <v>19.110800000000001</v>
      </c>
      <c r="E148" s="185"/>
      <c r="F148" s="189"/>
      <c r="G148" s="190"/>
      <c r="H148" s="190"/>
      <c r="J148" s="75"/>
    </row>
    <row r="149" spans="1:10" ht="17.100000000000001" customHeight="1" x14ac:dyDescent="0.2">
      <c r="A149" s="185"/>
      <c r="B149" s="165" t="s">
        <v>193</v>
      </c>
      <c r="C149" s="188">
        <v>194.10159999999999</v>
      </c>
      <c r="D149" s="188">
        <v>198.26089999999999</v>
      </c>
      <c r="E149" s="185"/>
      <c r="F149" s="189"/>
      <c r="G149" s="190"/>
      <c r="H149" s="190"/>
      <c r="J149" s="75"/>
    </row>
    <row r="150" spans="1:10" ht="17.100000000000001" customHeight="1" x14ac:dyDescent="0.2">
      <c r="A150" s="185"/>
      <c r="B150" s="165" t="s">
        <v>1055</v>
      </c>
      <c r="C150" s="188">
        <v>15.5008</v>
      </c>
      <c r="D150" s="188">
        <v>15.8329</v>
      </c>
      <c r="E150" s="185"/>
      <c r="F150" s="189"/>
      <c r="G150" s="190"/>
      <c r="H150" s="190"/>
      <c r="J150" s="75"/>
    </row>
    <row r="151" spans="1:10" ht="14.1" customHeight="1" x14ac:dyDescent="0.2">
      <c r="A151" s="185"/>
      <c r="B151" s="185"/>
      <c r="C151" s="185"/>
      <c r="D151" s="185"/>
      <c r="E151" s="185"/>
      <c r="F151" s="185"/>
      <c r="G151" s="185"/>
      <c r="H151" s="185"/>
      <c r="J151" s="75"/>
    </row>
    <row r="152" spans="1:10" ht="17.100000000000001" customHeight="1" x14ac:dyDescent="0.2">
      <c r="A152" s="185"/>
      <c r="B152" s="253" t="s">
        <v>1056</v>
      </c>
      <c r="C152" s="254"/>
      <c r="D152" s="163" t="s">
        <v>185</v>
      </c>
      <c r="E152" s="185"/>
      <c r="F152" s="185"/>
      <c r="G152" s="185"/>
      <c r="H152" s="185"/>
      <c r="J152" s="75"/>
    </row>
    <row r="153" spans="1:10" ht="14.1" customHeight="1" x14ac:dyDescent="0.2">
      <c r="A153" s="185"/>
      <c r="B153" s="189"/>
      <c r="C153" s="189"/>
      <c r="D153" s="185"/>
      <c r="E153" s="185"/>
      <c r="F153" s="185"/>
      <c r="G153" s="185"/>
      <c r="H153" s="185"/>
      <c r="J153" s="75"/>
    </row>
    <row r="154" spans="1:10" ht="29.1" customHeight="1" x14ac:dyDescent="0.2">
      <c r="A154" s="185"/>
      <c r="B154" s="253" t="s">
        <v>194</v>
      </c>
      <c r="C154" s="254"/>
      <c r="D154" s="163" t="s">
        <v>185</v>
      </c>
      <c r="E154" s="191"/>
      <c r="F154" s="185"/>
      <c r="G154" s="185"/>
      <c r="H154" s="185"/>
      <c r="J154" s="75"/>
    </row>
    <row r="155" spans="1:10" ht="29.1" customHeight="1" x14ac:dyDescent="0.2">
      <c r="A155" s="185"/>
      <c r="B155" s="253" t="s">
        <v>195</v>
      </c>
      <c r="C155" s="254"/>
      <c r="D155" s="163" t="s">
        <v>185</v>
      </c>
      <c r="E155" s="191"/>
      <c r="F155" s="185"/>
      <c r="G155" s="185"/>
      <c r="H155" s="185"/>
      <c r="J155" s="75"/>
    </row>
    <row r="156" spans="1:10" ht="17.100000000000001" customHeight="1" x14ac:dyDescent="0.2">
      <c r="A156" s="185"/>
      <c r="B156" s="253" t="s">
        <v>196</v>
      </c>
      <c r="C156" s="254"/>
      <c r="D156" s="163" t="s">
        <v>185</v>
      </c>
      <c r="E156" s="191"/>
      <c r="F156" s="185"/>
      <c r="G156" s="185"/>
      <c r="H156" s="185"/>
      <c r="J156" s="75"/>
    </row>
    <row r="157" spans="1:10" ht="17.100000000000001" customHeight="1" x14ac:dyDescent="0.2">
      <c r="A157" s="185"/>
      <c r="B157" s="253" t="s">
        <v>197</v>
      </c>
      <c r="C157" s="254"/>
      <c r="D157" s="192">
        <v>0.15387892370896347</v>
      </c>
      <c r="E157" s="185"/>
      <c r="F157" s="189"/>
      <c r="G157" s="190"/>
      <c r="H157" s="190"/>
      <c r="J157" s="75"/>
    </row>
  </sheetData>
  <mergeCells count="17">
    <mergeCell ref="B157:C157"/>
    <mergeCell ref="B152:C152"/>
    <mergeCell ref="B154:C154"/>
    <mergeCell ref="B155:C155"/>
    <mergeCell ref="B156:C156"/>
    <mergeCell ref="A1:H1"/>
    <mergeCell ref="A2:H2"/>
    <mergeCell ref="A3:H3"/>
    <mergeCell ref="B143:C143"/>
    <mergeCell ref="B144:C144"/>
    <mergeCell ref="B141:D141"/>
    <mergeCell ref="B142:C142"/>
    <mergeCell ref="B139:H139"/>
    <mergeCell ref="B135:H135"/>
    <mergeCell ref="B136:H136"/>
    <mergeCell ref="B137:H137"/>
    <mergeCell ref="B138:H138"/>
  </mergeCells>
  <hyperlinks>
    <hyperlink ref="I1" location="Index!B26" display="Index" xr:uid="{C7E0024F-2115-413C-8FC2-80AE09381C2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R150"/>
  <sheetViews>
    <sheetView showGridLines="0" workbookViewId="0">
      <selection activeCell="F84" sqref="F8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customWidth="1"/>
  </cols>
  <sheetData>
    <row r="1" spans="1:17" ht="15" x14ac:dyDescent="0.2">
      <c r="A1" s="250" t="s">
        <v>0</v>
      </c>
      <c r="B1" s="250"/>
      <c r="C1" s="250"/>
      <c r="D1" s="250"/>
      <c r="E1" s="250"/>
      <c r="F1" s="250"/>
      <c r="G1" s="250"/>
      <c r="H1" s="250"/>
      <c r="I1" s="35" t="s">
        <v>888</v>
      </c>
      <c r="J1" s="69"/>
    </row>
    <row r="2" spans="1:17" ht="15" customHeight="1" x14ac:dyDescent="0.2">
      <c r="A2" s="250" t="s">
        <v>857</v>
      </c>
      <c r="B2" s="250"/>
      <c r="C2" s="250"/>
      <c r="D2" s="250"/>
      <c r="E2" s="250"/>
      <c r="F2" s="250"/>
      <c r="G2" s="250"/>
      <c r="H2" s="250"/>
      <c r="J2" s="70" t="s">
        <v>889</v>
      </c>
      <c r="K2" s="66"/>
      <c r="L2" s="66"/>
      <c r="M2" s="66"/>
      <c r="N2" s="66"/>
    </row>
    <row r="3" spans="1:17" ht="15" x14ac:dyDescent="0.2">
      <c r="A3" s="250" t="s">
        <v>873</v>
      </c>
      <c r="B3" s="250"/>
      <c r="C3" s="250"/>
      <c r="D3" s="250"/>
      <c r="E3" s="250"/>
      <c r="F3" s="250"/>
      <c r="G3" s="250"/>
      <c r="H3" s="250"/>
      <c r="J3" s="69"/>
    </row>
    <row r="4" spans="1:17" s="28" customFormat="1" ht="30" x14ac:dyDescent="0.2">
      <c r="A4" s="161" t="s">
        <v>2</v>
      </c>
      <c r="B4" s="161" t="s">
        <v>3</v>
      </c>
      <c r="C4" s="161" t="s">
        <v>4</v>
      </c>
      <c r="D4" s="161" t="s">
        <v>5</v>
      </c>
      <c r="E4" s="161" t="s">
        <v>6</v>
      </c>
      <c r="F4" s="161" t="s">
        <v>7</v>
      </c>
      <c r="G4" s="161" t="s">
        <v>8</v>
      </c>
      <c r="H4" s="161" t="s">
        <v>872</v>
      </c>
      <c r="J4" s="72"/>
      <c r="O4"/>
      <c r="P4"/>
      <c r="Q4"/>
    </row>
    <row r="5" spans="1:17" ht="14.1" customHeight="1" x14ac:dyDescent="0.2">
      <c r="A5" s="162"/>
      <c r="B5" s="162"/>
      <c r="C5" s="163" t="s">
        <v>9</v>
      </c>
      <c r="D5" s="162"/>
      <c r="E5" s="162"/>
      <c r="F5" s="162"/>
      <c r="G5" s="162"/>
      <c r="H5" s="162"/>
      <c r="J5" s="69"/>
    </row>
    <row r="6" spans="1:17" ht="24" customHeight="1" x14ac:dyDescent="0.2">
      <c r="A6" s="162"/>
      <c r="B6" s="162"/>
      <c r="C6" s="163" t="s">
        <v>10</v>
      </c>
      <c r="D6" s="162"/>
      <c r="E6" s="162"/>
      <c r="F6" s="162"/>
      <c r="G6" s="162"/>
      <c r="H6" s="162"/>
      <c r="J6" s="69"/>
    </row>
    <row r="7" spans="1:17" ht="17.100000000000001" customHeight="1" x14ac:dyDescent="0.2">
      <c r="A7" s="164">
        <v>1</v>
      </c>
      <c r="B7" s="165" t="s">
        <v>14</v>
      </c>
      <c r="C7" s="165" t="s">
        <v>15</v>
      </c>
      <c r="D7" s="165" t="s">
        <v>16</v>
      </c>
      <c r="E7" s="166">
        <v>1043000</v>
      </c>
      <c r="F7" s="167">
        <v>30601.62</v>
      </c>
      <c r="G7" s="168">
        <v>8.919792E-2</v>
      </c>
      <c r="H7" s="167"/>
      <c r="J7" s="69"/>
    </row>
    <row r="8" spans="1:17" ht="17.100000000000001" customHeight="1" x14ac:dyDescent="0.2">
      <c r="A8" s="164">
        <v>2</v>
      </c>
      <c r="B8" s="165" t="s">
        <v>37</v>
      </c>
      <c r="C8" s="165" t="s">
        <v>38</v>
      </c>
      <c r="D8" s="165" t="s">
        <v>39</v>
      </c>
      <c r="E8" s="166">
        <v>2485000</v>
      </c>
      <c r="F8" s="167">
        <v>28587.439999999999</v>
      </c>
      <c r="G8" s="168">
        <v>8.3326960000000005E-2</v>
      </c>
      <c r="H8" s="167"/>
      <c r="J8" s="69"/>
    </row>
    <row r="9" spans="1:17" ht="17.100000000000001" customHeight="1" x14ac:dyDescent="0.2">
      <c r="A9" s="164">
        <v>3</v>
      </c>
      <c r="B9" s="165" t="s">
        <v>331</v>
      </c>
      <c r="C9" s="165" t="s">
        <v>332</v>
      </c>
      <c r="D9" s="165" t="s">
        <v>39</v>
      </c>
      <c r="E9" s="166">
        <v>1839000</v>
      </c>
      <c r="F9" s="167">
        <v>27954.638999999999</v>
      </c>
      <c r="G9" s="168">
        <v>8.1482470000000001E-2</v>
      </c>
      <c r="H9" s="167"/>
      <c r="J9" s="69"/>
    </row>
    <row r="10" spans="1:17" ht="17.100000000000001" customHeight="1" x14ac:dyDescent="0.2">
      <c r="A10" s="164">
        <v>4</v>
      </c>
      <c r="B10" s="165" t="s">
        <v>11</v>
      </c>
      <c r="C10" s="165" t="s">
        <v>12</v>
      </c>
      <c r="D10" s="165" t="s">
        <v>13</v>
      </c>
      <c r="E10" s="166">
        <v>602000</v>
      </c>
      <c r="F10" s="167">
        <v>21637.686000000002</v>
      </c>
      <c r="G10" s="168">
        <v>6.3069749999999994E-2</v>
      </c>
      <c r="H10" s="167"/>
      <c r="J10" s="69"/>
    </row>
    <row r="11" spans="1:17" ht="17.100000000000001" customHeight="1" x14ac:dyDescent="0.2">
      <c r="A11" s="164">
        <v>5</v>
      </c>
      <c r="B11" s="165" t="s">
        <v>337</v>
      </c>
      <c r="C11" s="165" t="s">
        <v>338</v>
      </c>
      <c r="D11" s="165" t="s">
        <v>232</v>
      </c>
      <c r="E11" s="166">
        <v>1205000</v>
      </c>
      <c r="F11" s="167">
        <v>17117.627499999999</v>
      </c>
      <c r="G11" s="168">
        <v>4.9894639999999997E-2</v>
      </c>
      <c r="H11" s="167"/>
      <c r="J11" s="69"/>
    </row>
    <row r="12" spans="1:17" ht="17.100000000000001" customHeight="1" x14ac:dyDescent="0.2">
      <c r="A12" s="164">
        <v>6</v>
      </c>
      <c r="B12" s="165" t="s">
        <v>54</v>
      </c>
      <c r="C12" s="165" t="s">
        <v>55</v>
      </c>
      <c r="D12" s="165" t="s">
        <v>39</v>
      </c>
      <c r="E12" s="166">
        <v>1798000</v>
      </c>
      <c r="F12" s="167">
        <v>14855.975</v>
      </c>
      <c r="G12" s="168">
        <v>4.3302350000000003E-2</v>
      </c>
      <c r="H12" s="167"/>
      <c r="J12" s="71"/>
    </row>
    <row r="13" spans="1:17" ht="17.100000000000001" customHeight="1" x14ac:dyDescent="0.2">
      <c r="A13" s="164">
        <v>7</v>
      </c>
      <c r="B13" s="165" t="s">
        <v>335</v>
      </c>
      <c r="C13" s="165" t="s">
        <v>336</v>
      </c>
      <c r="D13" s="165" t="s">
        <v>39</v>
      </c>
      <c r="E13" s="166">
        <v>1165000</v>
      </c>
      <c r="F13" s="167">
        <v>13582.735000000001</v>
      </c>
      <c r="G13" s="168">
        <v>3.9591099999999997E-2</v>
      </c>
      <c r="H13" s="167"/>
      <c r="J13" s="75" t="s">
        <v>955</v>
      </c>
    </row>
    <row r="14" spans="1:17" ht="17.100000000000001" customHeight="1" x14ac:dyDescent="0.2">
      <c r="A14" s="164">
        <v>8</v>
      </c>
      <c r="B14" s="165" t="s">
        <v>17</v>
      </c>
      <c r="C14" s="165" t="s">
        <v>18</v>
      </c>
      <c r="D14" s="165" t="s">
        <v>19</v>
      </c>
      <c r="E14" s="166">
        <v>977000</v>
      </c>
      <c r="F14" s="167">
        <v>12918.870999999999</v>
      </c>
      <c r="G14" s="168">
        <v>3.7656059999999998E-2</v>
      </c>
      <c r="H14" s="167"/>
      <c r="J14" s="69"/>
    </row>
    <row r="15" spans="1:17" ht="29.1" customHeight="1" x14ac:dyDescent="0.2">
      <c r="A15" s="164">
        <v>9</v>
      </c>
      <c r="B15" s="165" t="s">
        <v>346</v>
      </c>
      <c r="C15" s="165" t="s">
        <v>347</v>
      </c>
      <c r="D15" s="165" t="s">
        <v>216</v>
      </c>
      <c r="E15" s="166">
        <v>850000</v>
      </c>
      <c r="F15" s="167">
        <v>12767.85</v>
      </c>
      <c r="G15" s="168">
        <v>3.7215860000000003E-2</v>
      </c>
      <c r="H15" s="167"/>
      <c r="J15" s="69"/>
    </row>
    <row r="16" spans="1:17" ht="17.100000000000001" customHeight="1" x14ac:dyDescent="0.2">
      <c r="A16" s="164">
        <v>10</v>
      </c>
      <c r="B16" s="165" t="s">
        <v>532</v>
      </c>
      <c r="C16" s="165" t="s">
        <v>1053</v>
      </c>
      <c r="D16" s="165" t="s">
        <v>285</v>
      </c>
      <c r="E16" s="166">
        <v>1312000</v>
      </c>
      <c r="F16" s="167">
        <v>8951.1200000000008</v>
      </c>
      <c r="G16" s="168">
        <v>2.6090820000000001E-2</v>
      </c>
      <c r="H16" s="167"/>
      <c r="J16" s="69"/>
    </row>
    <row r="17" spans="1:10" ht="17.100000000000001" customHeight="1" x14ac:dyDescent="0.2">
      <c r="A17" s="164">
        <v>11</v>
      </c>
      <c r="B17" s="165" t="s">
        <v>621</v>
      </c>
      <c r="C17" s="165" t="s">
        <v>622</v>
      </c>
      <c r="D17" s="165" t="s">
        <v>285</v>
      </c>
      <c r="E17" s="166">
        <v>66000</v>
      </c>
      <c r="F17" s="167">
        <v>8459.5499999999993</v>
      </c>
      <c r="G17" s="168">
        <v>2.4657979999999999E-2</v>
      </c>
      <c r="H17" s="167"/>
      <c r="J17" s="69"/>
    </row>
    <row r="18" spans="1:10" ht="17.100000000000001" customHeight="1" x14ac:dyDescent="0.2">
      <c r="A18" s="164">
        <v>12</v>
      </c>
      <c r="B18" s="165" t="s">
        <v>339</v>
      </c>
      <c r="C18" s="165" t="s">
        <v>340</v>
      </c>
      <c r="D18" s="165" t="s">
        <v>232</v>
      </c>
      <c r="E18" s="166">
        <v>203752</v>
      </c>
      <c r="F18" s="167">
        <v>7784.6507879999999</v>
      </c>
      <c r="G18" s="168">
        <v>2.2690780000000001E-2</v>
      </c>
      <c r="H18" s="167"/>
      <c r="J18" s="69"/>
    </row>
    <row r="19" spans="1:10" ht="17.100000000000001" customHeight="1" x14ac:dyDescent="0.2">
      <c r="A19" s="164">
        <v>13</v>
      </c>
      <c r="B19" s="165" t="s">
        <v>20</v>
      </c>
      <c r="C19" s="165" t="s">
        <v>21</v>
      </c>
      <c r="D19" s="165" t="s">
        <v>22</v>
      </c>
      <c r="E19" s="166">
        <v>1967000</v>
      </c>
      <c r="F19" s="167">
        <v>7144.1440000000002</v>
      </c>
      <c r="G19" s="168">
        <v>2.082382E-2</v>
      </c>
      <c r="H19" s="167"/>
      <c r="J19" s="69"/>
    </row>
    <row r="20" spans="1:10" ht="17.100000000000001" customHeight="1" x14ac:dyDescent="0.2">
      <c r="A20" s="164">
        <v>14</v>
      </c>
      <c r="B20" s="165" t="s">
        <v>341</v>
      </c>
      <c r="C20" s="165" t="s">
        <v>342</v>
      </c>
      <c r="D20" s="165" t="s">
        <v>273</v>
      </c>
      <c r="E20" s="166">
        <v>475000</v>
      </c>
      <c r="F20" s="167">
        <v>7027.3874999999998</v>
      </c>
      <c r="G20" s="168">
        <v>2.0483500000000002E-2</v>
      </c>
      <c r="H20" s="167"/>
      <c r="J20" s="69"/>
    </row>
    <row r="21" spans="1:10" ht="17.100000000000001" customHeight="1" x14ac:dyDescent="0.2">
      <c r="A21" s="164">
        <v>15</v>
      </c>
      <c r="B21" s="165" t="s">
        <v>89</v>
      </c>
      <c r="C21" s="165" t="s">
        <v>90</v>
      </c>
      <c r="D21" s="165" t="s">
        <v>62</v>
      </c>
      <c r="E21" s="166">
        <v>168000</v>
      </c>
      <c r="F21" s="167">
        <v>6690.2640000000001</v>
      </c>
      <c r="G21" s="168">
        <v>1.950085E-2</v>
      </c>
      <c r="H21" s="167"/>
      <c r="J21" s="69"/>
    </row>
    <row r="22" spans="1:10" ht="17.100000000000001" customHeight="1" x14ac:dyDescent="0.2">
      <c r="A22" s="164">
        <v>16</v>
      </c>
      <c r="B22" s="165" t="s">
        <v>396</v>
      </c>
      <c r="C22" s="165" t="s">
        <v>397</v>
      </c>
      <c r="D22" s="165" t="s">
        <v>53</v>
      </c>
      <c r="E22" s="166">
        <v>381000</v>
      </c>
      <c r="F22" s="167">
        <v>6153.15</v>
      </c>
      <c r="G22" s="168">
        <v>1.793527E-2</v>
      </c>
      <c r="H22" s="167"/>
      <c r="J22" s="71"/>
    </row>
    <row r="23" spans="1:10" ht="17.100000000000001" customHeight="1" x14ac:dyDescent="0.2">
      <c r="A23" s="164">
        <v>17</v>
      </c>
      <c r="B23" s="165" t="s">
        <v>360</v>
      </c>
      <c r="C23" s="165" t="s">
        <v>361</v>
      </c>
      <c r="D23" s="165" t="s">
        <v>39</v>
      </c>
      <c r="E23" s="166">
        <v>398000</v>
      </c>
      <c r="F23" s="167">
        <v>6032.4859999999999</v>
      </c>
      <c r="G23" s="168">
        <v>1.758355E-2</v>
      </c>
      <c r="H23" s="167"/>
      <c r="J23" s="75" t="s">
        <v>956</v>
      </c>
    </row>
    <row r="24" spans="1:10" ht="29.1" customHeight="1" x14ac:dyDescent="0.2">
      <c r="A24" s="164">
        <v>18</v>
      </c>
      <c r="B24" s="165" t="s">
        <v>539</v>
      </c>
      <c r="C24" s="165" t="s">
        <v>540</v>
      </c>
      <c r="D24" s="165" t="s">
        <v>216</v>
      </c>
      <c r="E24" s="166">
        <v>424000</v>
      </c>
      <c r="F24" s="167">
        <v>5936</v>
      </c>
      <c r="G24" s="168">
        <v>1.7302310000000001E-2</v>
      </c>
      <c r="H24" s="167"/>
      <c r="J24" s="69"/>
    </row>
    <row r="25" spans="1:10" ht="17.100000000000001" customHeight="1" x14ac:dyDescent="0.2">
      <c r="A25" s="164">
        <v>19</v>
      </c>
      <c r="B25" s="165" t="s">
        <v>376</v>
      </c>
      <c r="C25" s="165" t="s">
        <v>377</v>
      </c>
      <c r="D25" s="165" t="s">
        <v>364</v>
      </c>
      <c r="E25" s="166">
        <v>260000</v>
      </c>
      <c r="F25" s="167">
        <v>5799.17</v>
      </c>
      <c r="G25" s="168">
        <v>1.6903479999999999E-2</v>
      </c>
      <c r="H25" s="167"/>
      <c r="J25" s="69"/>
    </row>
    <row r="26" spans="1:10" ht="29.1" customHeight="1" x14ac:dyDescent="0.2">
      <c r="A26" s="164">
        <v>20</v>
      </c>
      <c r="B26" s="165" t="s">
        <v>23</v>
      </c>
      <c r="C26" s="165" t="s">
        <v>24</v>
      </c>
      <c r="D26" s="165" t="s">
        <v>25</v>
      </c>
      <c r="E26" s="166">
        <v>50000</v>
      </c>
      <c r="F26" s="167">
        <v>4985.9250000000002</v>
      </c>
      <c r="G26" s="168">
        <v>1.4533030000000001E-2</v>
      </c>
      <c r="H26" s="167"/>
      <c r="J26" s="69"/>
    </row>
    <row r="27" spans="1:10" ht="17.100000000000001" customHeight="1" x14ac:dyDescent="0.2">
      <c r="A27" s="164">
        <v>21</v>
      </c>
      <c r="B27" s="165" t="s">
        <v>389</v>
      </c>
      <c r="C27" s="165" t="s">
        <v>390</v>
      </c>
      <c r="D27" s="165" t="s">
        <v>53</v>
      </c>
      <c r="E27" s="166">
        <v>63000</v>
      </c>
      <c r="F27" s="167">
        <v>4361.8365000000003</v>
      </c>
      <c r="G27" s="168">
        <v>1.271393E-2</v>
      </c>
      <c r="H27" s="167"/>
      <c r="J27" s="69"/>
    </row>
    <row r="28" spans="1:10" ht="17.100000000000001" customHeight="1" x14ac:dyDescent="0.2">
      <c r="A28" s="164">
        <v>22</v>
      </c>
      <c r="B28" s="165" t="s">
        <v>633</v>
      </c>
      <c r="C28" s="165" t="s">
        <v>634</v>
      </c>
      <c r="D28" s="165" t="s">
        <v>232</v>
      </c>
      <c r="E28" s="166">
        <v>337000</v>
      </c>
      <c r="F28" s="167">
        <v>4257.9949999999999</v>
      </c>
      <c r="G28" s="168">
        <v>1.241125E-2</v>
      </c>
      <c r="H28" s="167"/>
      <c r="J28" s="69"/>
    </row>
    <row r="29" spans="1:10" ht="29.1" customHeight="1" x14ac:dyDescent="0.2">
      <c r="A29" s="164">
        <v>23</v>
      </c>
      <c r="B29" s="165" t="s">
        <v>279</v>
      </c>
      <c r="C29" s="165" t="s">
        <v>280</v>
      </c>
      <c r="D29" s="165" t="s">
        <v>53</v>
      </c>
      <c r="E29" s="166">
        <v>348206</v>
      </c>
      <c r="F29" s="167">
        <v>4155.1421979999996</v>
      </c>
      <c r="G29" s="168">
        <v>1.2111449999999999E-2</v>
      </c>
      <c r="H29" s="167"/>
      <c r="J29" s="69"/>
    </row>
    <row r="30" spans="1:10" ht="17.100000000000001" customHeight="1" x14ac:dyDescent="0.2">
      <c r="A30" s="164">
        <v>24</v>
      </c>
      <c r="B30" s="165" t="s">
        <v>537</v>
      </c>
      <c r="C30" s="165" t="s">
        <v>538</v>
      </c>
      <c r="D30" s="165" t="s">
        <v>232</v>
      </c>
      <c r="E30" s="166">
        <v>285965</v>
      </c>
      <c r="F30" s="167">
        <v>3907.9976900000001</v>
      </c>
      <c r="G30" s="168">
        <v>1.139107E-2</v>
      </c>
      <c r="H30" s="167"/>
      <c r="J30" s="69"/>
    </row>
    <row r="31" spans="1:10" ht="17.100000000000001" customHeight="1" x14ac:dyDescent="0.2">
      <c r="A31" s="164">
        <v>25</v>
      </c>
      <c r="B31" s="165" t="s">
        <v>362</v>
      </c>
      <c r="C31" s="165" t="s">
        <v>363</v>
      </c>
      <c r="D31" s="165" t="s">
        <v>364</v>
      </c>
      <c r="E31" s="166">
        <v>885000</v>
      </c>
      <c r="F31" s="167">
        <v>3855.5025000000001</v>
      </c>
      <c r="G31" s="168">
        <v>1.1238059999999999E-2</v>
      </c>
      <c r="H31" s="167"/>
      <c r="J31" s="69"/>
    </row>
    <row r="32" spans="1:10" ht="17.100000000000001" customHeight="1" x14ac:dyDescent="0.2">
      <c r="A32" s="164">
        <v>26</v>
      </c>
      <c r="B32" s="165" t="s">
        <v>617</v>
      </c>
      <c r="C32" s="165" t="s">
        <v>618</v>
      </c>
      <c r="D32" s="165" t="s">
        <v>273</v>
      </c>
      <c r="E32" s="166">
        <v>326000</v>
      </c>
      <c r="F32" s="167">
        <v>3837.02</v>
      </c>
      <c r="G32" s="168">
        <v>1.118419E-2</v>
      </c>
      <c r="H32" s="167"/>
      <c r="J32" s="69"/>
    </row>
    <row r="33" spans="1:10" ht="17.100000000000001" customHeight="1" x14ac:dyDescent="0.2">
      <c r="A33" s="164">
        <v>27</v>
      </c>
      <c r="B33" s="165" t="s">
        <v>545</v>
      </c>
      <c r="C33" s="165" t="s">
        <v>546</v>
      </c>
      <c r="D33" s="165" t="s">
        <v>39</v>
      </c>
      <c r="E33" s="166">
        <v>220000</v>
      </c>
      <c r="F33" s="167">
        <v>3572.69</v>
      </c>
      <c r="G33" s="168">
        <v>1.041371E-2</v>
      </c>
      <c r="H33" s="167"/>
      <c r="J33" s="69"/>
    </row>
    <row r="34" spans="1:10" ht="29.1" customHeight="1" x14ac:dyDescent="0.2">
      <c r="A34" s="164">
        <v>28</v>
      </c>
      <c r="B34" s="165" t="s">
        <v>97</v>
      </c>
      <c r="C34" s="165" t="s">
        <v>98</v>
      </c>
      <c r="D34" s="165" t="s">
        <v>99</v>
      </c>
      <c r="E34" s="166">
        <v>267000</v>
      </c>
      <c r="F34" s="167">
        <v>3537.4830000000002</v>
      </c>
      <c r="G34" s="168">
        <v>1.031109E-2</v>
      </c>
      <c r="H34" s="167"/>
      <c r="J34" s="69"/>
    </row>
    <row r="35" spans="1:10" ht="17.100000000000001" customHeight="1" x14ac:dyDescent="0.2">
      <c r="A35" s="164">
        <v>29</v>
      </c>
      <c r="B35" s="165" t="s">
        <v>766</v>
      </c>
      <c r="C35" s="165" t="s">
        <v>767</v>
      </c>
      <c r="D35" s="165" t="s">
        <v>276</v>
      </c>
      <c r="E35" s="166">
        <v>140000</v>
      </c>
      <c r="F35" s="167">
        <v>3510.36</v>
      </c>
      <c r="G35" s="168">
        <v>1.023203E-2</v>
      </c>
      <c r="H35" s="167"/>
      <c r="J35" s="69"/>
    </row>
    <row r="36" spans="1:10" ht="17.100000000000001" customHeight="1" x14ac:dyDescent="0.2">
      <c r="A36" s="164">
        <v>30</v>
      </c>
      <c r="B36" s="165" t="s">
        <v>382</v>
      </c>
      <c r="C36" s="165" t="s">
        <v>383</v>
      </c>
      <c r="D36" s="165" t="s">
        <v>75</v>
      </c>
      <c r="E36" s="166">
        <v>95000</v>
      </c>
      <c r="F36" s="167">
        <v>3409.7874999999999</v>
      </c>
      <c r="G36" s="168">
        <v>9.9388800000000006E-3</v>
      </c>
      <c r="H36" s="167"/>
      <c r="J36" s="69"/>
    </row>
    <row r="37" spans="1:10" ht="29.1" customHeight="1" x14ac:dyDescent="0.2">
      <c r="A37" s="164">
        <v>31</v>
      </c>
      <c r="B37" s="165" t="s">
        <v>541</v>
      </c>
      <c r="C37" s="165" t="s">
        <v>542</v>
      </c>
      <c r="D37" s="165" t="s">
        <v>414</v>
      </c>
      <c r="E37" s="166">
        <v>305000</v>
      </c>
      <c r="F37" s="167">
        <v>3380.4675000000002</v>
      </c>
      <c r="G37" s="168">
        <v>9.8534199999999999E-3</v>
      </c>
      <c r="H37" s="167"/>
      <c r="J37" s="69"/>
    </row>
    <row r="38" spans="1:10" ht="29.1" customHeight="1" x14ac:dyDescent="0.2">
      <c r="A38" s="164">
        <v>32</v>
      </c>
      <c r="B38" s="165" t="s">
        <v>354</v>
      </c>
      <c r="C38" s="165" t="s">
        <v>355</v>
      </c>
      <c r="D38" s="165" t="s">
        <v>216</v>
      </c>
      <c r="E38" s="166">
        <v>52000</v>
      </c>
      <c r="F38" s="167">
        <v>3226.2359999999999</v>
      </c>
      <c r="G38" s="168">
        <v>9.4038699999999999E-3</v>
      </c>
      <c r="H38" s="167"/>
      <c r="J38" s="69"/>
    </row>
    <row r="39" spans="1:10" ht="17.100000000000001" customHeight="1" x14ac:dyDescent="0.2">
      <c r="A39" s="164">
        <v>33</v>
      </c>
      <c r="B39" s="165" t="s">
        <v>143</v>
      </c>
      <c r="C39" s="165" t="s">
        <v>144</v>
      </c>
      <c r="D39" s="165" t="s">
        <v>104</v>
      </c>
      <c r="E39" s="166">
        <v>493000</v>
      </c>
      <c r="F39" s="167">
        <v>3082.9755</v>
      </c>
      <c r="G39" s="168">
        <v>8.9862899999999992E-3</v>
      </c>
      <c r="H39" s="167"/>
      <c r="J39" s="69"/>
    </row>
    <row r="40" spans="1:10" ht="17.100000000000001" customHeight="1" x14ac:dyDescent="0.2">
      <c r="A40" s="164">
        <v>34</v>
      </c>
      <c r="B40" s="165" t="s">
        <v>756</v>
      </c>
      <c r="C40" s="165" t="s">
        <v>757</v>
      </c>
      <c r="D40" s="165" t="s">
        <v>75</v>
      </c>
      <c r="E40" s="166">
        <v>106000</v>
      </c>
      <c r="F40" s="167">
        <v>3048.4540000000002</v>
      </c>
      <c r="G40" s="168">
        <v>8.88567E-3</v>
      </c>
      <c r="H40" s="167"/>
      <c r="J40" s="69"/>
    </row>
    <row r="41" spans="1:10" ht="17.100000000000001" customHeight="1" x14ac:dyDescent="0.2">
      <c r="A41" s="164">
        <v>35</v>
      </c>
      <c r="B41" s="165" t="s">
        <v>374</v>
      </c>
      <c r="C41" s="165" t="s">
        <v>375</v>
      </c>
      <c r="D41" s="165" t="s">
        <v>210</v>
      </c>
      <c r="E41" s="166">
        <v>63000</v>
      </c>
      <c r="F41" s="167">
        <v>2900.3939999999998</v>
      </c>
      <c r="G41" s="168">
        <v>8.4541000000000009E-3</v>
      </c>
      <c r="H41" s="167"/>
      <c r="J41" s="69"/>
    </row>
    <row r="42" spans="1:10" ht="17.100000000000001" customHeight="1" x14ac:dyDescent="0.2">
      <c r="A42" s="164">
        <v>36</v>
      </c>
      <c r="B42" s="165" t="s">
        <v>263</v>
      </c>
      <c r="C42" s="165" t="s">
        <v>264</v>
      </c>
      <c r="D42" s="165" t="s">
        <v>210</v>
      </c>
      <c r="E42" s="166">
        <v>47000</v>
      </c>
      <c r="F42" s="167">
        <v>2845.2624999999998</v>
      </c>
      <c r="G42" s="168">
        <v>8.2933999999999994E-3</v>
      </c>
      <c r="H42" s="167"/>
      <c r="J42" s="69"/>
    </row>
    <row r="43" spans="1:10" ht="17.100000000000001" customHeight="1" x14ac:dyDescent="0.2">
      <c r="A43" s="164">
        <v>37</v>
      </c>
      <c r="B43" s="165" t="s">
        <v>58</v>
      </c>
      <c r="C43" s="165" t="s">
        <v>59</v>
      </c>
      <c r="D43" s="165" t="s">
        <v>19</v>
      </c>
      <c r="E43" s="166">
        <v>319000</v>
      </c>
      <c r="F43" s="167">
        <v>2764.1350000000002</v>
      </c>
      <c r="G43" s="168">
        <v>8.0569300000000003E-3</v>
      </c>
      <c r="H43" s="167"/>
      <c r="J43" s="69"/>
    </row>
    <row r="44" spans="1:10" ht="29.1" customHeight="1" x14ac:dyDescent="0.2">
      <c r="A44" s="164">
        <v>38</v>
      </c>
      <c r="B44" s="165" t="s">
        <v>404</v>
      </c>
      <c r="C44" s="165" t="s">
        <v>405</v>
      </c>
      <c r="D44" s="165" t="s">
        <v>406</v>
      </c>
      <c r="E44" s="166">
        <v>16757</v>
      </c>
      <c r="F44" s="167">
        <v>2709.6571709999998</v>
      </c>
      <c r="G44" s="168">
        <v>7.8981399999999997E-3</v>
      </c>
      <c r="H44" s="167"/>
      <c r="J44" s="69"/>
    </row>
    <row r="45" spans="1:10" ht="17.100000000000001" customHeight="1" x14ac:dyDescent="0.2">
      <c r="A45" s="164">
        <v>39</v>
      </c>
      <c r="B45" s="165" t="s">
        <v>333</v>
      </c>
      <c r="C45" s="165" t="s">
        <v>334</v>
      </c>
      <c r="D45" s="165" t="s">
        <v>210</v>
      </c>
      <c r="E45" s="166">
        <v>1228000</v>
      </c>
      <c r="F45" s="167">
        <v>2371.8820000000001</v>
      </c>
      <c r="G45" s="168">
        <v>6.9135899999999998E-3</v>
      </c>
      <c r="H45" s="167"/>
      <c r="J45" s="69"/>
    </row>
    <row r="46" spans="1:10" ht="17.100000000000001" customHeight="1" x14ac:dyDescent="0.2">
      <c r="A46" s="164">
        <v>40</v>
      </c>
      <c r="B46" s="165" t="s">
        <v>343</v>
      </c>
      <c r="C46" s="165" t="s">
        <v>344</v>
      </c>
      <c r="D46" s="165" t="s">
        <v>345</v>
      </c>
      <c r="E46" s="166">
        <v>352868</v>
      </c>
      <c r="F46" s="167">
        <v>2273.8813919999998</v>
      </c>
      <c r="G46" s="168">
        <v>6.6279299999999998E-3</v>
      </c>
      <c r="H46" s="167"/>
      <c r="J46" s="69"/>
    </row>
    <row r="47" spans="1:10" ht="17.100000000000001" customHeight="1" x14ac:dyDescent="0.2">
      <c r="A47" s="164">
        <v>41</v>
      </c>
      <c r="B47" s="165" t="s">
        <v>794</v>
      </c>
      <c r="C47" s="165" t="s">
        <v>795</v>
      </c>
      <c r="D47" s="165" t="s">
        <v>75</v>
      </c>
      <c r="E47" s="166">
        <v>127000</v>
      </c>
      <c r="F47" s="167">
        <v>2113.2800000000002</v>
      </c>
      <c r="G47" s="168">
        <v>6.1598099999999999E-3</v>
      </c>
      <c r="H47" s="167"/>
      <c r="J47" s="69"/>
    </row>
    <row r="48" spans="1:10" ht="17.100000000000001" customHeight="1" x14ac:dyDescent="0.2">
      <c r="A48" s="164">
        <v>42</v>
      </c>
      <c r="B48" s="165" t="s">
        <v>535</v>
      </c>
      <c r="C48" s="165" t="s">
        <v>536</v>
      </c>
      <c r="D48" s="165" t="s">
        <v>235</v>
      </c>
      <c r="E48" s="166">
        <v>143000</v>
      </c>
      <c r="F48" s="167">
        <v>2054.2665000000002</v>
      </c>
      <c r="G48" s="168">
        <v>5.9877999999999997E-3</v>
      </c>
      <c r="H48" s="167"/>
      <c r="J48" s="69"/>
    </row>
    <row r="49" spans="1:10" ht="17.100000000000001" customHeight="1" x14ac:dyDescent="0.2">
      <c r="A49" s="164">
        <v>43</v>
      </c>
      <c r="B49" s="165" t="s">
        <v>258</v>
      </c>
      <c r="C49" s="165" t="s">
        <v>259</v>
      </c>
      <c r="D49" s="165" t="s">
        <v>39</v>
      </c>
      <c r="E49" s="166">
        <v>1309658</v>
      </c>
      <c r="F49" s="167">
        <v>2019.4926359999999</v>
      </c>
      <c r="G49" s="168">
        <v>5.8864399999999997E-3</v>
      </c>
      <c r="H49" s="167"/>
      <c r="J49" s="69"/>
    </row>
    <row r="50" spans="1:10" ht="29.1" customHeight="1" x14ac:dyDescent="0.2">
      <c r="A50" s="164">
        <v>44</v>
      </c>
      <c r="B50" s="165" t="s">
        <v>597</v>
      </c>
      <c r="C50" s="165" t="s">
        <v>598</v>
      </c>
      <c r="D50" s="165" t="s">
        <v>599</v>
      </c>
      <c r="E50" s="166">
        <v>370035</v>
      </c>
      <c r="F50" s="167">
        <v>1849.064895</v>
      </c>
      <c r="G50" s="168">
        <v>5.3896700000000001E-3</v>
      </c>
      <c r="H50" s="167"/>
      <c r="J50" s="69"/>
    </row>
    <row r="51" spans="1:10" ht="17.100000000000001" customHeight="1" x14ac:dyDescent="0.2">
      <c r="A51" s="164">
        <v>45</v>
      </c>
      <c r="B51" s="165" t="s">
        <v>734</v>
      </c>
      <c r="C51" s="165" t="s">
        <v>735</v>
      </c>
      <c r="D51" s="165" t="s">
        <v>276</v>
      </c>
      <c r="E51" s="166">
        <v>38000</v>
      </c>
      <c r="F51" s="167">
        <v>1814.8610000000001</v>
      </c>
      <c r="G51" s="168">
        <v>5.2899799999999997E-3</v>
      </c>
      <c r="H51" s="167"/>
      <c r="J51" s="69"/>
    </row>
    <row r="52" spans="1:10" ht="17.100000000000001" customHeight="1" x14ac:dyDescent="0.2">
      <c r="A52" s="164">
        <v>46</v>
      </c>
      <c r="B52" s="165" t="s">
        <v>352</v>
      </c>
      <c r="C52" s="165" t="s">
        <v>353</v>
      </c>
      <c r="D52" s="165" t="s">
        <v>39</v>
      </c>
      <c r="E52" s="166">
        <v>225000</v>
      </c>
      <c r="F52" s="167">
        <v>1399.3875</v>
      </c>
      <c r="G52" s="168">
        <v>4.0789499999999996E-3</v>
      </c>
      <c r="H52" s="167"/>
      <c r="J52" s="69"/>
    </row>
    <row r="53" spans="1:10" ht="17.100000000000001" customHeight="1" x14ac:dyDescent="0.2">
      <c r="A53" s="164">
        <v>47</v>
      </c>
      <c r="B53" s="165" t="s">
        <v>365</v>
      </c>
      <c r="C53" s="165" t="s">
        <v>366</v>
      </c>
      <c r="D53" s="165" t="s">
        <v>114</v>
      </c>
      <c r="E53" s="166">
        <v>800000</v>
      </c>
      <c r="F53" s="167">
        <v>1320</v>
      </c>
      <c r="G53" s="168">
        <v>3.8475499999999999E-3</v>
      </c>
      <c r="H53" s="167"/>
      <c r="J53" s="69"/>
    </row>
    <row r="54" spans="1:10" ht="17.100000000000001" customHeight="1" x14ac:dyDescent="0.2">
      <c r="A54" s="164">
        <v>48</v>
      </c>
      <c r="B54" s="165" t="s">
        <v>31</v>
      </c>
      <c r="C54" s="165" t="s">
        <v>32</v>
      </c>
      <c r="D54" s="165" t="s">
        <v>33</v>
      </c>
      <c r="E54" s="166">
        <v>18000</v>
      </c>
      <c r="F54" s="167">
        <v>1177.335</v>
      </c>
      <c r="G54" s="168">
        <v>3.4317100000000001E-3</v>
      </c>
      <c r="H54" s="167"/>
      <c r="J54" s="69"/>
    </row>
    <row r="55" spans="1:10" ht="17.100000000000001" customHeight="1" x14ac:dyDescent="0.2">
      <c r="A55" s="164">
        <v>49</v>
      </c>
      <c r="B55" s="165" t="s">
        <v>831</v>
      </c>
      <c r="C55" s="165" t="s">
        <v>832</v>
      </c>
      <c r="D55" s="165" t="s">
        <v>213</v>
      </c>
      <c r="E55" s="166">
        <v>19000</v>
      </c>
      <c r="F55" s="167">
        <v>1129.9490000000001</v>
      </c>
      <c r="G55" s="168">
        <v>3.2935899999999999E-3</v>
      </c>
      <c r="H55" s="167"/>
      <c r="J55" s="69"/>
    </row>
    <row r="56" spans="1:10" ht="29.1" customHeight="1" x14ac:dyDescent="0.2">
      <c r="A56" s="164">
        <v>50</v>
      </c>
      <c r="B56" s="165" t="s">
        <v>356</v>
      </c>
      <c r="C56" s="165" t="s">
        <v>357</v>
      </c>
      <c r="D56" s="165" t="s">
        <v>216</v>
      </c>
      <c r="E56" s="166">
        <v>91000</v>
      </c>
      <c r="F56" s="167">
        <v>1049.6849999999999</v>
      </c>
      <c r="G56" s="168">
        <v>3.0596299999999998E-3</v>
      </c>
      <c r="H56" s="167"/>
      <c r="J56" s="69"/>
    </row>
    <row r="57" spans="1:10" ht="29.1" customHeight="1" x14ac:dyDescent="0.2">
      <c r="A57" s="164">
        <v>51</v>
      </c>
      <c r="B57" s="165" t="s">
        <v>246</v>
      </c>
      <c r="C57" s="165" t="s">
        <v>247</v>
      </c>
      <c r="D57" s="165" t="s">
        <v>216</v>
      </c>
      <c r="E57" s="166">
        <v>18000</v>
      </c>
      <c r="F57" s="167">
        <v>869.94899999999996</v>
      </c>
      <c r="G57" s="168">
        <v>2.5357399999999999E-3</v>
      </c>
      <c r="H57" s="167"/>
      <c r="J57" s="69"/>
    </row>
    <row r="58" spans="1:10" ht="29.1" customHeight="1" x14ac:dyDescent="0.2">
      <c r="A58" s="164">
        <v>52</v>
      </c>
      <c r="B58" s="165" t="s">
        <v>800</v>
      </c>
      <c r="C58" s="165" t="s">
        <v>801</v>
      </c>
      <c r="D58" s="165" t="s">
        <v>414</v>
      </c>
      <c r="E58" s="166">
        <v>165000</v>
      </c>
      <c r="F58" s="167">
        <v>854.7</v>
      </c>
      <c r="G58" s="168">
        <v>2.4912900000000002E-3</v>
      </c>
      <c r="H58" s="167"/>
      <c r="J58" s="69"/>
    </row>
    <row r="59" spans="1:10" ht="17.100000000000001" customHeight="1" x14ac:dyDescent="0.2">
      <c r="A59" s="164">
        <v>53</v>
      </c>
      <c r="B59" s="165" t="s">
        <v>827</v>
      </c>
      <c r="C59" s="165" t="s">
        <v>828</v>
      </c>
      <c r="D59" s="165" t="s">
        <v>232</v>
      </c>
      <c r="E59" s="166">
        <v>15000</v>
      </c>
      <c r="F59" s="167">
        <v>705.96</v>
      </c>
      <c r="G59" s="168">
        <v>2.0577400000000002E-3</v>
      </c>
      <c r="H59" s="167"/>
      <c r="J59" s="69"/>
    </row>
    <row r="60" spans="1:10" ht="17.100000000000001" customHeight="1" x14ac:dyDescent="0.2">
      <c r="A60" s="164">
        <v>54</v>
      </c>
      <c r="B60" s="165" t="s">
        <v>348</v>
      </c>
      <c r="C60" s="165" t="s">
        <v>349</v>
      </c>
      <c r="D60" s="165" t="s">
        <v>285</v>
      </c>
      <c r="E60" s="166">
        <v>58791</v>
      </c>
      <c r="F60" s="167">
        <v>592.55448899999999</v>
      </c>
      <c r="G60" s="168">
        <v>1.72718E-3</v>
      </c>
      <c r="H60" s="167"/>
      <c r="J60" s="69"/>
    </row>
    <row r="61" spans="1:10" ht="29.1" customHeight="1" x14ac:dyDescent="0.2">
      <c r="A61" s="164">
        <v>55</v>
      </c>
      <c r="B61" s="165" t="s">
        <v>141</v>
      </c>
      <c r="C61" s="165" t="s">
        <v>142</v>
      </c>
      <c r="D61" s="165" t="s">
        <v>25</v>
      </c>
      <c r="E61" s="166">
        <v>31690</v>
      </c>
      <c r="F61" s="167">
        <v>582.50973499999998</v>
      </c>
      <c r="G61" s="168">
        <v>1.69791E-3</v>
      </c>
      <c r="H61" s="167"/>
      <c r="J61" s="69"/>
    </row>
    <row r="62" spans="1:10" ht="17.100000000000001" customHeight="1" x14ac:dyDescent="0.2">
      <c r="A62" s="164">
        <v>56</v>
      </c>
      <c r="B62" s="165" t="s">
        <v>412</v>
      </c>
      <c r="C62" s="165" t="s">
        <v>413</v>
      </c>
      <c r="D62" s="165" t="s">
        <v>53</v>
      </c>
      <c r="E62" s="166">
        <v>137000</v>
      </c>
      <c r="F62" s="167">
        <v>516.49</v>
      </c>
      <c r="G62" s="168">
        <v>1.5054700000000001E-3</v>
      </c>
      <c r="H62" s="167"/>
      <c r="J62" s="69"/>
    </row>
    <row r="63" spans="1:10" ht="14.1" customHeight="1" x14ac:dyDescent="0.2">
      <c r="A63" s="162"/>
      <c r="B63" s="162"/>
      <c r="C63" s="163" t="s">
        <v>152</v>
      </c>
      <c r="D63" s="162"/>
      <c r="E63" s="162" t="s">
        <v>153</v>
      </c>
      <c r="F63" s="169">
        <v>342046.93499400001</v>
      </c>
      <c r="G63" s="170">
        <v>0.99700195999999996</v>
      </c>
      <c r="H63" s="167"/>
      <c r="J63" s="69"/>
    </row>
    <row r="64" spans="1:10" ht="14.1" customHeight="1" x14ac:dyDescent="0.2">
      <c r="A64" s="162"/>
      <c r="B64" s="162"/>
      <c r="C64" s="171"/>
      <c r="D64" s="162"/>
      <c r="E64" s="162"/>
      <c r="F64" s="172"/>
      <c r="G64" s="172"/>
      <c r="H64" s="167"/>
      <c r="J64" s="69"/>
    </row>
    <row r="65" spans="1:10" ht="14.1" customHeight="1" x14ac:dyDescent="0.2">
      <c r="A65" s="162"/>
      <c r="B65" s="162"/>
      <c r="C65" s="163" t="s">
        <v>154</v>
      </c>
      <c r="D65" s="162"/>
      <c r="E65" s="162"/>
      <c r="F65" s="162"/>
      <c r="G65" s="162"/>
      <c r="H65" s="167"/>
      <c r="J65" s="69"/>
    </row>
    <row r="66" spans="1:10" ht="14.1" customHeight="1" x14ac:dyDescent="0.2">
      <c r="A66" s="162"/>
      <c r="B66" s="162"/>
      <c r="C66" s="163" t="s">
        <v>152</v>
      </c>
      <c r="D66" s="162"/>
      <c r="E66" s="162" t="s">
        <v>153</v>
      </c>
      <c r="F66" s="173" t="s">
        <v>155</v>
      </c>
      <c r="G66" s="170">
        <v>0</v>
      </c>
      <c r="H66" s="167"/>
      <c r="J66" s="69"/>
    </row>
    <row r="67" spans="1:10" ht="14.1" customHeight="1" x14ac:dyDescent="0.2">
      <c r="A67" s="162"/>
      <c r="B67" s="162"/>
      <c r="C67" s="171"/>
      <c r="D67" s="162"/>
      <c r="E67" s="162"/>
      <c r="F67" s="172"/>
      <c r="G67" s="172"/>
      <c r="H67" s="167"/>
      <c r="J67" s="69"/>
    </row>
    <row r="68" spans="1:10" ht="14.1" customHeight="1" x14ac:dyDescent="0.2">
      <c r="A68" s="162"/>
      <c r="B68" s="162"/>
      <c r="C68" s="163" t="s">
        <v>156</v>
      </c>
      <c r="D68" s="162"/>
      <c r="E68" s="162"/>
      <c r="F68" s="162"/>
      <c r="G68" s="162"/>
      <c r="H68" s="167"/>
      <c r="J68" s="69"/>
    </row>
    <row r="69" spans="1:10" ht="14.1" customHeight="1" x14ac:dyDescent="0.2">
      <c r="A69" s="162"/>
      <c r="B69" s="162"/>
      <c r="C69" s="163" t="s">
        <v>152</v>
      </c>
      <c r="D69" s="162"/>
      <c r="E69" s="162" t="s">
        <v>153</v>
      </c>
      <c r="F69" s="173" t="s">
        <v>155</v>
      </c>
      <c r="G69" s="170">
        <v>0</v>
      </c>
      <c r="H69" s="167"/>
      <c r="J69" s="69"/>
    </row>
    <row r="70" spans="1:10" ht="14.1" customHeight="1" x14ac:dyDescent="0.2">
      <c r="A70" s="162"/>
      <c r="B70" s="162"/>
      <c r="C70" s="171"/>
      <c r="D70" s="162"/>
      <c r="E70" s="162"/>
      <c r="F70" s="172"/>
      <c r="G70" s="172"/>
      <c r="H70" s="167"/>
      <c r="J70" s="69"/>
    </row>
    <row r="71" spans="1:10" ht="14.1" customHeight="1" x14ac:dyDescent="0.2">
      <c r="A71" s="162"/>
      <c r="B71" s="162"/>
      <c r="C71" s="163" t="s">
        <v>157</v>
      </c>
      <c r="D71" s="162"/>
      <c r="E71" s="162"/>
      <c r="F71" s="162"/>
      <c r="G71" s="162"/>
      <c r="H71" s="167"/>
      <c r="J71" s="69"/>
    </row>
    <row r="72" spans="1:10" ht="14.1" customHeight="1" x14ac:dyDescent="0.2">
      <c r="A72" s="162"/>
      <c r="B72" s="162"/>
      <c r="C72" s="163" t="s">
        <v>152</v>
      </c>
      <c r="D72" s="162"/>
      <c r="E72" s="162" t="s">
        <v>153</v>
      </c>
      <c r="F72" s="173" t="s">
        <v>155</v>
      </c>
      <c r="G72" s="170">
        <v>0</v>
      </c>
      <c r="H72" s="167"/>
      <c r="J72" s="69"/>
    </row>
    <row r="73" spans="1:10" ht="14.1" customHeight="1" x14ac:dyDescent="0.2">
      <c r="A73" s="162"/>
      <c r="B73" s="162"/>
      <c r="C73" s="171"/>
      <c r="D73" s="162"/>
      <c r="E73" s="162"/>
      <c r="F73" s="172"/>
      <c r="G73" s="172"/>
      <c r="H73" s="167"/>
      <c r="J73" s="69"/>
    </row>
    <row r="74" spans="1:10" ht="14.1" customHeight="1" x14ac:dyDescent="0.2">
      <c r="A74" s="162"/>
      <c r="B74" s="162"/>
      <c r="C74" s="163" t="s">
        <v>158</v>
      </c>
      <c r="D74" s="162"/>
      <c r="E74" s="162"/>
      <c r="F74" s="172"/>
      <c r="G74" s="172"/>
      <c r="H74" s="167"/>
      <c r="J74" s="69"/>
    </row>
    <row r="75" spans="1:10" ht="14.1" customHeight="1" x14ac:dyDescent="0.2">
      <c r="A75" s="162"/>
      <c r="B75" s="162"/>
      <c r="C75" s="163" t="s">
        <v>152</v>
      </c>
      <c r="D75" s="162"/>
      <c r="E75" s="162" t="s">
        <v>153</v>
      </c>
      <c r="F75" s="173" t="s">
        <v>155</v>
      </c>
      <c r="G75" s="170">
        <v>0</v>
      </c>
      <c r="H75" s="167"/>
      <c r="J75" s="69"/>
    </row>
    <row r="76" spans="1:10" ht="14.1" customHeight="1" x14ac:dyDescent="0.2">
      <c r="A76" s="162"/>
      <c r="B76" s="162"/>
      <c r="C76" s="171"/>
      <c r="D76" s="162"/>
      <c r="E76" s="162"/>
      <c r="F76" s="172"/>
      <c r="G76" s="172"/>
      <c r="H76" s="167"/>
      <c r="J76" s="69"/>
    </row>
    <row r="77" spans="1:10" ht="14.1" customHeight="1" x14ac:dyDescent="0.2">
      <c r="A77" s="162"/>
      <c r="B77" s="162"/>
      <c r="C77" s="163" t="s">
        <v>159</v>
      </c>
      <c r="D77" s="162"/>
      <c r="E77" s="162"/>
      <c r="F77" s="172"/>
      <c r="G77" s="172"/>
      <c r="H77" s="167"/>
      <c r="J77" s="69"/>
    </row>
    <row r="78" spans="1:10" ht="14.1" customHeight="1" x14ac:dyDescent="0.2">
      <c r="A78" s="162"/>
      <c r="B78" s="162"/>
      <c r="C78" s="163" t="s">
        <v>152</v>
      </c>
      <c r="D78" s="162"/>
      <c r="E78" s="162" t="s">
        <v>153</v>
      </c>
      <c r="F78" s="173" t="s">
        <v>155</v>
      </c>
      <c r="G78" s="170">
        <v>0</v>
      </c>
      <c r="H78" s="167"/>
      <c r="J78" s="69"/>
    </row>
    <row r="79" spans="1:10" ht="14.1" customHeight="1" x14ac:dyDescent="0.2">
      <c r="A79" s="162"/>
      <c r="B79" s="162"/>
      <c r="C79" s="171"/>
      <c r="D79" s="162"/>
      <c r="E79" s="162"/>
      <c r="F79" s="172"/>
      <c r="G79" s="172"/>
      <c r="H79" s="167"/>
      <c r="J79" s="69"/>
    </row>
    <row r="80" spans="1:10" ht="18" customHeight="1" x14ac:dyDescent="0.2">
      <c r="A80" s="162"/>
      <c r="B80" s="162"/>
      <c r="C80" s="163" t="s">
        <v>160</v>
      </c>
      <c r="D80" s="162"/>
      <c r="E80" s="162"/>
      <c r="F80" s="169">
        <v>342046.93499400001</v>
      </c>
      <c r="G80" s="170">
        <v>0.99700195999999996</v>
      </c>
      <c r="H80" s="167"/>
      <c r="J80" s="69"/>
    </row>
    <row r="81" spans="1:10" ht="14.1" customHeight="1" x14ac:dyDescent="0.2">
      <c r="A81" s="162"/>
      <c r="B81" s="162"/>
      <c r="C81" s="171"/>
      <c r="D81" s="162"/>
      <c r="E81" s="162"/>
      <c r="F81" s="172"/>
      <c r="G81" s="172"/>
      <c r="H81" s="167"/>
      <c r="J81" s="69"/>
    </row>
    <row r="82" spans="1:10" ht="14.1" customHeight="1" x14ac:dyDescent="0.2">
      <c r="A82" s="162"/>
      <c r="B82" s="162"/>
      <c r="C82" s="163" t="s">
        <v>161</v>
      </c>
      <c r="D82" s="162"/>
      <c r="E82" s="162"/>
      <c r="F82" s="172"/>
      <c r="G82" s="172"/>
      <c r="H82" s="167"/>
      <c r="J82" s="69"/>
    </row>
    <row r="83" spans="1:10" ht="24" customHeight="1" x14ac:dyDescent="0.2">
      <c r="A83" s="162"/>
      <c r="B83" s="162"/>
      <c r="C83" s="163" t="s">
        <v>10</v>
      </c>
      <c r="D83" s="162"/>
      <c r="E83" s="162"/>
      <c r="F83" s="172"/>
      <c r="G83" s="172"/>
      <c r="H83" s="167"/>
      <c r="J83" s="69"/>
    </row>
    <row r="84" spans="1:10" ht="29.1" customHeight="1" x14ac:dyDescent="0.2">
      <c r="A84" s="164">
        <v>1</v>
      </c>
      <c r="B84" s="165" t="s">
        <v>743</v>
      </c>
      <c r="C84" s="165" t="s">
        <v>744</v>
      </c>
      <c r="D84" s="165" t="s">
        <v>432</v>
      </c>
      <c r="E84" s="166">
        <v>28980</v>
      </c>
      <c r="F84" s="167">
        <v>8.3856519309999999</v>
      </c>
      <c r="G84" s="168" t="s">
        <v>151</v>
      </c>
      <c r="H84" s="167">
        <v>7.585</v>
      </c>
      <c r="J84" s="69"/>
    </row>
    <row r="85" spans="1:10" ht="14.1" customHeight="1" x14ac:dyDescent="0.2">
      <c r="A85" s="162"/>
      <c r="B85" s="162"/>
      <c r="C85" s="163" t="s">
        <v>152</v>
      </c>
      <c r="D85" s="162"/>
      <c r="E85" s="162" t="s">
        <v>153</v>
      </c>
      <c r="F85" s="169">
        <v>8.3856519309999999</v>
      </c>
      <c r="G85" s="170">
        <v>2.444E-5</v>
      </c>
      <c r="H85" s="167"/>
      <c r="J85" s="69"/>
    </row>
    <row r="86" spans="1:10" ht="14.1" customHeight="1" x14ac:dyDescent="0.2">
      <c r="A86" s="162"/>
      <c r="B86" s="162"/>
      <c r="C86" s="171"/>
      <c r="D86" s="162"/>
      <c r="E86" s="162"/>
      <c r="F86" s="172"/>
      <c r="G86" s="172"/>
      <c r="H86" s="167"/>
      <c r="J86" s="69"/>
    </row>
    <row r="87" spans="1:10" ht="14.1" customHeight="1" x14ac:dyDescent="0.2">
      <c r="A87" s="162"/>
      <c r="B87" s="162"/>
      <c r="C87" s="163" t="s">
        <v>162</v>
      </c>
      <c r="D87" s="162"/>
      <c r="E87" s="162"/>
      <c r="F87" s="162"/>
      <c r="G87" s="162"/>
      <c r="H87" s="167"/>
      <c r="J87" s="69"/>
    </row>
    <row r="88" spans="1:10" ht="14.1" customHeight="1" x14ac:dyDescent="0.2">
      <c r="A88" s="162"/>
      <c r="B88" s="162"/>
      <c r="C88" s="163" t="s">
        <v>152</v>
      </c>
      <c r="D88" s="162"/>
      <c r="E88" s="162" t="s">
        <v>153</v>
      </c>
      <c r="F88" s="173" t="s">
        <v>155</v>
      </c>
      <c r="G88" s="170">
        <v>0</v>
      </c>
      <c r="H88" s="167"/>
      <c r="J88" s="69"/>
    </row>
    <row r="89" spans="1:10" ht="14.1" customHeight="1" x14ac:dyDescent="0.2">
      <c r="A89" s="162"/>
      <c r="B89" s="162"/>
      <c r="C89" s="171"/>
      <c r="D89" s="162"/>
      <c r="E89" s="162"/>
      <c r="F89" s="172"/>
      <c r="G89" s="172"/>
      <c r="H89" s="167"/>
      <c r="J89" s="69"/>
    </row>
    <row r="90" spans="1:10" ht="14.1" customHeight="1" x14ac:dyDescent="0.2">
      <c r="A90" s="162"/>
      <c r="B90" s="162"/>
      <c r="C90" s="163" t="s">
        <v>163</v>
      </c>
      <c r="D90" s="162"/>
      <c r="E90" s="162"/>
      <c r="F90" s="162"/>
      <c r="G90" s="162"/>
      <c r="H90" s="167"/>
      <c r="J90" s="69"/>
    </row>
    <row r="91" spans="1:10" ht="14.1" customHeight="1" x14ac:dyDescent="0.2">
      <c r="A91" s="162"/>
      <c r="B91" s="162"/>
      <c r="C91" s="163" t="s">
        <v>152</v>
      </c>
      <c r="D91" s="162"/>
      <c r="E91" s="162" t="s">
        <v>153</v>
      </c>
      <c r="F91" s="173" t="s">
        <v>155</v>
      </c>
      <c r="G91" s="170">
        <v>0</v>
      </c>
      <c r="H91" s="167"/>
      <c r="J91" s="69"/>
    </row>
    <row r="92" spans="1:10" ht="14.1" customHeight="1" x14ac:dyDescent="0.2">
      <c r="A92" s="162"/>
      <c r="B92" s="162"/>
      <c r="C92" s="171"/>
      <c r="D92" s="162"/>
      <c r="E92" s="162"/>
      <c r="F92" s="172"/>
      <c r="G92" s="172"/>
      <c r="H92" s="167"/>
      <c r="J92" s="69"/>
    </row>
    <row r="93" spans="1:10" ht="14.1" customHeight="1" x14ac:dyDescent="0.2">
      <c r="A93" s="162"/>
      <c r="B93" s="162"/>
      <c r="C93" s="163" t="s">
        <v>164</v>
      </c>
      <c r="D93" s="162"/>
      <c r="E93" s="162"/>
      <c r="F93" s="172"/>
      <c r="G93" s="172"/>
      <c r="H93" s="167"/>
      <c r="J93" s="69"/>
    </row>
    <row r="94" spans="1:10" ht="14.1" customHeight="1" x14ac:dyDescent="0.2">
      <c r="A94" s="162"/>
      <c r="B94" s="162"/>
      <c r="C94" s="163" t="s">
        <v>152</v>
      </c>
      <c r="D94" s="162"/>
      <c r="E94" s="162" t="s">
        <v>153</v>
      </c>
      <c r="F94" s="173" t="s">
        <v>155</v>
      </c>
      <c r="G94" s="170">
        <v>0</v>
      </c>
      <c r="H94" s="167"/>
      <c r="J94" s="69"/>
    </row>
    <row r="95" spans="1:10" ht="14.1" customHeight="1" x14ac:dyDescent="0.2">
      <c r="A95" s="162"/>
      <c r="B95" s="162"/>
      <c r="C95" s="171"/>
      <c r="D95" s="162"/>
      <c r="E95" s="162"/>
      <c r="F95" s="172"/>
      <c r="G95" s="172"/>
      <c r="H95" s="167"/>
      <c r="J95" s="69"/>
    </row>
    <row r="96" spans="1:10" ht="14.1" customHeight="1" x14ac:dyDescent="0.2">
      <c r="A96" s="162"/>
      <c r="B96" s="162"/>
      <c r="C96" s="163" t="s">
        <v>165</v>
      </c>
      <c r="D96" s="162"/>
      <c r="E96" s="162"/>
      <c r="F96" s="169">
        <v>8.3856519309999999</v>
      </c>
      <c r="G96" s="170">
        <v>2.444E-5</v>
      </c>
      <c r="H96" s="167"/>
      <c r="J96" s="69"/>
    </row>
    <row r="97" spans="1:10" ht="14.1" customHeight="1" x14ac:dyDescent="0.2">
      <c r="A97" s="162"/>
      <c r="B97" s="162"/>
      <c r="C97" s="171"/>
      <c r="D97" s="162"/>
      <c r="E97" s="162"/>
      <c r="F97" s="172"/>
      <c r="G97" s="172"/>
      <c r="H97" s="167"/>
      <c r="J97" s="69"/>
    </row>
    <row r="98" spans="1:10" ht="14.1" customHeight="1" x14ac:dyDescent="0.2">
      <c r="A98" s="162"/>
      <c r="B98" s="162"/>
      <c r="C98" s="163" t="s">
        <v>166</v>
      </c>
      <c r="D98" s="162"/>
      <c r="E98" s="162"/>
      <c r="F98" s="172"/>
      <c r="G98" s="172"/>
      <c r="H98" s="167"/>
      <c r="J98" s="69"/>
    </row>
    <row r="99" spans="1:10" ht="14.1" customHeight="1" x14ac:dyDescent="0.2">
      <c r="A99" s="162"/>
      <c r="B99" s="162"/>
      <c r="C99" s="163" t="s">
        <v>167</v>
      </c>
      <c r="D99" s="162"/>
      <c r="E99" s="162"/>
      <c r="F99" s="172"/>
      <c r="G99" s="172"/>
      <c r="H99" s="167"/>
      <c r="J99" s="69"/>
    </row>
    <row r="100" spans="1:10" ht="14.1" customHeight="1" x14ac:dyDescent="0.2">
      <c r="A100" s="162"/>
      <c r="B100" s="162"/>
      <c r="C100" s="163" t="s">
        <v>152</v>
      </c>
      <c r="D100" s="162"/>
      <c r="E100" s="162" t="s">
        <v>153</v>
      </c>
      <c r="F100" s="173" t="s">
        <v>155</v>
      </c>
      <c r="G100" s="170">
        <v>0</v>
      </c>
      <c r="H100" s="167"/>
      <c r="J100" s="69"/>
    </row>
    <row r="101" spans="1:10" ht="14.1" customHeight="1" x14ac:dyDescent="0.2">
      <c r="A101" s="162"/>
      <c r="B101" s="162"/>
      <c r="C101" s="171"/>
      <c r="D101" s="162"/>
      <c r="E101" s="162"/>
      <c r="F101" s="172"/>
      <c r="G101" s="172"/>
      <c r="H101" s="167"/>
      <c r="J101" s="69"/>
    </row>
    <row r="102" spans="1:10" ht="14.1" customHeight="1" x14ac:dyDescent="0.2">
      <c r="A102" s="162"/>
      <c r="B102" s="162"/>
      <c r="C102" s="163" t="s">
        <v>168</v>
      </c>
      <c r="D102" s="162"/>
      <c r="E102" s="162"/>
      <c r="F102" s="172"/>
      <c r="G102" s="172"/>
      <c r="H102" s="167"/>
      <c r="J102" s="69"/>
    </row>
    <row r="103" spans="1:10" ht="14.1" customHeight="1" x14ac:dyDescent="0.2">
      <c r="A103" s="162"/>
      <c r="B103" s="162"/>
      <c r="C103" s="163" t="s">
        <v>152</v>
      </c>
      <c r="D103" s="162"/>
      <c r="E103" s="162" t="s">
        <v>153</v>
      </c>
      <c r="F103" s="173" t="s">
        <v>155</v>
      </c>
      <c r="G103" s="170">
        <v>0</v>
      </c>
      <c r="H103" s="167"/>
      <c r="J103" s="69"/>
    </row>
    <row r="104" spans="1:10" ht="14.1" customHeight="1" x14ac:dyDescent="0.2">
      <c r="A104" s="162"/>
      <c r="B104" s="162"/>
      <c r="C104" s="171"/>
      <c r="D104" s="162"/>
      <c r="E104" s="162"/>
      <c r="F104" s="172"/>
      <c r="G104" s="172"/>
      <c r="H104" s="167"/>
      <c r="J104" s="69"/>
    </row>
    <row r="105" spans="1:10" ht="14.1" customHeight="1" x14ac:dyDescent="0.2">
      <c r="A105" s="162"/>
      <c r="B105" s="162"/>
      <c r="C105" s="163" t="s">
        <v>169</v>
      </c>
      <c r="D105" s="162"/>
      <c r="E105" s="162"/>
      <c r="F105" s="172"/>
      <c r="G105" s="172"/>
      <c r="H105" s="167"/>
      <c r="J105" s="69"/>
    </row>
    <row r="106" spans="1:10" ht="14.1" customHeight="1" x14ac:dyDescent="0.2">
      <c r="A106" s="162"/>
      <c r="B106" s="162"/>
      <c r="C106" s="163" t="s">
        <v>152</v>
      </c>
      <c r="D106" s="162"/>
      <c r="E106" s="162" t="s">
        <v>153</v>
      </c>
      <c r="F106" s="173" t="s">
        <v>155</v>
      </c>
      <c r="G106" s="170">
        <v>0</v>
      </c>
      <c r="H106" s="167"/>
      <c r="J106" s="69"/>
    </row>
    <row r="107" spans="1:10" ht="14.1" customHeight="1" x14ac:dyDescent="0.2">
      <c r="A107" s="162"/>
      <c r="B107" s="162"/>
      <c r="C107" s="171"/>
      <c r="D107" s="162"/>
      <c r="E107" s="162"/>
      <c r="F107" s="172"/>
      <c r="G107" s="172"/>
      <c r="H107" s="167"/>
      <c r="J107" s="69"/>
    </row>
    <row r="108" spans="1:10" ht="14.1" customHeight="1" x14ac:dyDescent="0.2">
      <c r="A108" s="162"/>
      <c r="B108" s="162"/>
      <c r="C108" s="163" t="s">
        <v>170</v>
      </c>
      <c r="D108" s="162"/>
      <c r="E108" s="162"/>
      <c r="F108" s="172"/>
      <c r="G108" s="172"/>
      <c r="H108" s="167"/>
      <c r="J108" s="69"/>
    </row>
    <row r="109" spans="1:10" ht="17.100000000000001" customHeight="1" x14ac:dyDescent="0.2">
      <c r="A109" s="164">
        <v>1</v>
      </c>
      <c r="B109" s="165"/>
      <c r="C109" s="165" t="s">
        <v>171</v>
      </c>
      <c r="D109" s="165"/>
      <c r="E109" s="174"/>
      <c r="F109" s="167">
        <v>1877.876095807</v>
      </c>
      <c r="G109" s="168">
        <v>5.47365E-3</v>
      </c>
      <c r="H109" s="175">
        <v>6.66</v>
      </c>
      <c r="J109" s="69"/>
    </row>
    <row r="110" spans="1:10" ht="14.1" customHeight="1" x14ac:dyDescent="0.2">
      <c r="A110" s="162"/>
      <c r="B110" s="162"/>
      <c r="C110" s="163" t="s">
        <v>152</v>
      </c>
      <c r="D110" s="162"/>
      <c r="E110" s="162" t="s">
        <v>153</v>
      </c>
      <c r="F110" s="169">
        <v>1877.876095807</v>
      </c>
      <c r="G110" s="170">
        <v>5.47365E-3</v>
      </c>
      <c r="H110" s="167"/>
      <c r="J110" s="69"/>
    </row>
    <row r="111" spans="1:10" ht="14.1" customHeight="1" x14ac:dyDescent="0.2">
      <c r="A111" s="162"/>
      <c r="B111" s="162"/>
      <c r="C111" s="171"/>
      <c r="D111" s="162"/>
      <c r="E111" s="162"/>
      <c r="F111" s="172"/>
      <c r="G111" s="172"/>
      <c r="H111" s="167"/>
      <c r="J111" s="69"/>
    </row>
    <row r="112" spans="1:10" ht="14.1" customHeight="1" x14ac:dyDescent="0.2">
      <c r="A112" s="162"/>
      <c r="B112" s="162"/>
      <c r="C112" s="163" t="s">
        <v>172</v>
      </c>
      <c r="D112" s="162"/>
      <c r="E112" s="162"/>
      <c r="F112" s="169">
        <v>1877.876095807</v>
      </c>
      <c r="G112" s="170">
        <v>5.47365E-3</v>
      </c>
      <c r="H112" s="167"/>
      <c r="J112" s="69"/>
    </row>
    <row r="113" spans="1:14" ht="14.1" customHeight="1" x14ac:dyDescent="0.2">
      <c r="A113" s="162"/>
      <c r="B113" s="162"/>
      <c r="C113" s="172"/>
      <c r="D113" s="162"/>
      <c r="E113" s="162"/>
      <c r="F113" s="162"/>
      <c r="G113" s="162"/>
      <c r="H113" s="167"/>
      <c r="J113" s="69"/>
    </row>
    <row r="114" spans="1:14" ht="14.1" customHeight="1" x14ac:dyDescent="0.2">
      <c r="A114" s="162"/>
      <c r="B114" s="162"/>
      <c r="C114" s="163" t="s">
        <v>173</v>
      </c>
      <c r="D114" s="162"/>
      <c r="E114" s="162"/>
      <c r="F114" s="162"/>
      <c r="G114" s="162"/>
      <c r="H114" s="167"/>
      <c r="J114" s="69"/>
    </row>
    <row r="115" spans="1:14" ht="14.1" customHeight="1" x14ac:dyDescent="0.2">
      <c r="A115" s="162"/>
      <c r="B115" s="162"/>
      <c r="C115" s="163" t="s">
        <v>174</v>
      </c>
      <c r="D115" s="162"/>
      <c r="E115" s="162"/>
      <c r="F115" s="162"/>
      <c r="G115" s="162"/>
      <c r="H115" s="167"/>
      <c r="J115" s="69"/>
    </row>
    <row r="116" spans="1:14" ht="14.1" customHeight="1" x14ac:dyDescent="0.2">
      <c r="A116" s="162"/>
      <c r="B116" s="162"/>
      <c r="C116" s="163" t="s">
        <v>152</v>
      </c>
      <c r="D116" s="162"/>
      <c r="E116" s="162" t="s">
        <v>153</v>
      </c>
      <c r="F116" s="173" t="s">
        <v>155</v>
      </c>
      <c r="G116" s="170">
        <v>0</v>
      </c>
      <c r="H116" s="167"/>
      <c r="J116" s="69"/>
    </row>
    <row r="117" spans="1:14" ht="14.1" customHeight="1" x14ac:dyDescent="0.2">
      <c r="A117" s="162"/>
      <c r="B117" s="162"/>
      <c r="C117" s="171"/>
      <c r="D117" s="162"/>
      <c r="E117" s="162"/>
      <c r="F117" s="172"/>
      <c r="G117" s="172"/>
      <c r="H117" s="167"/>
      <c r="J117" s="69"/>
    </row>
    <row r="118" spans="1:14" ht="14.1" customHeight="1" x14ac:dyDescent="0.2">
      <c r="A118" s="162"/>
      <c r="B118" s="162"/>
      <c r="C118" s="163" t="s">
        <v>177</v>
      </c>
      <c r="D118" s="162"/>
      <c r="E118" s="162"/>
      <c r="F118" s="162"/>
      <c r="G118" s="162"/>
      <c r="H118" s="167"/>
      <c r="J118" s="69"/>
    </row>
    <row r="119" spans="1:14" ht="14.1" customHeight="1" x14ac:dyDescent="0.2">
      <c r="A119" s="162"/>
      <c r="B119" s="162"/>
      <c r="C119" s="163" t="s">
        <v>178</v>
      </c>
      <c r="D119" s="162"/>
      <c r="E119" s="162"/>
      <c r="F119" s="162"/>
      <c r="G119" s="162"/>
      <c r="H119" s="167"/>
      <c r="J119" s="69"/>
    </row>
    <row r="120" spans="1:14" ht="14.1" customHeight="1" x14ac:dyDescent="0.2">
      <c r="A120" s="162"/>
      <c r="B120" s="162"/>
      <c r="C120" s="163" t="s">
        <v>152</v>
      </c>
      <c r="D120" s="162"/>
      <c r="E120" s="162" t="s">
        <v>153</v>
      </c>
      <c r="F120" s="173" t="s">
        <v>155</v>
      </c>
      <c r="G120" s="170">
        <v>0</v>
      </c>
      <c r="H120" s="167"/>
      <c r="J120" s="69"/>
    </row>
    <row r="121" spans="1:14" ht="14.1" customHeight="1" x14ac:dyDescent="0.2">
      <c r="A121" s="162"/>
      <c r="B121" s="162"/>
      <c r="C121" s="171"/>
      <c r="D121" s="162"/>
      <c r="E121" s="162"/>
      <c r="F121" s="172"/>
      <c r="G121" s="172"/>
      <c r="H121" s="167"/>
      <c r="J121" s="69"/>
    </row>
    <row r="122" spans="1:14" ht="24" customHeight="1" x14ac:dyDescent="0.2">
      <c r="A122" s="162"/>
      <c r="B122" s="162"/>
      <c r="C122" s="163" t="s">
        <v>179</v>
      </c>
      <c r="D122" s="162"/>
      <c r="E122" s="162"/>
      <c r="F122" s="172"/>
      <c r="G122" s="172"/>
      <c r="H122" s="167"/>
      <c r="J122" s="69"/>
    </row>
    <row r="123" spans="1:14" ht="14.1" customHeight="1" x14ac:dyDescent="0.2">
      <c r="A123" s="162"/>
      <c r="B123" s="162"/>
      <c r="C123" s="163" t="s">
        <v>152</v>
      </c>
      <c r="D123" s="162"/>
      <c r="E123" s="162" t="s">
        <v>153</v>
      </c>
      <c r="F123" s="173" t="s">
        <v>155</v>
      </c>
      <c r="G123" s="170">
        <v>0</v>
      </c>
      <c r="H123" s="167"/>
      <c r="J123" s="69"/>
    </row>
    <row r="124" spans="1:14" ht="14.1" customHeight="1" x14ac:dyDescent="0.2">
      <c r="A124" s="162"/>
      <c r="B124" s="165"/>
      <c r="C124" s="165"/>
      <c r="D124" s="163"/>
      <c r="E124" s="162"/>
      <c r="F124" s="165"/>
      <c r="G124" s="174"/>
      <c r="H124" s="167"/>
      <c r="J124" s="69"/>
      <c r="K124" s="30"/>
      <c r="L124" s="30"/>
      <c r="M124" s="30"/>
      <c r="N124" s="30"/>
    </row>
    <row r="125" spans="1:14" ht="18" customHeight="1" x14ac:dyDescent="0.2">
      <c r="A125" s="174"/>
      <c r="B125" s="165"/>
      <c r="C125" s="232" t="s">
        <v>1092</v>
      </c>
      <c r="D125" s="165"/>
      <c r="E125" s="174"/>
      <c r="F125" s="167">
        <v>-857.69016827999997</v>
      </c>
      <c r="G125" s="168">
        <v>-2.5000000000000001E-3</v>
      </c>
      <c r="H125" s="167"/>
      <c r="J125" s="69"/>
    </row>
    <row r="126" spans="1:14" ht="14.1" customHeight="1" x14ac:dyDescent="0.2">
      <c r="A126" s="171"/>
      <c r="B126" s="171"/>
      <c r="C126" s="163" t="s">
        <v>181</v>
      </c>
      <c r="D126" s="172"/>
      <c r="E126" s="172"/>
      <c r="F126" s="169">
        <v>343075.50657345803</v>
      </c>
      <c r="G126" s="177">
        <v>1.0000000499999999</v>
      </c>
      <c r="H126" s="177"/>
      <c r="J126" s="69"/>
    </row>
    <row r="127" spans="1:14" ht="14.1" customHeight="1" x14ac:dyDescent="0.2">
      <c r="A127" s="178"/>
      <c r="B127" s="178"/>
      <c r="C127" s="178"/>
      <c r="D127" s="179"/>
      <c r="E127" s="179"/>
      <c r="F127" s="179"/>
      <c r="G127" s="179"/>
      <c r="H127" s="179"/>
      <c r="J127" s="69"/>
    </row>
    <row r="128" spans="1:14" ht="12.75" customHeight="1" x14ac:dyDescent="0.2">
      <c r="A128" s="180"/>
      <c r="B128" s="258" t="s">
        <v>882</v>
      </c>
      <c r="C128" s="258"/>
      <c r="D128" s="258"/>
      <c r="E128" s="258"/>
      <c r="F128" s="258"/>
      <c r="G128" s="258"/>
      <c r="H128" s="258"/>
      <c r="J128" s="75"/>
    </row>
    <row r="129" spans="1:18" ht="14.1" customHeight="1" x14ac:dyDescent="0.2">
      <c r="A129" s="180"/>
      <c r="B129" s="258" t="s">
        <v>883</v>
      </c>
      <c r="C129" s="258"/>
      <c r="D129" s="258"/>
      <c r="E129" s="258"/>
      <c r="F129" s="258"/>
      <c r="G129" s="258"/>
      <c r="H129" s="258"/>
      <c r="J129" s="75"/>
    </row>
    <row r="130" spans="1:18" ht="17.100000000000001" customHeight="1" x14ac:dyDescent="0.2">
      <c r="A130" s="180"/>
      <c r="B130" s="258" t="s">
        <v>884</v>
      </c>
      <c r="C130" s="258"/>
      <c r="D130" s="258"/>
      <c r="E130" s="258"/>
      <c r="F130" s="258"/>
      <c r="G130" s="258"/>
      <c r="H130" s="258"/>
      <c r="J130" s="75"/>
    </row>
    <row r="131" spans="1:18" s="34" customFormat="1" ht="62.25" customHeight="1" x14ac:dyDescent="0.25">
      <c r="A131" s="33"/>
      <c r="B131" s="259" t="s">
        <v>885</v>
      </c>
      <c r="C131" s="259"/>
      <c r="D131" s="259"/>
      <c r="E131" s="259"/>
      <c r="F131" s="259"/>
      <c r="G131" s="259"/>
      <c r="H131" s="259"/>
      <c r="I131"/>
      <c r="J131" s="75"/>
      <c r="K131"/>
      <c r="L131"/>
      <c r="M131"/>
      <c r="N131"/>
      <c r="O131"/>
      <c r="P131"/>
      <c r="Q131"/>
    </row>
    <row r="132" spans="1:18" ht="12.75" customHeight="1" x14ac:dyDescent="0.2">
      <c r="A132" s="180"/>
      <c r="B132" s="258" t="s">
        <v>886</v>
      </c>
      <c r="C132" s="258"/>
      <c r="D132" s="258"/>
      <c r="E132" s="258"/>
      <c r="F132" s="258"/>
      <c r="G132" s="258"/>
      <c r="H132" s="258"/>
      <c r="J132" s="75"/>
    </row>
    <row r="133" spans="1:18" ht="14.1" customHeight="1" x14ac:dyDescent="0.2">
      <c r="A133" s="181"/>
      <c r="B133" s="181"/>
      <c r="C133" s="181"/>
      <c r="D133" s="182"/>
      <c r="E133" s="182"/>
      <c r="F133" s="182"/>
      <c r="G133" s="182"/>
      <c r="H133" s="182"/>
      <c r="J133" s="69"/>
    </row>
    <row r="134" spans="1:18" ht="14.1" customHeight="1" x14ac:dyDescent="0.25">
      <c r="A134" s="181"/>
      <c r="B134" s="255" t="s">
        <v>183</v>
      </c>
      <c r="C134" s="256"/>
      <c r="D134" s="257"/>
      <c r="E134" s="183"/>
      <c r="F134" s="182"/>
      <c r="G134" s="182"/>
      <c r="H134" s="182"/>
      <c r="J134" s="69"/>
      <c r="R134" s="34"/>
    </row>
    <row r="135" spans="1:18" ht="29.1" customHeight="1" x14ac:dyDescent="0.2">
      <c r="A135" s="181"/>
      <c r="B135" s="253" t="s">
        <v>184</v>
      </c>
      <c r="C135" s="254"/>
      <c r="D135" s="163" t="s">
        <v>185</v>
      </c>
      <c r="E135" s="183"/>
      <c r="F135" s="182"/>
      <c r="G135" s="182"/>
      <c r="H135" s="182"/>
      <c r="J135" s="69"/>
    </row>
    <row r="136" spans="1:18" ht="17.100000000000001" customHeight="1" x14ac:dyDescent="0.2">
      <c r="A136" s="181"/>
      <c r="B136" s="253" t="s">
        <v>186</v>
      </c>
      <c r="C136" s="254"/>
      <c r="D136" s="163" t="s">
        <v>185</v>
      </c>
      <c r="E136" s="183"/>
      <c r="F136" s="182"/>
      <c r="G136" s="182"/>
      <c r="H136" s="182"/>
      <c r="J136" s="69"/>
    </row>
    <row r="137" spans="1:18" ht="17.100000000000001" customHeight="1" x14ac:dyDescent="0.2">
      <c r="A137" s="181"/>
      <c r="B137" s="253" t="s">
        <v>187</v>
      </c>
      <c r="C137" s="254"/>
      <c r="D137" s="172" t="s">
        <v>153</v>
      </c>
      <c r="E137" s="183"/>
      <c r="F137" s="182"/>
      <c r="G137" s="182"/>
      <c r="H137" s="182"/>
      <c r="J137" s="69"/>
    </row>
    <row r="138" spans="1:18" x14ac:dyDescent="0.2">
      <c r="A138" s="185"/>
      <c r="B138" s="186" t="s">
        <v>153</v>
      </c>
      <c r="C138" s="186" t="s">
        <v>1088</v>
      </c>
      <c r="D138" s="186" t="s">
        <v>188</v>
      </c>
      <c r="E138" s="185"/>
      <c r="F138" s="185"/>
      <c r="G138" s="185"/>
      <c r="H138" s="185"/>
      <c r="J138" s="69"/>
    </row>
    <row r="139" spans="1:18" x14ac:dyDescent="0.2">
      <c r="A139" s="185"/>
      <c r="B139" s="187" t="s">
        <v>189</v>
      </c>
      <c r="C139" s="186" t="s">
        <v>190</v>
      </c>
      <c r="D139" s="186" t="s">
        <v>191</v>
      </c>
      <c r="E139" s="185"/>
      <c r="F139" s="185"/>
      <c r="G139" s="185"/>
      <c r="H139" s="185"/>
      <c r="J139" s="69"/>
    </row>
    <row r="140" spans="1:18" ht="17.100000000000001" customHeight="1" x14ac:dyDescent="0.2">
      <c r="A140" s="185"/>
      <c r="B140" s="165" t="s">
        <v>192</v>
      </c>
      <c r="C140" s="188">
        <v>20.531400000000001</v>
      </c>
      <c r="D140" s="188">
        <v>20.756499999999999</v>
      </c>
      <c r="E140" s="185"/>
      <c r="F140" s="189"/>
      <c r="G140" s="190"/>
      <c r="H140" s="190"/>
      <c r="J140" s="69"/>
    </row>
    <row r="141" spans="1:18" ht="17.100000000000001" customHeight="1" x14ac:dyDescent="0.2">
      <c r="A141" s="185"/>
      <c r="B141" s="165" t="s">
        <v>1054</v>
      </c>
      <c r="C141" s="188">
        <v>17.4358</v>
      </c>
      <c r="D141" s="188">
        <v>17.626999999999999</v>
      </c>
      <c r="E141" s="185"/>
      <c r="F141" s="189"/>
      <c r="G141" s="190"/>
      <c r="H141" s="190"/>
      <c r="J141" s="69"/>
    </row>
    <row r="142" spans="1:18" ht="17.100000000000001" customHeight="1" x14ac:dyDescent="0.2">
      <c r="A142" s="185"/>
      <c r="B142" s="165" t="s">
        <v>193</v>
      </c>
      <c r="C142" s="188">
        <v>19.444299999999998</v>
      </c>
      <c r="D142" s="188">
        <v>19.636399999999998</v>
      </c>
      <c r="E142" s="185"/>
      <c r="F142" s="189"/>
      <c r="G142" s="190"/>
      <c r="H142" s="190"/>
      <c r="J142" s="69"/>
    </row>
    <row r="143" spans="1:18" ht="17.100000000000001" customHeight="1" x14ac:dyDescent="0.2">
      <c r="A143" s="185"/>
      <c r="B143" s="165" t="s">
        <v>1055</v>
      </c>
      <c r="C143" s="188">
        <v>16.497</v>
      </c>
      <c r="D143" s="188">
        <v>16.6599</v>
      </c>
      <c r="E143" s="185"/>
      <c r="F143" s="189"/>
      <c r="G143" s="190"/>
      <c r="H143" s="190"/>
      <c r="J143" s="69"/>
    </row>
    <row r="144" spans="1:18" ht="14.1" customHeight="1" x14ac:dyDescent="0.2">
      <c r="A144" s="185"/>
      <c r="B144" s="185"/>
      <c r="C144" s="185"/>
      <c r="D144" s="185"/>
      <c r="E144" s="185"/>
      <c r="F144" s="185"/>
      <c r="G144" s="185"/>
      <c r="H144" s="185"/>
      <c r="J144" s="69"/>
    </row>
    <row r="145" spans="1:10" ht="17.100000000000001" customHeight="1" x14ac:dyDescent="0.2">
      <c r="A145" s="185"/>
      <c r="B145" s="253" t="s">
        <v>1056</v>
      </c>
      <c r="C145" s="254"/>
      <c r="D145" s="163" t="s">
        <v>185</v>
      </c>
      <c r="E145" s="185"/>
      <c r="F145" s="185"/>
      <c r="G145" s="185"/>
      <c r="H145" s="185"/>
      <c r="J145" s="69"/>
    </row>
    <row r="146" spans="1:10" ht="14.1" customHeight="1" x14ac:dyDescent="0.2">
      <c r="A146" s="185"/>
      <c r="B146" s="189"/>
      <c r="C146" s="189"/>
      <c r="D146" s="185"/>
      <c r="E146" s="185"/>
      <c r="F146" s="185"/>
      <c r="G146" s="185"/>
      <c r="H146" s="185"/>
      <c r="J146" s="69"/>
    </row>
    <row r="147" spans="1:10" ht="29.1" customHeight="1" x14ac:dyDescent="0.2">
      <c r="A147" s="185"/>
      <c r="B147" s="253" t="s">
        <v>194</v>
      </c>
      <c r="C147" s="254"/>
      <c r="D147" s="163" t="s">
        <v>185</v>
      </c>
      <c r="E147" s="191"/>
      <c r="F147" s="185"/>
      <c r="G147" s="185"/>
      <c r="H147" s="185"/>
      <c r="J147" s="69"/>
    </row>
    <row r="148" spans="1:10" ht="29.1" customHeight="1" x14ac:dyDescent="0.2">
      <c r="A148" s="185"/>
      <c r="B148" s="253" t="s">
        <v>195</v>
      </c>
      <c r="C148" s="254"/>
      <c r="D148" s="163" t="s">
        <v>185</v>
      </c>
      <c r="E148" s="191"/>
      <c r="F148" s="185"/>
      <c r="G148" s="185"/>
      <c r="H148" s="185"/>
      <c r="J148" s="69"/>
    </row>
    <row r="149" spans="1:10" ht="17.100000000000001" customHeight="1" x14ac:dyDescent="0.2">
      <c r="A149" s="185"/>
      <c r="B149" s="253" t="s">
        <v>196</v>
      </c>
      <c r="C149" s="254"/>
      <c r="D149" s="163" t="s">
        <v>185</v>
      </c>
      <c r="E149" s="191"/>
      <c r="F149" s="185"/>
      <c r="G149" s="185"/>
      <c r="H149" s="185"/>
      <c r="J149" s="69"/>
    </row>
    <row r="150" spans="1:10" ht="17.100000000000001" customHeight="1" x14ac:dyDescent="0.2">
      <c r="A150" s="185"/>
      <c r="B150" s="253" t="s">
        <v>197</v>
      </c>
      <c r="C150" s="254"/>
      <c r="D150" s="192">
        <v>0.15847001727725235</v>
      </c>
      <c r="E150" s="185"/>
      <c r="F150" s="189"/>
      <c r="G150" s="190"/>
      <c r="H150" s="190"/>
      <c r="J150" s="69"/>
    </row>
  </sheetData>
  <mergeCells count="17">
    <mergeCell ref="B150:C150"/>
    <mergeCell ref="B145:C145"/>
    <mergeCell ref="B147:C147"/>
    <mergeCell ref="B148:C148"/>
    <mergeCell ref="B149:C149"/>
    <mergeCell ref="A1:H1"/>
    <mergeCell ref="A2:H2"/>
    <mergeCell ref="A3:H3"/>
    <mergeCell ref="B136:C136"/>
    <mergeCell ref="B137:C137"/>
    <mergeCell ref="B134:D134"/>
    <mergeCell ref="B135:C135"/>
    <mergeCell ref="B132:H132"/>
    <mergeCell ref="B128:H128"/>
    <mergeCell ref="B129:H129"/>
    <mergeCell ref="B130:H130"/>
    <mergeCell ref="B131:H131"/>
  </mergeCells>
  <hyperlinks>
    <hyperlink ref="I1" location="Index!B27" display="Index" xr:uid="{B71505D1-0CC0-4FAF-8045-CFA549CFF4E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R157"/>
  <sheetViews>
    <sheetView showGridLines="0" workbookViewId="0">
      <selection activeCell="C94" sqref="C9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customWidth="1"/>
  </cols>
  <sheetData>
    <row r="1" spans="1:18" ht="15" x14ac:dyDescent="0.2">
      <c r="A1" s="250" t="s">
        <v>0</v>
      </c>
      <c r="B1" s="250"/>
      <c r="C1" s="250"/>
      <c r="D1" s="250"/>
      <c r="E1" s="250"/>
      <c r="F1" s="250"/>
      <c r="G1" s="250"/>
      <c r="H1" s="250"/>
      <c r="I1" s="35" t="s">
        <v>888</v>
      </c>
      <c r="J1" s="69"/>
      <c r="K1" s="30"/>
      <c r="L1" s="30"/>
      <c r="M1" s="30"/>
      <c r="N1" s="30"/>
    </row>
    <row r="2" spans="1:18" ht="15" customHeight="1" x14ac:dyDescent="0.2">
      <c r="A2" s="250" t="s">
        <v>859</v>
      </c>
      <c r="B2" s="250"/>
      <c r="C2" s="250"/>
      <c r="D2" s="250"/>
      <c r="E2" s="250"/>
      <c r="F2" s="250"/>
      <c r="G2" s="250"/>
      <c r="H2" s="250"/>
      <c r="J2" s="70" t="s">
        <v>889</v>
      </c>
      <c r="K2" s="66"/>
      <c r="L2" s="66"/>
      <c r="M2" s="66"/>
      <c r="N2" s="66"/>
    </row>
    <row r="3" spans="1:18" ht="15" x14ac:dyDescent="0.2">
      <c r="A3" s="250" t="s">
        <v>873</v>
      </c>
      <c r="B3" s="250"/>
      <c r="C3" s="250"/>
      <c r="D3" s="250"/>
      <c r="E3" s="250"/>
      <c r="F3" s="250"/>
      <c r="G3" s="250"/>
      <c r="H3" s="250"/>
      <c r="J3" s="69"/>
      <c r="K3" s="30"/>
      <c r="L3" s="30"/>
      <c r="M3" s="30"/>
      <c r="N3" s="30"/>
    </row>
    <row r="4" spans="1:18" s="28" customFormat="1" ht="30" x14ac:dyDescent="0.2">
      <c r="A4" s="161" t="s">
        <v>2</v>
      </c>
      <c r="B4" s="161" t="s">
        <v>3</v>
      </c>
      <c r="C4" s="161" t="s">
        <v>4</v>
      </c>
      <c r="D4" s="161" t="s">
        <v>5</v>
      </c>
      <c r="E4" s="161" t="s">
        <v>6</v>
      </c>
      <c r="F4" s="161" t="s">
        <v>7</v>
      </c>
      <c r="G4" s="161" t="s">
        <v>8</v>
      </c>
      <c r="H4" s="161" t="s">
        <v>872</v>
      </c>
      <c r="J4" s="72"/>
      <c r="K4" s="37"/>
      <c r="L4" s="37"/>
      <c r="M4" s="37"/>
      <c r="N4" s="37"/>
      <c r="O4"/>
      <c r="P4"/>
      <c r="Q4"/>
      <c r="R4"/>
    </row>
    <row r="5" spans="1:18" ht="14.1" customHeight="1" x14ac:dyDescent="0.2">
      <c r="A5" s="162"/>
      <c r="B5" s="162"/>
      <c r="C5" s="163" t="s">
        <v>9</v>
      </c>
      <c r="D5" s="162"/>
      <c r="E5" s="162"/>
      <c r="F5" s="162"/>
      <c r="G5" s="162"/>
      <c r="H5" s="162"/>
      <c r="J5" s="69"/>
      <c r="K5" s="30"/>
      <c r="L5" s="30"/>
      <c r="M5" s="30"/>
      <c r="N5" s="30"/>
    </row>
    <row r="6" spans="1:18" ht="24" customHeight="1" x14ac:dyDescent="0.2">
      <c r="A6" s="162"/>
      <c r="B6" s="162"/>
      <c r="C6" s="163" t="s">
        <v>10</v>
      </c>
      <c r="D6" s="162"/>
      <c r="E6" s="162"/>
      <c r="F6" s="162"/>
      <c r="G6" s="162"/>
      <c r="H6" s="162"/>
      <c r="J6" s="69"/>
      <c r="K6" s="30"/>
      <c r="L6" s="30"/>
      <c r="M6" s="30"/>
      <c r="N6" s="30"/>
    </row>
    <row r="7" spans="1:18" ht="17.100000000000001" customHeight="1" x14ac:dyDescent="0.2">
      <c r="A7" s="164">
        <v>1</v>
      </c>
      <c r="B7" s="165" t="s">
        <v>331</v>
      </c>
      <c r="C7" s="165" t="s">
        <v>332</v>
      </c>
      <c r="D7" s="165" t="s">
        <v>39</v>
      </c>
      <c r="E7" s="166">
        <v>1122765</v>
      </c>
      <c r="F7" s="167">
        <v>17067.150764999999</v>
      </c>
      <c r="G7" s="168">
        <v>8.0451010000000003E-2</v>
      </c>
      <c r="H7" s="168"/>
      <c r="J7" s="69"/>
      <c r="K7" s="30"/>
      <c r="L7" s="30"/>
      <c r="M7" s="30"/>
      <c r="N7" s="30"/>
    </row>
    <row r="8" spans="1:18" ht="17.100000000000001" customHeight="1" x14ac:dyDescent="0.2">
      <c r="A8" s="164">
        <v>2</v>
      </c>
      <c r="B8" s="165" t="s">
        <v>14</v>
      </c>
      <c r="C8" s="165" t="s">
        <v>15</v>
      </c>
      <c r="D8" s="165" t="s">
        <v>16</v>
      </c>
      <c r="E8" s="166">
        <v>548000</v>
      </c>
      <c r="F8" s="167">
        <v>16078.32</v>
      </c>
      <c r="G8" s="168">
        <v>7.5789860000000001E-2</v>
      </c>
      <c r="H8" s="168"/>
      <c r="J8" s="69"/>
      <c r="K8" s="30"/>
      <c r="L8" s="30"/>
      <c r="M8" s="30"/>
      <c r="N8" s="30"/>
    </row>
    <row r="9" spans="1:18" ht="17.100000000000001" customHeight="1" x14ac:dyDescent="0.2">
      <c r="A9" s="164">
        <v>3</v>
      </c>
      <c r="B9" s="165" t="s">
        <v>37</v>
      </c>
      <c r="C9" s="165" t="s">
        <v>38</v>
      </c>
      <c r="D9" s="165" t="s">
        <v>39</v>
      </c>
      <c r="E9" s="166">
        <v>980000</v>
      </c>
      <c r="F9" s="167">
        <v>11273.92</v>
      </c>
      <c r="G9" s="168">
        <v>5.3142920000000003E-2</v>
      </c>
      <c r="H9" s="168"/>
      <c r="J9" s="69"/>
      <c r="K9" s="30"/>
      <c r="L9" s="30"/>
      <c r="M9" s="30"/>
      <c r="N9" s="30"/>
    </row>
    <row r="10" spans="1:18" ht="17.100000000000001" customHeight="1" x14ac:dyDescent="0.2">
      <c r="A10" s="164">
        <v>4</v>
      </c>
      <c r="B10" s="165" t="s">
        <v>337</v>
      </c>
      <c r="C10" s="165" t="s">
        <v>338</v>
      </c>
      <c r="D10" s="165" t="s">
        <v>232</v>
      </c>
      <c r="E10" s="166">
        <v>597000</v>
      </c>
      <c r="F10" s="167">
        <v>8480.6834999999992</v>
      </c>
      <c r="G10" s="168">
        <v>3.997618E-2</v>
      </c>
      <c r="H10" s="168"/>
      <c r="J10" s="69"/>
      <c r="K10" s="30"/>
      <c r="L10" s="30"/>
      <c r="M10" s="30"/>
      <c r="N10" s="30"/>
    </row>
    <row r="11" spans="1:18" ht="17.100000000000001" customHeight="1" x14ac:dyDescent="0.2">
      <c r="A11" s="164">
        <v>5</v>
      </c>
      <c r="B11" s="165" t="s">
        <v>11</v>
      </c>
      <c r="C11" s="165" t="s">
        <v>12</v>
      </c>
      <c r="D11" s="165" t="s">
        <v>13</v>
      </c>
      <c r="E11" s="166">
        <v>202401</v>
      </c>
      <c r="F11" s="167">
        <v>7274.8991429999996</v>
      </c>
      <c r="G11" s="168">
        <v>3.4292370000000003E-2</v>
      </c>
      <c r="H11" s="168"/>
      <c r="J11" s="69"/>
      <c r="K11" s="30"/>
      <c r="L11" s="30"/>
      <c r="M11" s="30"/>
      <c r="N11" s="30"/>
    </row>
    <row r="12" spans="1:18" ht="17.100000000000001" customHeight="1" x14ac:dyDescent="0.2">
      <c r="A12" s="164">
        <v>6</v>
      </c>
      <c r="B12" s="165" t="s">
        <v>54</v>
      </c>
      <c r="C12" s="165" t="s">
        <v>55</v>
      </c>
      <c r="D12" s="165" t="s">
        <v>39</v>
      </c>
      <c r="E12" s="166">
        <v>716000</v>
      </c>
      <c r="F12" s="167">
        <v>5915.95</v>
      </c>
      <c r="G12" s="168">
        <v>2.7886560000000001E-2</v>
      </c>
      <c r="H12" s="168"/>
      <c r="J12" s="71"/>
      <c r="K12" s="30"/>
      <c r="L12" s="30"/>
      <c r="M12" s="30"/>
      <c r="N12" s="30"/>
    </row>
    <row r="13" spans="1:18" ht="17.100000000000001" customHeight="1" x14ac:dyDescent="0.2">
      <c r="A13" s="164">
        <v>7</v>
      </c>
      <c r="B13" s="165" t="s">
        <v>17</v>
      </c>
      <c r="C13" s="165" t="s">
        <v>18</v>
      </c>
      <c r="D13" s="165" t="s">
        <v>19</v>
      </c>
      <c r="E13" s="166">
        <v>427000</v>
      </c>
      <c r="F13" s="167">
        <v>5646.2209999999995</v>
      </c>
      <c r="G13" s="168">
        <v>2.6615110000000001E-2</v>
      </c>
      <c r="H13" s="168"/>
      <c r="J13" s="74" t="s">
        <v>1070</v>
      </c>
      <c r="L13" s="30"/>
      <c r="M13" s="30"/>
      <c r="N13" s="30"/>
    </row>
    <row r="14" spans="1:18" ht="17.100000000000001" customHeight="1" x14ac:dyDescent="0.2">
      <c r="A14" s="164">
        <v>8</v>
      </c>
      <c r="B14" s="165" t="s">
        <v>95</v>
      </c>
      <c r="C14" s="165" t="s">
        <v>96</v>
      </c>
      <c r="D14" s="165" t="s">
        <v>33</v>
      </c>
      <c r="E14" s="166">
        <v>943000</v>
      </c>
      <c r="F14" s="167">
        <v>5069.0964999999997</v>
      </c>
      <c r="G14" s="168">
        <v>2.389467E-2</v>
      </c>
      <c r="H14" s="168"/>
      <c r="J14" s="69"/>
      <c r="K14" s="30"/>
      <c r="L14" s="30"/>
      <c r="M14" s="30"/>
      <c r="N14" s="30"/>
    </row>
    <row r="15" spans="1:18" ht="17.100000000000001" customHeight="1" x14ac:dyDescent="0.2">
      <c r="A15" s="164">
        <v>9</v>
      </c>
      <c r="B15" s="165" t="s">
        <v>89</v>
      </c>
      <c r="C15" s="165" t="s">
        <v>90</v>
      </c>
      <c r="D15" s="165" t="s">
        <v>62</v>
      </c>
      <c r="E15" s="166">
        <v>127000</v>
      </c>
      <c r="F15" s="167">
        <v>5057.5209999999997</v>
      </c>
      <c r="G15" s="168">
        <v>2.3840099999999999E-2</v>
      </c>
      <c r="H15" s="168"/>
      <c r="J15" s="69"/>
      <c r="K15" s="30"/>
      <c r="L15" s="30"/>
      <c r="M15" s="30"/>
      <c r="N15" s="30"/>
    </row>
    <row r="16" spans="1:18" ht="29.1" customHeight="1" x14ac:dyDescent="0.2">
      <c r="A16" s="164">
        <v>10</v>
      </c>
      <c r="B16" s="165" t="s">
        <v>346</v>
      </c>
      <c r="C16" s="165" t="s">
        <v>347</v>
      </c>
      <c r="D16" s="165" t="s">
        <v>216</v>
      </c>
      <c r="E16" s="166">
        <v>333000</v>
      </c>
      <c r="F16" s="167">
        <v>5001.9930000000004</v>
      </c>
      <c r="G16" s="168">
        <v>2.357836E-2</v>
      </c>
      <c r="H16" s="168"/>
      <c r="J16" s="69"/>
      <c r="K16" s="30"/>
      <c r="L16" s="30"/>
      <c r="M16" s="30"/>
      <c r="N16" s="30"/>
    </row>
    <row r="17" spans="1:14" ht="17.100000000000001" customHeight="1" x14ac:dyDescent="0.2">
      <c r="A17" s="164">
        <v>11</v>
      </c>
      <c r="B17" s="165" t="s">
        <v>362</v>
      </c>
      <c r="C17" s="165" t="s">
        <v>363</v>
      </c>
      <c r="D17" s="165" t="s">
        <v>364</v>
      </c>
      <c r="E17" s="166">
        <v>1100000</v>
      </c>
      <c r="F17" s="167">
        <v>4792.1499999999996</v>
      </c>
      <c r="G17" s="168">
        <v>2.25892E-2</v>
      </c>
      <c r="H17" s="168"/>
      <c r="J17" s="69"/>
      <c r="K17" s="30"/>
      <c r="L17" s="30"/>
      <c r="M17" s="30"/>
      <c r="N17" s="30"/>
    </row>
    <row r="18" spans="1:14" ht="17.100000000000001" customHeight="1" x14ac:dyDescent="0.2">
      <c r="A18" s="164">
        <v>12</v>
      </c>
      <c r="B18" s="165" t="s">
        <v>335</v>
      </c>
      <c r="C18" s="165" t="s">
        <v>336</v>
      </c>
      <c r="D18" s="165" t="s">
        <v>39</v>
      </c>
      <c r="E18" s="166">
        <v>401535</v>
      </c>
      <c r="F18" s="167">
        <v>4681.4965650000004</v>
      </c>
      <c r="G18" s="168">
        <v>2.20676E-2</v>
      </c>
      <c r="H18" s="168"/>
      <c r="J18" s="69"/>
      <c r="K18" s="30"/>
      <c r="L18" s="30"/>
      <c r="M18" s="30"/>
      <c r="N18" s="30"/>
    </row>
    <row r="19" spans="1:14" ht="17.100000000000001" customHeight="1" x14ac:dyDescent="0.2">
      <c r="A19" s="164">
        <v>13</v>
      </c>
      <c r="B19" s="165" t="s">
        <v>389</v>
      </c>
      <c r="C19" s="165" t="s">
        <v>390</v>
      </c>
      <c r="D19" s="165" t="s">
        <v>53</v>
      </c>
      <c r="E19" s="166">
        <v>65000</v>
      </c>
      <c r="F19" s="167">
        <v>4500.3074999999999</v>
      </c>
      <c r="G19" s="168">
        <v>2.121352E-2</v>
      </c>
      <c r="H19" s="168"/>
      <c r="J19" s="69"/>
      <c r="K19" s="30"/>
      <c r="L19" s="30"/>
      <c r="M19" s="30"/>
      <c r="N19" s="30"/>
    </row>
    <row r="20" spans="1:14" ht="17.100000000000001" customHeight="1" x14ac:dyDescent="0.2">
      <c r="A20" s="164">
        <v>14</v>
      </c>
      <c r="B20" s="165" t="s">
        <v>339</v>
      </c>
      <c r="C20" s="165" t="s">
        <v>340</v>
      </c>
      <c r="D20" s="165" t="s">
        <v>232</v>
      </c>
      <c r="E20" s="166">
        <v>117702</v>
      </c>
      <c r="F20" s="167">
        <v>4496.9814630000001</v>
      </c>
      <c r="G20" s="168">
        <v>2.1197839999999999E-2</v>
      </c>
      <c r="H20" s="168"/>
      <c r="J20" s="69"/>
      <c r="K20" s="30"/>
      <c r="L20" s="30"/>
      <c r="M20" s="30"/>
      <c r="N20" s="30"/>
    </row>
    <row r="21" spans="1:14" ht="17.100000000000001" customHeight="1" x14ac:dyDescent="0.2">
      <c r="A21" s="164">
        <v>15</v>
      </c>
      <c r="B21" s="165" t="s">
        <v>374</v>
      </c>
      <c r="C21" s="165" t="s">
        <v>375</v>
      </c>
      <c r="D21" s="165" t="s">
        <v>210</v>
      </c>
      <c r="E21" s="166">
        <v>97000</v>
      </c>
      <c r="F21" s="167">
        <v>4465.6859999999997</v>
      </c>
      <c r="G21" s="168">
        <v>2.1050320000000001E-2</v>
      </c>
      <c r="H21" s="168"/>
      <c r="J21" s="69"/>
      <c r="K21" s="30"/>
      <c r="L21" s="30"/>
      <c r="M21" s="30"/>
      <c r="N21" s="30"/>
    </row>
    <row r="22" spans="1:14" ht="29.1" customHeight="1" x14ac:dyDescent="0.2">
      <c r="A22" s="164">
        <v>16</v>
      </c>
      <c r="B22" s="165" t="s">
        <v>23</v>
      </c>
      <c r="C22" s="165" t="s">
        <v>24</v>
      </c>
      <c r="D22" s="165" t="s">
        <v>25</v>
      </c>
      <c r="E22" s="166">
        <v>42000</v>
      </c>
      <c r="F22" s="167">
        <v>4188.1769999999997</v>
      </c>
      <c r="G22" s="168">
        <v>1.9742200000000001E-2</v>
      </c>
      <c r="H22" s="168"/>
      <c r="J22" s="71"/>
      <c r="K22" s="30"/>
      <c r="L22" s="30"/>
      <c r="M22" s="30"/>
      <c r="N22" s="30"/>
    </row>
    <row r="23" spans="1:14" ht="17.100000000000001" customHeight="1" x14ac:dyDescent="0.2">
      <c r="A23" s="164">
        <v>17</v>
      </c>
      <c r="B23" s="165" t="s">
        <v>621</v>
      </c>
      <c r="C23" s="165" t="s">
        <v>622</v>
      </c>
      <c r="D23" s="165" t="s">
        <v>285</v>
      </c>
      <c r="E23" s="166">
        <v>31000</v>
      </c>
      <c r="F23" s="167">
        <v>3973.4250000000002</v>
      </c>
      <c r="G23" s="168">
        <v>1.8729900000000001E-2</v>
      </c>
      <c r="H23" s="168"/>
      <c r="J23" s="75" t="s">
        <v>1072</v>
      </c>
      <c r="K23" s="30"/>
      <c r="L23" s="30"/>
      <c r="M23" s="30"/>
      <c r="N23" s="30"/>
    </row>
    <row r="24" spans="1:14" ht="17.100000000000001" customHeight="1" x14ac:dyDescent="0.2">
      <c r="A24" s="164">
        <v>18</v>
      </c>
      <c r="B24" s="165" t="s">
        <v>360</v>
      </c>
      <c r="C24" s="165" t="s">
        <v>361</v>
      </c>
      <c r="D24" s="165" t="s">
        <v>39</v>
      </c>
      <c r="E24" s="166">
        <v>240000</v>
      </c>
      <c r="F24" s="167">
        <v>3637.68</v>
      </c>
      <c r="G24" s="168">
        <v>1.7147269999999999E-2</v>
      </c>
      <c r="H24" s="168"/>
      <c r="J24" s="69"/>
      <c r="K24" s="30"/>
      <c r="L24" s="30"/>
      <c r="M24" s="30"/>
      <c r="N24" s="30"/>
    </row>
    <row r="25" spans="1:14" ht="29.1" customHeight="1" x14ac:dyDescent="0.2">
      <c r="A25" s="164">
        <v>19</v>
      </c>
      <c r="B25" s="165" t="s">
        <v>804</v>
      </c>
      <c r="C25" s="165" t="s">
        <v>805</v>
      </c>
      <c r="D25" s="165" t="s">
        <v>316</v>
      </c>
      <c r="E25" s="166">
        <v>118000</v>
      </c>
      <c r="F25" s="167">
        <v>3597.82</v>
      </c>
      <c r="G25" s="168">
        <v>1.695938E-2</v>
      </c>
      <c r="H25" s="168"/>
      <c r="J25" s="69"/>
      <c r="K25" s="30"/>
      <c r="L25" s="30"/>
      <c r="M25" s="30"/>
      <c r="N25" s="30"/>
    </row>
    <row r="26" spans="1:14" ht="29.1" customHeight="1" x14ac:dyDescent="0.2">
      <c r="A26" s="164">
        <v>20</v>
      </c>
      <c r="B26" s="165" t="s">
        <v>279</v>
      </c>
      <c r="C26" s="165" t="s">
        <v>280</v>
      </c>
      <c r="D26" s="165" t="s">
        <v>53</v>
      </c>
      <c r="E26" s="166">
        <v>269000</v>
      </c>
      <c r="F26" s="167">
        <v>3209.9769999999999</v>
      </c>
      <c r="G26" s="168">
        <v>1.5131169999999999E-2</v>
      </c>
      <c r="H26" s="168"/>
      <c r="J26" s="69"/>
      <c r="K26" s="30"/>
      <c r="L26" s="30"/>
      <c r="M26" s="30"/>
      <c r="N26" s="30"/>
    </row>
    <row r="27" spans="1:14" ht="17.100000000000001" customHeight="1" x14ac:dyDescent="0.2">
      <c r="A27" s="164">
        <v>21</v>
      </c>
      <c r="B27" s="165" t="s">
        <v>348</v>
      </c>
      <c r="C27" s="165" t="s">
        <v>349</v>
      </c>
      <c r="D27" s="165" t="s">
        <v>285</v>
      </c>
      <c r="E27" s="166">
        <v>318000</v>
      </c>
      <c r="F27" s="167">
        <v>3205.1219999999998</v>
      </c>
      <c r="G27" s="168">
        <v>1.510828E-2</v>
      </c>
      <c r="H27" s="168"/>
      <c r="J27" s="69"/>
      <c r="K27" s="30"/>
      <c r="L27" s="30"/>
      <c r="M27" s="30"/>
      <c r="N27" s="30"/>
    </row>
    <row r="28" spans="1:14" ht="17.100000000000001" customHeight="1" x14ac:dyDescent="0.2">
      <c r="A28" s="164">
        <v>22</v>
      </c>
      <c r="B28" s="165" t="s">
        <v>376</v>
      </c>
      <c r="C28" s="165" t="s">
        <v>377</v>
      </c>
      <c r="D28" s="165" t="s">
        <v>364</v>
      </c>
      <c r="E28" s="166">
        <v>140000</v>
      </c>
      <c r="F28" s="167">
        <v>3122.63</v>
      </c>
      <c r="G28" s="168">
        <v>1.471943E-2</v>
      </c>
      <c r="H28" s="168"/>
      <c r="J28" s="69"/>
    </row>
    <row r="29" spans="1:14" ht="29.1" customHeight="1" x14ac:dyDescent="0.2">
      <c r="A29" s="164">
        <v>23</v>
      </c>
      <c r="B29" s="165" t="s">
        <v>539</v>
      </c>
      <c r="C29" s="165" t="s">
        <v>540</v>
      </c>
      <c r="D29" s="165" t="s">
        <v>216</v>
      </c>
      <c r="E29" s="166">
        <v>210000</v>
      </c>
      <c r="F29" s="167">
        <v>2940</v>
      </c>
      <c r="G29" s="168">
        <v>1.3858550000000001E-2</v>
      </c>
      <c r="H29" s="168"/>
      <c r="J29" s="69"/>
    </row>
    <row r="30" spans="1:14" ht="17.100000000000001" customHeight="1" x14ac:dyDescent="0.2">
      <c r="A30" s="164">
        <v>24</v>
      </c>
      <c r="B30" s="165" t="s">
        <v>633</v>
      </c>
      <c r="C30" s="165" t="s">
        <v>634</v>
      </c>
      <c r="D30" s="165" t="s">
        <v>232</v>
      </c>
      <c r="E30" s="166">
        <v>229000</v>
      </c>
      <c r="F30" s="167">
        <v>2893.415</v>
      </c>
      <c r="G30" s="168">
        <v>1.363896E-2</v>
      </c>
      <c r="H30" s="168"/>
      <c r="J30" s="69"/>
    </row>
    <row r="31" spans="1:14" ht="17.100000000000001" customHeight="1" x14ac:dyDescent="0.2">
      <c r="A31" s="164">
        <v>25</v>
      </c>
      <c r="B31" s="165" t="s">
        <v>20</v>
      </c>
      <c r="C31" s="165" t="s">
        <v>21</v>
      </c>
      <c r="D31" s="165" t="s">
        <v>22</v>
      </c>
      <c r="E31" s="166">
        <v>770000</v>
      </c>
      <c r="F31" s="167">
        <v>2796.64</v>
      </c>
      <c r="G31" s="168">
        <v>1.318278E-2</v>
      </c>
      <c r="H31" s="168"/>
      <c r="J31" s="69"/>
    </row>
    <row r="32" spans="1:14" ht="17.100000000000001" customHeight="1" x14ac:dyDescent="0.2">
      <c r="A32" s="164">
        <v>26</v>
      </c>
      <c r="B32" s="165" t="s">
        <v>382</v>
      </c>
      <c r="C32" s="165" t="s">
        <v>383</v>
      </c>
      <c r="D32" s="165" t="s">
        <v>75</v>
      </c>
      <c r="E32" s="166">
        <v>77000</v>
      </c>
      <c r="F32" s="167">
        <v>2763.7224999999999</v>
      </c>
      <c r="G32" s="168">
        <v>1.302761E-2</v>
      </c>
      <c r="H32" s="168"/>
      <c r="J32" s="69"/>
    </row>
    <row r="33" spans="1:10" ht="17.100000000000001" customHeight="1" x14ac:dyDescent="0.2">
      <c r="A33" s="164">
        <v>27</v>
      </c>
      <c r="B33" s="165" t="s">
        <v>726</v>
      </c>
      <c r="C33" s="165" t="s">
        <v>727</v>
      </c>
      <c r="D33" s="165" t="s">
        <v>75</v>
      </c>
      <c r="E33" s="166">
        <v>180121</v>
      </c>
      <c r="F33" s="167">
        <v>2694.8803415000002</v>
      </c>
      <c r="G33" s="168">
        <v>1.270311E-2</v>
      </c>
      <c r="H33" s="168"/>
      <c r="J33" s="69"/>
    </row>
    <row r="34" spans="1:10" ht="17.100000000000001" customHeight="1" x14ac:dyDescent="0.2">
      <c r="A34" s="164">
        <v>28</v>
      </c>
      <c r="B34" s="165" t="s">
        <v>365</v>
      </c>
      <c r="C34" s="165" t="s">
        <v>366</v>
      </c>
      <c r="D34" s="165" t="s">
        <v>114</v>
      </c>
      <c r="E34" s="166">
        <v>1625000</v>
      </c>
      <c r="F34" s="167">
        <v>2681.25</v>
      </c>
      <c r="G34" s="168">
        <v>1.263886E-2</v>
      </c>
      <c r="H34" s="168"/>
      <c r="J34" s="69"/>
    </row>
    <row r="35" spans="1:10" ht="29.1" customHeight="1" x14ac:dyDescent="0.2">
      <c r="A35" s="164">
        <v>29</v>
      </c>
      <c r="B35" s="165" t="s">
        <v>354</v>
      </c>
      <c r="C35" s="165" t="s">
        <v>355</v>
      </c>
      <c r="D35" s="165" t="s">
        <v>216</v>
      </c>
      <c r="E35" s="166">
        <v>42500</v>
      </c>
      <c r="F35" s="167">
        <v>2636.8274999999999</v>
      </c>
      <c r="G35" s="168">
        <v>1.242946E-2</v>
      </c>
      <c r="H35" s="168"/>
      <c r="J35" s="69"/>
    </row>
    <row r="36" spans="1:10" ht="29.1" customHeight="1" x14ac:dyDescent="0.2">
      <c r="A36" s="164">
        <v>30</v>
      </c>
      <c r="B36" s="165" t="s">
        <v>356</v>
      </c>
      <c r="C36" s="165" t="s">
        <v>357</v>
      </c>
      <c r="D36" s="165" t="s">
        <v>216</v>
      </c>
      <c r="E36" s="166">
        <v>226000</v>
      </c>
      <c r="F36" s="167">
        <v>2606.91</v>
      </c>
      <c r="G36" s="168">
        <v>1.2288429999999999E-2</v>
      </c>
      <c r="H36" s="168"/>
      <c r="J36" s="69"/>
    </row>
    <row r="37" spans="1:10" ht="17.100000000000001" customHeight="1" x14ac:dyDescent="0.2">
      <c r="A37" s="164">
        <v>31</v>
      </c>
      <c r="B37" s="165" t="s">
        <v>263</v>
      </c>
      <c r="C37" s="165" t="s">
        <v>264</v>
      </c>
      <c r="D37" s="165" t="s">
        <v>210</v>
      </c>
      <c r="E37" s="166">
        <v>42000</v>
      </c>
      <c r="F37" s="167">
        <v>2542.5749999999998</v>
      </c>
      <c r="G37" s="168">
        <v>1.198517E-2</v>
      </c>
      <c r="H37" s="168"/>
      <c r="J37" s="69"/>
    </row>
    <row r="38" spans="1:10" ht="17.100000000000001" customHeight="1" x14ac:dyDescent="0.2">
      <c r="A38" s="164">
        <v>32</v>
      </c>
      <c r="B38" s="165" t="s">
        <v>352</v>
      </c>
      <c r="C38" s="165" t="s">
        <v>353</v>
      </c>
      <c r="D38" s="165" t="s">
        <v>39</v>
      </c>
      <c r="E38" s="166">
        <v>408000</v>
      </c>
      <c r="F38" s="167">
        <v>2537.556</v>
      </c>
      <c r="G38" s="168">
        <v>1.196151E-2</v>
      </c>
      <c r="H38" s="168"/>
      <c r="J38" s="69"/>
    </row>
    <row r="39" spans="1:10" ht="17.100000000000001" customHeight="1" x14ac:dyDescent="0.2">
      <c r="A39" s="164">
        <v>33</v>
      </c>
      <c r="B39" s="165" t="s">
        <v>766</v>
      </c>
      <c r="C39" s="165" t="s">
        <v>767</v>
      </c>
      <c r="D39" s="165" t="s">
        <v>276</v>
      </c>
      <c r="E39" s="166">
        <v>100000</v>
      </c>
      <c r="F39" s="167">
        <v>2507.4</v>
      </c>
      <c r="G39" s="168">
        <v>1.1819359999999999E-2</v>
      </c>
      <c r="H39" s="168"/>
      <c r="J39" s="69"/>
    </row>
    <row r="40" spans="1:10" ht="17.100000000000001" customHeight="1" x14ac:dyDescent="0.2">
      <c r="A40" s="164">
        <v>34</v>
      </c>
      <c r="B40" s="165" t="s">
        <v>573</v>
      </c>
      <c r="C40" s="165" t="s">
        <v>574</v>
      </c>
      <c r="D40" s="165" t="s">
        <v>262</v>
      </c>
      <c r="E40" s="166">
        <v>46000</v>
      </c>
      <c r="F40" s="167">
        <v>2434.4580000000001</v>
      </c>
      <c r="G40" s="168">
        <v>1.1475529999999999E-2</v>
      </c>
      <c r="H40" s="168"/>
      <c r="J40" s="69"/>
    </row>
    <row r="41" spans="1:10" ht="29.1" customHeight="1" x14ac:dyDescent="0.2">
      <c r="A41" s="164">
        <v>35</v>
      </c>
      <c r="B41" s="165" t="s">
        <v>97</v>
      </c>
      <c r="C41" s="165" t="s">
        <v>98</v>
      </c>
      <c r="D41" s="165" t="s">
        <v>99</v>
      </c>
      <c r="E41" s="166">
        <v>175000</v>
      </c>
      <c r="F41" s="167">
        <v>2318.5749999999998</v>
      </c>
      <c r="G41" s="168">
        <v>1.092928E-2</v>
      </c>
      <c r="H41" s="168"/>
      <c r="J41" s="69"/>
    </row>
    <row r="42" spans="1:10" ht="17.100000000000001" customHeight="1" x14ac:dyDescent="0.2">
      <c r="A42" s="164">
        <v>36</v>
      </c>
      <c r="B42" s="165" t="s">
        <v>773</v>
      </c>
      <c r="C42" s="165" t="s">
        <v>774</v>
      </c>
      <c r="D42" s="165" t="s">
        <v>213</v>
      </c>
      <c r="E42" s="166">
        <v>127000</v>
      </c>
      <c r="F42" s="167">
        <v>2308.5425</v>
      </c>
      <c r="G42" s="168">
        <v>1.0881989999999999E-2</v>
      </c>
      <c r="H42" s="168"/>
      <c r="J42" s="69"/>
    </row>
    <row r="43" spans="1:10" ht="17.100000000000001" customHeight="1" x14ac:dyDescent="0.2">
      <c r="A43" s="164">
        <v>37</v>
      </c>
      <c r="B43" s="165" t="s">
        <v>233</v>
      </c>
      <c r="C43" s="165" t="s">
        <v>234</v>
      </c>
      <c r="D43" s="165" t="s">
        <v>235</v>
      </c>
      <c r="E43" s="166">
        <v>226000</v>
      </c>
      <c r="F43" s="167">
        <v>2284.634</v>
      </c>
      <c r="G43" s="168">
        <v>1.0769290000000001E-2</v>
      </c>
      <c r="H43" s="168"/>
      <c r="J43" s="69"/>
    </row>
    <row r="44" spans="1:10" ht="29.1" customHeight="1" x14ac:dyDescent="0.2">
      <c r="A44" s="164">
        <v>38</v>
      </c>
      <c r="B44" s="165" t="s">
        <v>597</v>
      </c>
      <c r="C44" s="165" t="s">
        <v>598</v>
      </c>
      <c r="D44" s="165" t="s">
        <v>599</v>
      </c>
      <c r="E44" s="166">
        <v>456000</v>
      </c>
      <c r="F44" s="167">
        <v>2278.6320000000001</v>
      </c>
      <c r="G44" s="168">
        <v>1.0741000000000001E-2</v>
      </c>
      <c r="H44" s="168"/>
      <c r="J44" s="69"/>
    </row>
    <row r="45" spans="1:10" ht="17.100000000000001" customHeight="1" x14ac:dyDescent="0.2">
      <c r="A45" s="164">
        <v>39</v>
      </c>
      <c r="B45" s="165" t="s">
        <v>350</v>
      </c>
      <c r="C45" s="165" t="s">
        <v>351</v>
      </c>
      <c r="D45" s="165" t="s">
        <v>262</v>
      </c>
      <c r="E45" s="166">
        <v>55000</v>
      </c>
      <c r="F45" s="167">
        <v>2259.9499999999998</v>
      </c>
      <c r="G45" s="168">
        <v>1.065294E-2</v>
      </c>
      <c r="H45" s="168"/>
      <c r="J45" s="69"/>
    </row>
    <row r="46" spans="1:10" ht="17.100000000000001" customHeight="1" x14ac:dyDescent="0.2">
      <c r="A46" s="164">
        <v>40</v>
      </c>
      <c r="B46" s="165" t="s">
        <v>604</v>
      </c>
      <c r="C46" s="165" t="s">
        <v>605</v>
      </c>
      <c r="D46" s="165" t="s">
        <v>262</v>
      </c>
      <c r="E46" s="166">
        <v>133000</v>
      </c>
      <c r="F46" s="167">
        <v>2054.451</v>
      </c>
      <c r="G46" s="168">
        <v>9.6842600000000001E-3</v>
      </c>
      <c r="H46" s="168"/>
      <c r="J46" s="69"/>
    </row>
    <row r="47" spans="1:10" ht="29.1" customHeight="1" x14ac:dyDescent="0.2">
      <c r="A47" s="164">
        <v>41</v>
      </c>
      <c r="B47" s="165" t="s">
        <v>141</v>
      </c>
      <c r="C47" s="165" t="s">
        <v>142</v>
      </c>
      <c r="D47" s="165" t="s">
        <v>25</v>
      </c>
      <c r="E47" s="166">
        <v>110137</v>
      </c>
      <c r="F47" s="167">
        <v>2024.4832655</v>
      </c>
      <c r="G47" s="168">
        <v>9.5429899999999995E-3</v>
      </c>
      <c r="H47" s="168"/>
      <c r="J47" s="69"/>
    </row>
    <row r="48" spans="1:10" ht="29.1" customHeight="1" x14ac:dyDescent="0.2">
      <c r="A48" s="164">
        <v>42</v>
      </c>
      <c r="B48" s="165" t="s">
        <v>575</v>
      </c>
      <c r="C48" s="165" t="s">
        <v>576</v>
      </c>
      <c r="D48" s="165" t="s">
        <v>556</v>
      </c>
      <c r="E48" s="166">
        <v>939000</v>
      </c>
      <c r="F48" s="167">
        <v>1985.5155</v>
      </c>
      <c r="G48" s="168">
        <v>9.3593099999999992E-3</v>
      </c>
      <c r="H48" s="168"/>
      <c r="J48" s="69"/>
    </row>
    <row r="49" spans="1:10" ht="17.100000000000001" customHeight="1" x14ac:dyDescent="0.2">
      <c r="A49" s="164">
        <v>43</v>
      </c>
      <c r="B49" s="165" t="s">
        <v>545</v>
      </c>
      <c r="C49" s="165" t="s">
        <v>546</v>
      </c>
      <c r="D49" s="165" t="s">
        <v>39</v>
      </c>
      <c r="E49" s="166">
        <v>110000</v>
      </c>
      <c r="F49" s="167">
        <v>1786.345</v>
      </c>
      <c r="G49" s="168">
        <v>8.4204599999999994E-3</v>
      </c>
      <c r="H49" s="168"/>
      <c r="J49" s="69"/>
    </row>
    <row r="50" spans="1:10" ht="17.100000000000001" customHeight="1" x14ac:dyDescent="0.2">
      <c r="A50" s="164">
        <v>44</v>
      </c>
      <c r="B50" s="165" t="s">
        <v>756</v>
      </c>
      <c r="C50" s="165" t="s">
        <v>757</v>
      </c>
      <c r="D50" s="165" t="s">
        <v>75</v>
      </c>
      <c r="E50" s="166">
        <v>61000</v>
      </c>
      <c r="F50" s="167">
        <v>1754.299</v>
      </c>
      <c r="G50" s="168">
        <v>8.2693999999999997E-3</v>
      </c>
      <c r="H50" s="168"/>
      <c r="J50" s="69"/>
    </row>
    <row r="51" spans="1:10" ht="17.100000000000001" customHeight="1" x14ac:dyDescent="0.2">
      <c r="A51" s="164">
        <v>45</v>
      </c>
      <c r="B51" s="165" t="s">
        <v>595</v>
      </c>
      <c r="C51" s="165" t="s">
        <v>596</v>
      </c>
      <c r="D51" s="165" t="s">
        <v>406</v>
      </c>
      <c r="E51" s="166">
        <v>26000</v>
      </c>
      <c r="F51" s="167">
        <v>1733.654</v>
      </c>
      <c r="G51" s="168">
        <v>8.1720899999999999E-3</v>
      </c>
      <c r="H51" s="168"/>
      <c r="J51" s="69"/>
    </row>
    <row r="52" spans="1:10" ht="17.100000000000001" customHeight="1" x14ac:dyDescent="0.2">
      <c r="A52" s="164">
        <v>46</v>
      </c>
      <c r="B52" s="165" t="s">
        <v>58</v>
      </c>
      <c r="C52" s="165" t="s">
        <v>59</v>
      </c>
      <c r="D52" s="165" t="s">
        <v>19</v>
      </c>
      <c r="E52" s="166">
        <v>198000</v>
      </c>
      <c r="F52" s="167">
        <v>1715.67</v>
      </c>
      <c r="G52" s="168">
        <v>8.0873100000000003E-3</v>
      </c>
      <c r="H52" s="168"/>
      <c r="J52" s="69"/>
    </row>
    <row r="53" spans="1:10" ht="17.100000000000001" customHeight="1" x14ac:dyDescent="0.2">
      <c r="A53" s="164">
        <v>47</v>
      </c>
      <c r="B53" s="165" t="s">
        <v>29</v>
      </c>
      <c r="C53" s="165" t="s">
        <v>30</v>
      </c>
      <c r="D53" s="165" t="s">
        <v>22</v>
      </c>
      <c r="E53" s="166">
        <v>560000</v>
      </c>
      <c r="F53" s="167">
        <v>1690.36</v>
      </c>
      <c r="G53" s="168">
        <v>7.9680099999999993E-3</v>
      </c>
      <c r="H53" s="168"/>
      <c r="J53" s="69"/>
    </row>
    <row r="54" spans="1:10" ht="17.100000000000001" customHeight="1" x14ac:dyDescent="0.2">
      <c r="A54" s="164">
        <v>48</v>
      </c>
      <c r="B54" s="165" t="s">
        <v>202</v>
      </c>
      <c r="C54" s="165" t="s">
        <v>203</v>
      </c>
      <c r="D54" s="165" t="s">
        <v>39</v>
      </c>
      <c r="E54" s="166">
        <v>993000</v>
      </c>
      <c r="F54" s="167">
        <v>1614.6179999999999</v>
      </c>
      <c r="G54" s="168">
        <v>7.6109699999999999E-3</v>
      </c>
      <c r="H54" s="168"/>
      <c r="J54" s="69"/>
    </row>
    <row r="55" spans="1:10" ht="17.100000000000001" customHeight="1" x14ac:dyDescent="0.2">
      <c r="A55" s="164">
        <v>49</v>
      </c>
      <c r="B55" s="165" t="s">
        <v>333</v>
      </c>
      <c r="C55" s="165" t="s">
        <v>334</v>
      </c>
      <c r="D55" s="165" t="s">
        <v>210</v>
      </c>
      <c r="E55" s="166">
        <v>751000</v>
      </c>
      <c r="F55" s="167">
        <v>1450.5564999999999</v>
      </c>
      <c r="G55" s="168">
        <v>6.83762E-3</v>
      </c>
      <c r="H55" s="168"/>
      <c r="J55" s="69"/>
    </row>
    <row r="56" spans="1:10" ht="17.100000000000001" customHeight="1" x14ac:dyDescent="0.2">
      <c r="A56" s="164">
        <v>50</v>
      </c>
      <c r="B56" s="165" t="s">
        <v>81</v>
      </c>
      <c r="C56" s="165" t="s">
        <v>82</v>
      </c>
      <c r="D56" s="165" t="s">
        <v>36</v>
      </c>
      <c r="E56" s="166">
        <v>44000</v>
      </c>
      <c r="F56" s="167">
        <v>1441.1980000000001</v>
      </c>
      <c r="G56" s="168">
        <v>6.79351E-3</v>
      </c>
      <c r="H56" s="168"/>
      <c r="J56" s="69"/>
    </row>
    <row r="57" spans="1:10" ht="17.100000000000001" customHeight="1" x14ac:dyDescent="0.2">
      <c r="A57" s="164">
        <v>51</v>
      </c>
      <c r="B57" s="165" t="s">
        <v>254</v>
      </c>
      <c r="C57" s="165" t="s">
        <v>255</v>
      </c>
      <c r="D57" s="165" t="s">
        <v>242</v>
      </c>
      <c r="E57" s="166">
        <v>285000</v>
      </c>
      <c r="F57" s="167">
        <v>1320.12</v>
      </c>
      <c r="G57" s="168">
        <v>6.2227699999999999E-3</v>
      </c>
      <c r="H57" s="168"/>
      <c r="J57" s="69"/>
    </row>
    <row r="58" spans="1:10" ht="17.100000000000001" customHeight="1" x14ac:dyDescent="0.2">
      <c r="A58" s="164">
        <v>52</v>
      </c>
      <c r="B58" s="165" t="s">
        <v>271</v>
      </c>
      <c r="C58" s="165" t="s">
        <v>272</v>
      </c>
      <c r="D58" s="165" t="s">
        <v>273</v>
      </c>
      <c r="E58" s="166">
        <v>64000</v>
      </c>
      <c r="F58" s="167">
        <v>1304.2560000000001</v>
      </c>
      <c r="G58" s="168">
        <v>6.1479899999999999E-3</v>
      </c>
      <c r="H58" s="168"/>
      <c r="J58" s="69"/>
    </row>
    <row r="59" spans="1:10" ht="17.100000000000001" customHeight="1" x14ac:dyDescent="0.2">
      <c r="A59" s="164">
        <v>53</v>
      </c>
      <c r="B59" s="165" t="s">
        <v>258</v>
      </c>
      <c r="C59" s="165" t="s">
        <v>259</v>
      </c>
      <c r="D59" s="165" t="s">
        <v>39</v>
      </c>
      <c r="E59" s="166">
        <v>833419</v>
      </c>
      <c r="F59" s="167">
        <v>1285.132098</v>
      </c>
      <c r="G59" s="168">
        <v>6.05785E-3</v>
      </c>
      <c r="H59" s="168"/>
      <c r="J59" s="69"/>
    </row>
    <row r="60" spans="1:10" ht="17.100000000000001" customHeight="1" x14ac:dyDescent="0.2">
      <c r="A60" s="164">
        <v>54</v>
      </c>
      <c r="B60" s="165" t="s">
        <v>748</v>
      </c>
      <c r="C60" s="165" t="s">
        <v>749</v>
      </c>
      <c r="D60" s="165" t="s">
        <v>496</v>
      </c>
      <c r="E60" s="166">
        <v>120000</v>
      </c>
      <c r="F60" s="167">
        <v>1280.58</v>
      </c>
      <c r="G60" s="168">
        <v>6.03639E-3</v>
      </c>
      <c r="H60" s="168"/>
      <c r="J60" s="69"/>
    </row>
    <row r="61" spans="1:10" ht="17.100000000000001" customHeight="1" x14ac:dyDescent="0.2">
      <c r="A61" s="164">
        <v>55</v>
      </c>
      <c r="B61" s="165" t="s">
        <v>398</v>
      </c>
      <c r="C61" s="165" t="s">
        <v>399</v>
      </c>
      <c r="D61" s="165" t="s">
        <v>62</v>
      </c>
      <c r="E61" s="166">
        <v>104000</v>
      </c>
      <c r="F61" s="167">
        <v>1074.58</v>
      </c>
      <c r="G61" s="168">
        <v>5.0653499999999997E-3</v>
      </c>
      <c r="H61" s="168"/>
      <c r="J61" s="69"/>
    </row>
    <row r="62" spans="1:10" ht="29.1" customHeight="1" x14ac:dyDescent="0.2">
      <c r="A62" s="164">
        <v>56</v>
      </c>
      <c r="B62" s="165" t="s">
        <v>246</v>
      </c>
      <c r="C62" s="165" t="s">
        <v>247</v>
      </c>
      <c r="D62" s="165" t="s">
        <v>216</v>
      </c>
      <c r="E62" s="166">
        <v>22000</v>
      </c>
      <c r="F62" s="167">
        <v>1063.271</v>
      </c>
      <c r="G62" s="168">
        <v>5.0120399999999997E-3</v>
      </c>
      <c r="H62" s="168"/>
      <c r="J62" s="69"/>
    </row>
    <row r="63" spans="1:10" ht="17.100000000000001" customHeight="1" x14ac:dyDescent="0.2">
      <c r="A63" s="164">
        <v>57</v>
      </c>
      <c r="B63" s="165" t="s">
        <v>499</v>
      </c>
      <c r="C63" s="165" t="s">
        <v>500</v>
      </c>
      <c r="D63" s="165" t="s">
        <v>75</v>
      </c>
      <c r="E63" s="166">
        <v>119455</v>
      </c>
      <c r="F63" s="167">
        <v>1001.27181</v>
      </c>
      <c r="G63" s="168">
        <v>4.7197899999999997E-3</v>
      </c>
      <c r="H63" s="168"/>
      <c r="J63" s="69"/>
    </row>
    <row r="64" spans="1:10" ht="17.100000000000001" customHeight="1" x14ac:dyDescent="0.2">
      <c r="A64" s="164">
        <v>58</v>
      </c>
      <c r="B64" s="165" t="s">
        <v>137</v>
      </c>
      <c r="C64" s="165" t="s">
        <v>138</v>
      </c>
      <c r="D64" s="165" t="s">
        <v>104</v>
      </c>
      <c r="E64" s="166">
        <v>145000</v>
      </c>
      <c r="F64" s="167">
        <v>911.18</v>
      </c>
      <c r="G64" s="168">
        <v>4.2951100000000004E-3</v>
      </c>
      <c r="H64" s="168"/>
      <c r="J64" s="69"/>
    </row>
    <row r="65" spans="1:10" ht="17.100000000000001" customHeight="1" x14ac:dyDescent="0.2">
      <c r="A65" s="164">
        <v>59</v>
      </c>
      <c r="B65" s="165" t="s">
        <v>606</v>
      </c>
      <c r="C65" s="165" t="s">
        <v>607</v>
      </c>
      <c r="D65" s="165" t="s">
        <v>53</v>
      </c>
      <c r="E65" s="166">
        <v>37558</v>
      </c>
      <c r="F65" s="167">
        <v>757.71387100000004</v>
      </c>
      <c r="G65" s="168">
        <v>3.5717100000000001E-3</v>
      </c>
      <c r="H65" s="168"/>
      <c r="J65" s="69"/>
    </row>
    <row r="66" spans="1:10" ht="17.100000000000001" customHeight="1" x14ac:dyDescent="0.2">
      <c r="A66" s="164">
        <v>60</v>
      </c>
      <c r="B66" s="165" t="s">
        <v>236</v>
      </c>
      <c r="C66" s="165" t="s">
        <v>237</v>
      </c>
      <c r="D66" s="165" t="s">
        <v>36</v>
      </c>
      <c r="E66" s="166">
        <v>13000</v>
      </c>
      <c r="F66" s="167">
        <v>736.65150000000006</v>
      </c>
      <c r="G66" s="168">
        <v>3.4724199999999999E-3</v>
      </c>
      <c r="H66" s="168"/>
      <c r="J66" s="69"/>
    </row>
    <row r="67" spans="1:10" ht="17.100000000000001" customHeight="1" x14ac:dyDescent="0.2">
      <c r="A67" s="164">
        <v>61</v>
      </c>
      <c r="B67" s="165" t="s">
        <v>827</v>
      </c>
      <c r="C67" s="165" t="s">
        <v>828</v>
      </c>
      <c r="D67" s="165" t="s">
        <v>232</v>
      </c>
      <c r="E67" s="166">
        <v>14000</v>
      </c>
      <c r="F67" s="167">
        <v>658.89599999999996</v>
      </c>
      <c r="G67" s="168">
        <v>3.1059E-3</v>
      </c>
      <c r="H67" s="168"/>
      <c r="J67" s="69"/>
    </row>
    <row r="68" spans="1:10" ht="29.1" customHeight="1" x14ac:dyDescent="0.2">
      <c r="A68" s="164">
        <v>62</v>
      </c>
      <c r="B68" s="165" t="s">
        <v>565</v>
      </c>
      <c r="C68" s="165" t="s">
        <v>566</v>
      </c>
      <c r="D68" s="165" t="s">
        <v>216</v>
      </c>
      <c r="E68" s="166">
        <v>87944</v>
      </c>
      <c r="F68" s="167">
        <v>580.82614799999999</v>
      </c>
      <c r="G68" s="168">
        <v>2.7378900000000002E-3</v>
      </c>
      <c r="H68" s="168"/>
      <c r="J68" s="69"/>
    </row>
    <row r="69" spans="1:10" ht="29.1" customHeight="1" x14ac:dyDescent="0.2">
      <c r="A69" s="164">
        <v>63</v>
      </c>
      <c r="B69" s="165" t="s">
        <v>133</v>
      </c>
      <c r="C69" s="165" t="s">
        <v>134</v>
      </c>
      <c r="D69" s="165" t="s">
        <v>25</v>
      </c>
      <c r="E69" s="166">
        <v>250000</v>
      </c>
      <c r="F69" s="167">
        <v>453.125</v>
      </c>
      <c r="G69" s="168">
        <v>2.1359399999999998E-3</v>
      </c>
      <c r="H69" s="168"/>
      <c r="J69" s="69"/>
    </row>
    <row r="70" spans="1:10" ht="17.100000000000001" customHeight="1" x14ac:dyDescent="0.2">
      <c r="A70" s="164">
        <v>64</v>
      </c>
      <c r="B70" s="165" t="s">
        <v>412</v>
      </c>
      <c r="C70" s="165" t="s">
        <v>413</v>
      </c>
      <c r="D70" s="165" t="s">
        <v>53</v>
      </c>
      <c r="E70" s="166">
        <v>107000</v>
      </c>
      <c r="F70" s="167">
        <v>403.39</v>
      </c>
      <c r="G70" s="168">
        <v>1.9015E-3</v>
      </c>
      <c r="H70" s="168"/>
      <c r="J70" s="69"/>
    </row>
    <row r="71" spans="1:10" ht="14.1" customHeight="1" x14ac:dyDescent="0.2">
      <c r="A71" s="162"/>
      <c r="B71" s="162"/>
      <c r="C71" s="163" t="s">
        <v>152</v>
      </c>
      <c r="D71" s="162"/>
      <c r="E71" s="162" t="s">
        <v>153</v>
      </c>
      <c r="F71" s="169">
        <v>210305.31896999999</v>
      </c>
      <c r="G71" s="170">
        <v>0.99133565999999995</v>
      </c>
      <c r="H71" s="170"/>
      <c r="J71" s="69"/>
    </row>
    <row r="72" spans="1:10" ht="14.1" customHeight="1" x14ac:dyDescent="0.2">
      <c r="A72" s="162"/>
      <c r="B72" s="162"/>
      <c r="C72" s="171"/>
      <c r="D72" s="162"/>
      <c r="E72" s="162"/>
      <c r="F72" s="172"/>
      <c r="G72" s="172"/>
      <c r="H72" s="172"/>
      <c r="J72" s="69"/>
    </row>
    <row r="73" spans="1:10" ht="14.1" customHeight="1" x14ac:dyDescent="0.2">
      <c r="A73" s="162"/>
      <c r="B73" s="162"/>
      <c r="C73" s="163" t="s">
        <v>154</v>
      </c>
      <c r="D73" s="162"/>
      <c r="E73" s="162"/>
      <c r="F73" s="162"/>
      <c r="G73" s="162"/>
      <c r="H73" s="162"/>
      <c r="J73" s="69"/>
    </row>
    <row r="74" spans="1:10" ht="14.1" customHeight="1" x14ac:dyDescent="0.2">
      <c r="A74" s="162"/>
      <c r="B74" s="162"/>
      <c r="C74" s="163" t="s">
        <v>152</v>
      </c>
      <c r="D74" s="162"/>
      <c r="E74" s="162" t="s">
        <v>153</v>
      </c>
      <c r="F74" s="173" t="s">
        <v>155</v>
      </c>
      <c r="G74" s="170">
        <v>0</v>
      </c>
      <c r="H74" s="170"/>
      <c r="J74" s="69"/>
    </row>
    <row r="75" spans="1:10" ht="14.1" customHeight="1" x14ac:dyDescent="0.2">
      <c r="A75" s="162"/>
      <c r="B75" s="162"/>
      <c r="C75" s="171"/>
      <c r="D75" s="162"/>
      <c r="E75" s="162"/>
      <c r="F75" s="172"/>
      <c r="G75" s="172"/>
      <c r="H75" s="172"/>
      <c r="J75" s="69"/>
    </row>
    <row r="76" spans="1:10" ht="14.1" customHeight="1" x14ac:dyDescent="0.2">
      <c r="A76" s="162"/>
      <c r="B76" s="162"/>
      <c r="C76" s="163" t="s">
        <v>156</v>
      </c>
      <c r="D76" s="162"/>
      <c r="E76" s="162"/>
      <c r="F76" s="162"/>
      <c r="G76" s="162"/>
      <c r="H76" s="162"/>
      <c r="J76" s="69"/>
    </row>
    <row r="77" spans="1:10" ht="14.1" customHeight="1" x14ac:dyDescent="0.2">
      <c r="A77" s="162"/>
      <c r="B77" s="162"/>
      <c r="C77" s="163" t="s">
        <v>152</v>
      </c>
      <c r="D77" s="162"/>
      <c r="E77" s="162" t="s">
        <v>153</v>
      </c>
      <c r="F77" s="173" t="s">
        <v>155</v>
      </c>
      <c r="G77" s="170">
        <v>0</v>
      </c>
      <c r="H77" s="170"/>
      <c r="J77" s="69"/>
    </row>
    <row r="78" spans="1:10" ht="14.1" customHeight="1" x14ac:dyDescent="0.2">
      <c r="A78" s="162"/>
      <c r="B78" s="162"/>
      <c r="C78" s="171"/>
      <c r="D78" s="162"/>
      <c r="E78" s="162"/>
      <c r="F78" s="172"/>
      <c r="G78" s="172"/>
      <c r="H78" s="172"/>
      <c r="J78" s="69"/>
    </row>
    <row r="79" spans="1:10" ht="14.1" customHeight="1" x14ac:dyDescent="0.2">
      <c r="A79" s="162"/>
      <c r="B79" s="162"/>
      <c r="C79" s="163" t="s">
        <v>157</v>
      </c>
      <c r="D79" s="162"/>
      <c r="E79" s="162"/>
      <c r="F79" s="162"/>
      <c r="G79" s="162"/>
      <c r="H79" s="162"/>
      <c r="J79" s="69"/>
    </row>
    <row r="80" spans="1:10" ht="14.1" customHeight="1" x14ac:dyDescent="0.2">
      <c r="A80" s="162"/>
      <c r="B80" s="162"/>
      <c r="C80" s="163" t="s">
        <v>152</v>
      </c>
      <c r="D80" s="162"/>
      <c r="E80" s="162" t="s">
        <v>153</v>
      </c>
      <c r="F80" s="173" t="s">
        <v>155</v>
      </c>
      <c r="G80" s="170">
        <v>0</v>
      </c>
      <c r="H80" s="170"/>
      <c r="J80" s="69"/>
    </row>
    <row r="81" spans="1:10" ht="14.1" customHeight="1" x14ac:dyDescent="0.2">
      <c r="A81" s="162"/>
      <c r="B81" s="162"/>
      <c r="C81" s="171"/>
      <c r="D81" s="162"/>
      <c r="E81" s="162"/>
      <c r="F81" s="172"/>
      <c r="G81" s="172"/>
      <c r="H81" s="172"/>
      <c r="J81" s="69"/>
    </row>
    <row r="82" spans="1:10" ht="14.1" customHeight="1" x14ac:dyDescent="0.2">
      <c r="A82" s="162"/>
      <c r="B82" s="162"/>
      <c r="C82" s="163" t="s">
        <v>158</v>
      </c>
      <c r="D82" s="162"/>
      <c r="E82" s="162"/>
      <c r="F82" s="172"/>
      <c r="G82" s="172"/>
      <c r="H82" s="172"/>
      <c r="J82" s="69"/>
    </row>
    <row r="83" spans="1:10" ht="14.1" customHeight="1" x14ac:dyDescent="0.2">
      <c r="A83" s="162"/>
      <c r="B83" s="162"/>
      <c r="C83" s="163" t="s">
        <v>152</v>
      </c>
      <c r="D83" s="162"/>
      <c r="E83" s="162" t="s">
        <v>153</v>
      </c>
      <c r="F83" s="173" t="s">
        <v>155</v>
      </c>
      <c r="G83" s="170">
        <v>0</v>
      </c>
      <c r="H83" s="170"/>
      <c r="J83" s="69"/>
    </row>
    <row r="84" spans="1:10" ht="14.1" customHeight="1" x14ac:dyDescent="0.2">
      <c r="A84" s="162"/>
      <c r="B84" s="162"/>
      <c r="C84" s="171"/>
      <c r="D84" s="162"/>
      <c r="E84" s="162"/>
      <c r="F84" s="172"/>
      <c r="G84" s="172"/>
      <c r="H84" s="172"/>
      <c r="J84" s="69"/>
    </row>
    <row r="85" spans="1:10" ht="14.1" customHeight="1" x14ac:dyDescent="0.2">
      <c r="A85" s="162"/>
      <c r="B85" s="162"/>
      <c r="C85" s="163" t="s">
        <v>159</v>
      </c>
      <c r="D85" s="162"/>
      <c r="E85" s="162"/>
      <c r="F85" s="172"/>
      <c r="G85" s="172"/>
      <c r="H85" s="172"/>
      <c r="J85" s="69"/>
    </row>
    <row r="86" spans="1:10" ht="14.1" customHeight="1" x14ac:dyDescent="0.2">
      <c r="A86" s="162"/>
      <c r="B86" s="162"/>
      <c r="C86" s="163" t="s">
        <v>152</v>
      </c>
      <c r="D86" s="162"/>
      <c r="E86" s="162" t="s">
        <v>153</v>
      </c>
      <c r="F86" s="173" t="s">
        <v>155</v>
      </c>
      <c r="G86" s="170">
        <v>0</v>
      </c>
      <c r="H86" s="170"/>
      <c r="J86" s="69"/>
    </row>
    <row r="87" spans="1:10" ht="14.1" customHeight="1" x14ac:dyDescent="0.2">
      <c r="A87" s="162"/>
      <c r="B87" s="162"/>
      <c r="C87" s="171"/>
      <c r="D87" s="162"/>
      <c r="E87" s="162"/>
      <c r="F87" s="172"/>
      <c r="G87" s="172"/>
      <c r="H87" s="172"/>
      <c r="J87" s="69"/>
    </row>
    <row r="88" spans="1:10" ht="18" customHeight="1" x14ac:dyDescent="0.2">
      <c r="A88" s="162"/>
      <c r="B88" s="162"/>
      <c r="C88" s="163" t="s">
        <v>160</v>
      </c>
      <c r="D88" s="162"/>
      <c r="E88" s="162"/>
      <c r="F88" s="169">
        <v>210305.31896999999</v>
      </c>
      <c r="G88" s="170">
        <v>0.99133565999999995</v>
      </c>
      <c r="H88" s="170"/>
      <c r="J88" s="69"/>
    </row>
    <row r="89" spans="1:10" ht="14.1" customHeight="1" x14ac:dyDescent="0.2">
      <c r="A89" s="162"/>
      <c r="B89" s="162"/>
      <c r="C89" s="171"/>
      <c r="D89" s="162"/>
      <c r="E89" s="162"/>
      <c r="F89" s="172"/>
      <c r="G89" s="172"/>
      <c r="H89" s="172"/>
      <c r="J89" s="69"/>
    </row>
    <row r="90" spans="1:10" ht="14.1" customHeight="1" x14ac:dyDescent="0.2">
      <c r="A90" s="162"/>
      <c r="B90" s="162"/>
      <c r="C90" s="163" t="s">
        <v>161</v>
      </c>
      <c r="D90" s="162"/>
      <c r="E90" s="162"/>
      <c r="F90" s="172"/>
      <c r="G90" s="172"/>
      <c r="H90" s="172"/>
      <c r="J90" s="69"/>
    </row>
    <row r="91" spans="1:10" ht="24" customHeight="1" x14ac:dyDescent="0.2">
      <c r="A91" s="162"/>
      <c r="B91" s="162"/>
      <c r="C91" s="163" t="s">
        <v>10</v>
      </c>
      <c r="D91" s="162"/>
      <c r="E91" s="162"/>
      <c r="F91" s="172"/>
      <c r="G91" s="172"/>
      <c r="H91" s="172"/>
      <c r="J91" s="69"/>
    </row>
    <row r="92" spans="1:10" ht="14.1" customHeight="1" x14ac:dyDescent="0.2">
      <c r="A92" s="162"/>
      <c r="B92" s="162"/>
      <c r="C92" s="163" t="s">
        <v>152</v>
      </c>
      <c r="D92" s="162"/>
      <c r="E92" s="162" t="s">
        <v>153</v>
      </c>
      <c r="F92" s="173" t="s">
        <v>155</v>
      </c>
      <c r="G92" s="170">
        <v>0</v>
      </c>
      <c r="H92" s="170"/>
      <c r="J92" s="69"/>
    </row>
    <row r="93" spans="1:10" ht="14.1" customHeight="1" x14ac:dyDescent="0.2">
      <c r="A93" s="162"/>
      <c r="B93" s="162"/>
      <c r="C93" s="171"/>
      <c r="D93" s="162"/>
      <c r="E93" s="162"/>
      <c r="F93" s="172"/>
      <c r="G93" s="172"/>
      <c r="H93" s="172"/>
      <c r="J93" s="69"/>
    </row>
    <row r="94" spans="1:10" ht="14.1" customHeight="1" x14ac:dyDescent="0.2">
      <c r="A94" s="162"/>
      <c r="B94" s="162"/>
      <c r="C94" s="163" t="s">
        <v>162</v>
      </c>
      <c r="D94" s="162"/>
      <c r="E94" s="162"/>
      <c r="F94" s="162"/>
      <c r="G94" s="162"/>
      <c r="H94" s="162"/>
      <c r="J94" s="69"/>
    </row>
    <row r="95" spans="1:10" ht="14.1" customHeight="1" x14ac:dyDescent="0.2">
      <c r="A95" s="162"/>
      <c r="B95" s="162"/>
      <c r="C95" s="163" t="s">
        <v>152</v>
      </c>
      <c r="D95" s="162"/>
      <c r="E95" s="162" t="s">
        <v>153</v>
      </c>
      <c r="F95" s="173" t="s">
        <v>155</v>
      </c>
      <c r="G95" s="170">
        <v>0</v>
      </c>
      <c r="H95" s="170"/>
      <c r="J95" s="69"/>
    </row>
    <row r="96" spans="1:10" ht="14.1" customHeight="1" x14ac:dyDescent="0.2">
      <c r="A96" s="162"/>
      <c r="B96" s="162"/>
      <c r="C96" s="171"/>
      <c r="D96" s="162"/>
      <c r="E96" s="162"/>
      <c r="F96" s="172"/>
      <c r="G96" s="172"/>
      <c r="H96" s="172"/>
      <c r="J96" s="69"/>
    </row>
    <row r="97" spans="1:10" ht="14.1" customHeight="1" x14ac:dyDescent="0.2">
      <c r="A97" s="162"/>
      <c r="B97" s="162"/>
      <c r="C97" s="163" t="s">
        <v>163</v>
      </c>
      <c r="D97" s="162"/>
      <c r="E97" s="162"/>
      <c r="F97" s="162"/>
      <c r="G97" s="162"/>
      <c r="H97" s="162"/>
      <c r="J97" s="69"/>
    </row>
    <row r="98" spans="1:10" ht="14.1" customHeight="1" x14ac:dyDescent="0.2">
      <c r="A98" s="162"/>
      <c r="B98" s="162"/>
      <c r="C98" s="163" t="s">
        <v>152</v>
      </c>
      <c r="D98" s="162"/>
      <c r="E98" s="162" t="s">
        <v>153</v>
      </c>
      <c r="F98" s="173" t="s">
        <v>155</v>
      </c>
      <c r="G98" s="170">
        <v>0</v>
      </c>
      <c r="H98" s="170"/>
      <c r="J98" s="69"/>
    </row>
    <row r="99" spans="1:10" ht="14.1" customHeight="1" x14ac:dyDescent="0.2">
      <c r="A99" s="162"/>
      <c r="B99" s="162"/>
      <c r="C99" s="171"/>
      <c r="D99" s="162"/>
      <c r="E99" s="162"/>
      <c r="F99" s="172"/>
      <c r="G99" s="172"/>
      <c r="H99" s="172"/>
      <c r="J99" s="69"/>
    </row>
    <row r="100" spans="1:10" ht="14.1" customHeight="1" x14ac:dyDescent="0.2">
      <c r="A100" s="162"/>
      <c r="B100" s="162"/>
      <c r="C100" s="163" t="s">
        <v>164</v>
      </c>
      <c r="D100" s="162"/>
      <c r="E100" s="162"/>
      <c r="F100" s="172"/>
      <c r="G100" s="172"/>
      <c r="H100" s="172"/>
      <c r="J100" s="69"/>
    </row>
    <row r="101" spans="1:10" ht="14.1" customHeight="1" x14ac:dyDescent="0.2">
      <c r="A101" s="162"/>
      <c r="B101" s="162"/>
      <c r="C101" s="163" t="s">
        <v>152</v>
      </c>
      <c r="D101" s="162"/>
      <c r="E101" s="162" t="s">
        <v>153</v>
      </c>
      <c r="F101" s="173" t="s">
        <v>155</v>
      </c>
      <c r="G101" s="170">
        <v>0</v>
      </c>
      <c r="H101" s="170"/>
      <c r="J101" s="69"/>
    </row>
    <row r="102" spans="1:10" ht="14.1" customHeight="1" x14ac:dyDescent="0.2">
      <c r="A102" s="162"/>
      <c r="B102" s="162"/>
      <c r="C102" s="171"/>
      <c r="D102" s="162"/>
      <c r="E102" s="162"/>
      <c r="F102" s="172"/>
      <c r="G102" s="172"/>
      <c r="H102" s="172"/>
      <c r="J102" s="69"/>
    </row>
    <row r="103" spans="1:10" ht="14.1" customHeight="1" x14ac:dyDescent="0.2">
      <c r="A103" s="162"/>
      <c r="B103" s="162"/>
      <c r="C103" s="163" t="s">
        <v>165</v>
      </c>
      <c r="D103" s="162"/>
      <c r="E103" s="162"/>
      <c r="F103" s="169">
        <v>0</v>
      </c>
      <c r="G103" s="170">
        <v>0</v>
      </c>
      <c r="H103" s="170"/>
      <c r="J103" s="69"/>
    </row>
    <row r="104" spans="1:10" ht="14.1" customHeight="1" x14ac:dyDescent="0.2">
      <c r="A104" s="162"/>
      <c r="B104" s="162"/>
      <c r="C104" s="171"/>
      <c r="D104" s="162"/>
      <c r="E104" s="162"/>
      <c r="F104" s="172"/>
      <c r="G104" s="172"/>
      <c r="H104" s="172"/>
      <c r="J104" s="69"/>
    </row>
    <row r="105" spans="1:10" ht="14.1" customHeight="1" x14ac:dyDescent="0.2">
      <c r="A105" s="162"/>
      <c r="B105" s="162"/>
      <c r="C105" s="163" t="s">
        <v>166</v>
      </c>
      <c r="D105" s="162"/>
      <c r="E105" s="162"/>
      <c r="F105" s="172"/>
      <c r="G105" s="172"/>
      <c r="H105" s="172"/>
      <c r="J105" s="69"/>
    </row>
    <row r="106" spans="1:10" ht="14.1" customHeight="1" x14ac:dyDescent="0.2">
      <c r="A106" s="162"/>
      <c r="B106" s="162"/>
      <c r="C106" s="163" t="s">
        <v>167</v>
      </c>
      <c r="D106" s="162"/>
      <c r="E106" s="162"/>
      <c r="F106" s="172"/>
      <c r="G106" s="172"/>
      <c r="H106" s="172"/>
      <c r="J106" s="69"/>
    </row>
    <row r="107" spans="1:10" ht="14.1" customHeight="1" x14ac:dyDescent="0.2">
      <c r="A107" s="162"/>
      <c r="B107" s="162"/>
      <c r="C107" s="163" t="s">
        <v>152</v>
      </c>
      <c r="D107" s="162"/>
      <c r="E107" s="162" t="s">
        <v>153</v>
      </c>
      <c r="F107" s="173" t="s">
        <v>155</v>
      </c>
      <c r="G107" s="170">
        <v>0</v>
      </c>
      <c r="H107" s="170"/>
      <c r="J107" s="69"/>
    </row>
    <row r="108" spans="1:10" ht="14.1" customHeight="1" x14ac:dyDescent="0.2">
      <c r="A108" s="162"/>
      <c r="B108" s="162"/>
      <c r="C108" s="171"/>
      <c r="D108" s="162"/>
      <c r="E108" s="162"/>
      <c r="F108" s="172"/>
      <c r="G108" s="172"/>
      <c r="H108" s="172"/>
      <c r="J108" s="69"/>
    </row>
    <row r="109" spans="1:10" ht="14.1" customHeight="1" x14ac:dyDescent="0.2">
      <c r="A109" s="162"/>
      <c r="B109" s="162"/>
      <c r="C109" s="163" t="s">
        <v>168</v>
      </c>
      <c r="D109" s="162"/>
      <c r="E109" s="162"/>
      <c r="F109" s="172"/>
      <c r="G109" s="172"/>
      <c r="H109" s="172"/>
      <c r="J109" s="69"/>
    </row>
    <row r="110" spans="1:10" ht="14.1" customHeight="1" x14ac:dyDescent="0.2">
      <c r="A110" s="162"/>
      <c r="B110" s="162"/>
      <c r="C110" s="163" t="s">
        <v>152</v>
      </c>
      <c r="D110" s="162"/>
      <c r="E110" s="162" t="s">
        <v>153</v>
      </c>
      <c r="F110" s="173" t="s">
        <v>155</v>
      </c>
      <c r="G110" s="170">
        <v>0</v>
      </c>
      <c r="H110" s="170"/>
      <c r="J110" s="69"/>
    </row>
    <row r="111" spans="1:10" ht="14.1" customHeight="1" x14ac:dyDescent="0.2">
      <c r="A111" s="162"/>
      <c r="B111" s="162"/>
      <c r="C111" s="171"/>
      <c r="D111" s="162"/>
      <c r="E111" s="162"/>
      <c r="F111" s="172"/>
      <c r="G111" s="172"/>
      <c r="H111" s="172"/>
      <c r="J111" s="69"/>
    </row>
    <row r="112" spans="1:10" ht="14.1" customHeight="1" x14ac:dyDescent="0.2">
      <c r="A112" s="162"/>
      <c r="B112" s="162"/>
      <c r="C112" s="163" t="s">
        <v>169</v>
      </c>
      <c r="D112" s="162"/>
      <c r="E112" s="162"/>
      <c r="F112" s="172"/>
      <c r="G112" s="172"/>
      <c r="H112" s="172"/>
      <c r="J112" s="69"/>
    </row>
    <row r="113" spans="1:10" ht="14.1" customHeight="1" x14ac:dyDescent="0.2">
      <c r="A113" s="162"/>
      <c r="B113" s="162"/>
      <c r="C113" s="163" t="s">
        <v>152</v>
      </c>
      <c r="D113" s="162"/>
      <c r="E113" s="162" t="s">
        <v>153</v>
      </c>
      <c r="F113" s="173" t="s">
        <v>155</v>
      </c>
      <c r="G113" s="170">
        <v>0</v>
      </c>
      <c r="H113" s="170"/>
      <c r="J113" s="69"/>
    </row>
    <row r="114" spans="1:10" ht="14.1" customHeight="1" x14ac:dyDescent="0.2">
      <c r="A114" s="162"/>
      <c r="B114" s="162"/>
      <c r="C114" s="171"/>
      <c r="D114" s="162"/>
      <c r="E114" s="162"/>
      <c r="F114" s="172"/>
      <c r="G114" s="172"/>
      <c r="H114" s="172"/>
      <c r="J114" s="69"/>
    </row>
    <row r="115" spans="1:10" ht="14.1" customHeight="1" x14ac:dyDescent="0.2">
      <c r="A115" s="162"/>
      <c r="B115" s="162"/>
      <c r="C115" s="163" t="s">
        <v>170</v>
      </c>
      <c r="D115" s="162"/>
      <c r="E115" s="162"/>
      <c r="F115" s="172"/>
      <c r="G115" s="172"/>
      <c r="H115" s="172"/>
      <c r="J115" s="69"/>
    </row>
    <row r="116" spans="1:10" ht="17.100000000000001" customHeight="1" x14ac:dyDescent="0.2">
      <c r="A116" s="164">
        <v>1</v>
      </c>
      <c r="B116" s="165"/>
      <c r="C116" s="165" t="s">
        <v>171</v>
      </c>
      <c r="D116" s="165"/>
      <c r="E116" s="174"/>
      <c r="F116" s="167">
        <v>2311.1798534989998</v>
      </c>
      <c r="G116" s="168">
        <v>1.089442E-2</v>
      </c>
      <c r="H116" s="175">
        <v>6.66</v>
      </c>
      <c r="J116" s="69"/>
    </row>
    <row r="117" spans="1:10" ht="14.1" customHeight="1" x14ac:dyDescent="0.2">
      <c r="A117" s="162"/>
      <c r="B117" s="162"/>
      <c r="C117" s="163" t="s">
        <v>152</v>
      </c>
      <c r="D117" s="162"/>
      <c r="E117" s="162" t="s">
        <v>153</v>
      </c>
      <c r="F117" s="169">
        <v>2311.1798534989998</v>
      </c>
      <c r="G117" s="170">
        <v>1.089442E-2</v>
      </c>
      <c r="H117" s="170"/>
      <c r="J117" s="69"/>
    </row>
    <row r="118" spans="1:10" ht="14.1" customHeight="1" x14ac:dyDescent="0.2">
      <c r="A118" s="162"/>
      <c r="B118" s="162"/>
      <c r="C118" s="171"/>
      <c r="D118" s="162"/>
      <c r="E118" s="162"/>
      <c r="F118" s="172"/>
      <c r="G118" s="172"/>
      <c r="H118" s="172"/>
      <c r="J118" s="69"/>
    </row>
    <row r="119" spans="1:10" ht="14.1" customHeight="1" x14ac:dyDescent="0.2">
      <c r="A119" s="162"/>
      <c r="B119" s="162"/>
      <c r="C119" s="163" t="s">
        <v>172</v>
      </c>
      <c r="D119" s="162"/>
      <c r="E119" s="162"/>
      <c r="F119" s="169">
        <v>2311.1798534989998</v>
      </c>
      <c r="G119" s="170">
        <v>1.089442E-2</v>
      </c>
      <c r="H119" s="170"/>
      <c r="J119" s="69"/>
    </row>
    <row r="120" spans="1:10" ht="14.1" customHeight="1" x14ac:dyDescent="0.2">
      <c r="A120" s="162"/>
      <c r="B120" s="162"/>
      <c r="C120" s="172"/>
      <c r="D120" s="162"/>
      <c r="E120" s="162"/>
      <c r="F120" s="162"/>
      <c r="G120" s="162"/>
      <c r="H120" s="162"/>
      <c r="J120" s="69"/>
    </row>
    <row r="121" spans="1:10" ht="14.1" customHeight="1" x14ac:dyDescent="0.2">
      <c r="A121" s="162"/>
      <c r="B121" s="162"/>
      <c r="C121" s="163" t="s">
        <v>173</v>
      </c>
      <c r="D121" s="162"/>
      <c r="E121" s="162"/>
      <c r="F121" s="162"/>
      <c r="G121" s="162"/>
      <c r="H121" s="162"/>
      <c r="J121" s="69"/>
    </row>
    <row r="122" spans="1:10" ht="14.1" customHeight="1" x14ac:dyDescent="0.2">
      <c r="A122" s="162"/>
      <c r="B122" s="162"/>
      <c r="C122" s="163" t="s">
        <v>174</v>
      </c>
      <c r="D122" s="162"/>
      <c r="E122" s="162"/>
      <c r="F122" s="162"/>
      <c r="G122" s="162"/>
      <c r="H122" s="162"/>
      <c r="J122" s="69"/>
    </row>
    <row r="123" spans="1:10" ht="14.1" customHeight="1" x14ac:dyDescent="0.2">
      <c r="A123" s="162"/>
      <c r="B123" s="162"/>
      <c r="C123" s="163" t="s">
        <v>152</v>
      </c>
      <c r="D123" s="162"/>
      <c r="E123" s="162" t="s">
        <v>153</v>
      </c>
      <c r="F123" s="173" t="s">
        <v>155</v>
      </c>
      <c r="G123" s="170">
        <v>0</v>
      </c>
      <c r="H123" s="170"/>
      <c r="J123" s="69"/>
    </row>
    <row r="124" spans="1:10" ht="14.1" customHeight="1" x14ac:dyDescent="0.2">
      <c r="A124" s="162"/>
      <c r="B124" s="162"/>
      <c r="C124" s="171"/>
      <c r="D124" s="162"/>
      <c r="E124" s="162"/>
      <c r="F124" s="172"/>
      <c r="G124" s="172"/>
      <c r="H124" s="172"/>
      <c r="J124" s="69"/>
    </row>
    <row r="125" spans="1:10" ht="14.1" customHeight="1" x14ac:dyDescent="0.2">
      <c r="A125" s="162"/>
      <c r="B125" s="162"/>
      <c r="C125" s="163" t="s">
        <v>177</v>
      </c>
      <c r="D125" s="162"/>
      <c r="E125" s="162"/>
      <c r="F125" s="162"/>
      <c r="G125" s="162"/>
      <c r="H125" s="162"/>
      <c r="J125" s="69"/>
    </row>
    <row r="126" spans="1:10" ht="14.1" customHeight="1" x14ac:dyDescent="0.2">
      <c r="A126" s="162"/>
      <c r="B126" s="162"/>
      <c r="C126" s="163" t="s">
        <v>178</v>
      </c>
      <c r="D126" s="162"/>
      <c r="E126" s="162"/>
      <c r="F126" s="162"/>
      <c r="G126" s="162"/>
      <c r="H126" s="162"/>
      <c r="J126" s="69"/>
    </row>
    <row r="127" spans="1:10" ht="14.1" customHeight="1" x14ac:dyDescent="0.2">
      <c r="A127" s="162"/>
      <c r="B127" s="162"/>
      <c r="C127" s="163" t="s">
        <v>152</v>
      </c>
      <c r="D127" s="162"/>
      <c r="E127" s="162" t="s">
        <v>153</v>
      </c>
      <c r="F127" s="173" t="s">
        <v>155</v>
      </c>
      <c r="G127" s="170">
        <v>0</v>
      </c>
      <c r="H127" s="170"/>
      <c r="J127" s="69"/>
    </row>
    <row r="128" spans="1:10" ht="14.1" customHeight="1" x14ac:dyDescent="0.2">
      <c r="A128" s="162"/>
      <c r="B128" s="162"/>
      <c r="C128" s="171"/>
      <c r="D128" s="162"/>
      <c r="E128" s="162"/>
      <c r="F128" s="172"/>
      <c r="G128" s="172"/>
      <c r="H128" s="172"/>
      <c r="J128" s="69"/>
    </row>
    <row r="129" spans="1:17" ht="24" customHeight="1" x14ac:dyDescent="0.2">
      <c r="A129" s="162"/>
      <c r="B129" s="162"/>
      <c r="C129" s="163" t="s">
        <v>179</v>
      </c>
      <c r="D129" s="162"/>
      <c r="E129" s="162"/>
      <c r="F129" s="172"/>
      <c r="G129" s="172"/>
      <c r="H129" s="172"/>
      <c r="J129" s="69"/>
    </row>
    <row r="130" spans="1:17" ht="14.1" customHeight="1" x14ac:dyDescent="0.2">
      <c r="A130" s="162"/>
      <c r="B130" s="162"/>
      <c r="C130" s="163" t="s">
        <v>152</v>
      </c>
      <c r="D130" s="162"/>
      <c r="E130" s="162" t="s">
        <v>153</v>
      </c>
      <c r="F130" s="173" t="s">
        <v>155</v>
      </c>
      <c r="G130" s="170">
        <v>0</v>
      </c>
      <c r="H130" s="170"/>
      <c r="J130" s="69"/>
    </row>
    <row r="131" spans="1:17" ht="14.1" customHeight="1" x14ac:dyDescent="0.2">
      <c r="A131" s="162"/>
      <c r="B131" s="162"/>
      <c r="C131" s="171"/>
      <c r="D131" s="162"/>
      <c r="E131" s="162"/>
      <c r="F131" s="172"/>
      <c r="G131" s="172"/>
      <c r="H131" s="172"/>
      <c r="J131" s="69"/>
    </row>
    <row r="132" spans="1:17" ht="18" customHeight="1" x14ac:dyDescent="0.2">
      <c r="A132" s="174"/>
      <c r="B132" s="165"/>
      <c r="C132" s="165" t="s">
        <v>180</v>
      </c>
      <c r="D132" s="165"/>
      <c r="E132" s="174"/>
      <c r="F132" s="167">
        <v>-473.08959045</v>
      </c>
      <c r="G132" s="168">
        <v>-2.2300499999999999E-3</v>
      </c>
      <c r="H132" s="168"/>
      <c r="J132" s="69"/>
    </row>
    <row r="133" spans="1:17" ht="14.1" customHeight="1" x14ac:dyDescent="0.2">
      <c r="A133" s="171"/>
      <c r="B133" s="171"/>
      <c r="C133" s="163" t="s">
        <v>181</v>
      </c>
      <c r="D133" s="172"/>
      <c r="E133" s="172"/>
      <c r="F133" s="169">
        <v>212143.40923304899</v>
      </c>
      <c r="G133" s="177">
        <v>1.00000003</v>
      </c>
      <c r="H133" s="177"/>
      <c r="J133" s="69"/>
    </row>
    <row r="134" spans="1:17" ht="14.1" customHeight="1" x14ac:dyDescent="0.2">
      <c r="A134" s="178"/>
      <c r="B134" s="178"/>
      <c r="C134" s="178"/>
      <c r="D134" s="179"/>
      <c r="E134" s="179"/>
      <c r="F134" s="179"/>
      <c r="G134" s="179"/>
      <c r="H134" s="179"/>
      <c r="J134" s="69"/>
    </row>
    <row r="135" spans="1:17" ht="12.75" customHeight="1" x14ac:dyDescent="0.2">
      <c r="A135" s="180"/>
      <c r="B135" s="258" t="s">
        <v>882</v>
      </c>
      <c r="C135" s="258"/>
      <c r="D135" s="258"/>
      <c r="E135" s="258"/>
      <c r="F135" s="258"/>
      <c r="G135" s="258"/>
      <c r="H135" s="258"/>
      <c r="J135" s="75"/>
    </row>
    <row r="136" spans="1:17" ht="14.1" customHeight="1" x14ac:dyDescent="0.2">
      <c r="A136" s="180"/>
      <c r="B136" s="258" t="s">
        <v>883</v>
      </c>
      <c r="C136" s="258"/>
      <c r="D136" s="258"/>
      <c r="E136" s="258"/>
      <c r="F136" s="258"/>
      <c r="G136" s="258"/>
      <c r="H136" s="258"/>
      <c r="J136" s="75"/>
    </row>
    <row r="137" spans="1:17" ht="17.100000000000001" customHeight="1" x14ac:dyDescent="0.2">
      <c r="A137" s="180"/>
      <c r="B137" s="258" t="s">
        <v>884</v>
      </c>
      <c r="C137" s="258"/>
      <c r="D137" s="258"/>
      <c r="E137" s="258"/>
      <c r="F137" s="258"/>
      <c r="G137" s="258"/>
      <c r="H137" s="258"/>
      <c r="J137" s="75"/>
    </row>
    <row r="138" spans="1:17" s="34" customFormat="1" ht="62.25" customHeight="1" x14ac:dyDescent="0.25">
      <c r="A138" s="33"/>
      <c r="B138" s="259" t="s">
        <v>885</v>
      </c>
      <c r="C138" s="259"/>
      <c r="D138" s="259"/>
      <c r="E138" s="259"/>
      <c r="F138" s="259"/>
      <c r="G138" s="259"/>
      <c r="H138" s="259"/>
      <c r="I138"/>
      <c r="J138" s="75"/>
      <c r="K138"/>
      <c r="L138"/>
      <c r="M138"/>
      <c r="N138"/>
      <c r="O138"/>
      <c r="P138"/>
      <c r="Q138"/>
    </row>
    <row r="139" spans="1:17" ht="12.75" customHeight="1" x14ac:dyDescent="0.2">
      <c r="A139" s="180"/>
      <c r="B139" s="258" t="s">
        <v>886</v>
      </c>
      <c r="C139" s="258"/>
      <c r="D139" s="258"/>
      <c r="E139" s="258"/>
      <c r="F139" s="258"/>
      <c r="G139" s="258"/>
      <c r="H139" s="258"/>
      <c r="J139" s="75"/>
    </row>
    <row r="140" spans="1:17" ht="14.1" customHeight="1" x14ac:dyDescent="0.2">
      <c r="A140" s="181"/>
      <c r="B140" s="181"/>
      <c r="C140" s="181"/>
      <c r="D140" s="182"/>
      <c r="E140" s="182"/>
      <c r="F140" s="182"/>
      <c r="G140" s="182"/>
      <c r="H140" s="182"/>
      <c r="J140" s="69"/>
    </row>
    <row r="141" spans="1:17" ht="14.1" customHeight="1" x14ac:dyDescent="0.2">
      <c r="A141" s="181"/>
      <c r="B141" s="255" t="s">
        <v>183</v>
      </c>
      <c r="C141" s="256"/>
      <c r="D141" s="257"/>
      <c r="E141" s="183"/>
      <c r="F141" s="182"/>
      <c r="G141" s="182"/>
      <c r="H141" s="182"/>
      <c r="J141" s="69"/>
    </row>
    <row r="142" spans="1:17" ht="29.1" customHeight="1" x14ac:dyDescent="0.2">
      <c r="A142" s="181"/>
      <c r="B142" s="253" t="s">
        <v>184</v>
      </c>
      <c r="C142" s="254"/>
      <c r="D142" s="163" t="s">
        <v>185</v>
      </c>
      <c r="E142" s="183"/>
      <c r="F142" s="182"/>
      <c r="G142" s="182"/>
      <c r="H142" s="182"/>
      <c r="J142" s="69"/>
    </row>
    <row r="143" spans="1:17" ht="17.100000000000001" customHeight="1" x14ac:dyDescent="0.2">
      <c r="A143" s="181"/>
      <c r="B143" s="253" t="s">
        <v>186</v>
      </c>
      <c r="C143" s="254"/>
      <c r="D143" s="163" t="s">
        <v>185</v>
      </c>
      <c r="E143" s="183"/>
      <c r="F143" s="182"/>
      <c r="G143" s="182"/>
      <c r="H143" s="182"/>
      <c r="J143" s="69"/>
    </row>
    <row r="144" spans="1:17" ht="17.100000000000001" customHeight="1" x14ac:dyDescent="0.2">
      <c r="A144" s="181"/>
      <c r="B144" s="253" t="s">
        <v>187</v>
      </c>
      <c r="C144" s="254"/>
      <c r="D144" s="172" t="s">
        <v>153</v>
      </c>
      <c r="E144" s="183"/>
      <c r="F144" s="182"/>
      <c r="G144" s="182"/>
      <c r="H144" s="182"/>
      <c r="J144" s="69"/>
    </row>
    <row r="145" spans="1:10" x14ac:dyDescent="0.2">
      <c r="A145" s="185"/>
      <c r="B145" s="186" t="s">
        <v>153</v>
      </c>
      <c r="C145" s="186" t="s">
        <v>1088</v>
      </c>
      <c r="D145" s="186" t="s">
        <v>188</v>
      </c>
      <c r="E145" s="185"/>
      <c r="F145" s="185"/>
      <c r="G145" s="185"/>
      <c r="H145" s="185"/>
      <c r="J145" s="69"/>
    </row>
    <row r="146" spans="1:10" x14ac:dyDescent="0.2">
      <c r="A146" s="185"/>
      <c r="B146" s="187" t="s">
        <v>189</v>
      </c>
      <c r="C146" s="186" t="s">
        <v>190</v>
      </c>
      <c r="D146" s="186" t="s">
        <v>191</v>
      </c>
      <c r="E146" s="185"/>
      <c r="F146" s="185"/>
      <c r="G146" s="185"/>
      <c r="H146" s="185"/>
      <c r="J146" s="69"/>
    </row>
    <row r="147" spans="1:10" ht="17.100000000000001" customHeight="1" x14ac:dyDescent="0.2">
      <c r="A147" s="185"/>
      <c r="B147" s="165" t="s">
        <v>192</v>
      </c>
      <c r="C147" s="188">
        <v>13.090400000000001</v>
      </c>
      <c r="D147" s="188">
        <v>13.382899999999999</v>
      </c>
      <c r="E147" s="185"/>
      <c r="F147" s="189"/>
      <c r="G147" s="190"/>
      <c r="H147" s="190"/>
      <c r="J147" s="69"/>
    </row>
    <row r="148" spans="1:10" ht="17.100000000000001" customHeight="1" x14ac:dyDescent="0.2">
      <c r="A148" s="185"/>
      <c r="B148" s="165" t="s">
        <v>1054</v>
      </c>
      <c r="C148" s="188">
        <v>13.090299999999999</v>
      </c>
      <c r="D148" s="188">
        <v>13.382199999999999</v>
      </c>
      <c r="E148" s="185"/>
      <c r="F148" s="189"/>
      <c r="G148" s="190"/>
      <c r="H148" s="190"/>
      <c r="J148" s="69"/>
    </row>
    <row r="149" spans="1:10" ht="17.100000000000001" customHeight="1" x14ac:dyDescent="0.2">
      <c r="A149" s="185"/>
      <c r="B149" s="165" t="s">
        <v>193</v>
      </c>
      <c r="C149" s="188">
        <v>12.7437</v>
      </c>
      <c r="D149" s="188">
        <v>13.011799999999999</v>
      </c>
      <c r="E149" s="185"/>
      <c r="F149" s="189"/>
      <c r="G149" s="190"/>
      <c r="H149" s="190"/>
      <c r="J149" s="69"/>
    </row>
    <row r="150" spans="1:10" ht="17.100000000000001" customHeight="1" x14ac:dyDescent="0.2">
      <c r="A150" s="185"/>
      <c r="B150" s="165" t="s">
        <v>1055</v>
      </c>
      <c r="C150" s="188">
        <v>12.7437</v>
      </c>
      <c r="D150" s="188">
        <v>13.011799999999999</v>
      </c>
      <c r="E150" s="185"/>
      <c r="F150" s="189"/>
      <c r="G150" s="190"/>
      <c r="H150" s="190"/>
      <c r="J150" s="69"/>
    </row>
    <row r="151" spans="1:10" ht="14.1" customHeight="1" x14ac:dyDescent="0.2">
      <c r="A151" s="185"/>
      <c r="B151" s="185"/>
      <c r="C151" s="185"/>
      <c r="D151" s="185"/>
      <c r="E151" s="185"/>
      <c r="F151" s="185"/>
      <c r="G151" s="185"/>
      <c r="H151" s="185"/>
      <c r="J151" s="69"/>
    </row>
    <row r="152" spans="1:10" ht="17.100000000000001" customHeight="1" x14ac:dyDescent="0.2">
      <c r="A152" s="185"/>
      <c r="B152" s="253" t="s">
        <v>1056</v>
      </c>
      <c r="C152" s="254"/>
      <c r="D152" s="163" t="s">
        <v>185</v>
      </c>
      <c r="E152" s="185"/>
      <c r="F152" s="185"/>
      <c r="G152" s="185"/>
      <c r="H152" s="185"/>
      <c r="J152" s="69"/>
    </row>
    <row r="153" spans="1:10" ht="14.1" customHeight="1" x14ac:dyDescent="0.2">
      <c r="A153" s="185"/>
      <c r="B153" s="189"/>
      <c r="C153" s="189"/>
      <c r="D153" s="185"/>
      <c r="E153" s="185"/>
      <c r="F153" s="185"/>
      <c r="G153" s="185"/>
      <c r="H153" s="185"/>
      <c r="J153" s="69"/>
    </row>
    <row r="154" spans="1:10" ht="29.1" customHeight="1" x14ac:dyDescent="0.2">
      <c r="A154" s="185"/>
      <c r="B154" s="253" t="s">
        <v>194</v>
      </c>
      <c r="C154" s="254"/>
      <c r="D154" s="163" t="s">
        <v>185</v>
      </c>
      <c r="E154" s="191"/>
      <c r="F154" s="185"/>
      <c r="G154" s="185"/>
      <c r="H154" s="185"/>
      <c r="J154" s="69"/>
    </row>
    <row r="155" spans="1:10" ht="29.1" customHeight="1" x14ac:dyDescent="0.2">
      <c r="A155" s="185"/>
      <c r="B155" s="253" t="s">
        <v>195</v>
      </c>
      <c r="C155" s="254"/>
      <c r="D155" s="163" t="s">
        <v>185</v>
      </c>
      <c r="E155" s="191"/>
      <c r="F155" s="185"/>
      <c r="G155" s="185"/>
      <c r="H155" s="185"/>
      <c r="J155" s="69"/>
    </row>
    <row r="156" spans="1:10" ht="17.100000000000001" customHeight="1" x14ac:dyDescent="0.2">
      <c r="A156" s="185"/>
      <c r="B156" s="253" t="s">
        <v>196</v>
      </c>
      <c r="C156" s="254"/>
      <c r="D156" s="163" t="s">
        <v>185</v>
      </c>
      <c r="E156" s="191"/>
      <c r="F156" s="185"/>
      <c r="G156" s="185"/>
      <c r="H156" s="185"/>
      <c r="J156" s="69"/>
    </row>
    <row r="157" spans="1:10" ht="17.100000000000001" customHeight="1" x14ac:dyDescent="0.2">
      <c r="A157" s="185"/>
      <c r="B157" s="253" t="s">
        <v>197</v>
      </c>
      <c r="C157" s="254"/>
      <c r="D157" s="192">
        <v>0.38886671619743307</v>
      </c>
      <c r="E157" s="185"/>
      <c r="F157" s="189"/>
      <c r="G157" s="190"/>
      <c r="H157" s="190"/>
      <c r="J157" s="69"/>
    </row>
  </sheetData>
  <mergeCells count="17">
    <mergeCell ref="B157:C157"/>
    <mergeCell ref="B152:C152"/>
    <mergeCell ref="B154:C154"/>
    <mergeCell ref="B155:C155"/>
    <mergeCell ref="B156:C156"/>
    <mergeCell ref="A1:H1"/>
    <mergeCell ref="A2:H2"/>
    <mergeCell ref="A3:H3"/>
    <mergeCell ref="B143:C143"/>
    <mergeCell ref="B144:C144"/>
    <mergeCell ref="B141:D141"/>
    <mergeCell ref="B142:C142"/>
    <mergeCell ref="B139:H139"/>
    <mergeCell ref="B135:H135"/>
    <mergeCell ref="B136:H136"/>
    <mergeCell ref="B137:H137"/>
    <mergeCell ref="B138:H138"/>
  </mergeCells>
  <hyperlinks>
    <hyperlink ref="I1" location="Index!B28" display="Index" xr:uid="{2E41D189-BF5A-40F6-8F77-E1B7B80B6F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T120"/>
  <sheetViews>
    <sheetView showGridLines="0" workbookViewId="0">
      <selection activeCell="C53" sqref="C5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28" customWidth="1"/>
  </cols>
  <sheetData>
    <row r="1" spans="1:18" ht="15" x14ac:dyDescent="0.2">
      <c r="A1" s="250" t="s">
        <v>0</v>
      </c>
      <c r="B1" s="250"/>
      <c r="C1" s="250"/>
      <c r="D1" s="250"/>
      <c r="E1" s="250"/>
      <c r="F1" s="250"/>
      <c r="G1" s="250"/>
      <c r="H1" s="250"/>
      <c r="I1" s="35" t="s">
        <v>888</v>
      </c>
      <c r="J1" s="72"/>
    </row>
    <row r="2" spans="1:18" ht="15" customHeight="1" x14ac:dyDescent="0.2">
      <c r="A2" s="250" t="s">
        <v>860</v>
      </c>
      <c r="B2" s="250"/>
      <c r="C2" s="250"/>
      <c r="D2" s="250"/>
      <c r="E2" s="250"/>
      <c r="F2" s="250"/>
      <c r="G2" s="250"/>
      <c r="H2" s="250"/>
      <c r="J2" s="70" t="s">
        <v>889</v>
      </c>
      <c r="K2" s="66"/>
      <c r="L2" s="66"/>
      <c r="M2" s="66"/>
      <c r="N2" s="66"/>
    </row>
    <row r="3" spans="1:18" ht="15" x14ac:dyDescent="0.2">
      <c r="A3" s="250" t="s">
        <v>873</v>
      </c>
      <c r="B3" s="250"/>
      <c r="C3" s="250"/>
      <c r="D3" s="250"/>
      <c r="E3" s="250"/>
      <c r="F3" s="250"/>
      <c r="G3" s="250"/>
      <c r="H3" s="250"/>
      <c r="J3" s="72"/>
    </row>
    <row r="4" spans="1:18" s="28" customFormat="1" ht="30" x14ac:dyDescent="0.2">
      <c r="A4" s="161" t="s">
        <v>2</v>
      </c>
      <c r="B4" s="161" t="s">
        <v>3</v>
      </c>
      <c r="C4" s="161" t="s">
        <v>4</v>
      </c>
      <c r="D4" s="161" t="s">
        <v>5</v>
      </c>
      <c r="E4" s="161" t="s">
        <v>6</v>
      </c>
      <c r="F4" s="161" t="s">
        <v>7</v>
      </c>
      <c r="G4" s="161" t="s">
        <v>8</v>
      </c>
      <c r="H4" s="161" t="s">
        <v>872</v>
      </c>
      <c r="J4" s="72"/>
      <c r="P4"/>
      <c r="Q4"/>
      <c r="R4"/>
    </row>
    <row r="5" spans="1:18" ht="14.1" customHeight="1" x14ac:dyDescent="0.2">
      <c r="A5" s="162"/>
      <c r="B5" s="162"/>
      <c r="C5" s="163" t="s">
        <v>9</v>
      </c>
      <c r="D5" s="162"/>
      <c r="E5" s="162"/>
      <c r="F5" s="162"/>
      <c r="G5" s="162"/>
      <c r="H5" s="162"/>
      <c r="J5" s="72"/>
    </row>
    <row r="6" spans="1:18" ht="24" customHeight="1" x14ac:dyDescent="0.2">
      <c r="A6" s="162"/>
      <c r="B6" s="162"/>
      <c r="C6" s="163" t="s">
        <v>10</v>
      </c>
      <c r="D6" s="162"/>
      <c r="E6" s="162"/>
      <c r="F6" s="162"/>
      <c r="G6" s="162"/>
      <c r="H6" s="162"/>
      <c r="J6" s="72"/>
    </row>
    <row r="7" spans="1:18" ht="17.100000000000001" customHeight="1" x14ac:dyDescent="0.2">
      <c r="A7" s="164">
        <v>1</v>
      </c>
      <c r="B7" s="165" t="s">
        <v>37</v>
      </c>
      <c r="C7" s="165" t="s">
        <v>38</v>
      </c>
      <c r="D7" s="165" t="s">
        <v>39</v>
      </c>
      <c r="E7" s="166">
        <v>1767988</v>
      </c>
      <c r="F7" s="167">
        <v>20338.933951999999</v>
      </c>
      <c r="G7" s="168">
        <v>0.16162393999999999</v>
      </c>
      <c r="H7" s="167"/>
      <c r="J7" s="72"/>
    </row>
    <row r="8" spans="1:18" ht="17.100000000000001" customHeight="1" x14ac:dyDescent="0.2">
      <c r="A8" s="164">
        <v>2</v>
      </c>
      <c r="B8" s="165" t="s">
        <v>331</v>
      </c>
      <c r="C8" s="165" t="s">
        <v>332</v>
      </c>
      <c r="D8" s="165" t="s">
        <v>39</v>
      </c>
      <c r="E8" s="166">
        <v>1299304</v>
      </c>
      <c r="F8" s="167">
        <v>19750.720104</v>
      </c>
      <c r="G8" s="168">
        <v>0.15694968000000001</v>
      </c>
      <c r="H8" s="167"/>
      <c r="J8" s="72"/>
    </row>
    <row r="9" spans="1:18" ht="17.100000000000001" customHeight="1" x14ac:dyDescent="0.2">
      <c r="A9" s="164">
        <v>3</v>
      </c>
      <c r="B9" s="165" t="s">
        <v>335</v>
      </c>
      <c r="C9" s="165" t="s">
        <v>336</v>
      </c>
      <c r="D9" s="165" t="s">
        <v>39</v>
      </c>
      <c r="E9" s="166">
        <v>1012094</v>
      </c>
      <c r="F9" s="167">
        <v>11800.003946000001</v>
      </c>
      <c r="G9" s="168">
        <v>9.3769080000000005E-2</v>
      </c>
      <c r="H9" s="167"/>
      <c r="J9" s="72"/>
    </row>
    <row r="10" spans="1:18" ht="17.100000000000001" customHeight="1" x14ac:dyDescent="0.2">
      <c r="A10" s="164">
        <v>4</v>
      </c>
      <c r="B10" s="165" t="s">
        <v>54</v>
      </c>
      <c r="C10" s="165" t="s">
        <v>55</v>
      </c>
      <c r="D10" s="165" t="s">
        <v>39</v>
      </c>
      <c r="E10" s="166">
        <v>965673</v>
      </c>
      <c r="F10" s="167">
        <v>7978.8731625</v>
      </c>
      <c r="G10" s="168">
        <v>6.3404349999999998E-2</v>
      </c>
      <c r="H10" s="167"/>
      <c r="J10" s="72"/>
    </row>
    <row r="11" spans="1:18" ht="17.100000000000001" customHeight="1" x14ac:dyDescent="0.2">
      <c r="A11" s="164">
        <v>5</v>
      </c>
      <c r="B11" s="165" t="s">
        <v>125</v>
      </c>
      <c r="C11" s="165" t="s">
        <v>126</v>
      </c>
      <c r="D11" s="165" t="s">
        <v>53</v>
      </c>
      <c r="E11" s="166">
        <v>1529956</v>
      </c>
      <c r="F11" s="167">
        <v>6755.5207179999998</v>
      </c>
      <c r="G11" s="168">
        <v>5.3682939999999998E-2</v>
      </c>
      <c r="H11" s="167"/>
      <c r="J11" s="72"/>
    </row>
    <row r="12" spans="1:18" ht="17.100000000000001" customHeight="1" x14ac:dyDescent="0.2">
      <c r="A12" s="164">
        <v>6</v>
      </c>
      <c r="B12" s="165" t="s">
        <v>468</v>
      </c>
      <c r="C12" s="165" t="s">
        <v>469</v>
      </c>
      <c r="D12" s="165" t="s">
        <v>53</v>
      </c>
      <c r="E12" s="166">
        <v>911783</v>
      </c>
      <c r="F12" s="167">
        <v>5237.7374435000002</v>
      </c>
      <c r="G12" s="168">
        <v>4.1621829999999999E-2</v>
      </c>
      <c r="H12" s="167"/>
      <c r="J12" s="71"/>
    </row>
    <row r="13" spans="1:18" ht="17.100000000000001" customHeight="1" x14ac:dyDescent="0.2">
      <c r="A13" s="164">
        <v>7</v>
      </c>
      <c r="B13" s="165" t="s">
        <v>389</v>
      </c>
      <c r="C13" s="165" t="s">
        <v>390</v>
      </c>
      <c r="D13" s="165" t="s">
        <v>53</v>
      </c>
      <c r="E13" s="166">
        <v>70227</v>
      </c>
      <c r="F13" s="167">
        <v>4862.2014584999997</v>
      </c>
      <c r="G13" s="168">
        <v>3.8637629999999999E-2</v>
      </c>
      <c r="H13" s="167"/>
      <c r="J13" s="75" t="s">
        <v>957</v>
      </c>
    </row>
    <row r="14" spans="1:18" ht="17.100000000000001" customHeight="1" x14ac:dyDescent="0.2">
      <c r="A14" s="164">
        <v>8</v>
      </c>
      <c r="B14" s="165" t="s">
        <v>294</v>
      </c>
      <c r="C14" s="165" t="s">
        <v>295</v>
      </c>
      <c r="D14" s="165" t="s">
        <v>53</v>
      </c>
      <c r="E14" s="166">
        <v>440354</v>
      </c>
      <c r="F14" s="167">
        <v>4741.7318720000003</v>
      </c>
      <c r="G14" s="168">
        <v>3.7680310000000002E-2</v>
      </c>
      <c r="H14" s="167"/>
      <c r="J14" s="72"/>
    </row>
    <row r="15" spans="1:18" ht="17.100000000000001" customHeight="1" x14ac:dyDescent="0.2">
      <c r="A15" s="164">
        <v>9</v>
      </c>
      <c r="B15" s="165" t="s">
        <v>462</v>
      </c>
      <c r="C15" s="165" t="s">
        <v>463</v>
      </c>
      <c r="D15" s="165" t="s">
        <v>39</v>
      </c>
      <c r="E15" s="166">
        <v>4811218</v>
      </c>
      <c r="F15" s="167">
        <v>4669.287069</v>
      </c>
      <c r="G15" s="168">
        <v>3.710463E-2</v>
      </c>
      <c r="H15" s="167"/>
      <c r="J15" s="72"/>
    </row>
    <row r="16" spans="1:18" ht="17.100000000000001" customHeight="1" x14ac:dyDescent="0.2">
      <c r="A16" s="164">
        <v>10</v>
      </c>
      <c r="B16" s="165" t="s">
        <v>226</v>
      </c>
      <c r="C16" s="165" t="s">
        <v>227</v>
      </c>
      <c r="D16" s="165" t="s">
        <v>53</v>
      </c>
      <c r="E16" s="166">
        <v>178174</v>
      </c>
      <c r="F16" s="167">
        <v>4546.4659579999998</v>
      </c>
      <c r="G16" s="168">
        <v>3.6128630000000002E-2</v>
      </c>
      <c r="H16" s="167"/>
      <c r="J16" s="72"/>
    </row>
    <row r="17" spans="1:10" ht="17.100000000000001" customHeight="1" x14ac:dyDescent="0.2">
      <c r="A17" s="164">
        <v>11</v>
      </c>
      <c r="B17" s="165" t="s">
        <v>478</v>
      </c>
      <c r="C17" s="165" t="s">
        <v>479</v>
      </c>
      <c r="D17" s="165" t="s">
        <v>53</v>
      </c>
      <c r="E17" s="166">
        <v>594493</v>
      </c>
      <c r="F17" s="167">
        <v>4533.9008645000004</v>
      </c>
      <c r="G17" s="168">
        <v>3.6028780000000003E-2</v>
      </c>
      <c r="H17" s="167"/>
      <c r="J17" s="72"/>
    </row>
    <row r="18" spans="1:10" ht="17.100000000000001" customHeight="1" x14ac:dyDescent="0.2">
      <c r="A18" s="164">
        <v>12</v>
      </c>
      <c r="B18" s="165" t="s">
        <v>258</v>
      </c>
      <c r="C18" s="165" t="s">
        <v>259</v>
      </c>
      <c r="D18" s="165" t="s">
        <v>39</v>
      </c>
      <c r="E18" s="166">
        <v>1851722</v>
      </c>
      <c r="F18" s="167">
        <v>2855.3553240000001</v>
      </c>
      <c r="G18" s="168">
        <v>2.2690169999999999E-2</v>
      </c>
      <c r="H18" s="167"/>
      <c r="J18" s="72"/>
    </row>
    <row r="19" spans="1:10" ht="17.100000000000001" customHeight="1" x14ac:dyDescent="0.2">
      <c r="A19" s="164">
        <v>13</v>
      </c>
      <c r="B19" s="165" t="s">
        <v>528</v>
      </c>
      <c r="C19" s="165" t="s">
        <v>529</v>
      </c>
      <c r="D19" s="165" t="s">
        <v>39</v>
      </c>
      <c r="E19" s="166">
        <v>730965</v>
      </c>
      <c r="F19" s="167">
        <v>2725.4030025000002</v>
      </c>
      <c r="G19" s="168">
        <v>2.16575E-2</v>
      </c>
      <c r="H19" s="167"/>
      <c r="J19" s="72"/>
    </row>
    <row r="20" spans="1:10" ht="17.100000000000001" customHeight="1" x14ac:dyDescent="0.2">
      <c r="A20" s="164">
        <v>14</v>
      </c>
      <c r="B20" s="165" t="s">
        <v>51</v>
      </c>
      <c r="C20" s="165" t="s">
        <v>52</v>
      </c>
      <c r="D20" s="165" t="s">
        <v>53</v>
      </c>
      <c r="E20" s="166">
        <v>498240</v>
      </c>
      <c r="F20" s="167">
        <v>2526.8241600000001</v>
      </c>
      <c r="G20" s="168">
        <v>2.007948E-2</v>
      </c>
      <c r="H20" s="167"/>
      <c r="J20" s="72"/>
    </row>
    <row r="21" spans="1:10" ht="29.1" customHeight="1" x14ac:dyDescent="0.2">
      <c r="A21" s="164">
        <v>15</v>
      </c>
      <c r="B21" s="165" t="s">
        <v>627</v>
      </c>
      <c r="C21" s="165" t="s">
        <v>628</v>
      </c>
      <c r="D21" s="165" t="s">
        <v>235</v>
      </c>
      <c r="E21" s="166">
        <v>412331</v>
      </c>
      <c r="F21" s="167">
        <v>2362.244299</v>
      </c>
      <c r="G21" s="168">
        <v>1.8771639999999999E-2</v>
      </c>
      <c r="H21" s="167"/>
      <c r="J21" s="72"/>
    </row>
    <row r="22" spans="1:10" ht="17.100000000000001" customHeight="1" x14ac:dyDescent="0.2">
      <c r="A22" s="164">
        <v>16</v>
      </c>
      <c r="B22" s="165" t="s">
        <v>533</v>
      </c>
      <c r="C22" s="165" t="s">
        <v>534</v>
      </c>
      <c r="D22" s="165" t="s">
        <v>39</v>
      </c>
      <c r="E22" s="166">
        <v>832054</v>
      </c>
      <c r="F22" s="167">
        <v>2342.2320100000002</v>
      </c>
      <c r="G22" s="168">
        <v>1.861262E-2</v>
      </c>
      <c r="H22" s="167"/>
      <c r="J22" s="71"/>
    </row>
    <row r="23" spans="1:10" ht="17.100000000000001" customHeight="1" x14ac:dyDescent="0.2">
      <c r="A23" s="164">
        <v>17</v>
      </c>
      <c r="B23" s="165" t="s">
        <v>378</v>
      </c>
      <c r="C23" s="165" t="s">
        <v>379</v>
      </c>
      <c r="D23" s="165" t="s">
        <v>39</v>
      </c>
      <c r="E23" s="166">
        <v>1492166</v>
      </c>
      <c r="F23" s="167">
        <v>2314.3494660000001</v>
      </c>
      <c r="G23" s="168">
        <v>1.8391049999999999E-2</v>
      </c>
      <c r="H23" s="167"/>
      <c r="J23" s="72"/>
    </row>
    <row r="24" spans="1:10" ht="17.100000000000001" customHeight="1" x14ac:dyDescent="0.2">
      <c r="A24" s="164">
        <v>18</v>
      </c>
      <c r="B24" s="165" t="s">
        <v>360</v>
      </c>
      <c r="C24" s="165" t="s">
        <v>361</v>
      </c>
      <c r="D24" s="165" t="s">
        <v>39</v>
      </c>
      <c r="E24" s="166">
        <v>152604</v>
      </c>
      <c r="F24" s="167">
        <v>2313.0188280000002</v>
      </c>
      <c r="G24" s="168">
        <v>1.8380469999999999E-2</v>
      </c>
      <c r="H24" s="167"/>
      <c r="J24" s="72"/>
    </row>
    <row r="25" spans="1:10" ht="17.100000000000001" customHeight="1" x14ac:dyDescent="0.2">
      <c r="A25" s="164">
        <v>19</v>
      </c>
      <c r="B25" s="165" t="s">
        <v>217</v>
      </c>
      <c r="C25" s="165" t="s">
        <v>218</v>
      </c>
      <c r="D25" s="165" t="s">
        <v>39</v>
      </c>
      <c r="E25" s="166">
        <v>404587</v>
      </c>
      <c r="F25" s="167">
        <v>2218.1482274999998</v>
      </c>
      <c r="G25" s="168">
        <v>1.7626579999999999E-2</v>
      </c>
      <c r="H25" s="167"/>
      <c r="J25" s="72"/>
    </row>
    <row r="26" spans="1:10" ht="17.100000000000001" customHeight="1" x14ac:dyDescent="0.2">
      <c r="A26" s="164">
        <v>20</v>
      </c>
      <c r="B26" s="165" t="s">
        <v>281</v>
      </c>
      <c r="C26" s="165" t="s">
        <v>282</v>
      </c>
      <c r="D26" s="165" t="s">
        <v>53</v>
      </c>
      <c r="E26" s="166">
        <v>121433</v>
      </c>
      <c r="F26" s="167">
        <v>1972.1933529999999</v>
      </c>
      <c r="G26" s="168">
        <v>1.567209E-2</v>
      </c>
      <c r="H26" s="167"/>
      <c r="J26" s="72"/>
    </row>
    <row r="27" spans="1:10" ht="17.100000000000001" customHeight="1" x14ac:dyDescent="0.2">
      <c r="A27" s="164">
        <v>21</v>
      </c>
      <c r="B27" s="165" t="s">
        <v>535</v>
      </c>
      <c r="C27" s="165" t="s">
        <v>536</v>
      </c>
      <c r="D27" s="165" t="s">
        <v>235</v>
      </c>
      <c r="E27" s="166">
        <v>86450</v>
      </c>
      <c r="F27" s="167">
        <v>1241.897475</v>
      </c>
      <c r="G27" s="168">
        <v>9.8687800000000006E-3</v>
      </c>
      <c r="H27" s="167"/>
      <c r="J27" s="72"/>
    </row>
    <row r="28" spans="1:10" ht="17.100000000000001" customHeight="1" x14ac:dyDescent="0.2">
      <c r="A28" s="164">
        <v>22</v>
      </c>
      <c r="B28" s="165" t="s">
        <v>470</v>
      </c>
      <c r="C28" s="165" t="s">
        <v>471</v>
      </c>
      <c r="D28" s="165" t="s">
        <v>262</v>
      </c>
      <c r="E28" s="166">
        <v>36479</v>
      </c>
      <c r="F28" s="167">
        <v>1016.523814</v>
      </c>
      <c r="G28" s="168">
        <v>8.0778399999999993E-3</v>
      </c>
      <c r="H28" s="167"/>
      <c r="J28" s="72"/>
    </row>
    <row r="29" spans="1:10" ht="29.1" customHeight="1" x14ac:dyDescent="0.2">
      <c r="A29" s="164">
        <v>23</v>
      </c>
      <c r="B29" s="165" t="s">
        <v>279</v>
      </c>
      <c r="C29" s="165" t="s">
        <v>280</v>
      </c>
      <c r="D29" s="165" t="s">
        <v>53</v>
      </c>
      <c r="E29" s="166">
        <v>41394</v>
      </c>
      <c r="F29" s="167">
        <v>493.95460200000002</v>
      </c>
      <c r="G29" s="168">
        <v>3.92523E-3</v>
      </c>
      <c r="H29" s="167"/>
      <c r="J29" s="72"/>
    </row>
    <row r="30" spans="1:10" ht="14.1" customHeight="1" x14ac:dyDescent="0.2">
      <c r="A30" s="162"/>
      <c r="B30" s="162"/>
      <c r="C30" s="163" t="s">
        <v>152</v>
      </c>
      <c r="D30" s="162"/>
      <c r="E30" s="162" t="s">
        <v>153</v>
      </c>
      <c r="F30" s="169">
        <v>119597.52110899999</v>
      </c>
      <c r="G30" s="170">
        <v>0.95038524999999996</v>
      </c>
      <c r="H30" s="167"/>
      <c r="J30" s="72"/>
    </row>
    <row r="31" spans="1:10" ht="14.1" customHeight="1" x14ac:dyDescent="0.2">
      <c r="A31" s="162"/>
      <c r="B31" s="162"/>
      <c r="C31" s="171"/>
      <c r="D31" s="162"/>
      <c r="E31" s="162"/>
      <c r="F31" s="172"/>
      <c r="G31" s="172"/>
      <c r="H31" s="167"/>
      <c r="J31" s="72"/>
    </row>
    <row r="32" spans="1:10" ht="14.1" customHeight="1" x14ac:dyDescent="0.2">
      <c r="A32" s="162"/>
      <c r="B32" s="162"/>
      <c r="C32" s="163" t="s">
        <v>154</v>
      </c>
      <c r="D32" s="162"/>
      <c r="E32" s="162"/>
      <c r="F32" s="162"/>
      <c r="G32" s="162"/>
      <c r="H32" s="167"/>
      <c r="J32" s="72"/>
    </row>
    <row r="33" spans="1:10" ht="14.1" customHeight="1" x14ac:dyDescent="0.2">
      <c r="A33" s="162"/>
      <c r="B33" s="162"/>
      <c r="C33" s="163" t="s">
        <v>152</v>
      </c>
      <c r="D33" s="162"/>
      <c r="E33" s="162" t="s">
        <v>153</v>
      </c>
      <c r="F33" s="173" t="s">
        <v>155</v>
      </c>
      <c r="G33" s="170">
        <v>0</v>
      </c>
      <c r="H33" s="167"/>
      <c r="J33" s="72"/>
    </row>
    <row r="34" spans="1:10" ht="14.1" customHeight="1" x14ac:dyDescent="0.2">
      <c r="A34" s="162"/>
      <c r="B34" s="162"/>
      <c r="C34" s="171"/>
      <c r="D34" s="162"/>
      <c r="E34" s="162"/>
      <c r="F34" s="172"/>
      <c r="G34" s="172"/>
      <c r="H34" s="167"/>
      <c r="J34" s="72"/>
    </row>
    <row r="35" spans="1:10" ht="14.1" customHeight="1" x14ac:dyDescent="0.2">
      <c r="A35" s="162"/>
      <c r="B35" s="162"/>
      <c r="C35" s="163" t="s">
        <v>156</v>
      </c>
      <c r="D35" s="162"/>
      <c r="E35" s="162"/>
      <c r="F35" s="162"/>
      <c r="G35" s="162"/>
      <c r="H35" s="167"/>
      <c r="J35" s="72"/>
    </row>
    <row r="36" spans="1:10" ht="14.1" customHeight="1" x14ac:dyDescent="0.2">
      <c r="A36" s="162"/>
      <c r="B36" s="162"/>
      <c r="C36" s="163" t="s">
        <v>152</v>
      </c>
      <c r="D36" s="162"/>
      <c r="E36" s="162" t="s">
        <v>153</v>
      </c>
      <c r="F36" s="173" t="s">
        <v>155</v>
      </c>
      <c r="G36" s="170">
        <v>0</v>
      </c>
      <c r="H36" s="167"/>
      <c r="J36" s="72"/>
    </row>
    <row r="37" spans="1:10" ht="14.1" customHeight="1" x14ac:dyDescent="0.2">
      <c r="A37" s="162"/>
      <c r="B37" s="162"/>
      <c r="C37" s="171"/>
      <c r="D37" s="162"/>
      <c r="E37" s="162"/>
      <c r="F37" s="172"/>
      <c r="G37" s="172"/>
      <c r="H37" s="167"/>
      <c r="J37" s="72"/>
    </row>
    <row r="38" spans="1:10" ht="14.1" customHeight="1" x14ac:dyDescent="0.2">
      <c r="A38" s="162"/>
      <c r="B38" s="162"/>
      <c r="C38" s="163" t="s">
        <v>157</v>
      </c>
      <c r="D38" s="162"/>
      <c r="E38" s="162"/>
      <c r="F38" s="162"/>
      <c r="G38" s="162"/>
      <c r="H38" s="167"/>
      <c r="J38" s="72"/>
    </row>
    <row r="39" spans="1:10" ht="14.1" customHeight="1" x14ac:dyDescent="0.2">
      <c r="A39" s="162"/>
      <c r="B39" s="162"/>
      <c r="C39" s="163" t="s">
        <v>152</v>
      </c>
      <c r="D39" s="162"/>
      <c r="E39" s="162" t="s">
        <v>153</v>
      </c>
      <c r="F39" s="173" t="s">
        <v>155</v>
      </c>
      <c r="G39" s="170">
        <v>0</v>
      </c>
      <c r="H39" s="167"/>
      <c r="J39" s="72"/>
    </row>
    <row r="40" spans="1:10" ht="14.1" customHeight="1" x14ac:dyDescent="0.2">
      <c r="A40" s="162"/>
      <c r="B40" s="162"/>
      <c r="C40" s="171"/>
      <c r="D40" s="162"/>
      <c r="E40" s="162"/>
      <c r="F40" s="172"/>
      <c r="G40" s="172"/>
      <c r="H40" s="167"/>
      <c r="J40" s="72"/>
    </row>
    <row r="41" spans="1:10" ht="14.1" customHeight="1" x14ac:dyDescent="0.2">
      <c r="A41" s="162"/>
      <c r="B41" s="162"/>
      <c r="C41" s="163" t="s">
        <v>158</v>
      </c>
      <c r="D41" s="162"/>
      <c r="E41" s="162"/>
      <c r="F41" s="172"/>
      <c r="G41" s="172"/>
      <c r="H41" s="167"/>
      <c r="J41" s="72"/>
    </row>
    <row r="42" spans="1:10" ht="14.1" customHeight="1" x14ac:dyDescent="0.2">
      <c r="A42" s="162"/>
      <c r="B42" s="162"/>
      <c r="C42" s="163" t="s">
        <v>152</v>
      </c>
      <c r="D42" s="162"/>
      <c r="E42" s="162" t="s">
        <v>153</v>
      </c>
      <c r="F42" s="173" t="s">
        <v>155</v>
      </c>
      <c r="G42" s="170">
        <v>0</v>
      </c>
      <c r="H42" s="167"/>
      <c r="J42" s="72"/>
    </row>
    <row r="43" spans="1:10" ht="14.1" customHeight="1" x14ac:dyDescent="0.2">
      <c r="A43" s="162"/>
      <c r="B43" s="162"/>
      <c r="C43" s="171"/>
      <c r="D43" s="162"/>
      <c r="E43" s="162"/>
      <c r="F43" s="172"/>
      <c r="G43" s="172"/>
      <c r="H43" s="167"/>
      <c r="J43" s="72"/>
    </row>
    <row r="44" spans="1:10" ht="14.1" customHeight="1" x14ac:dyDescent="0.2">
      <c r="A44" s="162"/>
      <c r="B44" s="162"/>
      <c r="C44" s="163" t="s">
        <v>159</v>
      </c>
      <c r="D44" s="162"/>
      <c r="E44" s="162"/>
      <c r="F44" s="172"/>
      <c r="G44" s="172"/>
      <c r="H44" s="167"/>
      <c r="J44" s="72"/>
    </row>
    <row r="45" spans="1:10" ht="14.1" customHeight="1" x14ac:dyDescent="0.2">
      <c r="A45" s="162"/>
      <c r="B45" s="162"/>
      <c r="C45" s="163" t="s">
        <v>152</v>
      </c>
      <c r="D45" s="162"/>
      <c r="E45" s="162" t="s">
        <v>153</v>
      </c>
      <c r="F45" s="173" t="s">
        <v>155</v>
      </c>
      <c r="G45" s="170">
        <v>0</v>
      </c>
      <c r="H45" s="167"/>
      <c r="J45" s="72"/>
    </row>
    <row r="46" spans="1:10" ht="14.1" customHeight="1" x14ac:dyDescent="0.2">
      <c r="A46" s="162"/>
      <c r="B46" s="162"/>
      <c r="C46" s="171"/>
      <c r="D46" s="162"/>
      <c r="E46" s="162"/>
      <c r="F46" s="172"/>
      <c r="G46" s="172"/>
      <c r="H46" s="167"/>
      <c r="J46" s="72"/>
    </row>
    <row r="47" spans="1:10" ht="18" customHeight="1" x14ac:dyDescent="0.2">
      <c r="A47" s="162"/>
      <c r="B47" s="162"/>
      <c r="C47" s="163" t="s">
        <v>160</v>
      </c>
      <c r="D47" s="162"/>
      <c r="E47" s="162"/>
      <c r="F47" s="169">
        <v>119597.52110899999</v>
      </c>
      <c r="G47" s="170">
        <v>0.95038524999999996</v>
      </c>
      <c r="H47" s="167"/>
      <c r="J47" s="72"/>
    </row>
    <row r="48" spans="1:10" ht="14.1" customHeight="1" x14ac:dyDescent="0.2">
      <c r="A48" s="162"/>
      <c r="B48" s="162"/>
      <c r="C48" s="171"/>
      <c r="D48" s="162"/>
      <c r="E48" s="162"/>
      <c r="F48" s="172"/>
      <c r="G48" s="172"/>
      <c r="H48" s="167"/>
      <c r="J48" s="72"/>
    </row>
    <row r="49" spans="1:10" ht="14.1" customHeight="1" x14ac:dyDescent="0.2">
      <c r="A49" s="162"/>
      <c r="B49" s="162"/>
      <c r="C49" s="163" t="s">
        <v>161</v>
      </c>
      <c r="D49" s="162"/>
      <c r="E49" s="162"/>
      <c r="F49" s="172"/>
      <c r="G49" s="172"/>
      <c r="H49" s="167"/>
      <c r="J49" s="72"/>
    </row>
    <row r="50" spans="1:10" ht="24" customHeight="1" x14ac:dyDescent="0.2">
      <c r="A50" s="162"/>
      <c r="B50" s="162"/>
      <c r="C50" s="163" t="s">
        <v>10</v>
      </c>
      <c r="D50" s="162"/>
      <c r="E50" s="162"/>
      <c r="F50" s="172"/>
      <c r="G50" s="172"/>
      <c r="H50" s="167"/>
      <c r="J50" s="72"/>
    </row>
    <row r="51" spans="1:10" ht="14.1" customHeight="1" x14ac:dyDescent="0.2">
      <c r="A51" s="162"/>
      <c r="B51" s="162"/>
      <c r="C51" s="163" t="s">
        <v>152</v>
      </c>
      <c r="D51" s="162"/>
      <c r="E51" s="162" t="s">
        <v>153</v>
      </c>
      <c r="F51" s="173" t="s">
        <v>155</v>
      </c>
      <c r="G51" s="170">
        <v>0</v>
      </c>
      <c r="H51" s="167"/>
      <c r="J51" s="72"/>
    </row>
    <row r="52" spans="1:10" ht="14.1" customHeight="1" x14ac:dyDescent="0.2">
      <c r="A52" s="162"/>
      <c r="B52" s="162"/>
      <c r="C52" s="171"/>
      <c r="D52" s="162"/>
      <c r="E52" s="162"/>
      <c r="F52" s="172"/>
      <c r="G52" s="172"/>
      <c r="H52" s="167"/>
      <c r="J52" s="72"/>
    </row>
    <row r="53" spans="1:10" ht="14.1" customHeight="1" x14ac:dyDescent="0.2">
      <c r="A53" s="162"/>
      <c r="B53" s="162"/>
      <c r="C53" s="163" t="s">
        <v>162</v>
      </c>
      <c r="D53" s="162"/>
      <c r="E53" s="162"/>
      <c r="F53" s="162"/>
      <c r="G53" s="162"/>
      <c r="H53" s="167"/>
      <c r="J53" s="72"/>
    </row>
    <row r="54" spans="1:10" ht="14.1" customHeight="1" x14ac:dyDescent="0.2">
      <c r="A54" s="162"/>
      <c r="B54" s="162"/>
      <c r="C54" s="163" t="s">
        <v>152</v>
      </c>
      <c r="D54" s="162"/>
      <c r="E54" s="162" t="s">
        <v>153</v>
      </c>
      <c r="F54" s="173" t="s">
        <v>155</v>
      </c>
      <c r="G54" s="170">
        <v>0</v>
      </c>
      <c r="H54" s="167"/>
      <c r="J54" s="72"/>
    </row>
    <row r="55" spans="1:10" ht="14.1" customHeight="1" x14ac:dyDescent="0.2">
      <c r="A55" s="162"/>
      <c r="B55" s="162"/>
      <c r="C55" s="171"/>
      <c r="D55" s="162"/>
      <c r="E55" s="162"/>
      <c r="F55" s="172"/>
      <c r="G55" s="172"/>
      <c r="H55" s="167"/>
      <c r="J55" s="72"/>
    </row>
    <row r="56" spans="1:10" ht="14.1" customHeight="1" x14ac:dyDescent="0.2">
      <c r="A56" s="162"/>
      <c r="B56" s="162"/>
      <c r="C56" s="163" t="s">
        <v>163</v>
      </c>
      <c r="D56" s="162"/>
      <c r="E56" s="162"/>
      <c r="F56" s="162"/>
      <c r="G56" s="162"/>
      <c r="H56" s="167"/>
      <c r="J56" s="72"/>
    </row>
    <row r="57" spans="1:10" ht="14.1" customHeight="1" x14ac:dyDescent="0.2">
      <c r="A57" s="162"/>
      <c r="B57" s="162"/>
      <c r="C57" s="163" t="s">
        <v>152</v>
      </c>
      <c r="D57" s="162"/>
      <c r="E57" s="162" t="s">
        <v>153</v>
      </c>
      <c r="F57" s="173" t="s">
        <v>155</v>
      </c>
      <c r="G57" s="170">
        <v>0</v>
      </c>
      <c r="H57" s="167"/>
      <c r="J57" s="72"/>
    </row>
    <row r="58" spans="1:10" ht="14.1" customHeight="1" x14ac:dyDescent="0.2">
      <c r="A58" s="162"/>
      <c r="B58" s="162"/>
      <c r="C58" s="171"/>
      <c r="D58" s="162"/>
      <c r="E58" s="162"/>
      <c r="F58" s="172"/>
      <c r="G58" s="172"/>
      <c r="H58" s="167"/>
      <c r="J58" s="72"/>
    </row>
    <row r="59" spans="1:10" ht="14.1" customHeight="1" x14ac:dyDescent="0.2">
      <c r="A59" s="162"/>
      <c r="B59" s="162"/>
      <c r="C59" s="163" t="s">
        <v>164</v>
      </c>
      <c r="D59" s="162"/>
      <c r="E59" s="162"/>
      <c r="F59" s="172"/>
      <c r="G59" s="172"/>
      <c r="H59" s="167"/>
      <c r="J59" s="72"/>
    </row>
    <row r="60" spans="1:10" ht="14.1" customHeight="1" x14ac:dyDescent="0.2">
      <c r="A60" s="162"/>
      <c r="B60" s="162"/>
      <c r="C60" s="163" t="s">
        <v>152</v>
      </c>
      <c r="D60" s="162"/>
      <c r="E60" s="162" t="s">
        <v>153</v>
      </c>
      <c r="F60" s="173" t="s">
        <v>155</v>
      </c>
      <c r="G60" s="170">
        <v>0</v>
      </c>
      <c r="H60" s="167"/>
      <c r="J60" s="72"/>
    </row>
    <row r="61" spans="1:10" ht="14.1" customHeight="1" x14ac:dyDescent="0.2">
      <c r="A61" s="162"/>
      <c r="B61" s="162"/>
      <c r="C61" s="171"/>
      <c r="D61" s="162"/>
      <c r="E61" s="162"/>
      <c r="F61" s="172"/>
      <c r="G61" s="172"/>
      <c r="H61" s="167"/>
      <c r="J61" s="72"/>
    </row>
    <row r="62" spans="1:10" ht="14.1" customHeight="1" x14ac:dyDescent="0.2">
      <c r="A62" s="162"/>
      <c r="B62" s="162"/>
      <c r="C62" s="163" t="s">
        <v>165</v>
      </c>
      <c r="D62" s="162"/>
      <c r="E62" s="162"/>
      <c r="F62" s="169">
        <v>0</v>
      </c>
      <c r="G62" s="170">
        <v>0</v>
      </c>
      <c r="H62" s="167"/>
      <c r="J62" s="72"/>
    </row>
    <row r="63" spans="1:10" ht="14.1" customHeight="1" x14ac:dyDescent="0.2">
      <c r="A63" s="162"/>
      <c r="B63" s="162"/>
      <c r="C63" s="171"/>
      <c r="D63" s="162"/>
      <c r="E63" s="162"/>
      <c r="F63" s="172"/>
      <c r="G63" s="172"/>
      <c r="H63" s="167"/>
      <c r="J63" s="72"/>
    </row>
    <row r="64" spans="1:10" ht="14.1" customHeight="1" x14ac:dyDescent="0.2">
      <c r="A64" s="162"/>
      <c r="B64" s="162"/>
      <c r="C64" s="163" t="s">
        <v>166</v>
      </c>
      <c r="D64" s="162"/>
      <c r="E64" s="162"/>
      <c r="F64" s="172"/>
      <c r="G64" s="172"/>
      <c r="H64" s="167"/>
      <c r="J64" s="72"/>
    </row>
    <row r="65" spans="1:10" ht="14.1" customHeight="1" x14ac:dyDescent="0.2">
      <c r="A65" s="162"/>
      <c r="B65" s="162"/>
      <c r="C65" s="163" t="s">
        <v>167</v>
      </c>
      <c r="D65" s="162"/>
      <c r="E65" s="162"/>
      <c r="F65" s="172"/>
      <c r="G65" s="172"/>
      <c r="H65" s="167"/>
      <c r="J65" s="72"/>
    </row>
    <row r="66" spans="1:10" ht="14.1" customHeight="1" x14ac:dyDescent="0.2">
      <c r="A66" s="162"/>
      <c r="B66" s="162"/>
      <c r="C66" s="163" t="s">
        <v>152</v>
      </c>
      <c r="D66" s="162"/>
      <c r="E66" s="162" t="s">
        <v>153</v>
      </c>
      <c r="F66" s="173" t="s">
        <v>155</v>
      </c>
      <c r="G66" s="170">
        <v>0</v>
      </c>
      <c r="H66" s="167"/>
      <c r="J66" s="72"/>
    </row>
    <row r="67" spans="1:10" ht="14.1" customHeight="1" x14ac:dyDescent="0.2">
      <c r="A67" s="162"/>
      <c r="B67" s="162"/>
      <c r="C67" s="171"/>
      <c r="D67" s="162"/>
      <c r="E67" s="162"/>
      <c r="F67" s="172"/>
      <c r="G67" s="172"/>
      <c r="H67" s="167"/>
      <c r="J67" s="72"/>
    </row>
    <row r="68" spans="1:10" ht="14.1" customHeight="1" x14ac:dyDescent="0.2">
      <c r="A68" s="162"/>
      <c r="B68" s="162"/>
      <c r="C68" s="163" t="s">
        <v>168</v>
      </c>
      <c r="D68" s="162"/>
      <c r="E68" s="162"/>
      <c r="F68" s="172"/>
      <c r="G68" s="172"/>
      <c r="H68" s="167"/>
      <c r="J68" s="72"/>
    </row>
    <row r="69" spans="1:10" ht="14.1" customHeight="1" x14ac:dyDescent="0.2">
      <c r="A69" s="162"/>
      <c r="B69" s="162"/>
      <c r="C69" s="163" t="s">
        <v>152</v>
      </c>
      <c r="D69" s="162"/>
      <c r="E69" s="162" t="s">
        <v>153</v>
      </c>
      <c r="F69" s="173" t="s">
        <v>155</v>
      </c>
      <c r="G69" s="170">
        <v>0</v>
      </c>
      <c r="H69" s="167"/>
      <c r="J69" s="72"/>
    </row>
    <row r="70" spans="1:10" ht="14.1" customHeight="1" x14ac:dyDescent="0.2">
      <c r="A70" s="162"/>
      <c r="B70" s="162"/>
      <c r="C70" s="171"/>
      <c r="D70" s="162"/>
      <c r="E70" s="162"/>
      <c r="F70" s="172"/>
      <c r="G70" s="172"/>
      <c r="H70" s="167"/>
      <c r="J70" s="72"/>
    </row>
    <row r="71" spans="1:10" ht="14.1" customHeight="1" x14ac:dyDescent="0.2">
      <c r="A71" s="162"/>
      <c r="B71" s="162"/>
      <c r="C71" s="163" t="s">
        <v>169</v>
      </c>
      <c r="D71" s="162"/>
      <c r="E71" s="162"/>
      <c r="F71" s="172"/>
      <c r="G71" s="172"/>
      <c r="H71" s="167"/>
      <c r="J71" s="72"/>
    </row>
    <row r="72" spans="1:10" ht="17.100000000000001" customHeight="1" x14ac:dyDescent="0.2">
      <c r="A72" s="164">
        <v>1</v>
      </c>
      <c r="B72" s="165" t="s">
        <v>712</v>
      </c>
      <c r="C72" s="200" t="s">
        <v>1077</v>
      </c>
      <c r="D72" s="165" t="s">
        <v>441</v>
      </c>
      <c r="E72" s="166">
        <v>500000</v>
      </c>
      <c r="F72" s="167">
        <v>484.88049999999998</v>
      </c>
      <c r="G72" s="168">
        <v>3.8531199999999998E-3</v>
      </c>
      <c r="H72" s="167">
        <v>7.0256999999999996</v>
      </c>
      <c r="J72" s="72"/>
    </row>
    <row r="73" spans="1:10" ht="14.1" customHeight="1" x14ac:dyDescent="0.2">
      <c r="A73" s="162"/>
      <c r="B73" s="162"/>
      <c r="C73" s="163" t="s">
        <v>152</v>
      </c>
      <c r="D73" s="162"/>
      <c r="E73" s="162" t="s">
        <v>153</v>
      </c>
      <c r="F73" s="169">
        <v>484.88049999999998</v>
      </c>
      <c r="G73" s="170">
        <v>3.8531199999999998E-3</v>
      </c>
      <c r="H73" s="167"/>
      <c r="J73" s="72"/>
    </row>
    <row r="74" spans="1:10" ht="14.1" customHeight="1" x14ac:dyDescent="0.2">
      <c r="A74" s="162"/>
      <c r="B74" s="162"/>
      <c r="C74" s="171"/>
      <c r="D74" s="162"/>
      <c r="E74" s="162"/>
      <c r="F74" s="172"/>
      <c r="G74" s="172"/>
      <c r="H74" s="167"/>
      <c r="J74" s="72"/>
    </row>
    <row r="75" spans="1:10" ht="14.1" customHeight="1" x14ac:dyDescent="0.2">
      <c r="A75" s="162"/>
      <c r="B75" s="162"/>
      <c r="C75" s="163" t="s">
        <v>170</v>
      </c>
      <c r="D75" s="162"/>
      <c r="E75" s="162"/>
      <c r="F75" s="172"/>
      <c r="G75" s="172"/>
      <c r="H75" s="167"/>
      <c r="J75" s="72"/>
    </row>
    <row r="76" spans="1:10" ht="17.100000000000001" customHeight="1" x14ac:dyDescent="0.2">
      <c r="A76" s="164">
        <v>1</v>
      </c>
      <c r="B76" s="165"/>
      <c r="C76" s="165" t="s">
        <v>171</v>
      </c>
      <c r="D76" s="165"/>
      <c r="E76" s="174"/>
      <c r="F76" s="167">
        <v>3759.5118612880001</v>
      </c>
      <c r="G76" s="168">
        <v>2.987507E-2</v>
      </c>
      <c r="H76" s="175">
        <v>6.66</v>
      </c>
      <c r="J76" s="72"/>
    </row>
    <row r="77" spans="1:10" ht="14.1" customHeight="1" x14ac:dyDescent="0.2">
      <c r="A77" s="162"/>
      <c r="B77" s="162"/>
      <c r="C77" s="163" t="s">
        <v>152</v>
      </c>
      <c r="D77" s="162"/>
      <c r="E77" s="162" t="s">
        <v>153</v>
      </c>
      <c r="F77" s="169">
        <v>3759.5118612880001</v>
      </c>
      <c r="G77" s="170">
        <v>2.987507E-2</v>
      </c>
      <c r="H77" s="167"/>
      <c r="J77" s="72"/>
    </row>
    <row r="78" spans="1:10" ht="14.1" customHeight="1" x14ac:dyDescent="0.2">
      <c r="A78" s="162"/>
      <c r="B78" s="162"/>
      <c r="C78" s="171"/>
      <c r="D78" s="162"/>
      <c r="E78" s="162"/>
      <c r="F78" s="172"/>
      <c r="G78" s="172"/>
      <c r="H78" s="167"/>
      <c r="J78" s="72"/>
    </row>
    <row r="79" spans="1:10" ht="14.1" customHeight="1" x14ac:dyDescent="0.2">
      <c r="A79" s="162"/>
      <c r="B79" s="162"/>
      <c r="C79" s="163" t="s">
        <v>172</v>
      </c>
      <c r="D79" s="162"/>
      <c r="E79" s="162"/>
      <c r="F79" s="169">
        <v>4244.3923612879998</v>
      </c>
      <c r="G79" s="170">
        <v>3.3728189999999998E-2</v>
      </c>
      <c r="H79" s="167"/>
      <c r="J79" s="72"/>
    </row>
    <row r="80" spans="1:10" ht="14.1" customHeight="1" x14ac:dyDescent="0.2">
      <c r="A80" s="162"/>
      <c r="B80" s="162"/>
      <c r="C80" s="172"/>
      <c r="D80" s="162"/>
      <c r="E80" s="162"/>
      <c r="F80" s="162"/>
      <c r="G80" s="162"/>
      <c r="H80" s="167"/>
      <c r="J80" s="72"/>
    </row>
    <row r="81" spans="1:10" ht="14.1" customHeight="1" x14ac:dyDescent="0.2">
      <c r="A81" s="162"/>
      <c r="B81" s="162"/>
      <c r="C81" s="163" t="s">
        <v>173</v>
      </c>
      <c r="D81" s="162"/>
      <c r="E81" s="162"/>
      <c r="F81" s="162"/>
      <c r="G81" s="162"/>
      <c r="H81" s="167"/>
      <c r="J81" s="72"/>
    </row>
    <row r="82" spans="1:10" ht="14.1" customHeight="1" x14ac:dyDescent="0.2">
      <c r="A82" s="162"/>
      <c r="B82" s="162"/>
      <c r="C82" s="163" t="s">
        <v>174</v>
      </c>
      <c r="D82" s="162"/>
      <c r="E82" s="162"/>
      <c r="F82" s="162"/>
      <c r="G82" s="162"/>
      <c r="H82" s="167"/>
      <c r="J82" s="72"/>
    </row>
    <row r="83" spans="1:10" ht="17.100000000000001" customHeight="1" x14ac:dyDescent="0.2">
      <c r="A83" s="164">
        <v>1</v>
      </c>
      <c r="B83" s="165" t="s">
        <v>175</v>
      </c>
      <c r="C83" s="165" t="s">
        <v>176</v>
      </c>
      <c r="D83" s="165"/>
      <c r="E83" s="176">
        <v>116539.823</v>
      </c>
      <c r="F83" s="167">
        <v>2500.7545251289998</v>
      </c>
      <c r="G83" s="168">
        <v>1.9872319999999999E-2</v>
      </c>
      <c r="H83" s="167"/>
      <c r="J83" s="72"/>
    </row>
    <row r="84" spans="1:10" ht="14.1" customHeight="1" x14ac:dyDescent="0.2">
      <c r="A84" s="162"/>
      <c r="B84" s="162"/>
      <c r="C84" s="163" t="s">
        <v>152</v>
      </c>
      <c r="D84" s="162"/>
      <c r="E84" s="162" t="s">
        <v>153</v>
      </c>
      <c r="F84" s="169">
        <v>2500.7545251289998</v>
      </c>
      <c r="G84" s="170">
        <v>1.9872319999999999E-2</v>
      </c>
      <c r="H84" s="167"/>
      <c r="J84" s="72"/>
    </row>
    <row r="85" spans="1:10" ht="14.1" customHeight="1" x14ac:dyDescent="0.2">
      <c r="A85" s="162"/>
      <c r="B85" s="162"/>
      <c r="C85" s="171"/>
      <c r="D85" s="162"/>
      <c r="E85" s="162"/>
      <c r="F85" s="172"/>
      <c r="G85" s="172"/>
      <c r="H85" s="167"/>
      <c r="J85" s="72"/>
    </row>
    <row r="86" spans="1:10" ht="14.1" customHeight="1" x14ac:dyDescent="0.2">
      <c r="A86" s="162"/>
      <c r="B86" s="162"/>
      <c r="C86" s="163" t="s">
        <v>177</v>
      </c>
      <c r="D86" s="162"/>
      <c r="E86" s="162"/>
      <c r="F86" s="162"/>
      <c r="G86" s="162"/>
      <c r="H86" s="167"/>
      <c r="J86" s="72"/>
    </row>
    <row r="87" spans="1:10" ht="14.1" customHeight="1" x14ac:dyDescent="0.2">
      <c r="A87" s="162"/>
      <c r="B87" s="162"/>
      <c r="C87" s="163" t="s">
        <v>178</v>
      </c>
      <c r="D87" s="162"/>
      <c r="E87" s="162"/>
      <c r="F87" s="162"/>
      <c r="G87" s="162"/>
      <c r="H87" s="167"/>
      <c r="J87" s="72"/>
    </row>
    <row r="88" spans="1:10" ht="14.1" customHeight="1" x14ac:dyDescent="0.2">
      <c r="A88" s="162"/>
      <c r="B88" s="162"/>
      <c r="C88" s="163" t="s">
        <v>152</v>
      </c>
      <c r="D88" s="162"/>
      <c r="E88" s="162" t="s">
        <v>153</v>
      </c>
      <c r="F88" s="173" t="s">
        <v>155</v>
      </c>
      <c r="G88" s="170">
        <v>0</v>
      </c>
      <c r="H88" s="167"/>
      <c r="J88" s="72"/>
    </row>
    <row r="89" spans="1:10" ht="14.1" customHeight="1" x14ac:dyDescent="0.2">
      <c r="A89" s="162"/>
      <c r="B89" s="162"/>
      <c r="C89" s="171"/>
      <c r="D89" s="162"/>
      <c r="E89" s="162"/>
      <c r="F89" s="172"/>
      <c r="G89" s="172"/>
      <c r="H89" s="167"/>
      <c r="J89" s="72"/>
    </row>
    <row r="90" spans="1:10" ht="24" customHeight="1" x14ac:dyDescent="0.2">
      <c r="A90" s="162"/>
      <c r="B90" s="162"/>
      <c r="C90" s="163" t="s">
        <v>179</v>
      </c>
      <c r="D90" s="162"/>
      <c r="E90" s="162"/>
      <c r="F90" s="172"/>
      <c r="G90" s="172"/>
      <c r="H90" s="167"/>
      <c r="J90" s="72"/>
    </row>
    <row r="91" spans="1:10" ht="14.1" customHeight="1" x14ac:dyDescent="0.2">
      <c r="A91" s="162"/>
      <c r="B91" s="162"/>
      <c r="C91" s="163" t="s">
        <v>152</v>
      </c>
      <c r="D91" s="162"/>
      <c r="E91" s="162" t="s">
        <v>153</v>
      </c>
      <c r="F91" s="173" t="s">
        <v>155</v>
      </c>
      <c r="G91" s="170">
        <v>0</v>
      </c>
      <c r="H91" s="167"/>
      <c r="J91" s="72"/>
    </row>
    <row r="92" spans="1:10" ht="14.1" customHeight="1" x14ac:dyDescent="0.2">
      <c r="A92" s="162"/>
      <c r="B92" s="162"/>
      <c r="C92" s="171"/>
      <c r="D92" s="162"/>
      <c r="E92" s="162"/>
      <c r="F92" s="172"/>
      <c r="G92" s="172"/>
      <c r="H92" s="167"/>
      <c r="J92" s="72"/>
    </row>
    <row r="93" spans="1:10" ht="18" customHeight="1" x14ac:dyDescent="0.2">
      <c r="A93" s="174"/>
      <c r="B93" s="165"/>
      <c r="C93" s="232" t="s">
        <v>1092</v>
      </c>
      <c r="D93" s="165"/>
      <c r="E93" s="174"/>
      <c r="F93" s="167">
        <v>-501.56659811999998</v>
      </c>
      <c r="G93" s="168">
        <v>-3.9857099999999999E-3</v>
      </c>
      <c r="H93" s="167"/>
      <c r="J93" s="72"/>
    </row>
    <row r="94" spans="1:10" ht="14.1" customHeight="1" x14ac:dyDescent="0.2">
      <c r="A94" s="171"/>
      <c r="B94" s="171"/>
      <c r="C94" s="163" t="s">
        <v>181</v>
      </c>
      <c r="D94" s="172"/>
      <c r="E94" s="172"/>
      <c r="F94" s="169">
        <v>125841.101397297</v>
      </c>
      <c r="G94" s="177">
        <v>1.0000000499999999</v>
      </c>
      <c r="H94" s="177"/>
      <c r="J94" s="72"/>
    </row>
    <row r="95" spans="1:10" ht="14.1" customHeight="1" x14ac:dyDescent="0.2">
      <c r="A95" s="178"/>
      <c r="B95" s="178"/>
      <c r="C95" s="178"/>
      <c r="D95" s="179"/>
      <c r="E95" s="179"/>
      <c r="F95" s="179"/>
      <c r="G95" s="179"/>
      <c r="H95" s="179"/>
      <c r="J95" s="72"/>
    </row>
    <row r="96" spans="1:10" ht="12.75" customHeight="1" x14ac:dyDescent="0.2">
      <c r="A96" s="180"/>
      <c r="B96" s="258" t="s">
        <v>882</v>
      </c>
      <c r="C96" s="258"/>
      <c r="D96" s="258"/>
      <c r="E96" s="258"/>
      <c r="F96" s="258"/>
      <c r="G96" s="258"/>
      <c r="H96" s="258"/>
      <c r="J96" s="75"/>
    </row>
    <row r="97" spans="1:20" ht="14.1" customHeight="1" x14ac:dyDescent="0.2">
      <c r="A97" s="180"/>
      <c r="B97" s="258" t="s">
        <v>883</v>
      </c>
      <c r="C97" s="258"/>
      <c r="D97" s="258"/>
      <c r="E97" s="258"/>
      <c r="F97" s="258"/>
      <c r="G97" s="258"/>
      <c r="H97" s="258"/>
      <c r="J97" s="75"/>
    </row>
    <row r="98" spans="1:20" ht="17.100000000000001" customHeight="1" x14ac:dyDescent="0.2">
      <c r="A98" s="180"/>
      <c r="B98" s="258" t="s">
        <v>884</v>
      </c>
      <c r="C98" s="258"/>
      <c r="D98" s="258"/>
      <c r="E98" s="258"/>
      <c r="F98" s="258"/>
      <c r="G98" s="258"/>
      <c r="H98" s="258"/>
      <c r="J98" s="75"/>
    </row>
    <row r="99" spans="1:20" s="34" customFormat="1" ht="62.25" customHeight="1" x14ac:dyDescent="0.25">
      <c r="A99" s="33"/>
      <c r="B99" s="259" t="s">
        <v>885</v>
      </c>
      <c r="C99" s="259"/>
      <c r="D99" s="259"/>
      <c r="E99" s="259"/>
      <c r="F99" s="259"/>
      <c r="G99" s="259"/>
      <c r="H99" s="259"/>
      <c r="I99"/>
      <c r="J99" s="75"/>
      <c r="K99"/>
      <c r="L99"/>
      <c r="M99"/>
      <c r="N99"/>
      <c r="O99"/>
      <c r="P99"/>
      <c r="Q99"/>
    </row>
    <row r="100" spans="1:20" ht="12.75" customHeight="1" x14ac:dyDescent="0.2">
      <c r="A100" s="180"/>
      <c r="B100" s="258" t="s">
        <v>886</v>
      </c>
      <c r="C100" s="258"/>
      <c r="D100" s="258"/>
      <c r="E100" s="258"/>
      <c r="F100" s="258"/>
      <c r="G100" s="258"/>
      <c r="H100" s="258"/>
      <c r="J100" s="75"/>
    </row>
    <row r="101" spans="1:20" ht="14.1" customHeight="1" x14ac:dyDescent="0.2">
      <c r="A101" s="181"/>
      <c r="B101" s="181"/>
      <c r="C101" s="181"/>
      <c r="D101" s="182"/>
      <c r="E101" s="182"/>
      <c r="F101" s="182"/>
      <c r="G101" s="182"/>
      <c r="H101" s="182"/>
      <c r="J101" s="72"/>
    </row>
    <row r="102" spans="1:20" ht="14.1" customHeight="1" x14ac:dyDescent="0.2">
      <c r="A102" s="181"/>
      <c r="B102" s="255" t="s">
        <v>183</v>
      </c>
      <c r="C102" s="256"/>
      <c r="D102" s="257"/>
      <c r="E102" s="183"/>
      <c r="F102" s="182"/>
      <c r="G102" s="182"/>
      <c r="H102" s="182"/>
      <c r="J102" s="72"/>
    </row>
    <row r="103" spans="1:20" ht="29.1" customHeight="1" x14ac:dyDescent="0.2">
      <c r="A103" s="181"/>
      <c r="B103" s="253" t="s">
        <v>184</v>
      </c>
      <c r="C103" s="254"/>
      <c r="D103" s="163" t="s">
        <v>185</v>
      </c>
      <c r="E103" s="183"/>
      <c r="F103" s="182"/>
      <c r="G103" s="182"/>
      <c r="H103" s="182"/>
      <c r="J103" s="72"/>
    </row>
    <row r="104" spans="1:20" ht="17.100000000000001" customHeight="1" x14ac:dyDescent="0.25">
      <c r="A104" s="181"/>
      <c r="B104" s="253" t="s">
        <v>186</v>
      </c>
      <c r="C104" s="254"/>
      <c r="D104" s="163" t="s">
        <v>185</v>
      </c>
      <c r="E104" s="183"/>
      <c r="F104" s="182"/>
      <c r="G104" s="182"/>
      <c r="H104" s="182"/>
      <c r="J104" s="72"/>
      <c r="S104" s="34"/>
      <c r="T104" s="34"/>
    </row>
    <row r="105" spans="1:20" ht="17.100000000000001" customHeight="1" x14ac:dyDescent="0.2">
      <c r="A105" s="181"/>
      <c r="B105" s="253" t="s">
        <v>187</v>
      </c>
      <c r="C105" s="254"/>
      <c r="D105" s="172" t="s">
        <v>153</v>
      </c>
      <c r="E105" s="183"/>
      <c r="F105" s="182"/>
      <c r="G105" s="182"/>
      <c r="H105" s="182"/>
      <c r="J105" s="72"/>
    </row>
    <row r="106" spans="1:20" x14ac:dyDescent="0.2">
      <c r="A106" s="185"/>
      <c r="B106" s="186" t="s">
        <v>153</v>
      </c>
      <c r="C106" s="186" t="s">
        <v>1088</v>
      </c>
      <c r="D106" s="186" t="s">
        <v>188</v>
      </c>
      <c r="E106" s="185"/>
      <c r="F106" s="185"/>
      <c r="G106" s="185"/>
      <c r="H106" s="185"/>
      <c r="J106" s="72"/>
    </row>
    <row r="107" spans="1:20" x14ac:dyDescent="0.2">
      <c r="A107" s="185"/>
      <c r="B107" s="187" t="s">
        <v>189</v>
      </c>
      <c r="C107" s="186" t="s">
        <v>190</v>
      </c>
      <c r="D107" s="186" t="s">
        <v>191</v>
      </c>
      <c r="E107" s="185"/>
      <c r="F107" s="185"/>
      <c r="G107" s="185"/>
      <c r="H107" s="185"/>
      <c r="J107" s="72"/>
    </row>
    <row r="108" spans="1:20" ht="17.100000000000001" customHeight="1" x14ac:dyDescent="0.2">
      <c r="A108" s="185"/>
      <c r="B108" s="165" t="s">
        <v>192</v>
      </c>
      <c r="C108" s="188">
        <v>97.563000000000002</v>
      </c>
      <c r="D108" s="188">
        <v>103.1601</v>
      </c>
      <c r="E108" s="185"/>
      <c r="F108" s="189"/>
      <c r="G108" s="190"/>
      <c r="H108" s="190"/>
      <c r="J108" s="72"/>
    </row>
    <row r="109" spans="1:20" ht="17.100000000000001" customHeight="1" x14ac:dyDescent="0.2">
      <c r="A109" s="185"/>
      <c r="B109" s="165" t="s">
        <v>1054</v>
      </c>
      <c r="C109" s="188">
        <v>33.164900000000003</v>
      </c>
      <c r="D109" s="188">
        <v>35.067500000000003</v>
      </c>
      <c r="E109" s="185"/>
      <c r="F109" s="189"/>
      <c r="G109" s="190"/>
      <c r="H109" s="190"/>
      <c r="J109" s="72"/>
    </row>
    <row r="110" spans="1:20" ht="29.1" customHeight="1" x14ac:dyDescent="0.2">
      <c r="A110" s="185"/>
      <c r="B110" s="165" t="s">
        <v>858</v>
      </c>
      <c r="C110" s="188">
        <v>100.31270000000001</v>
      </c>
      <c r="D110" s="188">
        <v>106.0675</v>
      </c>
      <c r="E110" s="185"/>
      <c r="F110" s="189"/>
      <c r="G110" s="190"/>
      <c r="H110" s="190"/>
      <c r="J110" s="72"/>
    </row>
    <row r="111" spans="1:20" ht="17.100000000000001" customHeight="1" x14ac:dyDescent="0.2">
      <c r="A111" s="185"/>
      <c r="B111" s="165" t="s">
        <v>1063</v>
      </c>
      <c r="C111" s="188">
        <v>33.738300000000002</v>
      </c>
      <c r="D111" s="188">
        <v>35.6736</v>
      </c>
      <c r="E111" s="185"/>
      <c r="F111" s="189"/>
      <c r="G111" s="190"/>
      <c r="H111" s="190"/>
      <c r="J111" s="72"/>
    </row>
    <row r="112" spans="1:20" ht="17.100000000000001" customHeight="1" x14ac:dyDescent="0.2">
      <c r="A112" s="185"/>
      <c r="B112" s="165" t="s">
        <v>193</v>
      </c>
      <c r="C112" s="188">
        <v>87.964600000000004</v>
      </c>
      <c r="D112" s="188">
        <v>92.9131</v>
      </c>
      <c r="E112" s="185"/>
      <c r="F112" s="189"/>
      <c r="G112" s="190"/>
      <c r="H112" s="190"/>
      <c r="J112" s="72"/>
    </row>
    <row r="113" spans="1:10" ht="17.100000000000001" customHeight="1" x14ac:dyDescent="0.2">
      <c r="A113" s="185"/>
      <c r="B113" s="165" t="s">
        <v>1055</v>
      </c>
      <c r="C113" s="188">
        <v>29.4145</v>
      </c>
      <c r="D113" s="188">
        <v>31.069099999999999</v>
      </c>
      <c r="E113" s="185"/>
      <c r="F113" s="189"/>
      <c r="G113" s="190"/>
      <c r="H113" s="190"/>
      <c r="J113" s="72"/>
    </row>
    <row r="114" spans="1:10" ht="14.1" customHeight="1" x14ac:dyDescent="0.2">
      <c r="A114" s="185"/>
      <c r="B114" s="185"/>
      <c r="C114" s="185"/>
      <c r="D114" s="185"/>
      <c r="E114" s="185"/>
      <c r="F114" s="185"/>
      <c r="G114" s="185"/>
      <c r="H114" s="185"/>
      <c r="J114" s="72"/>
    </row>
    <row r="115" spans="1:10" ht="17.100000000000001" customHeight="1" x14ac:dyDescent="0.2">
      <c r="A115" s="185"/>
      <c r="B115" s="253" t="s">
        <v>1056</v>
      </c>
      <c r="C115" s="254"/>
      <c r="D115" s="163" t="s">
        <v>185</v>
      </c>
      <c r="E115" s="185"/>
      <c r="F115" s="185"/>
      <c r="G115" s="185"/>
      <c r="H115" s="185"/>
      <c r="J115" s="72"/>
    </row>
    <row r="116" spans="1:10" ht="14.1" customHeight="1" x14ac:dyDescent="0.2">
      <c r="A116" s="185"/>
      <c r="B116" s="189"/>
      <c r="C116" s="189"/>
      <c r="D116" s="185"/>
      <c r="E116" s="185"/>
      <c r="F116" s="185"/>
      <c r="G116" s="185"/>
      <c r="H116" s="185"/>
      <c r="J116" s="72"/>
    </row>
    <row r="117" spans="1:10" ht="29.1" customHeight="1" x14ac:dyDescent="0.2">
      <c r="A117" s="185"/>
      <c r="B117" s="253" t="s">
        <v>194</v>
      </c>
      <c r="C117" s="254"/>
      <c r="D117" s="163" t="s">
        <v>185</v>
      </c>
      <c r="E117" s="191"/>
      <c r="F117" s="185"/>
      <c r="G117" s="185"/>
      <c r="H117" s="185"/>
      <c r="J117" s="72"/>
    </row>
    <row r="118" spans="1:10" ht="29.1" customHeight="1" x14ac:dyDescent="0.2">
      <c r="A118" s="185"/>
      <c r="B118" s="253" t="s">
        <v>195</v>
      </c>
      <c r="C118" s="254"/>
      <c r="D118" s="163" t="s">
        <v>185</v>
      </c>
      <c r="E118" s="191"/>
      <c r="F118" s="185"/>
      <c r="G118" s="185"/>
      <c r="H118" s="185"/>
      <c r="J118" s="72"/>
    </row>
    <row r="119" spans="1:10" ht="17.100000000000001" customHeight="1" x14ac:dyDescent="0.2">
      <c r="A119" s="185"/>
      <c r="B119" s="253" t="s">
        <v>196</v>
      </c>
      <c r="C119" s="254"/>
      <c r="D119" s="163" t="s">
        <v>185</v>
      </c>
      <c r="E119" s="191"/>
      <c r="F119" s="185"/>
      <c r="G119" s="185"/>
      <c r="H119" s="185"/>
      <c r="J119" s="72"/>
    </row>
    <row r="120" spans="1:10" ht="17.100000000000001" customHeight="1" x14ac:dyDescent="0.2">
      <c r="A120" s="185"/>
      <c r="B120" s="253" t="s">
        <v>197</v>
      </c>
      <c r="C120" s="254"/>
      <c r="D120" s="192">
        <v>0.69031245384705131</v>
      </c>
      <c r="E120" s="185"/>
      <c r="F120" s="189"/>
      <c r="G120" s="190"/>
      <c r="H120" s="190"/>
      <c r="J120" s="72"/>
    </row>
  </sheetData>
  <mergeCells count="17">
    <mergeCell ref="B120:C120"/>
    <mergeCell ref="B115:C115"/>
    <mergeCell ref="B117:C117"/>
    <mergeCell ref="B118:C118"/>
    <mergeCell ref="B119:C119"/>
    <mergeCell ref="A1:H1"/>
    <mergeCell ref="A2:H2"/>
    <mergeCell ref="A3:H3"/>
    <mergeCell ref="B104:C104"/>
    <mergeCell ref="B105:C105"/>
    <mergeCell ref="B102:D102"/>
    <mergeCell ref="B103:C103"/>
    <mergeCell ref="B100:H100"/>
    <mergeCell ref="B96:H96"/>
    <mergeCell ref="B97:H97"/>
    <mergeCell ref="B98:H98"/>
    <mergeCell ref="B99:H99"/>
  </mergeCells>
  <hyperlinks>
    <hyperlink ref="I1" location="Index!B29" display="Index" xr:uid="{D0C8D3E5-AB30-4A1E-A199-82953C9813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S167"/>
  <sheetViews>
    <sheetView showGridLines="0" workbookViewId="0">
      <selection activeCell="C94" sqref="C94"/>
    </sheetView>
  </sheetViews>
  <sheetFormatPr defaultRowHeight="12.75" x14ac:dyDescent="0.2"/>
  <cols>
    <col min="1" max="1" width="6.85546875" customWidth="1"/>
    <col min="2" max="2" width="20.5703125" customWidth="1"/>
    <col min="3" max="3" width="36.42578125" customWidth="1"/>
    <col min="4" max="4" width="17.85546875" customWidth="1"/>
    <col min="5" max="6" width="19.140625" customWidth="1"/>
    <col min="7" max="7" width="16.42578125" customWidth="1"/>
    <col min="8" max="8" width="8.42578125" bestFit="1" customWidth="1"/>
    <col min="9" max="9" width="8.140625" customWidth="1"/>
    <col min="10" max="10" width="50.7109375" style="76" customWidth="1"/>
    <col min="15" max="15" width="2.7109375" customWidth="1"/>
  </cols>
  <sheetData>
    <row r="1" spans="1:18" ht="15" x14ac:dyDescent="0.2">
      <c r="A1" s="250" t="s">
        <v>0</v>
      </c>
      <c r="B1" s="250"/>
      <c r="C1" s="250"/>
      <c r="D1" s="250"/>
      <c r="E1" s="250"/>
      <c r="F1" s="250"/>
      <c r="G1" s="250"/>
      <c r="H1" s="250"/>
      <c r="I1" s="38" t="s">
        <v>888</v>
      </c>
      <c r="J1" s="75"/>
    </row>
    <row r="2" spans="1:18" ht="15" customHeight="1" x14ac:dyDescent="0.2">
      <c r="A2" s="250" t="s">
        <v>861</v>
      </c>
      <c r="B2" s="250"/>
      <c r="C2" s="250"/>
      <c r="D2" s="250"/>
      <c r="E2" s="250"/>
      <c r="F2" s="250"/>
      <c r="G2" s="250"/>
      <c r="H2" s="250"/>
      <c r="J2" s="70" t="s">
        <v>889</v>
      </c>
      <c r="K2" s="66"/>
      <c r="L2" s="66"/>
      <c r="M2" s="66"/>
      <c r="N2" s="66"/>
    </row>
    <row r="3" spans="1:18" ht="15" x14ac:dyDescent="0.2">
      <c r="A3" s="250" t="s">
        <v>873</v>
      </c>
      <c r="B3" s="250"/>
      <c r="C3" s="250"/>
      <c r="D3" s="250"/>
      <c r="E3" s="250"/>
      <c r="F3" s="250"/>
      <c r="G3" s="250"/>
      <c r="H3" s="250"/>
      <c r="J3" s="75"/>
    </row>
    <row r="4" spans="1:18" s="28" customFormat="1" ht="30" x14ac:dyDescent="0.2">
      <c r="A4" s="161" t="s">
        <v>2</v>
      </c>
      <c r="B4" s="161" t="s">
        <v>3</v>
      </c>
      <c r="C4" s="161" t="s">
        <v>4</v>
      </c>
      <c r="D4" s="161" t="s">
        <v>5</v>
      </c>
      <c r="E4" s="161" t="s">
        <v>6</v>
      </c>
      <c r="F4" s="161" t="s">
        <v>7</v>
      </c>
      <c r="G4" s="161" t="s">
        <v>8</v>
      </c>
      <c r="H4" s="161" t="s">
        <v>872</v>
      </c>
      <c r="J4" s="75"/>
      <c r="Q4"/>
      <c r="R4"/>
    </row>
    <row r="5" spans="1:18" ht="14.1" customHeight="1" x14ac:dyDescent="0.2">
      <c r="A5" s="162"/>
      <c r="B5" s="162"/>
      <c r="C5" s="163" t="s">
        <v>9</v>
      </c>
      <c r="D5" s="162"/>
      <c r="E5" s="162"/>
      <c r="F5" s="162"/>
      <c r="G5" s="162"/>
      <c r="H5" s="162"/>
      <c r="J5" s="75"/>
    </row>
    <row r="6" spans="1:18" ht="24" customHeight="1" x14ac:dyDescent="0.2">
      <c r="A6" s="162"/>
      <c r="B6" s="162"/>
      <c r="C6" s="163" t="s">
        <v>10</v>
      </c>
      <c r="D6" s="162"/>
      <c r="E6" s="162"/>
      <c r="F6" s="162"/>
      <c r="G6" s="162"/>
      <c r="H6" s="162"/>
      <c r="J6" s="75"/>
    </row>
    <row r="7" spans="1:18" ht="17.100000000000001" customHeight="1" x14ac:dyDescent="0.2">
      <c r="A7" s="164">
        <v>1</v>
      </c>
      <c r="B7" s="165" t="s">
        <v>14</v>
      </c>
      <c r="C7" s="165" t="s">
        <v>15</v>
      </c>
      <c r="D7" s="165" t="s">
        <v>16</v>
      </c>
      <c r="E7" s="166">
        <v>411272</v>
      </c>
      <c r="F7" s="167">
        <v>12066.72048</v>
      </c>
      <c r="G7" s="168">
        <v>5.6020149999999998E-2</v>
      </c>
      <c r="H7" s="167"/>
      <c r="J7" s="75"/>
    </row>
    <row r="8" spans="1:18" ht="17.100000000000001" customHeight="1" x14ac:dyDescent="0.2">
      <c r="A8" s="164">
        <v>2</v>
      </c>
      <c r="B8" s="165" t="s">
        <v>11</v>
      </c>
      <c r="C8" s="165" t="s">
        <v>12</v>
      </c>
      <c r="D8" s="165" t="s">
        <v>13</v>
      </c>
      <c r="E8" s="166">
        <v>281043</v>
      </c>
      <c r="F8" s="167">
        <v>10101.528549000001</v>
      </c>
      <c r="G8" s="168">
        <v>4.6896680000000003E-2</v>
      </c>
      <c r="H8" s="167"/>
      <c r="J8" s="75"/>
    </row>
    <row r="9" spans="1:18" ht="17.100000000000001" customHeight="1" x14ac:dyDescent="0.2">
      <c r="A9" s="164">
        <v>3</v>
      </c>
      <c r="B9" s="165" t="s">
        <v>331</v>
      </c>
      <c r="C9" s="165" t="s">
        <v>332</v>
      </c>
      <c r="D9" s="165" t="s">
        <v>39</v>
      </c>
      <c r="E9" s="166">
        <v>652313</v>
      </c>
      <c r="F9" s="167">
        <v>9915.8099129999991</v>
      </c>
      <c r="G9" s="168">
        <v>4.6034470000000001E-2</v>
      </c>
      <c r="H9" s="167"/>
      <c r="J9" s="75"/>
    </row>
    <row r="10" spans="1:18" ht="17.100000000000001" customHeight="1" x14ac:dyDescent="0.2">
      <c r="A10" s="164">
        <v>4</v>
      </c>
      <c r="B10" s="165" t="s">
        <v>335</v>
      </c>
      <c r="C10" s="165" t="s">
        <v>336</v>
      </c>
      <c r="D10" s="165" t="s">
        <v>39</v>
      </c>
      <c r="E10" s="166">
        <v>691661</v>
      </c>
      <c r="F10" s="167">
        <v>8064.0755989999998</v>
      </c>
      <c r="G10" s="168">
        <v>3.7437739999999997E-2</v>
      </c>
      <c r="H10" s="167"/>
      <c r="J10" s="75"/>
    </row>
    <row r="11" spans="1:18" ht="17.100000000000001" customHeight="1" x14ac:dyDescent="0.2">
      <c r="A11" s="164">
        <v>5</v>
      </c>
      <c r="B11" s="165" t="s">
        <v>17</v>
      </c>
      <c r="C11" s="165" t="s">
        <v>18</v>
      </c>
      <c r="D11" s="165" t="s">
        <v>19</v>
      </c>
      <c r="E11" s="166">
        <v>587659</v>
      </c>
      <c r="F11" s="167">
        <v>7770.6149569999998</v>
      </c>
      <c r="G11" s="168">
        <v>3.6075339999999997E-2</v>
      </c>
      <c r="H11" s="167"/>
      <c r="J11" s="75"/>
    </row>
    <row r="12" spans="1:18" ht="17.100000000000001" customHeight="1" x14ac:dyDescent="0.2">
      <c r="A12" s="164">
        <v>6</v>
      </c>
      <c r="B12" s="165" t="s">
        <v>623</v>
      </c>
      <c r="C12" s="165" t="s">
        <v>624</v>
      </c>
      <c r="D12" s="165" t="s">
        <v>285</v>
      </c>
      <c r="E12" s="166">
        <v>356964</v>
      </c>
      <c r="F12" s="167">
        <v>7697.3932139999997</v>
      </c>
      <c r="G12" s="168">
        <v>3.57354E-2</v>
      </c>
      <c r="H12" s="167"/>
      <c r="J12" s="71"/>
    </row>
    <row r="13" spans="1:18" ht="17.100000000000001" customHeight="1" x14ac:dyDescent="0.2">
      <c r="A13" s="164">
        <v>7</v>
      </c>
      <c r="B13" s="165" t="s">
        <v>337</v>
      </c>
      <c r="C13" s="165" t="s">
        <v>338</v>
      </c>
      <c r="D13" s="165" t="s">
        <v>232</v>
      </c>
      <c r="E13" s="166">
        <v>527618</v>
      </c>
      <c r="F13" s="167">
        <v>7495.077499</v>
      </c>
      <c r="G13" s="168">
        <v>3.4796140000000003E-2</v>
      </c>
      <c r="H13" s="167"/>
      <c r="J13" s="75"/>
    </row>
    <row r="14" spans="1:18" ht="47.25" customHeight="1" x14ac:dyDescent="0.2">
      <c r="A14" s="164">
        <v>8</v>
      </c>
      <c r="B14" s="165" t="s">
        <v>389</v>
      </c>
      <c r="C14" s="165" t="s">
        <v>390</v>
      </c>
      <c r="D14" s="165" t="s">
        <v>53</v>
      </c>
      <c r="E14" s="166">
        <v>80806</v>
      </c>
      <c r="F14" s="167">
        <v>5594.6438129999997</v>
      </c>
      <c r="G14" s="168">
        <v>2.5973320000000001E-2</v>
      </c>
      <c r="H14" s="167"/>
      <c r="J14" s="75" t="s">
        <v>958</v>
      </c>
      <c r="K14" s="68"/>
      <c r="L14" s="68"/>
      <c r="M14" s="68"/>
      <c r="N14" s="68"/>
      <c r="O14" s="68"/>
    </row>
    <row r="15" spans="1:18" ht="17.100000000000001" customHeight="1" x14ac:dyDescent="0.2">
      <c r="A15" s="164">
        <v>9</v>
      </c>
      <c r="B15" s="165" t="s">
        <v>339</v>
      </c>
      <c r="C15" s="165" t="s">
        <v>340</v>
      </c>
      <c r="D15" s="165" t="s">
        <v>232</v>
      </c>
      <c r="E15" s="166">
        <v>144439</v>
      </c>
      <c r="F15" s="167">
        <v>5518.5086535</v>
      </c>
      <c r="G15" s="168">
        <v>2.5619860000000001E-2</v>
      </c>
      <c r="H15" s="167"/>
      <c r="J15" s="75"/>
      <c r="K15" s="68"/>
      <c r="L15" s="68"/>
      <c r="M15" s="68"/>
      <c r="N15" s="68"/>
      <c r="O15" s="68"/>
    </row>
    <row r="16" spans="1:18" ht="17.100000000000001" customHeight="1" x14ac:dyDescent="0.2">
      <c r="A16" s="164">
        <v>10</v>
      </c>
      <c r="B16" s="165" t="s">
        <v>37</v>
      </c>
      <c r="C16" s="165" t="s">
        <v>38</v>
      </c>
      <c r="D16" s="165" t="s">
        <v>39</v>
      </c>
      <c r="E16" s="166">
        <v>376149</v>
      </c>
      <c r="F16" s="167">
        <v>4327.2180959999996</v>
      </c>
      <c r="G16" s="168">
        <v>2.0089249999999999E-2</v>
      </c>
      <c r="H16" s="167"/>
      <c r="J16" s="75"/>
      <c r="K16" s="68"/>
      <c r="L16" s="68"/>
      <c r="M16" s="68"/>
      <c r="N16" s="68"/>
      <c r="O16" s="68"/>
    </row>
    <row r="17" spans="1:15" ht="17.100000000000001" customHeight="1" x14ac:dyDescent="0.2">
      <c r="A17" s="164">
        <v>11</v>
      </c>
      <c r="B17" s="165" t="s">
        <v>54</v>
      </c>
      <c r="C17" s="165" t="s">
        <v>55</v>
      </c>
      <c r="D17" s="165" t="s">
        <v>39</v>
      </c>
      <c r="E17" s="166">
        <v>513883</v>
      </c>
      <c r="F17" s="167">
        <v>4245.9582874999996</v>
      </c>
      <c r="G17" s="168">
        <v>1.9712E-2</v>
      </c>
      <c r="H17" s="167"/>
      <c r="J17" s="75"/>
      <c r="K17" s="68"/>
      <c r="L17" s="68"/>
      <c r="M17" s="68"/>
      <c r="N17" s="68"/>
      <c r="O17" s="68"/>
    </row>
    <row r="18" spans="1:15" ht="17.100000000000001" customHeight="1" x14ac:dyDescent="0.2">
      <c r="A18" s="164">
        <v>12</v>
      </c>
      <c r="B18" s="165" t="s">
        <v>365</v>
      </c>
      <c r="C18" s="165" t="s">
        <v>366</v>
      </c>
      <c r="D18" s="165" t="s">
        <v>114</v>
      </c>
      <c r="E18" s="166">
        <v>2522468</v>
      </c>
      <c r="F18" s="167">
        <v>4162.0721999999996</v>
      </c>
      <c r="G18" s="168">
        <v>1.9322559999999999E-2</v>
      </c>
      <c r="H18" s="167"/>
      <c r="J18" s="75"/>
      <c r="K18" s="68"/>
      <c r="L18" s="68"/>
      <c r="M18" s="68"/>
      <c r="N18" s="68"/>
      <c r="O18" s="68"/>
    </row>
    <row r="19" spans="1:15" ht="17.100000000000001" customHeight="1" x14ac:dyDescent="0.2">
      <c r="A19" s="164">
        <v>13</v>
      </c>
      <c r="B19" s="165" t="s">
        <v>226</v>
      </c>
      <c r="C19" s="165" t="s">
        <v>227</v>
      </c>
      <c r="D19" s="165" t="s">
        <v>53</v>
      </c>
      <c r="E19" s="166">
        <v>155700</v>
      </c>
      <c r="F19" s="167">
        <v>3972.9969000000001</v>
      </c>
      <c r="G19" s="168">
        <v>1.8444769999999999E-2</v>
      </c>
      <c r="H19" s="167"/>
      <c r="J19" s="75"/>
    </row>
    <row r="20" spans="1:15" ht="17.100000000000001" customHeight="1" x14ac:dyDescent="0.2">
      <c r="A20" s="164">
        <v>14</v>
      </c>
      <c r="B20" s="165" t="s">
        <v>532</v>
      </c>
      <c r="C20" s="200" t="s">
        <v>1053</v>
      </c>
      <c r="D20" s="165" t="s">
        <v>285</v>
      </c>
      <c r="E20" s="166">
        <v>472153</v>
      </c>
      <c r="F20" s="167">
        <v>3221.2638425</v>
      </c>
      <c r="G20" s="168">
        <v>1.4954820000000001E-2</v>
      </c>
      <c r="H20" s="167"/>
      <c r="J20" s="75"/>
    </row>
    <row r="21" spans="1:15" ht="17.100000000000001" customHeight="1" x14ac:dyDescent="0.2">
      <c r="A21" s="164">
        <v>15</v>
      </c>
      <c r="B21" s="165" t="s">
        <v>125</v>
      </c>
      <c r="C21" s="165" t="s">
        <v>126</v>
      </c>
      <c r="D21" s="165" t="s">
        <v>53</v>
      </c>
      <c r="E21" s="166">
        <v>725975</v>
      </c>
      <c r="F21" s="167">
        <v>3205.5426124999999</v>
      </c>
      <c r="G21" s="168">
        <v>1.488184E-2</v>
      </c>
      <c r="H21" s="167"/>
      <c r="J21" s="75"/>
    </row>
    <row r="22" spans="1:15" ht="17.100000000000001" customHeight="1" x14ac:dyDescent="0.2">
      <c r="A22" s="164">
        <v>16</v>
      </c>
      <c r="B22" s="165" t="s">
        <v>258</v>
      </c>
      <c r="C22" s="165" t="s">
        <v>259</v>
      </c>
      <c r="D22" s="165" t="s">
        <v>39</v>
      </c>
      <c r="E22" s="166">
        <v>2004174</v>
      </c>
      <c r="F22" s="167">
        <v>3090.4363079999998</v>
      </c>
      <c r="G22" s="168">
        <v>1.4347449999999999E-2</v>
      </c>
      <c r="H22" s="167"/>
      <c r="J22" s="71"/>
    </row>
    <row r="23" spans="1:15" ht="17.100000000000001" customHeight="1" x14ac:dyDescent="0.2">
      <c r="A23" s="164">
        <v>17</v>
      </c>
      <c r="B23" s="165" t="s">
        <v>362</v>
      </c>
      <c r="C23" s="165" t="s">
        <v>363</v>
      </c>
      <c r="D23" s="165" t="s">
        <v>364</v>
      </c>
      <c r="E23" s="166">
        <v>643989</v>
      </c>
      <c r="F23" s="167">
        <v>2805.5380785000002</v>
      </c>
      <c r="G23" s="168">
        <v>1.30248E-2</v>
      </c>
      <c r="H23" s="167"/>
      <c r="J23" s="75"/>
    </row>
    <row r="24" spans="1:15" ht="17.100000000000001" customHeight="1" x14ac:dyDescent="0.2">
      <c r="A24" s="164">
        <v>18</v>
      </c>
      <c r="B24" s="165" t="s">
        <v>468</v>
      </c>
      <c r="C24" s="165" t="s">
        <v>469</v>
      </c>
      <c r="D24" s="165" t="s">
        <v>53</v>
      </c>
      <c r="E24" s="166">
        <v>459031</v>
      </c>
      <c r="F24" s="167">
        <v>2636.9035795</v>
      </c>
      <c r="G24" s="168">
        <v>1.224191E-2</v>
      </c>
      <c r="H24" s="167"/>
      <c r="J24" s="75"/>
    </row>
    <row r="25" spans="1:15" ht="17.100000000000001" customHeight="1" x14ac:dyDescent="0.2">
      <c r="A25" s="164">
        <v>19</v>
      </c>
      <c r="B25" s="165" t="s">
        <v>63</v>
      </c>
      <c r="C25" s="165" t="s">
        <v>64</v>
      </c>
      <c r="D25" s="165" t="s">
        <v>65</v>
      </c>
      <c r="E25" s="166">
        <v>1160050</v>
      </c>
      <c r="F25" s="167">
        <v>2425.66455</v>
      </c>
      <c r="G25" s="168">
        <v>1.1261230000000001E-2</v>
      </c>
      <c r="H25" s="167"/>
      <c r="J25" s="75"/>
    </row>
    <row r="26" spans="1:15" ht="17.100000000000001" customHeight="1" x14ac:dyDescent="0.2">
      <c r="A26" s="164">
        <v>20</v>
      </c>
      <c r="B26" s="165" t="s">
        <v>462</v>
      </c>
      <c r="C26" s="165" t="s">
        <v>463</v>
      </c>
      <c r="D26" s="165" t="s">
        <v>39</v>
      </c>
      <c r="E26" s="166">
        <v>2428465</v>
      </c>
      <c r="F26" s="167">
        <v>2356.8252825</v>
      </c>
      <c r="G26" s="168">
        <v>1.0941640000000001E-2</v>
      </c>
      <c r="H26" s="167"/>
      <c r="J26" s="75"/>
    </row>
    <row r="27" spans="1:15" ht="17.100000000000001" customHeight="1" x14ac:dyDescent="0.2">
      <c r="A27" s="164">
        <v>21</v>
      </c>
      <c r="B27" s="165" t="s">
        <v>633</v>
      </c>
      <c r="C27" s="165" t="s">
        <v>634</v>
      </c>
      <c r="D27" s="165" t="s">
        <v>232</v>
      </c>
      <c r="E27" s="166">
        <v>181865</v>
      </c>
      <c r="F27" s="167">
        <v>2297.8642749999999</v>
      </c>
      <c r="G27" s="168">
        <v>1.0667909999999999E-2</v>
      </c>
      <c r="H27" s="167"/>
      <c r="J27" s="75"/>
    </row>
    <row r="28" spans="1:15" ht="17.100000000000001" customHeight="1" x14ac:dyDescent="0.2">
      <c r="A28" s="164">
        <v>22</v>
      </c>
      <c r="B28" s="165" t="s">
        <v>204</v>
      </c>
      <c r="C28" s="165" t="s">
        <v>205</v>
      </c>
      <c r="D28" s="165" t="s">
        <v>75</v>
      </c>
      <c r="E28" s="166">
        <v>544006</v>
      </c>
      <c r="F28" s="167">
        <v>2252.728846</v>
      </c>
      <c r="G28" s="168">
        <v>1.045837E-2</v>
      </c>
      <c r="H28" s="167"/>
      <c r="J28" s="75"/>
    </row>
    <row r="29" spans="1:15" ht="29.1" customHeight="1" x14ac:dyDescent="0.2">
      <c r="A29" s="164">
        <v>23</v>
      </c>
      <c r="B29" s="165" t="s">
        <v>346</v>
      </c>
      <c r="C29" s="165" t="s">
        <v>347</v>
      </c>
      <c r="D29" s="165" t="s">
        <v>216</v>
      </c>
      <c r="E29" s="166">
        <v>136432</v>
      </c>
      <c r="F29" s="167">
        <v>2049.3450720000001</v>
      </c>
      <c r="G29" s="168">
        <v>9.5141500000000007E-3</v>
      </c>
      <c r="H29" s="167"/>
      <c r="J29" s="75"/>
    </row>
    <row r="30" spans="1:15" ht="29.1" customHeight="1" x14ac:dyDescent="0.2">
      <c r="A30" s="164">
        <v>24</v>
      </c>
      <c r="B30" s="165" t="s">
        <v>246</v>
      </c>
      <c r="C30" s="165" t="s">
        <v>247</v>
      </c>
      <c r="D30" s="165" t="s">
        <v>216</v>
      </c>
      <c r="E30" s="166">
        <v>39723</v>
      </c>
      <c r="F30" s="167">
        <v>1919.8324514999999</v>
      </c>
      <c r="G30" s="168">
        <v>8.9128899999999997E-3</v>
      </c>
      <c r="H30" s="167"/>
      <c r="J30" s="75"/>
    </row>
    <row r="31" spans="1:15" ht="17.100000000000001" customHeight="1" x14ac:dyDescent="0.2">
      <c r="A31" s="164">
        <v>25</v>
      </c>
      <c r="B31" s="165" t="s">
        <v>343</v>
      </c>
      <c r="C31" s="165" t="s">
        <v>344</v>
      </c>
      <c r="D31" s="165" t="s">
        <v>345</v>
      </c>
      <c r="E31" s="166">
        <v>285600</v>
      </c>
      <c r="F31" s="167">
        <v>1840.4064000000001</v>
      </c>
      <c r="G31" s="168">
        <v>8.5441500000000004E-3</v>
      </c>
      <c r="H31" s="167"/>
      <c r="J31" s="75"/>
    </row>
    <row r="32" spans="1:15" ht="17.100000000000001" customHeight="1" x14ac:dyDescent="0.2">
      <c r="A32" s="164">
        <v>26</v>
      </c>
      <c r="B32" s="165" t="s">
        <v>376</v>
      </c>
      <c r="C32" s="165" t="s">
        <v>377</v>
      </c>
      <c r="D32" s="165" t="s">
        <v>364</v>
      </c>
      <c r="E32" s="166">
        <v>81793</v>
      </c>
      <c r="F32" s="167">
        <v>1824.3519685000001</v>
      </c>
      <c r="G32" s="168">
        <v>8.4696100000000007E-3</v>
      </c>
      <c r="H32" s="167"/>
      <c r="J32" s="75"/>
    </row>
    <row r="33" spans="1:10" ht="17.100000000000001" customHeight="1" x14ac:dyDescent="0.2">
      <c r="A33" s="164">
        <v>27</v>
      </c>
      <c r="B33" s="165" t="s">
        <v>283</v>
      </c>
      <c r="C33" s="165" t="s">
        <v>284</v>
      </c>
      <c r="D33" s="165" t="s">
        <v>285</v>
      </c>
      <c r="E33" s="166">
        <v>78750</v>
      </c>
      <c r="F33" s="167">
        <v>1622.25</v>
      </c>
      <c r="G33" s="168">
        <v>7.53135E-3</v>
      </c>
      <c r="H33" s="167"/>
      <c r="J33" s="75"/>
    </row>
    <row r="34" spans="1:10" ht="17.100000000000001" customHeight="1" x14ac:dyDescent="0.2">
      <c r="A34" s="164">
        <v>28</v>
      </c>
      <c r="B34" s="165" t="s">
        <v>263</v>
      </c>
      <c r="C34" s="165" t="s">
        <v>264</v>
      </c>
      <c r="D34" s="165" t="s">
        <v>210</v>
      </c>
      <c r="E34" s="166">
        <v>23100</v>
      </c>
      <c r="F34" s="167">
        <v>1398.41625</v>
      </c>
      <c r="G34" s="168">
        <v>6.4921900000000001E-3</v>
      </c>
      <c r="H34" s="167"/>
      <c r="J34" s="75"/>
    </row>
    <row r="35" spans="1:10" ht="17.100000000000001" customHeight="1" x14ac:dyDescent="0.2">
      <c r="A35" s="164">
        <v>29</v>
      </c>
      <c r="B35" s="165" t="s">
        <v>537</v>
      </c>
      <c r="C35" s="165" t="s">
        <v>538</v>
      </c>
      <c r="D35" s="165" t="s">
        <v>232</v>
      </c>
      <c r="E35" s="166">
        <v>101081</v>
      </c>
      <c r="F35" s="167">
        <v>1381.372946</v>
      </c>
      <c r="G35" s="168">
        <v>6.4130699999999999E-3</v>
      </c>
      <c r="H35" s="167"/>
      <c r="J35" s="75"/>
    </row>
    <row r="36" spans="1:10" ht="29.1" customHeight="1" x14ac:dyDescent="0.2">
      <c r="A36" s="164">
        <v>30</v>
      </c>
      <c r="B36" s="165" t="s">
        <v>23</v>
      </c>
      <c r="C36" s="165" t="s">
        <v>24</v>
      </c>
      <c r="D36" s="165" t="s">
        <v>25</v>
      </c>
      <c r="E36" s="166">
        <v>13390</v>
      </c>
      <c r="F36" s="167">
        <v>1335.2307149999999</v>
      </c>
      <c r="G36" s="168">
        <v>6.1988499999999997E-3</v>
      </c>
      <c r="H36" s="167"/>
      <c r="J36" s="75"/>
    </row>
    <row r="37" spans="1:10" ht="17.100000000000001" customHeight="1" x14ac:dyDescent="0.2">
      <c r="A37" s="164">
        <v>31</v>
      </c>
      <c r="B37" s="165" t="s">
        <v>382</v>
      </c>
      <c r="C37" s="165" t="s">
        <v>383</v>
      </c>
      <c r="D37" s="165" t="s">
        <v>75</v>
      </c>
      <c r="E37" s="166">
        <v>36414</v>
      </c>
      <c r="F37" s="167">
        <v>1306.989495</v>
      </c>
      <c r="G37" s="168">
        <v>6.0677400000000003E-3</v>
      </c>
      <c r="H37" s="167"/>
      <c r="J37" s="75"/>
    </row>
    <row r="38" spans="1:10" ht="17.100000000000001" customHeight="1" x14ac:dyDescent="0.2">
      <c r="A38" s="164">
        <v>32</v>
      </c>
      <c r="B38" s="165" t="s">
        <v>51</v>
      </c>
      <c r="C38" s="165" t="s">
        <v>52</v>
      </c>
      <c r="D38" s="165" t="s">
        <v>53</v>
      </c>
      <c r="E38" s="166">
        <v>236793</v>
      </c>
      <c r="F38" s="167">
        <v>1200.8956995000001</v>
      </c>
      <c r="G38" s="168">
        <v>5.5751999999999998E-3</v>
      </c>
      <c r="H38" s="167"/>
      <c r="J38" s="75"/>
    </row>
    <row r="39" spans="1:10" ht="17.100000000000001" customHeight="1" x14ac:dyDescent="0.2">
      <c r="A39" s="164">
        <v>33</v>
      </c>
      <c r="B39" s="165" t="s">
        <v>333</v>
      </c>
      <c r="C39" s="165" t="s">
        <v>334</v>
      </c>
      <c r="D39" s="165" t="s">
        <v>210</v>
      </c>
      <c r="E39" s="166">
        <v>621127</v>
      </c>
      <c r="F39" s="167">
        <v>1199.7068005000001</v>
      </c>
      <c r="G39" s="168">
        <v>5.5696799999999996E-3</v>
      </c>
      <c r="H39" s="167"/>
      <c r="J39" s="75"/>
    </row>
    <row r="40" spans="1:10" ht="29.1" customHeight="1" x14ac:dyDescent="0.2">
      <c r="A40" s="164">
        <v>34</v>
      </c>
      <c r="B40" s="165" t="s">
        <v>133</v>
      </c>
      <c r="C40" s="165" t="s">
        <v>134</v>
      </c>
      <c r="D40" s="165" t="s">
        <v>25</v>
      </c>
      <c r="E40" s="166">
        <v>660253</v>
      </c>
      <c r="F40" s="167">
        <v>1196.7085625</v>
      </c>
      <c r="G40" s="168">
        <v>5.5557599999999999E-3</v>
      </c>
      <c r="H40" s="167"/>
      <c r="J40" s="75"/>
    </row>
    <row r="41" spans="1:10" ht="17.100000000000001" customHeight="1" x14ac:dyDescent="0.2">
      <c r="A41" s="164">
        <v>35</v>
      </c>
      <c r="B41" s="165" t="s">
        <v>42</v>
      </c>
      <c r="C41" s="165" t="s">
        <v>43</v>
      </c>
      <c r="D41" s="165" t="s">
        <v>28</v>
      </c>
      <c r="E41" s="166">
        <v>29100</v>
      </c>
      <c r="F41" s="167">
        <v>1146.35085</v>
      </c>
      <c r="G41" s="168">
        <v>5.3219699999999997E-3</v>
      </c>
      <c r="H41" s="167"/>
      <c r="J41" s="75"/>
    </row>
    <row r="42" spans="1:10" ht="29.1" customHeight="1" x14ac:dyDescent="0.2">
      <c r="A42" s="164">
        <v>36</v>
      </c>
      <c r="B42" s="165" t="s">
        <v>219</v>
      </c>
      <c r="C42" s="165" t="s">
        <v>220</v>
      </c>
      <c r="D42" s="165" t="s">
        <v>221</v>
      </c>
      <c r="E42" s="166">
        <v>92591</v>
      </c>
      <c r="F42" s="167">
        <v>1118.3603935000001</v>
      </c>
      <c r="G42" s="168">
        <v>5.1920300000000003E-3</v>
      </c>
      <c r="H42" s="167"/>
      <c r="J42" s="75"/>
    </row>
    <row r="43" spans="1:10" ht="17.100000000000001" customHeight="1" x14ac:dyDescent="0.2">
      <c r="A43" s="164">
        <v>37</v>
      </c>
      <c r="B43" s="165" t="s">
        <v>470</v>
      </c>
      <c r="C43" s="165" t="s">
        <v>471</v>
      </c>
      <c r="D43" s="165" t="s">
        <v>262</v>
      </c>
      <c r="E43" s="166">
        <v>35820</v>
      </c>
      <c r="F43" s="167">
        <v>998.16012000000001</v>
      </c>
      <c r="G43" s="168">
        <v>4.6339900000000002E-3</v>
      </c>
      <c r="H43" s="167"/>
      <c r="J43" s="75"/>
    </row>
    <row r="44" spans="1:10" ht="17.100000000000001" customHeight="1" x14ac:dyDescent="0.2">
      <c r="A44" s="164">
        <v>38</v>
      </c>
      <c r="B44" s="165" t="s">
        <v>756</v>
      </c>
      <c r="C44" s="165" t="s">
        <v>757</v>
      </c>
      <c r="D44" s="165" t="s">
        <v>75</v>
      </c>
      <c r="E44" s="166">
        <v>33200</v>
      </c>
      <c r="F44" s="167">
        <v>954.79880000000003</v>
      </c>
      <c r="G44" s="168">
        <v>4.4326900000000004E-3</v>
      </c>
      <c r="H44" s="167"/>
      <c r="J44" s="75"/>
    </row>
    <row r="45" spans="1:10" ht="17.100000000000001" customHeight="1" x14ac:dyDescent="0.2">
      <c r="A45" s="164">
        <v>39</v>
      </c>
      <c r="B45" s="165" t="s">
        <v>81</v>
      </c>
      <c r="C45" s="165" t="s">
        <v>82</v>
      </c>
      <c r="D45" s="165" t="s">
        <v>36</v>
      </c>
      <c r="E45" s="166">
        <v>28964</v>
      </c>
      <c r="F45" s="167">
        <v>948.70133799999996</v>
      </c>
      <c r="G45" s="168">
        <v>4.4043800000000003E-3</v>
      </c>
      <c r="H45" s="167"/>
      <c r="J45" s="75"/>
    </row>
    <row r="46" spans="1:10" ht="17.100000000000001" customHeight="1" x14ac:dyDescent="0.2">
      <c r="A46" s="164">
        <v>40</v>
      </c>
      <c r="B46" s="165" t="s">
        <v>89</v>
      </c>
      <c r="C46" s="165" t="s">
        <v>90</v>
      </c>
      <c r="D46" s="165" t="s">
        <v>62</v>
      </c>
      <c r="E46" s="166">
        <v>22291</v>
      </c>
      <c r="F46" s="167">
        <v>887.69449299999997</v>
      </c>
      <c r="G46" s="168">
        <v>4.1211499999999996E-3</v>
      </c>
      <c r="H46" s="167"/>
      <c r="J46" s="75"/>
    </row>
    <row r="47" spans="1:10" ht="17.100000000000001" customHeight="1" x14ac:dyDescent="0.2">
      <c r="A47" s="164">
        <v>41</v>
      </c>
      <c r="B47" s="165" t="s">
        <v>766</v>
      </c>
      <c r="C47" s="165" t="s">
        <v>767</v>
      </c>
      <c r="D47" s="165" t="s">
        <v>276</v>
      </c>
      <c r="E47" s="166">
        <v>27559</v>
      </c>
      <c r="F47" s="167">
        <v>691.014366</v>
      </c>
      <c r="G47" s="168">
        <v>3.20806E-3</v>
      </c>
      <c r="H47" s="167"/>
      <c r="J47" s="75"/>
    </row>
    <row r="48" spans="1:10" ht="17.100000000000001" customHeight="1" x14ac:dyDescent="0.2">
      <c r="A48" s="164">
        <v>42</v>
      </c>
      <c r="B48" s="165" t="s">
        <v>545</v>
      </c>
      <c r="C48" s="165" t="s">
        <v>546</v>
      </c>
      <c r="D48" s="165" t="s">
        <v>39</v>
      </c>
      <c r="E48" s="166">
        <v>35600</v>
      </c>
      <c r="F48" s="167">
        <v>578.12620000000004</v>
      </c>
      <c r="G48" s="168">
        <v>2.6839699999999999E-3</v>
      </c>
      <c r="H48" s="167"/>
      <c r="J48" s="75"/>
    </row>
    <row r="49" spans="1:10" ht="17.100000000000001" customHeight="1" x14ac:dyDescent="0.2">
      <c r="A49" s="164">
        <v>43</v>
      </c>
      <c r="B49" s="165" t="s">
        <v>127</v>
      </c>
      <c r="C49" s="165" t="s">
        <v>128</v>
      </c>
      <c r="D49" s="165" t="s">
        <v>16</v>
      </c>
      <c r="E49" s="166">
        <v>95133</v>
      </c>
      <c r="F49" s="167">
        <v>577.79027550000001</v>
      </c>
      <c r="G49" s="168">
        <v>2.6824100000000001E-3</v>
      </c>
      <c r="H49" s="167"/>
      <c r="J49" s="75"/>
    </row>
    <row r="50" spans="1:10" ht="17.100000000000001" customHeight="1" x14ac:dyDescent="0.2">
      <c r="A50" s="164">
        <v>44</v>
      </c>
      <c r="B50" s="165" t="s">
        <v>20</v>
      </c>
      <c r="C50" s="165" t="s">
        <v>21</v>
      </c>
      <c r="D50" s="165" t="s">
        <v>22</v>
      </c>
      <c r="E50" s="166">
        <v>66000</v>
      </c>
      <c r="F50" s="167">
        <v>239.71199999999999</v>
      </c>
      <c r="G50" s="168">
        <v>1.11287E-3</v>
      </c>
      <c r="H50" s="167"/>
      <c r="J50" s="75"/>
    </row>
    <row r="51" spans="1:10" ht="17.100000000000001" customHeight="1" x14ac:dyDescent="0.2">
      <c r="A51" s="164">
        <v>45</v>
      </c>
      <c r="B51" s="165" t="s">
        <v>754</v>
      </c>
      <c r="C51" s="165" t="s">
        <v>755</v>
      </c>
      <c r="D51" s="165" t="s">
        <v>114</v>
      </c>
      <c r="E51" s="166">
        <v>14175</v>
      </c>
      <c r="F51" s="167">
        <v>125.05185</v>
      </c>
      <c r="G51" s="168">
        <v>5.8056000000000004E-4</v>
      </c>
      <c r="H51" s="167"/>
      <c r="J51" s="75"/>
    </row>
    <row r="52" spans="1:10" ht="17.100000000000001" customHeight="1" x14ac:dyDescent="0.2">
      <c r="A52" s="164">
        <v>46</v>
      </c>
      <c r="B52" s="165" t="s">
        <v>360</v>
      </c>
      <c r="C52" s="165" t="s">
        <v>361</v>
      </c>
      <c r="D52" s="165" t="s">
        <v>39</v>
      </c>
      <c r="E52" s="166">
        <v>5500</v>
      </c>
      <c r="F52" s="167">
        <v>83.363500000000002</v>
      </c>
      <c r="G52" s="168">
        <v>3.8702000000000002E-4</v>
      </c>
      <c r="H52" s="167"/>
      <c r="J52" s="75"/>
    </row>
    <row r="53" spans="1:10" ht="14.1" customHeight="1" x14ac:dyDescent="0.2">
      <c r="A53" s="162"/>
      <c r="B53" s="162"/>
      <c r="C53" s="163" t="s">
        <v>152</v>
      </c>
      <c r="D53" s="162"/>
      <c r="E53" s="162" t="s">
        <v>153</v>
      </c>
      <c r="F53" s="169">
        <v>141850.01608199993</v>
      </c>
      <c r="G53" s="170">
        <v>0.65854338999999995</v>
      </c>
      <c r="H53" s="167"/>
      <c r="J53" s="75"/>
    </row>
    <row r="54" spans="1:10" ht="14.1" customHeight="1" x14ac:dyDescent="0.2">
      <c r="A54" s="162"/>
      <c r="B54" s="162"/>
      <c r="C54" s="171"/>
      <c r="D54" s="162"/>
      <c r="E54" s="162"/>
      <c r="F54" s="172"/>
      <c r="G54" s="172"/>
      <c r="H54" s="167"/>
      <c r="J54" s="75"/>
    </row>
    <row r="55" spans="1:10" ht="14.1" customHeight="1" x14ac:dyDescent="0.2">
      <c r="A55" s="162"/>
      <c r="B55" s="162"/>
      <c r="C55" s="163" t="s">
        <v>154</v>
      </c>
      <c r="D55" s="162"/>
      <c r="E55" s="162"/>
      <c r="F55" s="162"/>
      <c r="G55" s="162"/>
      <c r="H55" s="167"/>
      <c r="J55" s="75"/>
    </row>
    <row r="56" spans="1:10" ht="14.1" customHeight="1" x14ac:dyDescent="0.2">
      <c r="A56" s="162"/>
      <c r="B56" s="162"/>
      <c r="C56" s="163" t="s">
        <v>152</v>
      </c>
      <c r="D56" s="162"/>
      <c r="E56" s="162" t="s">
        <v>153</v>
      </c>
      <c r="F56" s="173" t="s">
        <v>155</v>
      </c>
      <c r="G56" s="170">
        <v>0</v>
      </c>
      <c r="H56" s="167"/>
      <c r="J56" s="75"/>
    </row>
    <row r="57" spans="1:10" ht="14.1" customHeight="1" x14ac:dyDescent="0.2">
      <c r="A57" s="162"/>
      <c r="B57" s="162"/>
      <c r="C57" s="171"/>
      <c r="D57" s="162"/>
      <c r="E57" s="162"/>
      <c r="F57" s="172"/>
      <c r="G57" s="172"/>
      <c r="H57" s="167"/>
      <c r="J57" s="75"/>
    </row>
    <row r="58" spans="1:10" ht="14.1" customHeight="1" x14ac:dyDescent="0.2">
      <c r="A58" s="162"/>
      <c r="B58" s="162"/>
      <c r="C58" s="163" t="s">
        <v>156</v>
      </c>
      <c r="D58" s="162"/>
      <c r="E58" s="162"/>
      <c r="F58" s="162"/>
      <c r="G58" s="162"/>
      <c r="H58" s="167"/>
      <c r="J58" s="75"/>
    </row>
    <row r="59" spans="1:10" ht="14.1" customHeight="1" x14ac:dyDescent="0.2">
      <c r="A59" s="162"/>
      <c r="B59" s="162"/>
      <c r="C59" s="163" t="s">
        <v>152</v>
      </c>
      <c r="D59" s="162"/>
      <c r="E59" s="162" t="s">
        <v>153</v>
      </c>
      <c r="F59" s="173" t="s">
        <v>155</v>
      </c>
      <c r="G59" s="170">
        <v>0</v>
      </c>
      <c r="H59" s="167"/>
      <c r="J59" s="75"/>
    </row>
    <row r="60" spans="1:10" ht="14.1" customHeight="1" x14ac:dyDescent="0.2">
      <c r="A60" s="162"/>
      <c r="B60" s="162"/>
      <c r="C60" s="171"/>
      <c r="D60" s="162"/>
      <c r="E60" s="162"/>
      <c r="F60" s="172"/>
      <c r="G60" s="172"/>
      <c r="H60" s="167"/>
      <c r="J60" s="75"/>
    </row>
    <row r="61" spans="1:10" ht="14.1" customHeight="1" x14ac:dyDescent="0.2">
      <c r="A61" s="162"/>
      <c r="B61" s="162"/>
      <c r="C61" s="163" t="s">
        <v>157</v>
      </c>
      <c r="D61" s="162"/>
      <c r="E61" s="162"/>
      <c r="F61" s="162"/>
      <c r="G61" s="162"/>
      <c r="H61" s="167"/>
      <c r="J61" s="75"/>
    </row>
    <row r="62" spans="1:10" ht="14.1" customHeight="1" x14ac:dyDescent="0.2">
      <c r="A62" s="162"/>
      <c r="B62" s="162"/>
      <c r="C62" s="163" t="s">
        <v>152</v>
      </c>
      <c r="D62" s="162"/>
      <c r="E62" s="162" t="s">
        <v>153</v>
      </c>
      <c r="F62" s="173" t="s">
        <v>155</v>
      </c>
      <c r="G62" s="170">
        <v>0</v>
      </c>
      <c r="H62" s="167"/>
      <c r="J62" s="75"/>
    </row>
    <row r="63" spans="1:10" ht="14.1" customHeight="1" x14ac:dyDescent="0.2">
      <c r="A63" s="162"/>
      <c r="B63" s="162"/>
      <c r="C63" s="171"/>
      <c r="D63" s="162"/>
      <c r="E63" s="162"/>
      <c r="F63" s="172"/>
      <c r="G63" s="172"/>
      <c r="H63" s="167"/>
      <c r="J63" s="75"/>
    </row>
    <row r="64" spans="1:10" ht="14.1" customHeight="1" x14ac:dyDescent="0.2">
      <c r="A64" s="162"/>
      <c r="B64" s="162"/>
      <c r="C64" s="163" t="s">
        <v>158</v>
      </c>
      <c r="D64" s="162"/>
      <c r="E64" s="162"/>
      <c r="F64" s="172"/>
      <c r="G64" s="172"/>
      <c r="H64" s="167"/>
      <c r="J64" s="75"/>
    </row>
    <row r="65" spans="1:10" ht="14.1" customHeight="1" x14ac:dyDescent="0.2">
      <c r="A65" s="162"/>
      <c r="B65" s="162"/>
      <c r="C65" s="163" t="s">
        <v>152</v>
      </c>
      <c r="D65" s="162"/>
      <c r="E65" s="162" t="s">
        <v>153</v>
      </c>
      <c r="F65" s="173" t="s">
        <v>155</v>
      </c>
      <c r="G65" s="170">
        <v>0</v>
      </c>
      <c r="H65" s="167"/>
      <c r="J65" s="75"/>
    </row>
    <row r="66" spans="1:10" ht="14.1" customHeight="1" x14ac:dyDescent="0.2">
      <c r="A66" s="162"/>
      <c r="B66" s="162"/>
      <c r="C66" s="171"/>
      <c r="D66" s="162"/>
      <c r="E66" s="162"/>
      <c r="F66" s="172"/>
      <c r="G66" s="172"/>
      <c r="H66" s="167"/>
      <c r="J66" s="75"/>
    </row>
    <row r="67" spans="1:10" ht="14.1" customHeight="1" x14ac:dyDescent="0.2">
      <c r="A67" s="162"/>
      <c r="B67" s="162"/>
      <c r="C67" s="163" t="s">
        <v>159</v>
      </c>
      <c r="D67" s="162"/>
      <c r="E67" s="162"/>
      <c r="F67" s="172"/>
      <c r="G67" s="172"/>
      <c r="H67" s="167"/>
      <c r="J67" s="75"/>
    </row>
    <row r="68" spans="1:10" ht="17.100000000000001" customHeight="1" x14ac:dyDescent="0.2">
      <c r="A68" s="164">
        <v>1</v>
      </c>
      <c r="B68" s="165"/>
      <c r="C68" s="165" t="s">
        <v>1047</v>
      </c>
      <c r="D68" s="165" t="s">
        <v>636</v>
      </c>
      <c r="E68" s="166">
        <v>-1200</v>
      </c>
      <c r="F68" s="167">
        <v>-47.959200000000003</v>
      </c>
      <c r="G68" s="231">
        <v>-2.2265216453554144E-4</v>
      </c>
      <c r="H68" s="167"/>
      <c r="J68" s="75"/>
    </row>
    <row r="69" spans="1:10" ht="17.100000000000001" customHeight="1" x14ac:dyDescent="0.2">
      <c r="A69" s="164">
        <v>2</v>
      </c>
      <c r="B69" s="165"/>
      <c r="C69" s="165" t="s">
        <v>1030</v>
      </c>
      <c r="D69" s="165" t="s">
        <v>636</v>
      </c>
      <c r="E69" s="166">
        <v>-5500</v>
      </c>
      <c r="F69" s="167">
        <v>-83.897000000000006</v>
      </c>
      <c r="G69" s="231">
        <v>-3.8949458389711089E-4</v>
      </c>
      <c r="H69" s="167"/>
      <c r="J69" s="75"/>
    </row>
    <row r="70" spans="1:10" ht="17.100000000000001" customHeight="1" x14ac:dyDescent="0.2">
      <c r="A70" s="164">
        <v>3</v>
      </c>
      <c r="B70" s="165"/>
      <c r="C70" s="165" t="s">
        <v>1038</v>
      </c>
      <c r="D70" s="165" t="s">
        <v>636</v>
      </c>
      <c r="E70" s="166">
        <v>-14175</v>
      </c>
      <c r="F70" s="167">
        <v>-125.95905</v>
      </c>
      <c r="G70" s="231">
        <v>-5.8476903545806624E-4</v>
      </c>
      <c r="H70" s="167"/>
      <c r="J70" s="75"/>
    </row>
    <row r="71" spans="1:10" ht="17.100000000000001" customHeight="1" x14ac:dyDescent="0.2">
      <c r="A71" s="164">
        <v>4</v>
      </c>
      <c r="B71" s="165"/>
      <c r="C71" s="165" t="s">
        <v>1010</v>
      </c>
      <c r="D71" s="165" t="s">
        <v>636</v>
      </c>
      <c r="E71" s="166">
        <v>-35600</v>
      </c>
      <c r="F71" s="167">
        <v>-582.55840000000001</v>
      </c>
      <c r="G71" s="231">
        <v>-2.7045465464053146E-3</v>
      </c>
      <c r="H71" s="167"/>
      <c r="J71" s="75"/>
    </row>
    <row r="72" spans="1:10" ht="17.100000000000001" customHeight="1" x14ac:dyDescent="0.2">
      <c r="A72" s="164">
        <v>5</v>
      </c>
      <c r="B72" s="165"/>
      <c r="C72" s="165" t="s">
        <v>1048</v>
      </c>
      <c r="D72" s="165" t="s">
        <v>636</v>
      </c>
      <c r="E72" s="166">
        <v>-29100</v>
      </c>
      <c r="F72" s="167">
        <v>-1154.7753</v>
      </c>
      <c r="G72" s="231">
        <v>-5.3610823386791113E-3</v>
      </c>
      <c r="H72" s="167"/>
      <c r="J72" s="75"/>
    </row>
    <row r="73" spans="1:10" ht="17.100000000000001" customHeight="1" x14ac:dyDescent="0.2">
      <c r="A73" s="164">
        <v>6</v>
      </c>
      <c r="B73" s="165"/>
      <c r="C73" s="165" t="s">
        <v>1049</v>
      </c>
      <c r="D73" s="165" t="s">
        <v>636</v>
      </c>
      <c r="E73" s="166">
        <v>-23100</v>
      </c>
      <c r="F73" s="167">
        <v>-1406.2009499999999</v>
      </c>
      <c r="G73" s="231">
        <v>-6.5283341942616781E-3</v>
      </c>
      <c r="H73" s="167"/>
      <c r="J73" s="75"/>
    </row>
    <row r="74" spans="1:10" ht="17.100000000000001" customHeight="1" x14ac:dyDescent="0.2">
      <c r="A74" s="164">
        <v>7</v>
      </c>
      <c r="B74" s="165"/>
      <c r="C74" s="165" t="s">
        <v>1005</v>
      </c>
      <c r="D74" s="165" t="s">
        <v>636</v>
      </c>
      <c r="E74" s="166">
        <v>-42700</v>
      </c>
      <c r="F74" s="167">
        <v>-1632.44235</v>
      </c>
      <c r="G74" s="231">
        <v>-7.5786673403014631E-3</v>
      </c>
      <c r="H74" s="167"/>
      <c r="J74" s="75"/>
    </row>
    <row r="75" spans="1:10" ht="17.100000000000001" customHeight="1" x14ac:dyDescent="0.2">
      <c r="A75" s="164">
        <v>8</v>
      </c>
      <c r="B75" s="165"/>
      <c r="C75" s="165" t="s">
        <v>1050</v>
      </c>
      <c r="D75" s="165" t="s">
        <v>636</v>
      </c>
      <c r="E75" s="166">
        <v>-78750</v>
      </c>
      <c r="F75" s="167">
        <v>-1635.0862500000001</v>
      </c>
      <c r="G75" s="231">
        <v>-7.5909417330731425E-3</v>
      </c>
      <c r="H75" s="167"/>
      <c r="J75" s="75"/>
    </row>
    <row r="76" spans="1:10" ht="17.100000000000001" customHeight="1" x14ac:dyDescent="0.2">
      <c r="A76" s="164">
        <v>9</v>
      </c>
      <c r="B76" s="165"/>
      <c r="C76" s="165" t="s">
        <v>1041</v>
      </c>
      <c r="D76" s="165" t="s">
        <v>636</v>
      </c>
      <c r="E76" s="166">
        <v>-990000</v>
      </c>
      <c r="F76" s="167">
        <v>-1645.38</v>
      </c>
      <c r="G76" s="231">
        <v>-7.6387308062580107E-3</v>
      </c>
      <c r="H76" s="167"/>
      <c r="J76" s="75"/>
    </row>
    <row r="77" spans="1:10" ht="17.100000000000001" customHeight="1" x14ac:dyDescent="0.2">
      <c r="A77" s="164">
        <v>10</v>
      </c>
      <c r="B77" s="165"/>
      <c r="C77" s="165" t="s">
        <v>1020</v>
      </c>
      <c r="D77" s="165" t="s">
        <v>636</v>
      </c>
      <c r="E77" s="166">
        <v>-125400</v>
      </c>
      <c r="F77" s="167">
        <v>-1671.1431</v>
      </c>
      <c r="G77" s="231">
        <v>-7.7583368459781393E-3</v>
      </c>
      <c r="H77" s="167"/>
      <c r="J77" s="75"/>
    </row>
    <row r="78" spans="1:10" ht="17.100000000000001" customHeight="1" x14ac:dyDescent="0.2">
      <c r="A78" s="164">
        <v>11</v>
      </c>
      <c r="B78" s="165"/>
      <c r="C78" s="165" t="s">
        <v>1031</v>
      </c>
      <c r="D78" s="165" t="s">
        <v>636</v>
      </c>
      <c r="E78" s="166">
        <v>-25625</v>
      </c>
      <c r="F78" s="167">
        <v>-1785.9471874999999</v>
      </c>
      <c r="G78" s="231">
        <v>-8.2913186008740231E-3</v>
      </c>
      <c r="H78" s="167"/>
      <c r="J78" s="75"/>
    </row>
    <row r="79" spans="1:10" ht="17.100000000000001" customHeight="1" x14ac:dyDescent="0.2">
      <c r="A79" s="164">
        <v>12</v>
      </c>
      <c r="B79" s="165"/>
      <c r="C79" s="165" t="s">
        <v>1033</v>
      </c>
      <c r="D79" s="165" t="s">
        <v>636</v>
      </c>
      <c r="E79" s="166">
        <v>-132800</v>
      </c>
      <c r="F79" s="167">
        <v>-1900.5008</v>
      </c>
      <c r="G79" s="231">
        <v>-8.8231375173382399E-3</v>
      </c>
      <c r="H79" s="167"/>
      <c r="J79" s="75"/>
    </row>
    <row r="80" spans="1:10" ht="17.100000000000001" customHeight="1" x14ac:dyDescent="0.2">
      <c r="A80" s="164">
        <v>13</v>
      </c>
      <c r="B80" s="165"/>
      <c r="C80" s="165" t="s">
        <v>1021</v>
      </c>
      <c r="D80" s="165" t="s">
        <v>636</v>
      </c>
      <c r="E80" s="166">
        <v>-70750</v>
      </c>
      <c r="F80" s="167">
        <v>-2089.8488750000001</v>
      </c>
      <c r="G80" s="231">
        <v>-9.7021921877536773E-3</v>
      </c>
      <c r="H80" s="167"/>
      <c r="J80" s="75"/>
    </row>
    <row r="81" spans="1:10" ht="17.100000000000001" customHeight="1" x14ac:dyDescent="0.2">
      <c r="A81" s="164">
        <v>14</v>
      </c>
      <c r="B81" s="165"/>
      <c r="C81" s="165" t="s">
        <v>1022</v>
      </c>
      <c r="D81" s="165" t="s">
        <v>636</v>
      </c>
      <c r="E81" s="166">
        <v>-234300</v>
      </c>
      <c r="F81" s="167">
        <v>-3545.4276</v>
      </c>
      <c r="G81" s="231">
        <v>-1.6459764327679566E-2</v>
      </c>
      <c r="H81" s="167"/>
      <c r="J81" s="75"/>
    </row>
    <row r="82" spans="1:10" ht="17.100000000000001" customHeight="1" x14ac:dyDescent="0.2">
      <c r="A82" s="164">
        <v>15</v>
      </c>
      <c r="B82" s="165"/>
      <c r="C82" s="165" t="s">
        <v>1051</v>
      </c>
      <c r="D82" s="165" t="s">
        <v>636</v>
      </c>
      <c r="E82" s="166">
        <v>-155700</v>
      </c>
      <c r="F82" s="167">
        <v>-3993.5493000000001</v>
      </c>
      <c r="G82" s="231">
        <v>-1.8540184069467305E-2</v>
      </c>
      <c r="H82" s="167"/>
      <c r="J82" s="75"/>
    </row>
    <row r="83" spans="1:10" ht="17.100000000000001" customHeight="1" x14ac:dyDescent="0.2">
      <c r="A83" s="164">
        <v>16</v>
      </c>
      <c r="B83" s="165"/>
      <c r="C83" s="165" t="s">
        <v>1043</v>
      </c>
      <c r="D83" s="165" t="s">
        <v>636</v>
      </c>
      <c r="E83" s="166">
        <v>-340625</v>
      </c>
      <c r="F83" s="167">
        <v>-3994.85</v>
      </c>
      <c r="G83" s="231">
        <v>-1.8546222612028717E-2</v>
      </c>
      <c r="H83" s="167"/>
      <c r="J83" s="75"/>
    </row>
    <row r="84" spans="1:10" ht="17.100000000000001" customHeight="1" x14ac:dyDescent="0.2">
      <c r="A84" s="164">
        <v>17</v>
      </c>
      <c r="B84" s="165"/>
      <c r="C84" s="165" t="s">
        <v>1052</v>
      </c>
      <c r="D84" s="165" t="s">
        <v>636</v>
      </c>
      <c r="E84" s="166">
        <v>-241850</v>
      </c>
      <c r="F84" s="167">
        <v>-5248.507775</v>
      </c>
      <c r="G84" s="231">
        <v>-2.4366370095526373E-2</v>
      </c>
      <c r="H84" s="167"/>
      <c r="J84" s="75"/>
    </row>
    <row r="85" spans="1:10" ht="17.100000000000001" customHeight="1" x14ac:dyDescent="0.2">
      <c r="A85" s="164">
        <v>18</v>
      </c>
      <c r="B85" s="165"/>
      <c r="C85" s="165" t="s">
        <v>1012</v>
      </c>
      <c r="D85" s="165" t="s">
        <v>636</v>
      </c>
      <c r="E85" s="166">
        <v>-151800</v>
      </c>
      <c r="F85" s="167">
        <v>-5491.4408999999996</v>
      </c>
      <c r="G85" s="231">
        <v>-2.5494195124272333E-2</v>
      </c>
      <c r="H85" s="167"/>
      <c r="J85" s="75"/>
    </row>
    <row r="86" spans="1:10" ht="14.1" customHeight="1" x14ac:dyDescent="0.2">
      <c r="A86" s="162"/>
      <c r="B86" s="162"/>
      <c r="C86" s="163" t="s">
        <v>152</v>
      </c>
      <c r="D86" s="162"/>
      <c r="E86" s="162" t="s">
        <v>153</v>
      </c>
      <c r="F86" s="169">
        <v>-38035.474037499996</v>
      </c>
      <c r="G86" s="170">
        <v>-0.17658093999999999</v>
      </c>
      <c r="H86" s="167"/>
      <c r="J86" s="75"/>
    </row>
    <row r="87" spans="1:10" ht="14.1" customHeight="1" x14ac:dyDescent="0.2">
      <c r="A87" s="162"/>
      <c r="B87" s="162"/>
      <c r="C87" s="171"/>
      <c r="D87" s="162"/>
      <c r="E87" s="162"/>
      <c r="F87" s="172"/>
      <c r="G87" s="172"/>
      <c r="H87" s="167"/>
      <c r="J87" s="75"/>
    </row>
    <row r="88" spans="1:10" ht="18" customHeight="1" x14ac:dyDescent="0.2">
      <c r="A88" s="162"/>
      <c r="B88" s="162"/>
      <c r="C88" s="163" t="s">
        <v>160</v>
      </c>
      <c r="D88" s="162"/>
      <c r="E88" s="162"/>
      <c r="F88" s="169">
        <v>141850.01608199993</v>
      </c>
      <c r="G88" s="170">
        <v>0.65854338999999995</v>
      </c>
      <c r="H88" s="167"/>
      <c r="J88" s="75"/>
    </row>
    <row r="89" spans="1:10" ht="14.1" customHeight="1" x14ac:dyDescent="0.2">
      <c r="A89" s="162"/>
      <c r="B89" s="162"/>
      <c r="C89" s="171"/>
      <c r="D89" s="162"/>
      <c r="E89" s="162"/>
      <c r="F89" s="172"/>
      <c r="G89" s="172"/>
      <c r="H89" s="167"/>
      <c r="J89" s="75"/>
    </row>
    <row r="90" spans="1:10" ht="14.1" customHeight="1" x14ac:dyDescent="0.2">
      <c r="A90" s="162"/>
      <c r="B90" s="162"/>
      <c r="C90" s="163" t="s">
        <v>161</v>
      </c>
      <c r="D90" s="162"/>
      <c r="E90" s="162"/>
      <c r="F90" s="172"/>
      <c r="G90" s="172"/>
      <c r="H90" s="167"/>
      <c r="J90" s="75"/>
    </row>
    <row r="91" spans="1:10" ht="24" customHeight="1" x14ac:dyDescent="0.2">
      <c r="A91" s="162"/>
      <c r="B91" s="162"/>
      <c r="C91" s="163" t="s">
        <v>10</v>
      </c>
      <c r="D91" s="162"/>
      <c r="E91" s="162"/>
      <c r="F91" s="172"/>
      <c r="G91" s="172"/>
      <c r="H91" s="167"/>
      <c r="J91" s="75"/>
    </row>
    <row r="92" spans="1:10" ht="14.1" customHeight="1" x14ac:dyDescent="0.2">
      <c r="A92" s="162"/>
      <c r="B92" s="162"/>
      <c r="C92" s="163" t="s">
        <v>152</v>
      </c>
      <c r="D92" s="162"/>
      <c r="E92" s="162" t="s">
        <v>153</v>
      </c>
      <c r="F92" s="173" t="s">
        <v>155</v>
      </c>
      <c r="G92" s="170">
        <v>0</v>
      </c>
      <c r="H92" s="167"/>
      <c r="J92" s="75"/>
    </row>
    <row r="93" spans="1:10" ht="14.1" customHeight="1" x14ac:dyDescent="0.2">
      <c r="A93" s="162"/>
      <c r="B93" s="162"/>
      <c r="C93" s="171"/>
      <c r="D93" s="162"/>
      <c r="E93" s="162"/>
      <c r="F93" s="172"/>
      <c r="G93" s="172"/>
      <c r="H93" s="167"/>
      <c r="J93" s="75"/>
    </row>
    <row r="94" spans="1:10" ht="14.1" customHeight="1" x14ac:dyDescent="0.2">
      <c r="A94" s="162"/>
      <c r="B94" s="162"/>
      <c r="C94" s="163" t="s">
        <v>162</v>
      </c>
      <c r="D94" s="162"/>
      <c r="E94" s="162"/>
      <c r="F94" s="162"/>
      <c r="G94" s="162"/>
      <c r="H94" s="167"/>
      <c r="J94" s="75"/>
    </row>
    <row r="95" spans="1:10" ht="14.1" customHeight="1" x14ac:dyDescent="0.2">
      <c r="A95" s="162"/>
      <c r="B95" s="162"/>
      <c r="C95" s="163" t="s">
        <v>152</v>
      </c>
      <c r="D95" s="162"/>
      <c r="E95" s="162" t="s">
        <v>153</v>
      </c>
      <c r="F95" s="173" t="s">
        <v>155</v>
      </c>
      <c r="G95" s="170">
        <v>0</v>
      </c>
      <c r="H95" s="167"/>
      <c r="J95" s="75"/>
    </row>
    <row r="96" spans="1:10" ht="14.1" customHeight="1" x14ac:dyDescent="0.2">
      <c r="A96" s="162"/>
      <c r="B96" s="162"/>
      <c r="C96" s="171"/>
      <c r="D96" s="162"/>
      <c r="E96" s="162"/>
      <c r="F96" s="172"/>
      <c r="G96" s="172"/>
      <c r="H96" s="167"/>
      <c r="J96" s="75"/>
    </row>
    <row r="97" spans="1:10" ht="14.1" customHeight="1" x14ac:dyDescent="0.2">
      <c r="A97" s="162"/>
      <c r="B97" s="162"/>
      <c r="C97" s="163" t="s">
        <v>163</v>
      </c>
      <c r="D97" s="162"/>
      <c r="E97" s="162"/>
      <c r="F97" s="162"/>
      <c r="G97" s="162"/>
      <c r="H97" s="167"/>
      <c r="J97" s="75"/>
    </row>
    <row r="98" spans="1:10" ht="25.5" x14ac:dyDescent="0.2">
      <c r="A98" s="164">
        <v>1</v>
      </c>
      <c r="B98" s="165" t="s">
        <v>684</v>
      </c>
      <c r="C98" s="200" t="s">
        <v>1074</v>
      </c>
      <c r="D98" s="165" t="s">
        <v>441</v>
      </c>
      <c r="E98" s="166">
        <v>10500000</v>
      </c>
      <c r="F98" s="167">
        <v>10554.096</v>
      </c>
      <c r="G98" s="168">
        <v>4.8997739999999998E-2</v>
      </c>
      <c r="H98" s="167">
        <v>7.3181000000000003</v>
      </c>
      <c r="J98" s="75"/>
    </row>
    <row r="99" spans="1:10" ht="17.100000000000001" customHeight="1" x14ac:dyDescent="0.2">
      <c r="A99" s="164">
        <v>2</v>
      </c>
      <c r="B99" s="165" t="s">
        <v>710</v>
      </c>
      <c r="C99" s="200" t="s">
        <v>1075</v>
      </c>
      <c r="D99" s="165" t="s">
        <v>441</v>
      </c>
      <c r="E99" s="166">
        <v>5500000</v>
      </c>
      <c r="F99" s="167">
        <v>5522.5940000000001</v>
      </c>
      <c r="G99" s="168">
        <v>2.563882E-2</v>
      </c>
      <c r="H99" s="167">
        <v>7.2750000000000004</v>
      </c>
      <c r="J99" s="75"/>
    </row>
    <row r="100" spans="1:10" ht="17.100000000000001" customHeight="1" x14ac:dyDescent="0.2">
      <c r="A100" s="164">
        <v>3</v>
      </c>
      <c r="B100" s="165" t="s">
        <v>439</v>
      </c>
      <c r="C100" s="200" t="s">
        <v>1084</v>
      </c>
      <c r="D100" s="165" t="s">
        <v>441</v>
      </c>
      <c r="E100" s="166">
        <v>3000000</v>
      </c>
      <c r="F100" s="167">
        <v>2996.5050000000001</v>
      </c>
      <c r="G100" s="168">
        <v>1.3911369999999999E-2</v>
      </c>
      <c r="H100" s="167">
        <v>7.3244999999999996</v>
      </c>
      <c r="J100" s="75"/>
    </row>
    <row r="101" spans="1:10" ht="17.100000000000001" customHeight="1" x14ac:dyDescent="0.2">
      <c r="A101" s="164">
        <v>4</v>
      </c>
      <c r="B101" s="165" t="s">
        <v>442</v>
      </c>
      <c r="C101" s="200" t="s">
        <v>1079</v>
      </c>
      <c r="D101" s="165" t="s">
        <v>441</v>
      </c>
      <c r="E101" s="166">
        <v>2500000</v>
      </c>
      <c r="F101" s="167">
        <v>2515.4074999999998</v>
      </c>
      <c r="G101" s="168">
        <v>1.167786E-2</v>
      </c>
      <c r="H101" s="167">
        <v>7.3289</v>
      </c>
      <c r="J101" s="75"/>
    </row>
    <row r="102" spans="1:10" ht="14.1" customHeight="1" x14ac:dyDescent="0.2">
      <c r="A102" s="162"/>
      <c r="B102" s="162"/>
      <c r="C102" s="163" t="s">
        <v>152</v>
      </c>
      <c r="D102" s="162"/>
      <c r="E102" s="162" t="s">
        <v>153</v>
      </c>
      <c r="F102" s="169">
        <v>21588.602500000001</v>
      </c>
      <c r="G102" s="170">
        <v>0.10022579</v>
      </c>
      <c r="H102" s="167"/>
      <c r="J102" s="75"/>
    </row>
    <row r="103" spans="1:10" ht="14.1" customHeight="1" x14ac:dyDescent="0.2">
      <c r="A103" s="162"/>
      <c r="B103" s="162"/>
      <c r="C103" s="171"/>
      <c r="D103" s="162"/>
      <c r="E103" s="162"/>
      <c r="F103" s="172"/>
      <c r="G103" s="172"/>
      <c r="H103" s="167"/>
      <c r="J103" s="75"/>
    </row>
    <row r="104" spans="1:10" ht="14.1" customHeight="1" x14ac:dyDescent="0.2">
      <c r="A104" s="162"/>
      <c r="B104" s="162"/>
      <c r="C104" s="163" t="s">
        <v>164</v>
      </c>
      <c r="D104" s="162"/>
      <c r="E104" s="162"/>
      <c r="F104" s="172"/>
      <c r="G104" s="172"/>
      <c r="H104" s="167"/>
      <c r="J104" s="75"/>
    </row>
    <row r="105" spans="1:10" ht="14.1" customHeight="1" x14ac:dyDescent="0.2">
      <c r="A105" s="162"/>
      <c r="B105" s="162"/>
      <c r="C105" s="163" t="s">
        <v>152</v>
      </c>
      <c r="D105" s="162"/>
      <c r="E105" s="162" t="s">
        <v>153</v>
      </c>
      <c r="F105" s="173" t="s">
        <v>155</v>
      </c>
      <c r="G105" s="170">
        <v>0</v>
      </c>
      <c r="H105" s="167"/>
      <c r="J105" s="75"/>
    </row>
    <row r="106" spans="1:10" ht="14.1" customHeight="1" x14ac:dyDescent="0.2">
      <c r="A106" s="162"/>
      <c r="B106" s="162"/>
      <c r="C106" s="171"/>
      <c r="D106" s="162"/>
      <c r="E106" s="162"/>
      <c r="F106" s="172"/>
      <c r="G106" s="172"/>
      <c r="H106" s="167"/>
      <c r="J106" s="75"/>
    </row>
    <row r="107" spans="1:10" ht="14.1" customHeight="1" x14ac:dyDescent="0.2">
      <c r="A107" s="162"/>
      <c r="B107" s="162"/>
      <c r="C107" s="163" t="s">
        <v>165</v>
      </c>
      <c r="D107" s="162"/>
      <c r="E107" s="162"/>
      <c r="F107" s="169">
        <v>21588.602500000001</v>
      </c>
      <c r="G107" s="170">
        <v>0.10022579</v>
      </c>
      <c r="H107" s="167"/>
      <c r="J107" s="75"/>
    </row>
    <row r="108" spans="1:10" ht="14.1" customHeight="1" x14ac:dyDescent="0.2">
      <c r="A108" s="162"/>
      <c r="B108" s="162"/>
      <c r="C108" s="171"/>
      <c r="D108" s="162"/>
      <c r="E108" s="162"/>
      <c r="F108" s="172"/>
      <c r="G108" s="172"/>
      <c r="H108" s="167"/>
      <c r="J108" s="75"/>
    </row>
    <row r="109" spans="1:10" ht="14.1" customHeight="1" x14ac:dyDescent="0.2">
      <c r="A109" s="162"/>
      <c r="B109" s="162"/>
      <c r="C109" s="163" t="s">
        <v>166</v>
      </c>
      <c r="D109" s="162"/>
      <c r="E109" s="162"/>
      <c r="F109" s="172"/>
      <c r="G109" s="172"/>
      <c r="H109" s="167"/>
      <c r="J109" s="75"/>
    </row>
    <row r="110" spans="1:10" ht="14.1" customHeight="1" x14ac:dyDescent="0.2">
      <c r="A110" s="162"/>
      <c r="B110" s="162"/>
      <c r="C110" s="163" t="s">
        <v>167</v>
      </c>
      <c r="D110" s="162"/>
      <c r="E110" s="162"/>
      <c r="F110" s="172"/>
      <c r="G110" s="172"/>
      <c r="H110" s="167"/>
      <c r="J110" s="75"/>
    </row>
    <row r="111" spans="1:10" ht="14.1" customHeight="1" x14ac:dyDescent="0.2">
      <c r="A111" s="162"/>
      <c r="B111" s="162"/>
      <c r="C111" s="163" t="s">
        <v>152</v>
      </c>
      <c r="D111" s="162"/>
      <c r="E111" s="162" t="s">
        <v>153</v>
      </c>
      <c r="F111" s="173" t="s">
        <v>155</v>
      </c>
      <c r="G111" s="170">
        <v>0</v>
      </c>
      <c r="H111" s="167"/>
      <c r="J111" s="75"/>
    </row>
    <row r="112" spans="1:10" ht="14.1" customHeight="1" x14ac:dyDescent="0.2">
      <c r="A112" s="162"/>
      <c r="B112" s="162"/>
      <c r="C112" s="171"/>
      <c r="D112" s="162"/>
      <c r="E112" s="162"/>
      <c r="F112" s="172"/>
      <c r="G112" s="172"/>
      <c r="H112" s="167"/>
      <c r="J112" s="75"/>
    </row>
    <row r="113" spans="1:10" ht="14.1" customHeight="1" x14ac:dyDescent="0.2">
      <c r="A113" s="162"/>
      <c r="B113" s="162"/>
      <c r="C113" s="163" t="s">
        <v>168</v>
      </c>
      <c r="D113" s="162"/>
      <c r="E113" s="162"/>
      <c r="F113" s="172"/>
      <c r="G113" s="172"/>
      <c r="H113" s="167"/>
      <c r="J113" s="75"/>
    </row>
    <row r="114" spans="1:10" ht="14.1" customHeight="1" x14ac:dyDescent="0.2">
      <c r="A114" s="162"/>
      <c r="B114" s="162"/>
      <c r="C114" s="163" t="s">
        <v>152</v>
      </c>
      <c r="D114" s="162"/>
      <c r="E114" s="162" t="s">
        <v>153</v>
      </c>
      <c r="F114" s="173" t="s">
        <v>155</v>
      </c>
      <c r="G114" s="170">
        <v>0</v>
      </c>
      <c r="H114" s="167"/>
      <c r="J114" s="75"/>
    </row>
    <row r="115" spans="1:10" ht="14.1" customHeight="1" x14ac:dyDescent="0.2">
      <c r="A115" s="162"/>
      <c r="B115" s="162"/>
      <c r="C115" s="171"/>
      <c r="D115" s="162"/>
      <c r="E115" s="162"/>
      <c r="F115" s="172"/>
      <c r="G115" s="172"/>
      <c r="H115" s="167"/>
      <c r="J115" s="75"/>
    </row>
    <row r="116" spans="1:10" ht="14.1" customHeight="1" x14ac:dyDescent="0.2">
      <c r="A116" s="162"/>
      <c r="B116" s="162"/>
      <c r="C116" s="163" t="s">
        <v>169</v>
      </c>
      <c r="D116" s="162"/>
      <c r="E116" s="162"/>
      <c r="F116" s="172"/>
      <c r="G116" s="172"/>
      <c r="H116" s="167"/>
      <c r="J116" s="75"/>
    </row>
    <row r="117" spans="1:10" ht="14.1" customHeight="1" x14ac:dyDescent="0.2">
      <c r="A117" s="162"/>
      <c r="B117" s="162"/>
      <c r="C117" s="163" t="s">
        <v>152</v>
      </c>
      <c r="D117" s="162"/>
      <c r="E117" s="162" t="s">
        <v>153</v>
      </c>
      <c r="F117" s="173" t="s">
        <v>155</v>
      </c>
      <c r="G117" s="170">
        <v>0</v>
      </c>
      <c r="H117" s="167"/>
      <c r="J117" s="75"/>
    </row>
    <row r="118" spans="1:10" ht="14.1" customHeight="1" x14ac:dyDescent="0.2">
      <c r="A118" s="162"/>
      <c r="B118" s="162"/>
      <c r="C118" s="171"/>
      <c r="D118" s="162"/>
      <c r="E118" s="162"/>
      <c r="F118" s="172"/>
      <c r="G118" s="172"/>
      <c r="H118" s="167"/>
      <c r="J118" s="75"/>
    </row>
    <row r="119" spans="1:10" ht="14.1" customHeight="1" x14ac:dyDescent="0.2">
      <c r="A119" s="162"/>
      <c r="B119" s="162"/>
      <c r="C119" s="163" t="s">
        <v>170</v>
      </c>
      <c r="D119" s="162"/>
      <c r="E119" s="162"/>
      <c r="F119" s="172"/>
      <c r="G119" s="172"/>
      <c r="H119" s="167"/>
      <c r="J119" s="75"/>
    </row>
    <row r="120" spans="1:10" ht="17.100000000000001" customHeight="1" x14ac:dyDescent="0.2">
      <c r="A120" s="164">
        <v>1</v>
      </c>
      <c r="B120" s="165"/>
      <c r="C120" s="165" t="s">
        <v>171</v>
      </c>
      <c r="D120" s="165"/>
      <c r="E120" s="174"/>
      <c r="F120" s="167">
        <v>2666.461341407</v>
      </c>
      <c r="G120" s="168">
        <v>1.237914E-2</v>
      </c>
      <c r="H120" s="175">
        <v>6.66</v>
      </c>
      <c r="J120" s="75"/>
    </row>
    <row r="121" spans="1:10" ht="14.1" customHeight="1" x14ac:dyDescent="0.2">
      <c r="A121" s="162"/>
      <c r="B121" s="162"/>
      <c r="C121" s="163" t="s">
        <v>152</v>
      </c>
      <c r="D121" s="162"/>
      <c r="E121" s="162" t="s">
        <v>153</v>
      </c>
      <c r="F121" s="169">
        <v>2666.461341407</v>
      </c>
      <c r="G121" s="170">
        <v>1.237914E-2</v>
      </c>
      <c r="H121" s="167"/>
      <c r="J121" s="75"/>
    </row>
    <row r="122" spans="1:10" ht="14.1" customHeight="1" x14ac:dyDescent="0.2">
      <c r="A122" s="162"/>
      <c r="B122" s="162"/>
      <c r="C122" s="171"/>
      <c r="D122" s="162"/>
      <c r="E122" s="162"/>
      <c r="F122" s="172"/>
      <c r="G122" s="172"/>
      <c r="H122" s="167"/>
      <c r="J122" s="75"/>
    </row>
    <row r="123" spans="1:10" ht="14.1" customHeight="1" x14ac:dyDescent="0.2">
      <c r="A123" s="162"/>
      <c r="B123" s="162"/>
      <c r="C123" s="163" t="s">
        <v>172</v>
      </c>
      <c r="D123" s="162"/>
      <c r="E123" s="162"/>
      <c r="F123" s="169">
        <v>2666.461341407</v>
      </c>
      <c r="G123" s="170">
        <v>1.237914E-2</v>
      </c>
      <c r="H123" s="167"/>
      <c r="J123" s="75"/>
    </row>
    <row r="124" spans="1:10" ht="14.1" customHeight="1" x14ac:dyDescent="0.2">
      <c r="A124" s="162"/>
      <c r="B124" s="162"/>
      <c r="C124" s="172"/>
      <c r="D124" s="162"/>
      <c r="E124" s="162"/>
      <c r="F124" s="162"/>
      <c r="G124" s="162"/>
      <c r="H124" s="167"/>
      <c r="J124" s="75"/>
    </row>
    <row r="125" spans="1:10" ht="14.1" customHeight="1" x14ac:dyDescent="0.2">
      <c r="A125" s="162"/>
      <c r="B125" s="162"/>
      <c r="C125" s="163" t="s">
        <v>173</v>
      </c>
      <c r="D125" s="162"/>
      <c r="E125" s="162"/>
      <c r="F125" s="162"/>
      <c r="G125" s="162"/>
      <c r="H125" s="167"/>
      <c r="J125" s="75"/>
    </row>
    <row r="126" spans="1:10" ht="14.1" customHeight="1" x14ac:dyDescent="0.2">
      <c r="A126" s="162"/>
      <c r="B126" s="162"/>
      <c r="C126" s="163" t="s">
        <v>174</v>
      </c>
      <c r="D126" s="162"/>
      <c r="E126" s="162"/>
      <c r="F126" s="162"/>
      <c r="G126" s="162"/>
      <c r="H126" s="167"/>
      <c r="J126" s="75"/>
    </row>
    <row r="127" spans="1:10" ht="17.100000000000001" customHeight="1" x14ac:dyDescent="0.2">
      <c r="A127" s="164">
        <v>1</v>
      </c>
      <c r="B127" s="165" t="s">
        <v>862</v>
      </c>
      <c r="C127" s="165" t="s">
        <v>863</v>
      </c>
      <c r="D127" s="165"/>
      <c r="E127" s="176">
        <v>28185000</v>
      </c>
      <c r="F127" s="167">
        <v>17159.027999999998</v>
      </c>
      <c r="G127" s="168">
        <v>7.9661350000000006E-2</v>
      </c>
      <c r="H127" s="167"/>
      <c r="J127" s="75"/>
    </row>
    <row r="128" spans="1:10" ht="17.100000000000001" customHeight="1" x14ac:dyDescent="0.2">
      <c r="A128" s="164">
        <v>2</v>
      </c>
      <c r="B128" s="165" t="s">
        <v>864</v>
      </c>
      <c r="C128" s="165" t="s">
        <v>865</v>
      </c>
      <c r="D128" s="165"/>
      <c r="E128" s="176">
        <v>23475000</v>
      </c>
      <c r="F128" s="167">
        <v>14746.995000000001</v>
      </c>
      <c r="G128" s="168">
        <v>6.8463410000000002E-2</v>
      </c>
      <c r="H128" s="167"/>
      <c r="J128" s="75"/>
    </row>
    <row r="129" spans="1:19" ht="17.100000000000001" customHeight="1" x14ac:dyDescent="0.2">
      <c r="A129" s="164">
        <v>3</v>
      </c>
      <c r="B129" s="165" t="s">
        <v>866</v>
      </c>
      <c r="C129" s="165" t="s">
        <v>867</v>
      </c>
      <c r="D129" s="165"/>
      <c r="E129" s="176">
        <v>13600000</v>
      </c>
      <c r="F129" s="167">
        <v>8548.9599999999991</v>
      </c>
      <c r="G129" s="168">
        <v>3.9688830000000001E-2</v>
      </c>
      <c r="H129" s="167"/>
      <c r="J129" s="75"/>
    </row>
    <row r="130" spans="1:19" ht="29.1" customHeight="1" x14ac:dyDescent="0.2">
      <c r="A130" s="164">
        <v>4</v>
      </c>
      <c r="B130" s="165" t="s">
        <v>868</v>
      </c>
      <c r="C130" s="165" t="s">
        <v>869</v>
      </c>
      <c r="D130" s="165"/>
      <c r="E130" s="176">
        <v>13907178</v>
      </c>
      <c r="F130" s="167">
        <v>8516.7558071999993</v>
      </c>
      <c r="G130" s="168">
        <v>3.9539320000000003E-2</v>
      </c>
      <c r="H130" s="167"/>
      <c r="J130" s="75"/>
    </row>
    <row r="131" spans="1:19" ht="17.100000000000001" customHeight="1" x14ac:dyDescent="0.2">
      <c r="A131" s="164">
        <v>5</v>
      </c>
      <c r="B131" s="165" t="s">
        <v>870</v>
      </c>
      <c r="C131" s="165" t="s">
        <v>871</v>
      </c>
      <c r="D131" s="165"/>
      <c r="E131" s="176">
        <v>648000</v>
      </c>
      <c r="F131" s="167">
        <v>461.95920000000001</v>
      </c>
      <c r="G131" s="168">
        <v>2.1446600000000001E-3</v>
      </c>
      <c r="H131" s="167"/>
      <c r="J131" s="75"/>
    </row>
    <row r="132" spans="1:19" ht="14.1" customHeight="1" x14ac:dyDescent="0.2">
      <c r="A132" s="162"/>
      <c r="B132" s="162"/>
      <c r="C132" s="163" t="s">
        <v>152</v>
      </c>
      <c r="D132" s="162"/>
      <c r="E132" s="162" t="s">
        <v>153</v>
      </c>
      <c r="F132" s="169">
        <v>49433.698007200001</v>
      </c>
      <c r="G132" s="170">
        <v>0.22949757000000001</v>
      </c>
      <c r="H132" s="167"/>
      <c r="J132" s="75"/>
    </row>
    <row r="133" spans="1:19" ht="14.1" customHeight="1" x14ac:dyDescent="0.2">
      <c r="A133" s="162"/>
      <c r="B133" s="162"/>
      <c r="C133" s="171"/>
      <c r="D133" s="162"/>
      <c r="E133" s="162"/>
      <c r="F133" s="172"/>
      <c r="G133" s="172"/>
      <c r="H133" s="167"/>
      <c r="J133" s="75"/>
    </row>
    <row r="134" spans="1:19" ht="14.1" customHeight="1" x14ac:dyDescent="0.2">
      <c r="A134" s="162"/>
      <c r="B134" s="162"/>
      <c r="C134" s="163" t="s">
        <v>177</v>
      </c>
      <c r="D134" s="162"/>
      <c r="E134" s="162"/>
      <c r="F134" s="162"/>
      <c r="G134" s="162"/>
      <c r="H134" s="167"/>
      <c r="J134" s="75"/>
    </row>
    <row r="135" spans="1:19" ht="14.1" customHeight="1" x14ac:dyDescent="0.2">
      <c r="A135" s="162"/>
      <c r="B135" s="162"/>
      <c r="C135" s="163" t="s">
        <v>178</v>
      </c>
      <c r="D135" s="162"/>
      <c r="E135" s="162"/>
      <c r="F135" s="162"/>
      <c r="G135" s="162"/>
      <c r="H135" s="167"/>
      <c r="J135" s="75"/>
    </row>
    <row r="136" spans="1:19" ht="14.1" customHeight="1" x14ac:dyDescent="0.2">
      <c r="A136" s="162"/>
      <c r="B136" s="162"/>
      <c r="C136" s="163" t="s">
        <v>152</v>
      </c>
      <c r="D136" s="162"/>
      <c r="E136" s="162" t="s">
        <v>153</v>
      </c>
      <c r="F136" s="173" t="s">
        <v>155</v>
      </c>
      <c r="G136" s="170">
        <v>0</v>
      </c>
      <c r="H136" s="167"/>
      <c r="J136" s="75"/>
    </row>
    <row r="137" spans="1:19" ht="14.1" customHeight="1" x14ac:dyDescent="0.2">
      <c r="A137" s="162"/>
      <c r="B137" s="162"/>
      <c r="C137" s="171"/>
      <c r="D137" s="162"/>
      <c r="E137" s="162"/>
      <c r="F137" s="172"/>
      <c r="G137" s="172"/>
      <c r="H137" s="167"/>
      <c r="J137" s="75"/>
    </row>
    <row r="138" spans="1:19" ht="24" customHeight="1" x14ac:dyDescent="0.2">
      <c r="A138" s="162"/>
      <c r="B138" s="162"/>
      <c r="C138" s="163" t="s">
        <v>179</v>
      </c>
      <c r="D138" s="162"/>
      <c r="E138" s="162"/>
      <c r="F138" s="172"/>
      <c r="G138" s="172"/>
      <c r="H138" s="167"/>
      <c r="J138" s="75"/>
    </row>
    <row r="139" spans="1:19" ht="14.1" customHeight="1" x14ac:dyDescent="0.2">
      <c r="A139" s="162"/>
      <c r="B139" s="162"/>
      <c r="C139" s="163" t="s">
        <v>152</v>
      </c>
      <c r="D139" s="162"/>
      <c r="E139" s="162" t="s">
        <v>153</v>
      </c>
      <c r="F139" s="173" t="s">
        <v>155</v>
      </c>
      <c r="G139" s="170">
        <v>0</v>
      </c>
      <c r="H139" s="167"/>
      <c r="J139" s="75"/>
    </row>
    <row r="140" spans="1:19" ht="14.1" customHeight="1" x14ac:dyDescent="0.2">
      <c r="A140" s="162"/>
      <c r="B140" s="162"/>
      <c r="C140" s="171"/>
      <c r="D140" s="162"/>
      <c r="E140" s="162"/>
      <c r="F140" s="172"/>
      <c r="G140" s="172"/>
      <c r="H140" s="167"/>
      <c r="J140" s="75"/>
    </row>
    <row r="141" spans="1:19" ht="18" customHeight="1" x14ac:dyDescent="0.2">
      <c r="A141" s="174"/>
      <c r="B141" s="165"/>
      <c r="C141" s="165" t="s">
        <v>698</v>
      </c>
      <c r="D141" s="165"/>
      <c r="E141" s="174"/>
      <c r="F141" s="167">
        <v>-84.544337900000002</v>
      </c>
      <c r="G141" s="168">
        <v>-3.925E-4</v>
      </c>
      <c r="H141" s="167"/>
      <c r="J141" s="75"/>
    </row>
    <row r="142" spans="1:19" ht="17.100000000000001" customHeight="1" x14ac:dyDescent="0.2">
      <c r="A142" s="164"/>
      <c r="B142" s="165"/>
      <c r="C142" s="232" t="s">
        <v>1092</v>
      </c>
      <c r="D142" s="165"/>
      <c r="E142" s="166"/>
      <c r="F142" s="167">
        <v>-54.576014509999368</v>
      </c>
      <c r="G142" s="168">
        <v>-2.53369999999975E-4</v>
      </c>
      <c r="H142" s="167"/>
      <c r="J142" s="75"/>
    </row>
    <row r="143" spans="1:19" ht="14.1" customHeight="1" x14ac:dyDescent="0.2">
      <c r="A143" s="171"/>
      <c r="B143" s="171"/>
      <c r="C143" s="163" t="s">
        <v>181</v>
      </c>
      <c r="D143" s="172"/>
      <c r="E143" s="172"/>
      <c r="F143" s="169">
        <v>215399.65757819699</v>
      </c>
      <c r="G143" s="177">
        <v>1.0000000200000001</v>
      </c>
      <c r="H143" s="177"/>
      <c r="J143" s="75"/>
    </row>
    <row r="144" spans="1:19" ht="14.1" customHeight="1" x14ac:dyDescent="0.25">
      <c r="A144" s="178"/>
      <c r="B144" s="178"/>
      <c r="C144" s="178"/>
      <c r="D144" s="179"/>
      <c r="E144" s="179"/>
      <c r="F144" s="179"/>
      <c r="G144" s="179"/>
      <c r="H144" s="179"/>
      <c r="J144" s="75"/>
      <c r="S144" s="34"/>
    </row>
    <row r="145" spans="1:17" ht="12.75" customHeight="1" x14ac:dyDescent="0.2">
      <c r="A145" s="180"/>
      <c r="B145" s="258" t="s">
        <v>882</v>
      </c>
      <c r="C145" s="258"/>
      <c r="D145" s="258"/>
      <c r="E145" s="258"/>
      <c r="F145" s="258"/>
      <c r="G145" s="258"/>
      <c r="H145" s="258"/>
      <c r="J145" s="75"/>
    </row>
    <row r="146" spans="1:17" ht="14.1" customHeight="1" x14ac:dyDescent="0.2">
      <c r="A146" s="180"/>
      <c r="B146" s="258" t="s">
        <v>883</v>
      </c>
      <c r="C146" s="258"/>
      <c r="D146" s="258"/>
      <c r="E146" s="258"/>
      <c r="F146" s="258"/>
      <c r="G146" s="258"/>
      <c r="H146" s="258"/>
      <c r="J146" s="75"/>
    </row>
    <row r="147" spans="1:17" ht="17.100000000000001" customHeight="1" x14ac:dyDescent="0.2">
      <c r="A147" s="180"/>
      <c r="B147" s="258" t="s">
        <v>884</v>
      </c>
      <c r="C147" s="258"/>
      <c r="D147" s="258"/>
      <c r="E147" s="258"/>
      <c r="F147" s="258"/>
      <c r="G147" s="258"/>
      <c r="H147" s="258"/>
      <c r="J147" s="75"/>
    </row>
    <row r="148" spans="1:17" s="34" customFormat="1" ht="62.25" customHeight="1" x14ac:dyDescent="0.25">
      <c r="A148" s="33"/>
      <c r="B148" s="259" t="s">
        <v>885</v>
      </c>
      <c r="C148" s="259"/>
      <c r="D148" s="259"/>
      <c r="E148" s="259"/>
      <c r="F148" s="259"/>
      <c r="G148" s="259"/>
      <c r="H148" s="259"/>
      <c r="I148"/>
      <c r="J148" s="75"/>
      <c r="K148"/>
      <c r="L148"/>
      <c r="M148"/>
      <c r="N148"/>
      <c r="O148"/>
      <c r="P148"/>
      <c r="Q148"/>
    </row>
    <row r="149" spans="1:17" ht="12.75" customHeight="1" x14ac:dyDescent="0.2">
      <c r="A149" s="180"/>
      <c r="B149" s="258" t="s">
        <v>886</v>
      </c>
      <c r="C149" s="258"/>
      <c r="D149" s="258"/>
      <c r="E149" s="258"/>
      <c r="F149" s="258"/>
      <c r="G149" s="258"/>
      <c r="H149" s="258"/>
      <c r="J149" s="75"/>
    </row>
    <row r="150" spans="1:17" ht="14.1" customHeight="1" x14ac:dyDescent="0.2">
      <c r="A150" s="181"/>
      <c r="B150" s="181"/>
      <c r="C150" s="181"/>
      <c r="D150" s="182"/>
      <c r="E150" s="182"/>
      <c r="F150" s="182"/>
      <c r="G150" s="182"/>
      <c r="H150" s="182"/>
      <c r="J150" s="75"/>
    </row>
    <row r="151" spans="1:17" ht="14.1" customHeight="1" x14ac:dyDescent="0.2">
      <c r="A151" s="181"/>
      <c r="B151" s="255" t="s">
        <v>183</v>
      </c>
      <c r="C151" s="256"/>
      <c r="D151" s="257"/>
      <c r="E151" s="183"/>
      <c r="F151" s="182"/>
      <c r="G151" s="182"/>
      <c r="H151" s="182"/>
      <c r="J151" s="75"/>
    </row>
    <row r="152" spans="1:17" ht="29.1" customHeight="1" x14ac:dyDescent="0.2">
      <c r="A152" s="181"/>
      <c r="B152" s="253" t="s">
        <v>184</v>
      </c>
      <c r="C152" s="254"/>
      <c r="D152" s="163" t="s">
        <v>185</v>
      </c>
      <c r="E152" s="183"/>
      <c r="F152" s="182"/>
      <c r="G152" s="182"/>
      <c r="H152" s="182"/>
      <c r="J152" s="75"/>
    </row>
    <row r="153" spans="1:17" ht="17.100000000000001" customHeight="1" x14ac:dyDescent="0.2">
      <c r="A153" s="181"/>
      <c r="B153" s="253" t="s">
        <v>186</v>
      </c>
      <c r="C153" s="254"/>
      <c r="D153" s="163" t="s">
        <v>185</v>
      </c>
      <c r="E153" s="183"/>
      <c r="F153" s="182"/>
      <c r="G153" s="182"/>
      <c r="H153" s="182"/>
      <c r="J153" s="75"/>
    </row>
    <row r="154" spans="1:17" ht="17.100000000000001" customHeight="1" x14ac:dyDescent="0.2">
      <c r="A154" s="181"/>
      <c r="B154" s="253" t="s">
        <v>187</v>
      </c>
      <c r="C154" s="254"/>
      <c r="D154" s="172" t="s">
        <v>153</v>
      </c>
      <c r="E154" s="183"/>
      <c r="F154" s="182"/>
      <c r="G154" s="182"/>
      <c r="H154" s="182"/>
      <c r="J154" s="75"/>
    </row>
    <row r="155" spans="1:17" x14ac:dyDescent="0.2">
      <c r="A155" s="185"/>
      <c r="B155" s="186" t="s">
        <v>153</v>
      </c>
      <c r="C155" s="186" t="s">
        <v>1088</v>
      </c>
      <c r="D155" s="186" t="s">
        <v>188</v>
      </c>
      <c r="E155" s="185"/>
      <c r="F155" s="185"/>
      <c r="G155" s="185"/>
      <c r="H155" s="185"/>
      <c r="J155" s="75"/>
    </row>
    <row r="156" spans="1:17" x14ac:dyDescent="0.2">
      <c r="A156" s="185"/>
      <c r="B156" s="187" t="s">
        <v>189</v>
      </c>
      <c r="C156" s="186" t="s">
        <v>190</v>
      </c>
      <c r="D156" s="186" t="s">
        <v>191</v>
      </c>
      <c r="E156" s="185"/>
      <c r="F156" s="185"/>
      <c r="G156" s="185"/>
      <c r="H156" s="185"/>
      <c r="J156" s="75"/>
    </row>
    <row r="157" spans="1:17" ht="17.100000000000001" customHeight="1" x14ac:dyDescent="0.2">
      <c r="A157" s="185"/>
      <c r="B157" s="165" t="s">
        <v>192</v>
      </c>
      <c r="C157" s="188">
        <v>10.4117</v>
      </c>
      <c r="D157" s="188">
        <v>10.7456</v>
      </c>
      <c r="E157" s="185"/>
      <c r="F157" s="189"/>
      <c r="G157" s="190"/>
      <c r="H157" s="190"/>
      <c r="J157" s="75"/>
    </row>
    <row r="158" spans="1:17" ht="17.100000000000001" customHeight="1" x14ac:dyDescent="0.2">
      <c r="A158" s="185"/>
      <c r="B158" s="165" t="s">
        <v>1054</v>
      </c>
      <c r="C158" s="188">
        <v>10.4117</v>
      </c>
      <c r="D158" s="188">
        <v>10.7456</v>
      </c>
      <c r="E158" s="185"/>
      <c r="F158" s="189"/>
      <c r="G158" s="190"/>
      <c r="H158" s="190"/>
      <c r="J158" s="75"/>
    </row>
    <row r="159" spans="1:17" ht="17.100000000000001" customHeight="1" x14ac:dyDescent="0.2">
      <c r="A159" s="185"/>
      <c r="B159" s="165" t="s">
        <v>193</v>
      </c>
      <c r="C159" s="188">
        <v>10.378299999999999</v>
      </c>
      <c r="D159" s="188">
        <v>10.6968</v>
      </c>
      <c r="E159" s="185"/>
      <c r="F159" s="189"/>
      <c r="G159" s="190"/>
      <c r="H159" s="190"/>
      <c r="J159" s="75"/>
    </row>
    <row r="160" spans="1:17" ht="17.100000000000001" customHeight="1" x14ac:dyDescent="0.2">
      <c r="A160" s="185"/>
      <c r="B160" s="165" t="s">
        <v>1055</v>
      </c>
      <c r="C160" s="188">
        <v>10.378299999999999</v>
      </c>
      <c r="D160" s="188">
        <v>10.6968</v>
      </c>
      <c r="E160" s="185"/>
      <c r="F160" s="189"/>
      <c r="G160" s="190"/>
      <c r="H160" s="190"/>
      <c r="J160" s="75"/>
    </row>
    <row r="161" spans="1:10" ht="14.1" customHeight="1" x14ac:dyDescent="0.2">
      <c r="A161" s="185"/>
      <c r="B161" s="185"/>
      <c r="C161" s="185"/>
      <c r="D161" s="185"/>
      <c r="E161" s="185"/>
      <c r="F161" s="185"/>
      <c r="G161" s="185"/>
      <c r="H161" s="185"/>
      <c r="J161" s="75"/>
    </row>
    <row r="162" spans="1:10" ht="17.100000000000001" customHeight="1" x14ac:dyDescent="0.2">
      <c r="A162" s="185"/>
      <c r="B162" s="253" t="s">
        <v>1056</v>
      </c>
      <c r="C162" s="254"/>
      <c r="D162" s="163" t="s">
        <v>185</v>
      </c>
      <c r="E162" s="185"/>
      <c r="F162" s="185"/>
      <c r="G162" s="185"/>
      <c r="H162" s="185"/>
      <c r="J162" s="75"/>
    </row>
    <row r="163" spans="1:10" ht="14.1" customHeight="1" x14ac:dyDescent="0.2">
      <c r="A163" s="185"/>
      <c r="B163" s="189"/>
      <c r="C163" s="189"/>
      <c r="D163" s="185"/>
      <c r="E163" s="185"/>
      <c r="F163" s="185"/>
      <c r="G163" s="185"/>
      <c r="H163" s="185"/>
      <c r="J163" s="75"/>
    </row>
    <row r="164" spans="1:10" ht="29.1" customHeight="1" x14ac:dyDescent="0.2">
      <c r="A164" s="185"/>
      <c r="B164" s="253" t="s">
        <v>194</v>
      </c>
      <c r="C164" s="254"/>
      <c r="D164" s="184" t="s">
        <v>934</v>
      </c>
      <c r="E164" s="191"/>
      <c r="F164" s="185"/>
      <c r="G164" s="185"/>
      <c r="H164" s="185"/>
      <c r="J164" s="75"/>
    </row>
    <row r="165" spans="1:10" ht="29.1" customHeight="1" x14ac:dyDescent="0.2">
      <c r="A165" s="185"/>
      <c r="B165" s="253" t="s">
        <v>195</v>
      </c>
      <c r="C165" s="254"/>
      <c r="D165" s="163" t="s">
        <v>185</v>
      </c>
      <c r="E165" s="191"/>
      <c r="F165" s="185"/>
      <c r="G165" s="185"/>
      <c r="H165" s="185"/>
      <c r="J165" s="75"/>
    </row>
    <row r="166" spans="1:10" ht="17.100000000000001" customHeight="1" x14ac:dyDescent="0.2">
      <c r="A166" s="185"/>
      <c r="B166" s="253" t="s">
        <v>196</v>
      </c>
      <c r="C166" s="254"/>
      <c r="D166" s="163" t="s">
        <v>185</v>
      </c>
      <c r="E166" s="191"/>
      <c r="F166" s="185"/>
      <c r="G166" s="185"/>
      <c r="H166" s="185"/>
      <c r="J166" s="75"/>
    </row>
    <row r="167" spans="1:10" ht="17.100000000000001" customHeight="1" x14ac:dyDescent="0.2">
      <c r="A167" s="185"/>
      <c r="B167" s="253" t="s">
        <v>197</v>
      </c>
      <c r="C167" s="254"/>
      <c r="D167" s="192">
        <v>1.3498830061430744</v>
      </c>
      <c r="E167" s="185"/>
      <c r="F167" s="189"/>
      <c r="G167" s="190"/>
      <c r="H167" s="190"/>
      <c r="J167" s="75"/>
    </row>
  </sheetData>
  <mergeCells count="17">
    <mergeCell ref="A1:H1"/>
    <mergeCell ref="A2:H2"/>
    <mergeCell ref="A3:H3"/>
    <mergeCell ref="B153:C153"/>
    <mergeCell ref="B154:C154"/>
    <mergeCell ref="B151:D151"/>
    <mergeCell ref="B152:C152"/>
    <mergeCell ref="B145:H145"/>
    <mergeCell ref="B146:H146"/>
    <mergeCell ref="B147:H147"/>
    <mergeCell ref="B148:H148"/>
    <mergeCell ref="B149:H149"/>
    <mergeCell ref="B167:C167"/>
    <mergeCell ref="B162:C162"/>
    <mergeCell ref="B164:C164"/>
    <mergeCell ref="B165:C165"/>
    <mergeCell ref="B166:C166"/>
  </mergeCells>
  <hyperlinks>
    <hyperlink ref="I1" location="Index!B30" display="Index" xr:uid="{E0DF38B3-59EA-40F7-B78D-2B4553A2F7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9CA03-7DA8-4347-BDC7-E8879E66F3D5}">
  <sheetPr>
    <pageSetUpPr fitToPage="1"/>
  </sheetPr>
  <dimension ref="B1:L203"/>
  <sheetViews>
    <sheetView zoomScaleNormal="100" workbookViewId="0">
      <selection activeCell="C11" sqref="C11"/>
    </sheetView>
  </sheetViews>
  <sheetFormatPr defaultRowHeight="13.5" x14ac:dyDescent="0.25"/>
  <cols>
    <col min="1" max="1" width="5.28515625" style="79" customWidth="1"/>
    <col min="2" max="2" width="31" style="79" customWidth="1"/>
    <col min="3" max="3" width="52.28515625" style="79" bestFit="1" customWidth="1"/>
    <col min="4" max="4" width="17" style="79" bestFit="1" customWidth="1"/>
    <col min="5" max="5" width="20" style="79" bestFit="1" customWidth="1"/>
    <col min="6" max="6" width="16.42578125" style="79" bestFit="1" customWidth="1"/>
    <col min="7" max="7" width="17.5703125" style="79" bestFit="1" customWidth="1"/>
    <col min="8" max="8" width="17.5703125" style="79" customWidth="1"/>
    <col min="9" max="9" width="15.5703125" style="79" bestFit="1" customWidth="1"/>
    <col min="10" max="10" width="13.5703125" style="79" customWidth="1"/>
    <col min="11" max="11" width="20.5703125" style="79" customWidth="1"/>
    <col min="12" max="12" width="12.42578125" style="79" bestFit="1" customWidth="1"/>
    <col min="13" max="256" width="9.140625" style="79"/>
    <col min="257" max="257" width="23" style="79" customWidth="1"/>
    <col min="258" max="258" width="42" style="79" customWidth="1"/>
    <col min="259" max="259" width="54.7109375" style="79" customWidth="1"/>
    <col min="260" max="260" width="17.28515625" style="79" bestFit="1" customWidth="1"/>
    <col min="261" max="261" width="20.140625" style="79" bestFit="1" customWidth="1"/>
    <col min="262" max="262" width="16.5703125" style="79" customWidth="1"/>
    <col min="263" max="263" width="18.7109375" style="79" bestFit="1" customWidth="1"/>
    <col min="264" max="264" width="17.5703125" style="79" customWidth="1"/>
    <col min="265" max="265" width="15.5703125" style="79" bestFit="1" customWidth="1"/>
    <col min="266" max="266" width="13.5703125" style="79" customWidth="1"/>
    <col min="267" max="267" width="20.5703125" style="79" customWidth="1"/>
    <col min="268" max="268" width="12.42578125" style="79" bestFit="1" customWidth="1"/>
    <col min="269" max="512" width="9.140625" style="79"/>
    <col min="513" max="513" width="23" style="79" customWidth="1"/>
    <col min="514" max="514" width="42" style="79" customWidth="1"/>
    <col min="515" max="515" width="54.7109375" style="79" customWidth="1"/>
    <col min="516" max="516" width="17.28515625" style="79" bestFit="1" customWidth="1"/>
    <col min="517" max="517" width="20.140625" style="79" bestFit="1" customWidth="1"/>
    <col min="518" max="518" width="16.5703125" style="79" customWidth="1"/>
    <col min="519" max="519" width="18.7109375" style="79" bestFit="1" customWidth="1"/>
    <col min="520" max="520" width="17.5703125" style="79" customWidth="1"/>
    <col min="521" max="521" width="15.5703125" style="79" bestFit="1" customWidth="1"/>
    <col min="522" max="522" width="13.5703125" style="79" customWidth="1"/>
    <col min="523" max="523" width="20.5703125" style="79" customWidth="1"/>
    <col min="524" max="524" width="12.42578125" style="79" bestFit="1" customWidth="1"/>
    <col min="525" max="768" width="9.140625" style="79"/>
    <col min="769" max="769" width="23" style="79" customWidth="1"/>
    <col min="770" max="770" width="42" style="79" customWidth="1"/>
    <col min="771" max="771" width="54.7109375" style="79" customWidth="1"/>
    <col min="772" max="772" width="17.28515625" style="79" bestFit="1" customWidth="1"/>
    <col min="773" max="773" width="20.140625" style="79" bestFit="1" customWidth="1"/>
    <col min="774" max="774" width="16.5703125" style="79" customWidth="1"/>
    <col min="775" max="775" width="18.7109375" style="79" bestFit="1" customWidth="1"/>
    <col min="776" max="776" width="17.5703125" style="79" customWidth="1"/>
    <col min="777" max="777" width="15.5703125" style="79" bestFit="1" customWidth="1"/>
    <col min="778" max="778" width="13.5703125" style="79" customWidth="1"/>
    <col min="779" max="779" width="20.5703125" style="79" customWidth="1"/>
    <col min="780" max="780" width="12.42578125" style="79" bestFit="1" customWidth="1"/>
    <col min="781" max="1024" width="9.140625" style="79"/>
    <col min="1025" max="1025" width="23" style="79" customWidth="1"/>
    <col min="1026" max="1026" width="42" style="79" customWidth="1"/>
    <col min="1027" max="1027" width="54.7109375" style="79" customWidth="1"/>
    <col min="1028" max="1028" width="17.28515625" style="79" bestFit="1" customWidth="1"/>
    <col min="1029" max="1029" width="20.140625" style="79" bestFit="1" customWidth="1"/>
    <col min="1030" max="1030" width="16.5703125" style="79" customWidth="1"/>
    <col min="1031" max="1031" width="18.7109375" style="79" bestFit="1" customWidth="1"/>
    <col min="1032" max="1032" width="17.5703125" style="79" customWidth="1"/>
    <col min="1033" max="1033" width="15.5703125" style="79" bestFit="1" customWidth="1"/>
    <col min="1034" max="1034" width="13.5703125" style="79" customWidth="1"/>
    <col min="1035" max="1035" width="20.5703125" style="79" customWidth="1"/>
    <col min="1036" max="1036" width="12.42578125" style="79" bestFit="1" customWidth="1"/>
    <col min="1037" max="1280" width="9.140625" style="79"/>
    <col min="1281" max="1281" width="23" style="79" customWidth="1"/>
    <col min="1282" max="1282" width="42" style="79" customWidth="1"/>
    <col min="1283" max="1283" width="54.7109375" style="79" customWidth="1"/>
    <col min="1284" max="1284" width="17.28515625" style="79" bestFit="1" customWidth="1"/>
    <col min="1285" max="1285" width="20.140625" style="79" bestFit="1" customWidth="1"/>
    <col min="1286" max="1286" width="16.5703125" style="79" customWidth="1"/>
    <col min="1287" max="1287" width="18.7109375" style="79" bestFit="1" customWidth="1"/>
    <col min="1288" max="1288" width="17.5703125" style="79" customWidth="1"/>
    <col min="1289" max="1289" width="15.5703125" style="79" bestFit="1" customWidth="1"/>
    <col min="1290" max="1290" width="13.5703125" style="79" customWidth="1"/>
    <col min="1291" max="1291" width="20.5703125" style="79" customWidth="1"/>
    <col min="1292" max="1292" width="12.42578125" style="79" bestFit="1" customWidth="1"/>
    <col min="1293" max="1536" width="9.140625" style="79"/>
    <col min="1537" max="1537" width="23" style="79" customWidth="1"/>
    <col min="1538" max="1538" width="42" style="79" customWidth="1"/>
    <col min="1539" max="1539" width="54.7109375" style="79" customWidth="1"/>
    <col min="1540" max="1540" width="17.28515625" style="79" bestFit="1" customWidth="1"/>
    <col min="1541" max="1541" width="20.140625" style="79" bestFit="1" customWidth="1"/>
    <col min="1542" max="1542" width="16.5703125" style="79" customWidth="1"/>
    <col min="1543" max="1543" width="18.7109375" style="79" bestFit="1" customWidth="1"/>
    <col min="1544" max="1544" width="17.5703125" style="79" customWidth="1"/>
    <col min="1545" max="1545" width="15.5703125" style="79" bestFit="1" customWidth="1"/>
    <col min="1546" max="1546" width="13.5703125" style="79" customWidth="1"/>
    <col min="1547" max="1547" width="20.5703125" style="79" customWidth="1"/>
    <col min="1548" max="1548" width="12.42578125" style="79" bestFit="1" customWidth="1"/>
    <col min="1549" max="1792" width="9.140625" style="79"/>
    <col min="1793" max="1793" width="23" style="79" customWidth="1"/>
    <col min="1794" max="1794" width="42" style="79" customWidth="1"/>
    <col min="1795" max="1795" width="54.7109375" style="79" customWidth="1"/>
    <col min="1796" max="1796" width="17.28515625" style="79" bestFit="1" customWidth="1"/>
    <col min="1797" max="1797" width="20.140625" style="79" bestFit="1" customWidth="1"/>
    <col min="1798" max="1798" width="16.5703125" style="79" customWidth="1"/>
    <col min="1799" max="1799" width="18.7109375" style="79" bestFit="1" customWidth="1"/>
    <col min="1800" max="1800" width="17.5703125" style="79" customWidth="1"/>
    <col min="1801" max="1801" width="15.5703125" style="79" bestFit="1" customWidth="1"/>
    <col min="1802" max="1802" width="13.5703125" style="79" customWidth="1"/>
    <col min="1803" max="1803" width="20.5703125" style="79" customWidth="1"/>
    <col min="1804" max="1804" width="12.42578125" style="79" bestFit="1" customWidth="1"/>
    <col min="1805" max="2048" width="9.140625" style="79"/>
    <col min="2049" max="2049" width="23" style="79" customWidth="1"/>
    <col min="2050" max="2050" width="42" style="79" customWidth="1"/>
    <col min="2051" max="2051" width="54.7109375" style="79" customWidth="1"/>
    <col min="2052" max="2052" width="17.28515625" style="79" bestFit="1" customWidth="1"/>
    <col min="2053" max="2053" width="20.140625" style="79" bestFit="1" customWidth="1"/>
    <col min="2054" max="2054" width="16.5703125" style="79" customWidth="1"/>
    <col min="2055" max="2055" width="18.7109375" style="79" bestFit="1" customWidth="1"/>
    <col min="2056" max="2056" width="17.5703125" style="79" customWidth="1"/>
    <col min="2057" max="2057" width="15.5703125" style="79" bestFit="1" customWidth="1"/>
    <col min="2058" max="2058" width="13.5703125" style="79" customWidth="1"/>
    <col min="2059" max="2059" width="20.5703125" style="79" customWidth="1"/>
    <col min="2060" max="2060" width="12.42578125" style="79" bestFit="1" customWidth="1"/>
    <col min="2061" max="2304" width="9.140625" style="79"/>
    <col min="2305" max="2305" width="23" style="79" customWidth="1"/>
    <col min="2306" max="2306" width="42" style="79" customWidth="1"/>
    <col min="2307" max="2307" width="54.7109375" style="79" customWidth="1"/>
    <col min="2308" max="2308" width="17.28515625" style="79" bestFit="1" customWidth="1"/>
    <col min="2309" max="2309" width="20.140625" style="79" bestFit="1" customWidth="1"/>
    <col min="2310" max="2310" width="16.5703125" style="79" customWidth="1"/>
    <col min="2311" max="2311" width="18.7109375" style="79" bestFit="1" customWidth="1"/>
    <col min="2312" max="2312" width="17.5703125" style="79" customWidth="1"/>
    <col min="2313" max="2313" width="15.5703125" style="79" bestFit="1" customWidth="1"/>
    <col min="2314" max="2314" width="13.5703125" style="79" customWidth="1"/>
    <col min="2315" max="2315" width="20.5703125" style="79" customWidth="1"/>
    <col min="2316" max="2316" width="12.42578125" style="79" bestFit="1" customWidth="1"/>
    <col min="2317" max="2560" width="9.140625" style="79"/>
    <col min="2561" max="2561" width="23" style="79" customWidth="1"/>
    <col min="2562" max="2562" width="42" style="79" customWidth="1"/>
    <col min="2563" max="2563" width="54.7109375" style="79" customWidth="1"/>
    <col min="2564" max="2564" width="17.28515625" style="79" bestFit="1" customWidth="1"/>
    <col min="2565" max="2565" width="20.140625" style="79" bestFit="1" customWidth="1"/>
    <col min="2566" max="2566" width="16.5703125" style="79" customWidth="1"/>
    <col min="2567" max="2567" width="18.7109375" style="79" bestFit="1" customWidth="1"/>
    <col min="2568" max="2568" width="17.5703125" style="79" customWidth="1"/>
    <col min="2569" max="2569" width="15.5703125" style="79" bestFit="1" customWidth="1"/>
    <col min="2570" max="2570" width="13.5703125" style="79" customWidth="1"/>
    <col min="2571" max="2571" width="20.5703125" style="79" customWidth="1"/>
    <col min="2572" max="2572" width="12.42578125" style="79" bestFit="1" customWidth="1"/>
    <col min="2573" max="2816" width="9.140625" style="79"/>
    <col min="2817" max="2817" width="23" style="79" customWidth="1"/>
    <col min="2818" max="2818" width="42" style="79" customWidth="1"/>
    <col min="2819" max="2819" width="54.7109375" style="79" customWidth="1"/>
    <col min="2820" max="2820" width="17.28515625" style="79" bestFit="1" customWidth="1"/>
    <col min="2821" max="2821" width="20.140625" style="79" bestFit="1" customWidth="1"/>
    <col min="2822" max="2822" width="16.5703125" style="79" customWidth="1"/>
    <col min="2823" max="2823" width="18.7109375" style="79" bestFit="1" customWidth="1"/>
    <col min="2824" max="2824" width="17.5703125" style="79" customWidth="1"/>
    <col min="2825" max="2825" width="15.5703125" style="79" bestFit="1" customWidth="1"/>
    <col min="2826" max="2826" width="13.5703125" style="79" customWidth="1"/>
    <col min="2827" max="2827" width="20.5703125" style="79" customWidth="1"/>
    <col min="2828" max="2828" width="12.42578125" style="79" bestFit="1" customWidth="1"/>
    <col min="2829" max="3072" width="9.140625" style="79"/>
    <col min="3073" max="3073" width="23" style="79" customWidth="1"/>
    <col min="3074" max="3074" width="42" style="79" customWidth="1"/>
    <col min="3075" max="3075" width="54.7109375" style="79" customWidth="1"/>
    <col min="3076" max="3076" width="17.28515625" style="79" bestFit="1" customWidth="1"/>
    <col min="3077" max="3077" width="20.140625" style="79" bestFit="1" customWidth="1"/>
    <col min="3078" max="3078" width="16.5703125" style="79" customWidth="1"/>
    <col min="3079" max="3079" width="18.7109375" style="79" bestFit="1" customWidth="1"/>
    <col min="3080" max="3080" width="17.5703125" style="79" customWidth="1"/>
    <col min="3081" max="3081" width="15.5703125" style="79" bestFit="1" customWidth="1"/>
    <col min="3082" max="3082" width="13.5703125" style="79" customWidth="1"/>
    <col min="3083" max="3083" width="20.5703125" style="79" customWidth="1"/>
    <col min="3084" max="3084" width="12.42578125" style="79" bestFit="1" customWidth="1"/>
    <col min="3085" max="3328" width="9.140625" style="79"/>
    <col min="3329" max="3329" width="23" style="79" customWidth="1"/>
    <col min="3330" max="3330" width="42" style="79" customWidth="1"/>
    <col min="3331" max="3331" width="54.7109375" style="79" customWidth="1"/>
    <col min="3332" max="3332" width="17.28515625" style="79" bestFit="1" customWidth="1"/>
    <col min="3333" max="3333" width="20.140625" style="79" bestFit="1" customWidth="1"/>
    <col min="3334" max="3334" width="16.5703125" style="79" customWidth="1"/>
    <col min="3335" max="3335" width="18.7109375" style="79" bestFit="1" customWidth="1"/>
    <col min="3336" max="3336" width="17.5703125" style="79" customWidth="1"/>
    <col min="3337" max="3337" width="15.5703125" style="79" bestFit="1" customWidth="1"/>
    <col min="3338" max="3338" width="13.5703125" style="79" customWidth="1"/>
    <col min="3339" max="3339" width="20.5703125" style="79" customWidth="1"/>
    <col min="3340" max="3340" width="12.42578125" style="79" bestFit="1" customWidth="1"/>
    <col min="3341" max="3584" width="9.140625" style="79"/>
    <col min="3585" max="3585" width="23" style="79" customWidth="1"/>
    <col min="3586" max="3586" width="42" style="79" customWidth="1"/>
    <col min="3587" max="3587" width="54.7109375" style="79" customWidth="1"/>
    <col min="3588" max="3588" width="17.28515625" style="79" bestFit="1" customWidth="1"/>
    <col min="3589" max="3589" width="20.140625" style="79" bestFit="1" customWidth="1"/>
    <col min="3590" max="3590" width="16.5703125" style="79" customWidth="1"/>
    <col min="3591" max="3591" width="18.7109375" style="79" bestFit="1" customWidth="1"/>
    <col min="3592" max="3592" width="17.5703125" style="79" customWidth="1"/>
    <col min="3593" max="3593" width="15.5703125" style="79" bestFit="1" customWidth="1"/>
    <col min="3594" max="3594" width="13.5703125" style="79" customWidth="1"/>
    <col min="3595" max="3595" width="20.5703125" style="79" customWidth="1"/>
    <col min="3596" max="3596" width="12.42578125" style="79" bestFit="1" customWidth="1"/>
    <col min="3597" max="3840" width="9.140625" style="79"/>
    <col min="3841" max="3841" width="23" style="79" customWidth="1"/>
    <col min="3842" max="3842" width="42" style="79" customWidth="1"/>
    <col min="3843" max="3843" width="54.7109375" style="79" customWidth="1"/>
    <col min="3844" max="3844" width="17.28515625" style="79" bestFit="1" customWidth="1"/>
    <col min="3845" max="3845" width="20.140625" style="79" bestFit="1" customWidth="1"/>
    <col min="3846" max="3846" width="16.5703125" style="79" customWidth="1"/>
    <col min="3847" max="3847" width="18.7109375" style="79" bestFit="1" customWidth="1"/>
    <col min="3848" max="3848" width="17.5703125" style="79" customWidth="1"/>
    <col min="3849" max="3849" width="15.5703125" style="79" bestFit="1" customWidth="1"/>
    <col min="3850" max="3850" width="13.5703125" style="79" customWidth="1"/>
    <col min="3851" max="3851" width="20.5703125" style="79" customWidth="1"/>
    <col min="3852" max="3852" width="12.42578125" style="79" bestFit="1" customWidth="1"/>
    <col min="3853" max="4096" width="9.140625" style="79"/>
    <col min="4097" max="4097" width="23" style="79" customWidth="1"/>
    <col min="4098" max="4098" width="42" style="79" customWidth="1"/>
    <col min="4099" max="4099" width="54.7109375" style="79" customWidth="1"/>
    <col min="4100" max="4100" width="17.28515625" style="79" bestFit="1" customWidth="1"/>
    <col min="4101" max="4101" width="20.140625" style="79" bestFit="1" customWidth="1"/>
    <col min="4102" max="4102" width="16.5703125" style="79" customWidth="1"/>
    <col min="4103" max="4103" width="18.7109375" style="79" bestFit="1" customWidth="1"/>
    <col min="4104" max="4104" width="17.5703125" style="79" customWidth="1"/>
    <col min="4105" max="4105" width="15.5703125" style="79" bestFit="1" customWidth="1"/>
    <col min="4106" max="4106" width="13.5703125" style="79" customWidth="1"/>
    <col min="4107" max="4107" width="20.5703125" style="79" customWidth="1"/>
    <col min="4108" max="4108" width="12.42578125" style="79" bestFit="1" customWidth="1"/>
    <col min="4109" max="4352" width="9.140625" style="79"/>
    <col min="4353" max="4353" width="23" style="79" customWidth="1"/>
    <col min="4354" max="4354" width="42" style="79" customWidth="1"/>
    <col min="4355" max="4355" width="54.7109375" style="79" customWidth="1"/>
    <col min="4356" max="4356" width="17.28515625" style="79" bestFit="1" customWidth="1"/>
    <col min="4357" max="4357" width="20.140625" style="79" bestFit="1" customWidth="1"/>
    <col min="4358" max="4358" width="16.5703125" style="79" customWidth="1"/>
    <col min="4359" max="4359" width="18.7109375" style="79" bestFit="1" customWidth="1"/>
    <col min="4360" max="4360" width="17.5703125" style="79" customWidth="1"/>
    <col min="4361" max="4361" width="15.5703125" style="79" bestFit="1" customWidth="1"/>
    <col min="4362" max="4362" width="13.5703125" style="79" customWidth="1"/>
    <col min="4363" max="4363" width="20.5703125" style="79" customWidth="1"/>
    <col min="4364" max="4364" width="12.42578125" style="79" bestFit="1" customWidth="1"/>
    <col min="4365" max="4608" width="9.140625" style="79"/>
    <col min="4609" max="4609" width="23" style="79" customWidth="1"/>
    <col min="4610" max="4610" width="42" style="79" customWidth="1"/>
    <col min="4611" max="4611" width="54.7109375" style="79" customWidth="1"/>
    <col min="4612" max="4612" width="17.28515625" style="79" bestFit="1" customWidth="1"/>
    <col min="4613" max="4613" width="20.140625" style="79" bestFit="1" customWidth="1"/>
    <col min="4614" max="4614" width="16.5703125" style="79" customWidth="1"/>
    <col min="4615" max="4615" width="18.7109375" style="79" bestFit="1" customWidth="1"/>
    <col min="4616" max="4616" width="17.5703125" style="79" customWidth="1"/>
    <col min="4617" max="4617" width="15.5703125" style="79" bestFit="1" customWidth="1"/>
    <col min="4618" max="4618" width="13.5703125" style="79" customWidth="1"/>
    <col min="4619" max="4619" width="20.5703125" style="79" customWidth="1"/>
    <col min="4620" max="4620" width="12.42578125" style="79" bestFit="1" customWidth="1"/>
    <col min="4621" max="4864" width="9.140625" style="79"/>
    <col min="4865" max="4865" width="23" style="79" customWidth="1"/>
    <col min="4866" max="4866" width="42" style="79" customWidth="1"/>
    <col min="4867" max="4867" width="54.7109375" style="79" customWidth="1"/>
    <col min="4868" max="4868" width="17.28515625" style="79" bestFit="1" customWidth="1"/>
    <col min="4869" max="4869" width="20.140625" style="79" bestFit="1" customWidth="1"/>
    <col min="4870" max="4870" width="16.5703125" style="79" customWidth="1"/>
    <col min="4871" max="4871" width="18.7109375" style="79" bestFit="1" customWidth="1"/>
    <col min="4872" max="4872" width="17.5703125" style="79" customWidth="1"/>
    <col min="4873" max="4873" width="15.5703125" style="79" bestFit="1" customWidth="1"/>
    <col min="4874" max="4874" width="13.5703125" style="79" customWidth="1"/>
    <col min="4875" max="4875" width="20.5703125" style="79" customWidth="1"/>
    <col min="4876" max="4876" width="12.42578125" style="79" bestFit="1" customWidth="1"/>
    <col min="4877" max="5120" width="9.140625" style="79"/>
    <col min="5121" max="5121" width="23" style="79" customWidth="1"/>
    <col min="5122" max="5122" width="42" style="79" customWidth="1"/>
    <col min="5123" max="5123" width="54.7109375" style="79" customWidth="1"/>
    <col min="5124" max="5124" width="17.28515625" style="79" bestFit="1" customWidth="1"/>
    <col min="5125" max="5125" width="20.140625" style="79" bestFit="1" customWidth="1"/>
    <col min="5126" max="5126" width="16.5703125" style="79" customWidth="1"/>
    <col min="5127" max="5127" width="18.7109375" style="79" bestFit="1" customWidth="1"/>
    <col min="5128" max="5128" width="17.5703125" style="79" customWidth="1"/>
    <col min="5129" max="5129" width="15.5703125" style="79" bestFit="1" customWidth="1"/>
    <col min="5130" max="5130" width="13.5703125" style="79" customWidth="1"/>
    <col min="5131" max="5131" width="20.5703125" style="79" customWidth="1"/>
    <col min="5132" max="5132" width="12.42578125" style="79" bestFit="1" customWidth="1"/>
    <col min="5133" max="5376" width="9.140625" style="79"/>
    <col min="5377" max="5377" width="23" style="79" customWidth="1"/>
    <col min="5378" max="5378" width="42" style="79" customWidth="1"/>
    <col min="5379" max="5379" width="54.7109375" style="79" customWidth="1"/>
    <col min="5380" max="5380" width="17.28515625" style="79" bestFit="1" customWidth="1"/>
    <col min="5381" max="5381" width="20.140625" style="79" bestFit="1" customWidth="1"/>
    <col min="5382" max="5382" width="16.5703125" style="79" customWidth="1"/>
    <col min="5383" max="5383" width="18.7109375" style="79" bestFit="1" customWidth="1"/>
    <col min="5384" max="5384" width="17.5703125" style="79" customWidth="1"/>
    <col min="5385" max="5385" width="15.5703125" style="79" bestFit="1" customWidth="1"/>
    <col min="5386" max="5386" width="13.5703125" style="79" customWidth="1"/>
    <col min="5387" max="5387" width="20.5703125" style="79" customWidth="1"/>
    <col min="5388" max="5388" width="12.42578125" style="79" bestFit="1" customWidth="1"/>
    <col min="5389" max="5632" width="9.140625" style="79"/>
    <col min="5633" max="5633" width="23" style="79" customWidth="1"/>
    <col min="5634" max="5634" width="42" style="79" customWidth="1"/>
    <col min="5635" max="5635" width="54.7109375" style="79" customWidth="1"/>
    <col min="5636" max="5636" width="17.28515625" style="79" bestFit="1" customWidth="1"/>
    <col min="5637" max="5637" width="20.140625" style="79" bestFit="1" customWidth="1"/>
    <col min="5638" max="5638" width="16.5703125" style="79" customWidth="1"/>
    <col min="5639" max="5639" width="18.7109375" style="79" bestFit="1" customWidth="1"/>
    <col min="5640" max="5640" width="17.5703125" style="79" customWidth="1"/>
    <col min="5641" max="5641" width="15.5703125" style="79" bestFit="1" customWidth="1"/>
    <col min="5642" max="5642" width="13.5703125" style="79" customWidth="1"/>
    <col min="5643" max="5643" width="20.5703125" style="79" customWidth="1"/>
    <col min="5644" max="5644" width="12.42578125" style="79" bestFit="1" customWidth="1"/>
    <col min="5645" max="5888" width="9.140625" style="79"/>
    <col min="5889" max="5889" width="23" style="79" customWidth="1"/>
    <col min="5890" max="5890" width="42" style="79" customWidth="1"/>
    <col min="5891" max="5891" width="54.7109375" style="79" customWidth="1"/>
    <col min="5892" max="5892" width="17.28515625" style="79" bestFit="1" customWidth="1"/>
    <col min="5893" max="5893" width="20.140625" style="79" bestFit="1" customWidth="1"/>
    <col min="5894" max="5894" width="16.5703125" style="79" customWidth="1"/>
    <col min="5895" max="5895" width="18.7109375" style="79" bestFit="1" customWidth="1"/>
    <col min="5896" max="5896" width="17.5703125" style="79" customWidth="1"/>
    <col min="5897" max="5897" width="15.5703125" style="79" bestFit="1" customWidth="1"/>
    <col min="5898" max="5898" width="13.5703125" style="79" customWidth="1"/>
    <col min="5899" max="5899" width="20.5703125" style="79" customWidth="1"/>
    <col min="5900" max="5900" width="12.42578125" style="79" bestFit="1" customWidth="1"/>
    <col min="5901" max="6144" width="9.140625" style="79"/>
    <col min="6145" max="6145" width="23" style="79" customWidth="1"/>
    <col min="6146" max="6146" width="42" style="79" customWidth="1"/>
    <col min="6147" max="6147" width="54.7109375" style="79" customWidth="1"/>
    <col min="6148" max="6148" width="17.28515625" style="79" bestFit="1" customWidth="1"/>
    <col min="6149" max="6149" width="20.140625" style="79" bestFit="1" customWidth="1"/>
    <col min="6150" max="6150" width="16.5703125" style="79" customWidth="1"/>
    <col min="6151" max="6151" width="18.7109375" style="79" bestFit="1" customWidth="1"/>
    <col min="6152" max="6152" width="17.5703125" style="79" customWidth="1"/>
    <col min="6153" max="6153" width="15.5703125" style="79" bestFit="1" customWidth="1"/>
    <col min="6154" max="6154" width="13.5703125" style="79" customWidth="1"/>
    <col min="6155" max="6155" width="20.5703125" style="79" customWidth="1"/>
    <col min="6156" max="6156" width="12.42578125" style="79" bestFit="1" customWidth="1"/>
    <col min="6157" max="6400" width="9.140625" style="79"/>
    <col min="6401" max="6401" width="23" style="79" customWidth="1"/>
    <col min="6402" max="6402" width="42" style="79" customWidth="1"/>
    <col min="6403" max="6403" width="54.7109375" style="79" customWidth="1"/>
    <col min="6404" max="6404" width="17.28515625" style="79" bestFit="1" customWidth="1"/>
    <col min="6405" max="6405" width="20.140625" style="79" bestFit="1" customWidth="1"/>
    <col min="6406" max="6406" width="16.5703125" style="79" customWidth="1"/>
    <col min="6407" max="6407" width="18.7109375" style="79" bestFit="1" customWidth="1"/>
    <col min="6408" max="6408" width="17.5703125" style="79" customWidth="1"/>
    <col min="6409" max="6409" width="15.5703125" style="79" bestFit="1" customWidth="1"/>
    <col min="6410" max="6410" width="13.5703125" style="79" customWidth="1"/>
    <col min="6411" max="6411" width="20.5703125" style="79" customWidth="1"/>
    <col min="6412" max="6412" width="12.42578125" style="79" bestFit="1" customWidth="1"/>
    <col min="6413" max="6656" width="9.140625" style="79"/>
    <col min="6657" max="6657" width="23" style="79" customWidth="1"/>
    <col min="6658" max="6658" width="42" style="79" customWidth="1"/>
    <col min="6659" max="6659" width="54.7109375" style="79" customWidth="1"/>
    <col min="6660" max="6660" width="17.28515625" style="79" bestFit="1" customWidth="1"/>
    <col min="6661" max="6661" width="20.140625" style="79" bestFit="1" customWidth="1"/>
    <col min="6662" max="6662" width="16.5703125" style="79" customWidth="1"/>
    <col min="6663" max="6663" width="18.7109375" style="79" bestFit="1" customWidth="1"/>
    <col min="6664" max="6664" width="17.5703125" style="79" customWidth="1"/>
    <col min="6665" max="6665" width="15.5703125" style="79" bestFit="1" customWidth="1"/>
    <col min="6666" max="6666" width="13.5703125" style="79" customWidth="1"/>
    <col min="6667" max="6667" width="20.5703125" style="79" customWidth="1"/>
    <col min="6668" max="6668" width="12.42578125" style="79" bestFit="1" customWidth="1"/>
    <col min="6669" max="6912" width="9.140625" style="79"/>
    <col min="6913" max="6913" width="23" style="79" customWidth="1"/>
    <col min="6914" max="6914" width="42" style="79" customWidth="1"/>
    <col min="6915" max="6915" width="54.7109375" style="79" customWidth="1"/>
    <col min="6916" max="6916" width="17.28515625" style="79" bestFit="1" customWidth="1"/>
    <col min="6917" max="6917" width="20.140625" style="79" bestFit="1" customWidth="1"/>
    <col min="6918" max="6918" width="16.5703125" style="79" customWidth="1"/>
    <col min="6919" max="6919" width="18.7109375" style="79" bestFit="1" customWidth="1"/>
    <col min="6920" max="6920" width="17.5703125" style="79" customWidth="1"/>
    <col min="6921" max="6921" width="15.5703125" style="79" bestFit="1" customWidth="1"/>
    <col min="6922" max="6922" width="13.5703125" style="79" customWidth="1"/>
    <col min="6923" max="6923" width="20.5703125" style="79" customWidth="1"/>
    <col min="6924" max="6924" width="12.42578125" style="79" bestFit="1" customWidth="1"/>
    <col min="6925" max="7168" width="9.140625" style="79"/>
    <col min="7169" max="7169" width="23" style="79" customWidth="1"/>
    <col min="7170" max="7170" width="42" style="79" customWidth="1"/>
    <col min="7171" max="7171" width="54.7109375" style="79" customWidth="1"/>
    <col min="7172" max="7172" width="17.28515625" style="79" bestFit="1" customWidth="1"/>
    <col min="7173" max="7173" width="20.140625" style="79" bestFit="1" customWidth="1"/>
    <col min="7174" max="7174" width="16.5703125" style="79" customWidth="1"/>
    <col min="7175" max="7175" width="18.7109375" style="79" bestFit="1" customWidth="1"/>
    <col min="7176" max="7176" width="17.5703125" style="79" customWidth="1"/>
    <col min="7177" max="7177" width="15.5703125" style="79" bestFit="1" customWidth="1"/>
    <col min="7178" max="7178" width="13.5703125" style="79" customWidth="1"/>
    <col min="7179" max="7179" width="20.5703125" style="79" customWidth="1"/>
    <col min="7180" max="7180" width="12.42578125" style="79" bestFit="1" customWidth="1"/>
    <col min="7181" max="7424" width="9.140625" style="79"/>
    <col min="7425" max="7425" width="23" style="79" customWidth="1"/>
    <col min="7426" max="7426" width="42" style="79" customWidth="1"/>
    <col min="7427" max="7427" width="54.7109375" style="79" customWidth="1"/>
    <col min="7428" max="7428" width="17.28515625" style="79" bestFit="1" customWidth="1"/>
    <col min="7429" max="7429" width="20.140625" style="79" bestFit="1" customWidth="1"/>
    <col min="7430" max="7430" width="16.5703125" style="79" customWidth="1"/>
    <col min="7431" max="7431" width="18.7109375" style="79" bestFit="1" customWidth="1"/>
    <col min="7432" max="7432" width="17.5703125" style="79" customWidth="1"/>
    <col min="7433" max="7433" width="15.5703125" style="79" bestFit="1" customWidth="1"/>
    <col min="7434" max="7434" width="13.5703125" style="79" customWidth="1"/>
    <col min="7435" max="7435" width="20.5703125" style="79" customWidth="1"/>
    <col min="7436" max="7436" width="12.42578125" style="79" bestFit="1" customWidth="1"/>
    <col min="7437" max="7680" width="9.140625" style="79"/>
    <col min="7681" max="7681" width="23" style="79" customWidth="1"/>
    <col min="7682" max="7682" width="42" style="79" customWidth="1"/>
    <col min="7683" max="7683" width="54.7109375" style="79" customWidth="1"/>
    <col min="7684" max="7684" width="17.28515625" style="79" bestFit="1" customWidth="1"/>
    <col min="7685" max="7685" width="20.140625" style="79" bestFit="1" customWidth="1"/>
    <col min="7686" max="7686" width="16.5703125" style="79" customWidth="1"/>
    <col min="7687" max="7687" width="18.7109375" style="79" bestFit="1" customWidth="1"/>
    <col min="7688" max="7688" width="17.5703125" style="79" customWidth="1"/>
    <col min="7689" max="7689" width="15.5703125" style="79" bestFit="1" customWidth="1"/>
    <col min="7690" max="7690" width="13.5703125" style="79" customWidth="1"/>
    <col min="7691" max="7691" width="20.5703125" style="79" customWidth="1"/>
    <col min="7692" max="7692" width="12.42578125" style="79" bestFit="1" customWidth="1"/>
    <col min="7693" max="7936" width="9.140625" style="79"/>
    <col min="7937" max="7937" width="23" style="79" customWidth="1"/>
    <col min="7938" max="7938" width="42" style="79" customWidth="1"/>
    <col min="7939" max="7939" width="54.7109375" style="79" customWidth="1"/>
    <col min="7940" max="7940" width="17.28515625" style="79" bestFit="1" customWidth="1"/>
    <col min="7941" max="7941" width="20.140625" style="79" bestFit="1" customWidth="1"/>
    <col min="7942" max="7942" width="16.5703125" style="79" customWidth="1"/>
    <col min="7943" max="7943" width="18.7109375" style="79" bestFit="1" customWidth="1"/>
    <col min="7944" max="7944" width="17.5703125" style="79" customWidth="1"/>
    <col min="7945" max="7945" width="15.5703125" style="79" bestFit="1" customWidth="1"/>
    <col min="7946" max="7946" width="13.5703125" style="79" customWidth="1"/>
    <col min="7947" max="7947" width="20.5703125" style="79" customWidth="1"/>
    <col min="7948" max="7948" width="12.42578125" style="79" bestFit="1" customWidth="1"/>
    <col min="7949" max="8192" width="9.140625" style="79"/>
    <col min="8193" max="8193" width="23" style="79" customWidth="1"/>
    <col min="8194" max="8194" width="42" style="79" customWidth="1"/>
    <col min="8195" max="8195" width="54.7109375" style="79" customWidth="1"/>
    <col min="8196" max="8196" width="17.28515625" style="79" bestFit="1" customWidth="1"/>
    <col min="8197" max="8197" width="20.140625" style="79" bestFit="1" customWidth="1"/>
    <col min="8198" max="8198" width="16.5703125" style="79" customWidth="1"/>
    <col min="8199" max="8199" width="18.7109375" style="79" bestFit="1" customWidth="1"/>
    <col min="8200" max="8200" width="17.5703125" style="79" customWidth="1"/>
    <col min="8201" max="8201" width="15.5703125" style="79" bestFit="1" customWidth="1"/>
    <col min="8202" max="8202" width="13.5703125" style="79" customWidth="1"/>
    <col min="8203" max="8203" width="20.5703125" style="79" customWidth="1"/>
    <col min="8204" max="8204" width="12.42578125" style="79" bestFit="1" customWidth="1"/>
    <col min="8205" max="8448" width="9.140625" style="79"/>
    <col min="8449" max="8449" width="23" style="79" customWidth="1"/>
    <col min="8450" max="8450" width="42" style="79" customWidth="1"/>
    <col min="8451" max="8451" width="54.7109375" style="79" customWidth="1"/>
    <col min="8452" max="8452" width="17.28515625" style="79" bestFit="1" customWidth="1"/>
    <col min="8453" max="8453" width="20.140625" style="79" bestFit="1" customWidth="1"/>
    <col min="8454" max="8454" width="16.5703125" style="79" customWidth="1"/>
    <col min="8455" max="8455" width="18.7109375" style="79" bestFit="1" customWidth="1"/>
    <col min="8456" max="8456" width="17.5703125" style="79" customWidth="1"/>
    <col min="8457" max="8457" width="15.5703125" style="79" bestFit="1" customWidth="1"/>
    <col min="8458" max="8458" width="13.5703125" style="79" customWidth="1"/>
    <col min="8459" max="8459" width="20.5703125" style="79" customWidth="1"/>
    <col min="8460" max="8460" width="12.42578125" style="79" bestFit="1" customWidth="1"/>
    <col min="8461" max="8704" width="9.140625" style="79"/>
    <col min="8705" max="8705" width="23" style="79" customWidth="1"/>
    <col min="8706" max="8706" width="42" style="79" customWidth="1"/>
    <col min="8707" max="8707" width="54.7109375" style="79" customWidth="1"/>
    <col min="8708" max="8708" width="17.28515625" style="79" bestFit="1" customWidth="1"/>
    <col min="8709" max="8709" width="20.140625" style="79" bestFit="1" customWidth="1"/>
    <col min="8710" max="8710" width="16.5703125" style="79" customWidth="1"/>
    <col min="8711" max="8711" width="18.7109375" style="79" bestFit="1" customWidth="1"/>
    <col min="8712" max="8712" width="17.5703125" style="79" customWidth="1"/>
    <col min="8713" max="8713" width="15.5703125" style="79" bestFit="1" customWidth="1"/>
    <col min="8714" max="8714" width="13.5703125" style="79" customWidth="1"/>
    <col min="8715" max="8715" width="20.5703125" style="79" customWidth="1"/>
    <col min="8716" max="8716" width="12.42578125" style="79" bestFit="1" customWidth="1"/>
    <col min="8717" max="8960" width="9.140625" style="79"/>
    <col min="8961" max="8961" width="23" style="79" customWidth="1"/>
    <col min="8962" max="8962" width="42" style="79" customWidth="1"/>
    <col min="8963" max="8963" width="54.7109375" style="79" customWidth="1"/>
    <col min="8964" max="8964" width="17.28515625" style="79" bestFit="1" customWidth="1"/>
    <col min="8965" max="8965" width="20.140625" style="79" bestFit="1" customWidth="1"/>
    <col min="8966" max="8966" width="16.5703125" style="79" customWidth="1"/>
    <col min="8967" max="8967" width="18.7109375" style="79" bestFit="1" customWidth="1"/>
    <col min="8968" max="8968" width="17.5703125" style="79" customWidth="1"/>
    <col min="8969" max="8969" width="15.5703125" style="79" bestFit="1" customWidth="1"/>
    <col min="8970" max="8970" width="13.5703125" style="79" customWidth="1"/>
    <col min="8971" max="8971" width="20.5703125" style="79" customWidth="1"/>
    <col min="8972" max="8972" width="12.42578125" style="79" bestFit="1" customWidth="1"/>
    <col min="8973" max="9216" width="9.140625" style="79"/>
    <col min="9217" max="9217" width="23" style="79" customWidth="1"/>
    <col min="9218" max="9218" width="42" style="79" customWidth="1"/>
    <col min="9219" max="9219" width="54.7109375" style="79" customWidth="1"/>
    <col min="9220" max="9220" width="17.28515625" style="79" bestFit="1" customWidth="1"/>
    <col min="9221" max="9221" width="20.140625" style="79" bestFit="1" customWidth="1"/>
    <col min="9222" max="9222" width="16.5703125" style="79" customWidth="1"/>
    <col min="9223" max="9223" width="18.7109375" style="79" bestFit="1" customWidth="1"/>
    <col min="9224" max="9224" width="17.5703125" style="79" customWidth="1"/>
    <col min="9225" max="9225" width="15.5703125" style="79" bestFit="1" customWidth="1"/>
    <col min="9226" max="9226" width="13.5703125" style="79" customWidth="1"/>
    <col min="9227" max="9227" width="20.5703125" style="79" customWidth="1"/>
    <col min="9228" max="9228" width="12.42578125" style="79" bestFit="1" customWidth="1"/>
    <col min="9229" max="9472" width="9.140625" style="79"/>
    <col min="9473" max="9473" width="23" style="79" customWidth="1"/>
    <col min="9474" max="9474" width="42" style="79" customWidth="1"/>
    <col min="9475" max="9475" width="54.7109375" style="79" customWidth="1"/>
    <col min="9476" max="9476" width="17.28515625" style="79" bestFit="1" customWidth="1"/>
    <col min="9477" max="9477" width="20.140625" style="79" bestFit="1" customWidth="1"/>
    <col min="9478" max="9478" width="16.5703125" style="79" customWidth="1"/>
    <col min="9479" max="9479" width="18.7109375" style="79" bestFit="1" customWidth="1"/>
    <col min="9480" max="9480" width="17.5703125" style="79" customWidth="1"/>
    <col min="9481" max="9481" width="15.5703125" style="79" bestFit="1" customWidth="1"/>
    <col min="9482" max="9482" width="13.5703125" style="79" customWidth="1"/>
    <col min="9483" max="9483" width="20.5703125" style="79" customWidth="1"/>
    <col min="9484" max="9484" width="12.42578125" style="79" bestFit="1" customWidth="1"/>
    <col min="9485" max="9728" width="9.140625" style="79"/>
    <col min="9729" max="9729" width="23" style="79" customWidth="1"/>
    <col min="9730" max="9730" width="42" style="79" customWidth="1"/>
    <col min="9731" max="9731" width="54.7109375" style="79" customWidth="1"/>
    <col min="9732" max="9732" width="17.28515625" style="79" bestFit="1" customWidth="1"/>
    <col min="9733" max="9733" width="20.140625" style="79" bestFit="1" customWidth="1"/>
    <col min="9734" max="9734" width="16.5703125" style="79" customWidth="1"/>
    <col min="9735" max="9735" width="18.7109375" style="79" bestFit="1" customWidth="1"/>
    <col min="9736" max="9736" width="17.5703125" style="79" customWidth="1"/>
    <col min="9737" max="9737" width="15.5703125" style="79" bestFit="1" customWidth="1"/>
    <col min="9738" max="9738" width="13.5703125" style="79" customWidth="1"/>
    <col min="9739" max="9739" width="20.5703125" style="79" customWidth="1"/>
    <col min="9740" max="9740" width="12.42578125" style="79" bestFit="1" customWidth="1"/>
    <col min="9741" max="9984" width="9.140625" style="79"/>
    <col min="9985" max="9985" width="23" style="79" customWidth="1"/>
    <col min="9986" max="9986" width="42" style="79" customWidth="1"/>
    <col min="9987" max="9987" width="54.7109375" style="79" customWidth="1"/>
    <col min="9988" max="9988" width="17.28515625" style="79" bestFit="1" customWidth="1"/>
    <col min="9989" max="9989" width="20.140625" style="79" bestFit="1" customWidth="1"/>
    <col min="9990" max="9990" width="16.5703125" style="79" customWidth="1"/>
    <col min="9991" max="9991" width="18.7109375" style="79" bestFit="1" customWidth="1"/>
    <col min="9992" max="9992" width="17.5703125" style="79" customWidth="1"/>
    <col min="9993" max="9993" width="15.5703125" style="79" bestFit="1" customWidth="1"/>
    <col min="9994" max="9994" width="13.5703125" style="79" customWidth="1"/>
    <col min="9995" max="9995" width="20.5703125" style="79" customWidth="1"/>
    <col min="9996" max="9996" width="12.42578125" style="79" bestFit="1" customWidth="1"/>
    <col min="9997" max="10240" width="9.140625" style="79"/>
    <col min="10241" max="10241" width="23" style="79" customWidth="1"/>
    <col min="10242" max="10242" width="42" style="79" customWidth="1"/>
    <col min="10243" max="10243" width="54.7109375" style="79" customWidth="1"/>
    <col min="10244" max="10244" width="17.28515625" style="79" bestFit="1" customWidth="1"/>
    <col min="10245" max="10245" width="20.140625" style="79" bestFit="1" customWidth="1"/>
    <col min="10246" max="10246" width="16.5703125" style="79" customWidth="1"/>
    <col min="10247" max="10247" width="18.7109375" style="79" bestFit="1" customWidth="1"/>
    <col min="10248" max="10248" width="17.5703125" style="79" customWidth="1"/>
    <col min="10249" max="10249" width="15.5703125" style="79" bestFit="1" customWidth="1"/>
    <col min="10250" max="10250" width="13.5703125" style="79" customWidth="1"/>
    <col min="10251" max="10251" width="20.5703125" style="79" customWidth="1"/>
    <col min="10252" max="10252" width="12.42578125" style="79" bestFit="1" customWidth="1"/>
    <col min="10253" max="10496" width="9.140625" style="79"/>
    <col min="10497" max="10497" width="23" style="79" customWidth="1"/>
    <col min="10498" max="10498" width="42" style="79" customWidth="1"/>
    <col min="10499" max="10499" width="54.7109375" style="79" customWidth="1"/>
    <col min="10500" max="10500" width="17.28515625" style="79" bestFit="1" customWidth="1"/>
    <col min="10501" max="10501" width="20.140625" style="79" bestFit="1" customWidth="1"/>
    <col min="10502" max="10502" width="16.5703125" style="79" customWidth="1"/>
    <col min="10503" max="10503" width="18.7109375" style="79" bestFit="1" customWidth="1"/>
    <col min="10504" max="10504" width="17.5703125" style="79" customWidth="1"/>
    <col min="10505" max="10505" width="15.5703125" style="79" bestFit="1" customWidth="1"/>
    <col min="10506" max="10506" width="13.5703125" style="79" customWidth="1"/>
    <col min="10507" max="10507" width="20.5703125" style="79" customWidth="1"/>
    <col min="10508" max="10508" width="12.42578125" style="79" bestFit="1" customWidth="1"/>
    <col min="10509" max="10752" width="9.140625" style="79"/>
    <col min="10753" max="10753" width="23" style="79" customWidth="1"/>
    <col min="10754" max="10754" width="42" style="79" customWidth="1"/>
    <col min="10755" max="10755" width="54.7109375" style="79" customWidth="1"/>
    <col min="10756" max="10756" width="17.28515625" style="79" bestFit="1" customWidth="1"/>
    <col min="10757" max="10757" width="20.140625" style="79" bestFit="1" customWidth="1"/>
    <col min="10758" max="10758" width="16.5703125" style="79" customWidth="1"/>
    <col min="10759" max="10759" width="18.7109375" style="79" bestFit="1" customWidth="1"/>
    <col min="10760" max="10760" width="17.5703125" style="79" customWidth="1"/>
    <col min="10761" max="10761" width="15.5703125" style="79" bestFit="1" customWidth="1"/>
    <col min="10762" max="10762" width="13.5703125" style="79" customWidth="1"/>
    <col min="10763" max="10763" width="20.5703125" style="79" customWidth="1"/>
    <col min="10764" max="10764" width="12.42578125" style="79" bestFit="1" customWidth="1"/>
    <col min="10765" max="11008" width="9.140625" style="79"/>
    <col min="11009" max="11009" width="23" style="79" customWidth="1"/>
    <col min="11010" max="11010" width="42" style="79" customWidth="1"/>
    <col min="11011" max="11011" width="54.7109375" style="79" customWidth="1"/>
    <col min="11012" max="11012" width="17.28515625" style="79" bestFit="1" customWidth="1"/>
    <col min="11013" max="11013" width="20.140625" style="79" bestFit="1" customWidth="1"/>
    <col min="11014" max="11014" width="16.5703125" style="79" customWidth="1"/>
    <col min="11015" max="11015" width="18.7109375" style="79" bestFit="1" customWidth="1"/>
    <col min="11016" max="11016" width="17.5703125" style="79" customWidth="1"/>
    <col min="11017" max="11017" width="15.5703125" style="79" bestFit="1" customWidth="1"/>
    <col min="11018" max="11018" width="13.5703125" style="79" customWidth="1"/>
    <col min="11019" max="11019" width="20.5703125" style="79" customWidth="1"/>
    <col min="11020" max="11020" width="12.42578125" style="79" bestFit="1" customWidth="1"/>
    <col min="11021" max="11264" width="9.140625" style="79"/>
    <col min="11265" max="11265" width="23" style="79" customWidth="1"/>
    <col min="11266" max="11266" width="42" style="79" customWidth="1"/>
    <col min="11267" max="11267" width="54.7109375" style="79" customWidth="1"/>
    <col min="11268" max="11268" width="17.28515625" style="79" bestFit="1" customWidth="1"/>
    <col min="11269" max="11269" width="20.140625" style="79" bestFit="1" customWidth="1"/>
    <col min="11270" max="11270" width="16.5703125" style="79" customWidth="1"/>
    <col min="11271" max="11271" width="18.7109375" style="79" bestFit="1" customWidth="1"/>
    <col min="11272" max="11272" width="17.5703125" style="79" customWidth="1"/>
    <col min="11273" max="11273" width="15.5703125" style="79" bestFit="1" customWidth="1"/>
    <col min="11274" max="11274" width="13.5703125" style="79" customWidth="1"/>
    <col min="11275" max="11275" width="20.5703125" style="79" customWidth="1"/>
    <col min="11276" max="11276" width="12.42578125" style="79" bestFit="1" customWidth="1"/>
    <col min="11277" max="11520" width="9.140625" style="79"/>
    <col min="11521" max="11521" width="23" style="79" customWidth="1"/>
    <col min="11522" max="11522" width="42" style="79" customWidth="1"/>
    <col min="11523" max="11523" width="54.7109375" style="79" customWidth="1"/>
    <col min="11524" max="11524" width="17.28515625" style="79" bestFit="1" customWidth="1"/>
    <col min="11525" max="11525" width="20.140625" style="79" bestFit="1" customWidth="1"/>
    <col min="11526" max="11526" width="16.5703125" style="79" customWidth="1"/>
    <col min="11527" max="11527" width="18.7109375" style="79" bestFit="1" customWidth="1"/>
    <col min="11528" max="11528" width="17.5703125" style="79" customWidth="1"/>
    <col min="11529" max="11529" width="15.5703125" style="79" bestFit="1" customWidth="1"/>
    <col min="11530" max="11530" width="13.5703125" style="79" customWidth="1"/>
    <col min="11531" max="11531" width="20.5703125" style="79" customWidth="1"/>
    <col min="11532" max="11532" width="12.42578125" style="79" bestFit="1" customWidth="1"/>
    <col min="11533" max="11776" width="9.140625" style="79"/>
    <col min="11777" max="11777" width="23" style="79" customWidth="1"/>
    <col min="11778" max="11778" width="42" style="79" customWidth="1"/>
    <col min="11779" max="11779" width="54.7109375" style="79" customWidth="1"/>
    <col min="11780" max="11780" width="17.28515625" style="79" bestFit="1" customWidth="1"/>
    <col min="11781" max="11781" width="20.140625" style="79" bestFit="1" customWidth="1"/>
    <col min="11782" max="11782" width="16.5703125" style="79" customWidth="1"/>
    <col min="11783" max="11783" width="18.7109375" style="79" bestFit="1" customWidth="1"/>
    <col min="11784" max="11784" width="17.5703125" style="79" customWidth="1"/>
    <col min="11785" max="11785" width="15.5703125" style="79" bestFit="1" customWidth="1"/>
    <col min="11786" max="11786" width="13.5703125" style="79" customWidth="1"/>
    <col min="11787" max="11787" width="20.5703125" style="79" customWidth="1"/>
    <col min="11788" max="11788" width="12.42578125" style="79" bestFit="1" customWidth="1"/>
    <col min="11789" max="12032" width="9.140625" style="79"/>
    <col min="12033" max="12033" width="23" style="79" customWidth="1"/>
    <col min="12034" max="12034" width="42" style="79" customWidth="1"/>
    <col min="12035" max="12035" width="54.7109375" style="79" customWidth="1"/>
    <col min="12036" max="12036" width="17.28515625" style="79" bestFit="1" customWidth="1"/>
    <col min="12037" max="12037" width="20.140625" style="79" bestFit="1" customWidth="1"/>
    <col min="12038" max="12038" width="16.5703125" style="79" customWidth="1"/>
    <col min="12039" max="12039" width="18.7109375" style="79" bestFit="1" customWidth="1"/>
    <col min="12040" max="12040" width="17.5703125" style="79" customWidth="1"/>
    <col min="12041" max="12041" width="15.5703125" style="79" bestFit="1" customWidth="1"/>
    <col min="12042" max="12042" width="13.5703125" style="79" customWidth="1"/>
    <col min="12043" max="12043" width="20.5703125" style="79" customWidth="1"/>
    <col min="12044" max="12044" width="12.42578125" style="79" bestFit="1" customWidth="1"/>
    <col min="12045" max="12288" width="9.140625" style="79"/>
    <col min="12289" max="12289" width="23" style="79" customWidth="1"/>
    <col min="12290" max="12290" width="42" style="79" customWidth="1"/>
    <col min="12291" max="12291" width="54.7109375" style="79" customWidth="1"/>
    <col min="12292" max="12292" width="17.28515625" style="79" bestFit="1" customWidth="1"/>
    <col min="12293" max="12293" width="20.140625" style="79" bestFit="1" customWidth="1"/>
    <col min="12294" max="12294" width="16.5703125" style="79" customWidth="1"/>
    <col min="12295" max="12295" width="18.7109375" style="79" bestFit="1" customWidth="1"/>
    <col min="12296" max="12296" width="17.5703125" style="79" customWidth="1"/>
    <col min="12297" max="12297" width="15.5703125" style="79" bestFit="1" customWidth="1"/>
    <col min="12298" max="12298" width="13.5703125" style="79" customWidth="1"/>
    <col min="12299" max="12299" width="20.5703125" style="79" customWidth="1"/>
    <col min="12300" max="12300" width="12.42578125" style="79" bestFit="1" customWidth="1"/>
    <col min="12301" max="12544" width="9.140625" style="79"/>
    <col min="12545" max="12545" width="23" style="79" customWidth="1"/>
    <col min="12546" max="12546" width="42" style="79" customWidth="1"/>
    <col min="12547" max="12547" width="54.7109375" style="79" customWidth="1"/>
    <col min="12548" max="12548" width="17.28515625" style="79" bestFit="1" customWidth="1"/>
    <col min="12549" max="12549" width="20.140625" style="79" bestFit="1" customWidth="1"/>
    <col min="12550" max="12550" width="16.5703125" style="79" customWidth="1"/>
    <col min="12551" max="12551" width="18.7109375" style="79" bestFit="1" customWidth="1"/>
    <col min="12552" max="12552" width="17.5703125" style="79" customWidth="1"/>
    <col min="12553" max="12553" width="15.5703125" style="79" bestFit="1" customWidth="1"/>
    <col min="12554" max="12554" width="13.5703125" style="79" customWidth="1"/>
    <col min="12555" max="12555" width="20.5703125" style="79" customWidth="1"/>
    <col min="12556" max="12556" width="12.42578125" style="79" bestFit="1" customWidth="1"/>
    <col min="12557" max="12800" width="9.140625" style="79"/>
    <col min="12801" max="12801" width="23" style="79" customWidth="1"/>
    <col min="12802" max="12802" width="42" style="79" customWidth="1"/>
    <col min="12803" max="12803" width="54.7109375" style="79" customWidth="1"/>
    <col min="12804" max="12804" width="17.28515625" style="79" bestFit="1" customWidth="1"/>
    <col min="12805" max="12805" width="20.140625" style="79" bestFit="1" customWidth="1"/>
    <col min="12806" max="12806" width="16.5703125" style="79" customWidth="1"/>
    <col min="12807" max="12807" width="18.7109375" style="79" bestFit="1" customWidth="1"/>
    <col min="12808" max="12808" width="17.5703125" style="79" customWidth="1"/>
    <col min="12809" max="12809" width="15.5703125" style="79" bestFit="1" customWidth="1"/>
    <col min="12810" max="12810" width="13.5703125" style="79" customWidth="1"/>
    <col min="12811" max="12811" width="20.5703125" style="79" customWidth="1"/>
    <col min="12812" max="12812" width="12.42578125" style="79" bestFit="1" customWidth="1"/>
    <col min="12813" max="13056" width="9.140625" style="79"/>
    <col min="13057" max="13057" width="23" style="79" customWidth="1"/>
    <col min="13058" max="13058" width="42" style="79" customWidth="1"/>
    <col min="13059" max="13059" width="54.7109375" style="79" customWidth="1"/>
    <col min="13060" max="13060" width="17.28515625" style="79" bestFit="1" customWidth="1"/>
    <col min="13061" max="13061" width="20.140625" style="79" bestFit="1" customWidth="1"/>
    <col min="13062" max="13062" width="16.5703125" style="79" customWidth="1"/>
    <col min="13063" max="13063" width="18.7109375" style="79" bestFit="1" customWidth="1"/>
    <col min="13064" max="13064" width="17.5703125" style="79" customWidth="1"/>
    <col min="13065" max="13065" width="15.5703125" style="79" bestFit="1" customWidth="1"/>
    <col min="13066" max="13066" width="13.5703125" style="79" customWidth="1"/>
    <col min="13067" max="13067" width="20.5703125" style="79" customWidth="1"/>
    <col min="13068" max="13068" width="12.42578125" style="79" bestFit="1" customWidth="1"/>
    <col min="13069" max="13312" width="9.140625" style="79"/>
    <col min="13313" max="13313" width="23" style="79" customWidth="1"/>
    <col min="13314" max="13314" width="42" style="79" customWidth="1"/>
    <col min="13315" max="13315" width="54.7109375" style="79" customWidth="1"/>
    <col min="13316" max="13316" width="17.28515625" style="79" bestFit="1" customWidth="1"/>
    <col min="13317" max="13317" width="20.140625" style="79" bestFit="1" customWidth="1"/>
    <col min="13318" max="13318" width="16.5703125" style="79" customWidth="1"/>
    <col min="13319" max="13319" width="18.7109375" style="79" bestFit="1" customWidth="1"/>
    <col min="13320" max="13320" width="17.5703125" style="79" customWidth="1"/>
    <col min="13321" max="13321" width="15.5703125" style="79" bestFit="1" customWidth="1"/>
    <col min="13322" max="13322" width="13.5703125" style="79" customWidth="1"/>
    <col min="13323" max="13323" width="20.5703125" style="79" customWidth="1"/>
    <col min="13324" max="13324" width="12.42578125" style="79" bestFit="1" customWidth="1"/>
    <col min="13325" max="13568" width="9.140625" style="79"/>
    <col min="13569" max="13569" width="23" style="79" customWidth="1"/>
    <col min="13570" max="13570" width="42" style="79" customWidth="1"/>
    <col min="13571" max="13571" width="54.7109375" style="79" customWidth="1"/>
    <col min="13572" max="13572" width="17.28515625" style="79" bestFit="1" customWidth="1"/>
    <col min="13573" max="13573" width="20.140625" style="79" bestFit="1" customWidth="1"/>
    <col min="13574" max="13574" width="16.5703125" style="79" customWidth="1"/>
    <col min="13575" max="13575" width="18.7109375" style="79" bestFit="1" customWidth="1"/>
    <col min="13576" max="13576" width="17.5703125" style="79" customWidth="1"/>
    <col min="13577" max="13577" width="15.5703125" style="79" bestFit="1" customWidth="1"/>
    <col min="13578" max="13578" width="13.5703125" style="79" customWidth="1"/>
    <col min="13579" max="13579" width="20.5703125" style="79" customWidth="1"/>
    <col min="13580" max="13580" width="12.42578125" style="79" bestFit="1" customWidth="1"/>
    <col min="13581" max="13824" width="9.140625" style="79"/>
    <col min="13825" max="13825" width="23" style="79" customWidth="1"/>
    <col min="13826" max="13826" width="42" style="79" customWidth="1"/>
    <col min="13827" max="13827" width="54.7109375" style="79" customWidth="1"/>
    <col min="13828" max="13828" width="17.28515625" style="79" bestFit="1" customWidth="1"/>
    <col min="13829" max="13829" width="20.140625" style="79" bestFit="1" customWidth="1"/>
    <col min="13830" max="13830" width="16.5703125" style="79" customWidth="1"/>
    <col min="13831" max="13831" width="18.7109375" style="79" bestFit="1" customWidth="1"/>
    <col min="13832" max="13832" width="17.5703125" style="79" customWidth="1"/>
    <col min="13833" max="13833" width="15.5703125" style="79" bestFit="1" customWidth="1"/>
    <col min="13834" max="13834" width="13.5703125" style="79" customWidth="1"/>
    <col min="13835" max="13835" width="20.5703125" style="79" customWidth="1"/>
    <col min="13836" max="13836" width="12.42578125" style="79" bestFit="1" customWidth="1"/>
    <col min="13837" max="14080" width="9.140625" style="79"/>
    <col min="14081" max="14081" width="23" style="79" customWidth="1"/>
    <col min="14082" max="14082" width="42" style="79" customWidth="1"/>
    <col min="14083" max="14083" width="54.7109375" style="79" customWidth="1"/>
    <col min="14084" max="14084" width="17.28515625" style="79" bestFit="1" customWidth="1"/>
    <col min="14085" max="14085" width="20.140625" style="79" bestFit="1" customWidth="1"/>
    <col min="14086" max="14086" width="16.5703125" style="79" customWidth="1"/>
    <col min="14087" max="14087" width="18.7109375" style="79" bestFit="1" customWidth="1"/>
    <col min="14088" max="14088" width="17.5703125" style="79" customWidth="1"/>
    <col min="14089" max="14089" width="15.5703125" style="79" bestFit="1" customWidth="1"/>
    <col min="14090" max="14090" width="13.5703125" style="79" customWidth="1"/>
    <col min="14091" max="14091" width="20.5703125" style="79" customWidth="1"/>
    <col min="14092" max="14092" width="12.42578125" style="79" bestFit="1" customWidth="1"/>
    <col min="14093" max="14336" width="9.140625" style="79"/>
    <col min="14337" max="14337" width="23" style="79" customWidth="1"/>
    <col min="14338" max="14338" width="42" style="79" customWidth="1"/>
    <col min="14339" max="14339" width="54.7109375" style="79" customWidth="1"/>
    <col min="14340" max="14340" width="17.28515625" style="79" bestFit="1" customWidth="1"/>
    <col min="14341" max="14341" width="20.140625" style="79" bestFit="1" customWidth="1"/>
    <col min="14342" max="14342" width="16.5703125" style="79" customWidth="1"/>
    <col min="14343" max="14343" width="18.7109375" style="79" bestFit="1" customWidth="1"/>
    <col min="14344" max="14344" width="17.5703125" style="79" customWidth="1"/>
    <col min="14345" max="14345" width="15.5703125" style="79" bestFit="1" customWidth="1"/>
    <col min="14346" max="14346" width="13.5703125" style="79" customWidth="1"/>
    <col min="14347" max="14347" width="20.5703125" style="79" customWidth="1"/>
    <col min="14348" max="14348" width="12.42578125" style="79" bestFit="1" customWidth="1"/>
    <col min="14349" max="14592" width="9.140625" style="79"/>
    <col min="14593" max="14593" width="23" style="79" customWidth="1"/>
    <col min="14594" max="14594" width="42" style="79" customWidth="1"/>
    <col min="14595" max="14595" width="54.7109375" style="79" customWidth="1"/>
    <col min="14596" max="14596" width="17.28515625" style="79" bestFit="1" customWidth="1"/>
    <col min="14597" max="14597" width="20.140625" style="79" bestFit="1" customWidth="1"/>
    <col min="14598" max="14598" width="16.5703125" style="79" customWidth="1"/>
    <col min="14599" max="14599" width="18.7109375" style="79" bestFit="1" customWidth="1"/>
    <col min="14600" max="14600" width="17.5703125" style="79" customWidth="1"/>
    <col min="14601" max="14601" width="15.5703125" style="79" bestFit="1" customWidth="1"/>
    <col min="14602" max="14602" width="13.5703125" style="79" customWidth="1"/>
    <col min="14603" max="14603" width="20.5703125" style="79" customWidth="1"/>
    <col min="14604" max="14604" width="12.42578125" style="79" bestFit="1" customWidth="1"/>
    <col min="14605" max="14848" width="9.140625" style="79"/>
    <col min="14849" max="14849" width="23" style="79" customWidth="1"/>
    <col min="14850" max="14850" width="42" style="79" customWidth="1"/>
    <col min="14851" max="14851" width="54.7109375" style="79" customWidth="1"/>
    <col min="14852" max="14852" width="17.28515625" style="79" bestFit="1" customWidth="1"/>
    <col min="14853" max="14853" width="20.140625" style="79" bestFit="1" customWidth="1"/>
    <col min="14854" max="14854" width="16.5703125" style="79" customWidth="1"/>
    <col min="14855" max="14855" width="18.7109375" style="79" bestFit="1" customWidth="1"/>
    <col min="14856" max="14856" width="17.5703125" style="79" customWidth="1"/>
    <col min="14857" max="14857" width="15.5703125" style="79" bestFit="1" customWidth="1"/>
    <col min="14858" max="14858" width="13.5703125" style="79" customWidth="1"/>
    <col min="14859" max="14859" width="20.5703125" style="79" customWidth="1"/>
    <col min="14860" max="14860" width="12.42578125" style="79" bestFit="1" customWidth="1"/>
    <col min="14861" max="15104" width="9.140625" style="79"/>
    <col min="15105" max="15105" width="23" style="79" customWidth="1"/>
    <col min="15106" max="15106" width="42" style="79" customWidth="1"/>
    <col min="15107" max="15107" width="54.7109375" style="79" customWidth="1"/>
    <col min="15108" max="15108" width="17.28515625" style="79" bestFit="1" customWidth="1"/>
    <col min="15109" max="15109" width="20.140625" style="79" bestFit="1" customWidth="1"/>
    <col min="15110" max="15110" width="16.5703125" style="79" customWidth="1"/>
    <col min="15111" max="15111" width="18.7109375" style="79" bestFit="1" customWidth="1"/>
    <col min="15112" max="15112" width="17.5703125" style="79" customWidth="1"/>
    <col min="15113" max="15113" width="15.5703125" style="79" bestFit="1" customWidth="1"/>
    <col min="15114" max="15114" width="13.5703125" style="79" customWidth="1"/>
    <col min="15115" max="15115" width="20.5703125" style="79" customWidth="1"/>
    <col min="15116" max="15116" width="12.42578125" style="79" bestFit="1" customWidth="1"/>
    <col min="15117" max="15360" width="9.140625" style="79"/>
    <col min="15361" max="15361" width="23" style="79" customWidth="1"/>
    <col min="15362" max="15362" width="42" style="79" customWidth="1"/>
    <col min="15363" max="15363" width="54.7109375" style="79" customWidth="1"/>
    <col min="15364" max="15364" width="17.28515625" style="79" bestFit="1" customWidth="1"/>
    <col min="15365" max="15365" width="20.140625" style="79" bestFit="1" customWidth="1"/>
    <col min="15366" max="15366" width="16.5703125" style="79" customWidth="1"/>
    <col min="15367" max="15367" width="18.7109375" style="79" bestFit="1" customWidth="1"/>
    <col min="15368" max="15368" width="17.5703125" style="79" customWidth="1"/>
    <col min="15369" max="15369" width="15.5703125" style="79" bestFit="1" customWidth="1"/>
    <col min="15370" max="15370" width="13.5703125" style="79" customWidth="1"/>
    <col min="15371" max="15371" width="20.5703125" style="79" customWidth="1"/>
    <col min="15372" max="15372" width="12.42578125" style="79" bestFit="1" customWidth="1"/>
    <col min="15373" max="15616" width="9.140625" style="79"/>
    <col min="15617" max="15617" width="23" style="79" customWidth="1"/>
    <col min="15618" max="15618" width="42" style="79" customWidth="1"/>
    <col min="15619" max="15619" width="54.7109375" style="79" customWidth="1"/>
    <col min="15620" max="15620" width="17.28515625" style="79" bestFit="1" customWidth="1"/>
    <col min="15621" max="15621" width="20.140625" style="79" bestFit="1" customWidth="1"/>
    <col min="15622" max="15622" width="16.5703125" style="79" customWidth="1"/>
    <col min="15623" max="15623" width="18.7109375" style="79" bestFit="1" customWidth="1"/>
    <col min="15624" max="15624" width="17.5703125" style="79" customWidth="1"/>
    <col min="15625" max="15625" width="15.5703125" style="79" bestFit="1" customWidth="1"/>
    <col min="15626" max="15626" width="13.5703125" style="79" customWidth="1"/>
    <col min="15627" max="15627" width="20.5703125" style="79" customWidth="1"/>
    <col min="15628" max="15628" width="12.42578125" style="79" bestFit="1" customWidth="1"/>
    <col min="15629" max="15872" width="9.140625" style="79"/>
    <col min="15873" max="15873" width="23" style="79" customWidth="1"/>
    <col min="15874" max="15874" width="42" style="79" customWidth="1"/>
    <col min="15875" max="15875" width="54.7109375" style="79" customWidth="1"/>
    <col min="15876" max="15876" width="17.28515625" style="79" bestFit="1" customWidth="1"/>
    <col min="15877" max="15877" width="20.140625" style="79" bestFit="1" customWidth="1"/>
    <col min="15878" max="15878" width="16.5703125" style="79" customWidth="1"/>
    <col min="15879" max="15879" width="18.7109375" style="79" bestFit="1" customWidth="1"/>
    <col min="15880" max="15880" width="17.5703125" style="79" customWidth="1"/>
    <col min="15881" max="15881" width="15.5703125" style="79" bestFit="1" customWidth="1"/>
    <col min="15882" max="15882" width="13.5703125" style="79" customWidth="1"/>
    <col min="15883" max="15883" width="20.5703125" style="79" customWidth="1"/>
    <col min="15884" max="15884" width="12.42578125" style="79" bestFit="1" customWidth="1"/>
    <col min="15885" max="16128" width="9.140625" style="79"/>
    <col min="16129" max="16129" width="23" style="79" customWidth="1"/>
    <col min="16130" max="16130" width="42" style="79" customWidth="1"/>
    <col min="16131" max="16131" width="54.7109375" style="79" customWidth="1"/>
    <col min="16132" max="16132" width="17.28515625" style="79" bestFit="1" customWidth="1"/>
    <col min="16133" max="16133" width="20.140625" style="79" bestFit="1" customWidth="1"/>
    <col min="16134" max="16134" width="16.5703125" style="79" customWidth="1"/>
    <col min="16135" max="16135" width="18.7109375" style="79" bestFit="1" customWidth="1"/>
    <col min="16136" max="16136" width="17.5703125" style="79" customWidth="1"/>
    <col min="16137" max="16137" width="15.5703125" style="79" bestFit="1" customWidth="1"/>
    <col min="16138" max="16138" width="13.5703125" style="79" customWidth="1"/>
    <col min="16139" max="16139" width="20.5703125" style="79" customWidth="1"/>
    <col min="16140" max="16140" width="12.42578125" style="79" bestFit="1" customWidth="1"/>
    <col min="16141" max="16384" width="9.140625" style="79"/>
  </cols>
  <sheetData>
    <row r="1" spans="2:7" x14ac:dyDescent="0.25">
      <c r="G1" s="80" t="s">
        <v>934</v>
      </c>
    </row>
    <row r="2" spans="2:7" x14ac:dyDescent="0.25">
      <c r="B2" s="287" t="s">
        <v>1093</v>
      </c>
      <c r="C2" s="287"/>
      <c r="D2" s="287"/>
      <c r="E2" s="287"/>
      <c r="F2" s="287"/>
      <c r="G2" s="287"/>
    </row>
    <row r="3" spans="2:7" x14ac:dyDescent="0.25">
      <c r="B3" s="287" t="s">
        <v>1094</v>
      </c>
      <c r="C3" s="287"/>
      <c r="D3" s="287"/>
      <c r="E3" s="287"/>
      <c r="F3" s="287"/>
      <c r="G3" s="287"/>
    </row>
    <row r="4" spans="2:7" x14ac:dyDescent="0.25">
      <c r="B4" s="80"/>
      <c r="C4" s="80"/>
      <c r="D4" s="80"/>
      <c r="E4" s="80"/>
      <c r="F4" s="80"/>
      <c r="G4" s="80"/>
    </row>
    <row r="5" spans="2:7" x14ac:dyDescent="0.25">
      <c r="B5" s="287" t="s">
        <v>1095</v>
      </c>
      <c r="C5" s="287"/>
      <c r="D5" s="287"/>
      <c r="E5" s="287"/>
      <c r="F5" s="287"/>
      <c r="G5" s="287"/>
    </row>
    <row r="6" spans="2:7" x14ac:dyDescent="0.25">
      <c r="B6" s="80" t="s">
        <v>1096</v>
      </c>
    </row>
    <row r="8" spans="2:7" ht="27" x14ac:dyDescent="0.25">
      <c r="B8" s="81" t="s">
        <v>1097</v>
      </c>
      <c r="C8" s="81" t="s">
        <v>1098</v>
      </c>
      <c r="D8" s="81" t="s">
        <v>1099</v>
      </c>
      <c r="E8" s="82" t="s">
        <v>1100</v>
      </c>
      <c r="F8" s="82" t="s">
        <v>1101</v>
      </c>
      <c r="G8" s="82" t="s">
        <v>1102</v>
      </c>
    </row>
    <row r="9" spans="2:7" x14ac:dyDescent="0.25">
      <c r="B9" s="83" t="s">
        <v>699</v>
      </c>
      <c r="C9" s="83" t="s">
        <v>1103</v>
      </c>
      <c r="D9" s="84" t="s">
        <v>1104</v>
      </c>
      <c r="E9" s="85">
        <v>200.73</v>
      </c>
      <c r="F9" s="86">
        <v>232.75</v>
      </c>
      <c r="G9" s="87">
        <v>8.7668324999999996</v>
      </c>
    </row>
    <row r="10" spans="2:7" x14ac:dyDescent="0.25">
      <c r="B10" s="88" t="s">
        <v>699</v>
      </c>
      <c r="C10" s="88" t="s">
        <v>1105</v>
      </c>
      <c r="D10" s="89" t="s">
        <v>1104</v>
      </c>
      <c r="E10" s="85">
        <v>176.4</v>
      </c>
      <c r="F10" s="86">
        <v>194.15</v>
      </c>
      <c r="G10" s="87">
        <v>8.2988125000000004</v>
      </c>
    </row>
    <row r="11" spans="2:7" x14ac:dyDescent="0.25">
      <c r="B11" s="88" t="s">
        <v>699</v>
      </c>
      <c r="C11" s="88" t="s">
        <v>1106</v>
      </c>
      <c r="D11" s="89" t="s">
        <v>1104</v>
      </c>
      <c r="E11" s="85">
        <v>2431.66</v>
      </c>
      <c r="F11" s="86">
        <v>2543</v>
      </c>
      <c r="G11" s="87">
        <v>77.942025000000001</v>
      </c>
    </row>
    <row r="12" spans="2:7" x14ac:dyDescent="0.25">
      <c r="B12" s="88" t="s">
        <v>699</v>
      </c>
      <c r="C12" s="88" t="s">
        <v>1107</v>
      </c>
      <c r="D12" s="89" t="s">
        <v>1104</v>
      </c>
      <c r="E12" s="85">
        <v>1101.25</v>
      </c>
      <c r="F12" s="86">
        <v>1160.45</v>
      </c>
      <c r="G12" s="87">
        <v>30.181358399999997</v>
      </c>
    </row>
    <row r="13" spans="2:7" x14ac:dyDescent="0.25">
      <c r="B13" s="88" t="s">
        <v>699</v>
      </c>
      <c r="C13" s="88" t="s">
        <v>1108</v>
      </c>
      <c r="D13" s="89" t="s">
        <v>1104</v>
      </c>
      <c r="E13" s="85">
        <v>1305.19</v>
      </c>
      <c r="F13" s="86">
        <v>1332.65</v>
      </c>
      <c r="G13" s="87">
        <v>141.49335060000001</v>
      </c>
    </row>
    <row r="14" spans="2:7" x14ac:dyDescent="0.25">
      <c r="B14" s="88" t="s">
        <v>699</v>
      </c>
      <c r="C14" s="88" t="s">
        <v>1109</v>
      </c>
      <c r="D14" s="89" t="s">
        <v>1104</v>
      </c>
      <c r="E14" s="85">
        <v>508.87</v>
      </c>
      <c r="F14" s="86">
        <v>511.35</v>
      </c>
      <c r="G14" s="87">
        <v>48.411360800000004</v>
      </c>
    </row>
    <row r="15" spans="2:7" x14ac:dyDescent="0.25">
      <c r="B15" s="88" t="s">
        <v>699</v>
      </c>
      <c r="C15" s="88" t="s">
        <v>1110</v>
      </c>
      <c r="D15" s="89" t="s">
        <v>1104</v>
      </c>
      <c r="E15" s="85">
        <v>846.31</v>
      </c>
      <c r="F15" s="86">
        <v>896.5</v>
      </c>
      <c r="G15" s="87">
        <v>152.86797759999999</v>
      </c>
    </row>
    <row r="16" spans="2:7" x14ac:dyDescent="0.25">
      <c r="B16" s="88" t="s">
        <v>699</v>
      </c>
      <c r="C16" s="88" t="s">
        <v>1111</v>
      </c>
      <c r="D16" s="89" t="s">
        <v>1104</v>
      </c>
      <c r="E16" s="85">
        <v>611.83000000000004</v>
      </c>
      <c r="F16" s="86">
        <v>622.5</v>
      </c>
      <c r="G16" s="87">
        <v>198.2988</v>
      </c>
    </row>
    <row r="17" spans="2:7" x14ac:dyDescent="0.25">
      <c r="B17" s="88" t="s">
        <v>699</v>
      </c>
      <c r="C17" s="88" t="s">
        <v>1112</v>
      </c>
      <c r="D17" s="89" t="s">
        <v>1104</v>
      </c>
      <c r="E17" s="85">
        <v>1367.98</v>
      </c>
      <c r="F17" s="86">
        <v>1358.85</v>
      </c>
      <c r="G17" s="87">
        <v>36.038482200000004</v>
      </c>
    </row>
    <row r="18" spans="2:7" x14ac:dyDescent="0.25">
      <c r="B18" s="88" t="s">
        <v>699</v>
      </c>
      <c r="C18" s="88" t="s">
        <v>1113</v>
      </c>
      <c r="D18" s="89" t="s">
        <v>1104</v>
      </c>
      <c r="E18" s="85">
        <v>1513.43</v>
      </c>
      <c r="F18" s="86">
        <v>1513.2</v>
      </c>
      <c r="G18" s="87">
        <v>148.94110000000001</v>
      </c>
    </row>
    <row r="19" spans="2:7" x14ac:dyDescent="0.25">
      <c r="B19" s="88" t="s">
        <v>699</v>
      </c>
      <c r="C19" s="88" t="s">
        <v>1114</v>
      </c>
      <c r="D19" s="89" t="s">
        <v>1104</v>
      </c>
      <c r="E19" s="85">
        <v>2234.35</v>
      </c>
      <c r="F19" s="86">
        <v>2246.25</v>
      </c>
      <c r="G19" s="87">
        <v>2.3740726000000003</v>
      </c>
    </row>
    <row r="20" spans="2:7" x14ac:dyDescent="0.25">
      <c r="B20" s="88" t="s">
        <v>699</v>
      </c>
      <c r="C20" s="90" t="s">
        <v>1115</v>
      </c>
      <c r="D20" s="89" t="s">
        <v>1104</v>
      </c>
      <c r="E20" s="85">
        <v>350.61</v>
      </c>
      <c r="F20" s="86">
        <v>356.9</v>
      </c>
      <c r="G20" s="87">
        <v>255.01652399999998</v>
      </c>
    </row>
    <row r="21" spans="2:7" x14ac:dyDescent="0.25">
      <c r="B21" s="88" t="s">
        <v>699</v>
      </c>
      <c r="C21" s="90" t="s">
        <v>1116</v>
      </c>
      <c r="D21" s="89" t="s">
        <v>1104</v>
      </c>
      <c r="E21" s="85">
        <v>432.43</v>
      </c>
      <c r="F21" s="86">
        <v>437.4</v>
      </c>
      <c r="G21" s="87">
        <v>7.4610239999999992</v>
      </c>
    </row>
    <row r="22" spans="2:7" x14ac:dyDescent="0.25">
      <c r="B22" s="88" t="s">
        <v>699</v>
      </c>
      <c r="C22" s="90" t="s">
        <v>1117</v>
      </c>
      <c r="D22" s="89" t="s">
        <v>1104</v>
      </c>
      <c r="E22" s="85">
        <v>1785.51</v>
      </c>
      <c r="F22" s="86">
        <v>1636.4</v>
      </c>
      <c r="G22" s="87">
        <v>26.763168000000004</v>
      </c>
    </row>
    <row r="23" spans="2:7" x14ac:dyDescent="0.25">
      <c r="B23" s="88" t="s">
        <v>699</v>
      </c>
      <c r="C23" s="90" t="s">
        <v>1118</v>
      </c>
      <c r="D23" s="89" t="s">
        <v>1104</v>
      </c>
      <c r="E23" s="85">
        <v>3602.11</v>
      </c>
      <c r="F23" s="86">
        <v>3617.55</v>
      </c>
      <c r="G23" s="87">
        <v>28.990242000000002</v>
      </c>
    </row>
    <row r="24" spans="2:7" x14ac:dyDescent="0.25">
      <c r="B24" s="88" t="s">
        <v>699</v>
      </c>
      <c r="C24" s="90" t="s">
        <v>1119</v>
      </c>
      <c r="D24" s="89" t="s">
        <v>1104</v>
      </c>
      <c r="E24" s="85">
        <v>190.77</v>
      </c>
      <c r="F24" s="86">
        <v>201.3</v>
      </c>
      <c r="G24" s="87">
        <v>122.48586</v>
      </c>
    </row>
    <row r="25" spans="2:7" x14ac:dyDescent="0.25">
      <c r="B25" s="88" t="s">
        <v>699</v>
      </c>
      <c r="C25" s="90" t="s">
        <v>1120</v>
      </c>
      <c r="D25" s="89" t="s">
        <v>1104</v>
      </c>
      <c r="E25" s="85">
        <v>2921.84</v>
      </c>
      <c r="F25" s="86">
        <v>2953.85</v>
      </c>
      <c r="G25" s="87">
        <v>143.19380900000002</v>
      </c>
    </row>
    <row r="26" spans="2:7" x14ac:dyDescent="0.25">
      <c r="B26" s="88" t="s">
        <v>699</v>
      </c>
      <c r="C26" s="90" t="s">
        <v>1121</v>
      </c>
      <c r="D26" s="89" t="s">
        <v>1104</v>
      </c>
      <c r="E26" s="85">
        <v>775.3</v>
      </c>
      <c r="F26" s="86">
        <v>824.5</v>
      </c>
      <c r="G26" s="87">
        <v>19.7867034</v>
      </c>
    </row>
    <row r="27" spans="2:7" x14ac:dyDescent="0.25">
      <c r="B27" s="88" t="s">
        <v>699</v>
      </c>
      <c r="C27" s="90" t="s">
        <v>1122</v>
      </c>
      <c r="D27" s="89" t="s">
        <v>1104</v>
      </c>
      <c r="E27" s="85">
        <v>1505.42</v>
      </c>
      <c r="F27" s="86">
        <v>1513.05</v>
      </c>
      <c r="G27" s="87">
        <v>52.854961600000003</v>
      </c>
    </row>
    <row r="28" spans="2:7" x14ac:dyDescent="0.25">
      <c r="B28" s="88" t="s">
        <v>699</v>
      </c>
      <c r="C28" s="90" t="s">
        <v>1123</v>
      </c>
      <c r="D28" s="89" t="s">
        <v>1104</v>
      </c>
      <c r="E28" s="85">
        <v>3822.15</v>
      </c>
      <c r="F28" s="86">
        <v>3823.05</v>
      </c>
      <c r="G28" s="87">
        <v>5.9939089999999995</v>
      </c>
    </row>
    <row r="29" spans="2:7" x14ac:dyDescent="0.25">
      <c r="B29" s="88" t="s">
        <v>699</v>
      </c>
      <c r="C29" s="90" t="s">
        <v>1124</v>
      </c>
      <c r="D29" s="89" t="s">
        <v>1104</v>
      </c>
      <c r="E29" s="85">
        <v>13.85</v>
      </c>
      <c r="F29" s="86">
        <v>13.35</v>
      </c>
      <c r="G29" s="87">
        <v>133.6824</v>
      </c>
    </row>
    <row r="30" spans="2:7" x14ac:dyDescent="0.25">
      <c r="B30" s="88"/>
      <c r="C30" s="91"/>
      <c r="D30" s="89"/>
      <c r="E30" s="92"/>
      <c r="F30" s="93"/>
      <c r="G30" s="94"/>
    </row>
    <row r="31" spans="2:7" x14ac:dyDescent="0.25">
      <c r="B31" s="88" t="s">
        <v>714</v>
      </c>
      <c r="C31" s="95" t="s">
        <v>1125</v>
      </c>
      <c r="D31" s="89" t="s">
        <v>1104</v>
      </c>
      <c r="E31" s="96">
        <v>7347.28</v>
      </c>
      <c r="F31" s="96">
        <v>6969.55</v>
      </c>
      <c r="G31" s="87">
        <v>201.00311399999998</v>
      </c>
    </row>
    <row r="32" spans="2:7" x14ac:dyDescent="0.25">
      <c r="B32" s="88" t="s">
        <v>714</v>
      </c>
      <c r="C32" s="95" t="s">
        <v>1126</v>
      </c>
      <c r="D32" s="89" t="s">
        <v>1104</v>
      </c>
      <c r="E32" s="96">
        <v>1625.58</v>
      </c>
      <c r="F32" s="96">
        <v>1625.35</v>
      </c>
      <c r="G32" s="87">
        <v>88.085650600000008</v>
      </c>
    </row>
    <row r="33" spans="2:8" x14ac:dyDescent="0.25">
      <c r="B33" s="88" t="s">
        <v>714</v>
      </c>
      <c r="C33" s="95" t="s">
        <v>1127</v>
      </c>
      <c r="D33" s="89" t="s">
        <v>1104</v>
      </c>
      <c r="E33" s="96">
        <v>261.06</v>
      </c>
      <c r="F33" s="96">
        <v>283.39999999999998</v>
      </c>
      <c r="G33" s="87">
        <v>529.99177439999994</v>
      </c>
    </row>
    <row r="34" spans="2:8" x14ac:dyDescent="0.25">
      <c r="B34" s="88" t="s">
        <v>714</v>
      </c>
      <c r="C34" s="95" t="s">
        <v>1128</v>
      </c>
      <c r="D34" s="89" t="s">
        <v>1104</v>
      </c>
      <c r="E34" s="96">
        <v>620.83000000000004</v>
      </c>
      <c r="F34" s="96">
        <v>626.75</v>
      </c>
      <c r="G34" s="87">
        <v>587.57009920000007</v>
      </c>
    </row>
    <row r="35" spans="2:8" x14ac:dyDescent="0.25">
      <c r="B35" s="88" t="s">
        <v>714</v>
      </c>
      <c r="C35" s="95" t="s">
        <v>1129</v>
      </c>
      <c r="D35" s="89" t="s">
        <v>1104</v>
      </c>
      <c r="E35" s="96">
        <v>1391.55</v>
      </c>
      <c r="F35" s="96">
        <v>1410.7</v>
      </c>
      <c r="G35" s="87">
        <v>207.9211904</v>
      </c>
    </row>
    <row r="36" spans="2:8" x14ac:dyDescent="0.25">
      <c r="B36" s="88" t="s">
        <v>714</v>
      </c>
      <c r="C36" s="95" t="s">
        <v>1130</v>
      </c>
      <c r="D36" s="89" t="s">
        <v>1104</v>
      </c>
      <c r="E36" s="96">
        <v>1913.49</v>
      </c>
      <c r="F36" s="96">
        <v>1846.55</v>
      </c>
      <c r="G36" s="87">
        <v>114.9763968</v>
      </c>
    </row>
    <row r="37" spans="2:8" x14ac:dyDescent="0.25">
      <c r="B37" s="88" t="s">
        <v>714</v>
      </c>
      <c r="C37" s="95" t="s">
        <v>1113</v>
      </c>
      <c r="D37" s="89" t="s">
        <v>1104</v>
      </c>
      <c r="E37" s="96">
        <v>1506.81</v>
      </c>
      <c r="F37" s="96">
        <v>1513.2</v>
      </c>
      <c r="G37" s="87">
        <v>492.99504100000001</v>
      </c>
    </row>
    <row r="38" spans="2:8" x14ac:dyDescent="0.25">
      <c r="B38" s="88" t="s">
        <v>714</v>
      </c>
      <c r="C38" s="95" t="s">
        <v>1131</v>
      </c>
      <c r="D38" s="89" t="s">
        <v>1104</v>
      </c>
      <c r="E38" s="96">
        <v>1480.66</v>
      </c>
      <c r="F38" s="96">
        <v>1525.4</v>
      </c>
      <c r="G38" s="87">
        <v>110.6756</v>
      </c>
    </row>
    <row r="39" spans="2:8" x14ac:dyDescent="0.25">
      <c r="B39" s="88" t="s">
        <v>714</v>
      </c>
      <c r="C39" s="95" t="s">
        <v>1132</v>
      </c>
      <c r="D39" s="89" t="s">
        <v>1104</v>
      </c>
      <c r="E39" s="96">
        <v>1449.13</v>
      </c>
      <c r="F39" s="96">
        <v>1431.1</v>
      </c>
      <c r="G39" s="87">
        <v>293.101632</v>
      </c>
    </row>
    <row r="40" spans="2:8" x14ac:dyDescent="0.25">
      <c r="B40" s="88" t="s">
        <v>714</v>
      </c>
      <c r="C40" s="95" t="s">
        <v>1117</v>
      </c>
      <c r="D40" s="89" t="s">
        <v>1104</v>
      </c>
      <c r="E40" s="96">
        <v>1827.46</v>
      </c>
      <c r="F40" s="96">
        <v>1636.4</v>
      </c>
      <c r="G40" s="87">
        <v>464.28278400000005</v>
      </c>
    </row>
    <row r="41" spans="2:8" x14ac:dyDescent="0.25">
      <c r="B41" s="88" t="s">
        <v>714</v>
      </c>
      <c r="C41" s="95" t="s">
        <v>1133</v>
      </c>
      <c r="D41" s="89" t="s">
        <v>1104</v>
      </c>
      <c r="E41" s="96">
        <v>13086.45</v>
      </c>
      <c r="F41" s="96">
        <v>12877.35</v>
      </c>
      <c r="G41" s="87">
        <v>23.709705599999999</v>
      </c>
    </row>
    <row r="42" spans="2:8" x14ac:dyDescent="0.25">
      <c r="B42" s="88" t="s">
        <v>714</v>
      </c>
      <c r="C42" s="95" t="s">
        <v>1134</v>
      </c>
      <c r="D42" s="89" t="s">
        <v>1104</v>
      </c>
      <c r="E42" s="96">
        <v>350.8</v>
      </c>
      <c r="F42" s="96">
        <v>365</v>
      </c>
      <c r="G42" s="87">
        <v>29.013750000000002</v>
      </c>
    </row>
    <row r="43" spans="2:8" x14ac:dyDescent="0.25">
      <c r="B43" s="88" t="s">
        <v>714</v>
      </c>
      <c r="C43" s="95" t="s">
        <v>1135</v>
      </c>
      <c r="D43" s="89" t="s">
        <v>1104</v>
      </c>
      <c r="E43" s="96">
        <v>1005.69</v>
      </c>
      <c r="F43" s="96">
        <v>1015.7</v>
      </c>
      <c r="G43" s="87">
        <v>298.92400559999999</v>
      </c>
    </row>
    <row r="44" spans="2:8" x14ac:dyDescent="0.25">
      <c r="B44" s="88" t="s">
        <v>714</v>
      </c>
      <c r="C44" s="95" t="s">
        <v>1136</v>
      </c>
      <c r="D44" s="89" t="s">
        <v>1104</v>
      </c>
      <c r="E44" s="96">
        <v>502.1</v>
      </c>
      <c r="F44" s="96">
        <v>511.1</v>
      </c>
      <c r="G44" s="87">
        <v>7.2476430000000001</v>
      </c>
    </row>
    <row r="45" spans="2:8" x14ac:dyDescent="0.25">
      <c r="B45" s="88" t="s">
        <v>714</v>
      </c>
      <c r="C45" s="95" t="s">
        <v>1124</v>
      </c>
      <c r="D45" s="89" t="s">
        <v>1104</v>
      </c>
      <c r="E45" s="96">
        <v>13.89</v>
      </c>
      <c r="F45" s="96">
        <v>13.35</v>
      </c>
      <c r="G45" s="87">
        <v>866.46</v>
      </c>
    </row>
    <row r="46" spans="2:8" x14ac:dyDescent="0.25">
      <c r="B46" s="88" t="s">
        <v>714</v>
      </c>
      <c r="C46" s="95" t="s">
        <v>1137</v>
      </c>
      <c r="D46" s="89" t="s">
        <v>1104</v>
      </c>
      <c r="E46" s="96">
        <v>143.63999999999999</v>
      </c>
      <c r="F46" s="96">
        <v>147.69999999999999</v>
      </c>
      <c r="G46" s="87">
        <v>1283.2466400000001</v>
      </c>
    </row>
    <row r="47" spans="2:8" x14ac:dyDescent="0.25">
      <c r="B47" s="88"/>
      <c r="C47" s="95"/>
      <c r="D47" s="89"/>
      <c r="E47" s="97"/>
      <c r="F47" s="98"/>
      <c r="G47" s="87"/>
    </row>
    <row r="48" spans="2:8" x14ac:dyDescent="0.25">
      <c r="B48" s="88" t="s">
        <v>745</v>
      </c>
      <c r="C48" s="99" t="s">
        <v>1106</v>
      </c>
      <c r="D48" s="89" t="s">
        <v>1104</v>
      </c>
      <c r="E48" s="85">
        <v>2429.75</v>
      </c>
      <c r="F48" s="100">
        <v>2543</v>
      </c>
      <c r="G48" s="101">
        <v>44.319974999999999</v>
      </c>
      <c r="H48" s="102"/>
    </row>
    <row r="49" spans="2:8" x14ac:dyDescent="0.25">
      <c r="B49" s="88" t="s">
        <v>745</v>
      </c>
      <c r="C49" s="99" t="s">
        <v>1107</v>
      </c>
      <c r="D49" s="89" t="s">
        <v>1104</v>
      </c>
      <c r="E49" s="85">
        <v>1101.8399999999999</v>
      </c>
      <c r="F49" s="100">
        <v>1160.45</v>
      </c>
      <c r="G49" s="101">
        <v>100.604528</v>
      </c>
      <c r="H49" s="102"/>
    </row>
    <row r="50" spans="2:8" x14ac:dyDescent="0.25">
      <c r="B50" s="88" t="s">
        <v>745</v>
      </c>
      <c r="C50" s="99" t="s">
        <v>1138</v>
      </c>
      <c r="D50" s="89" t="s">
        <v>1104</v>
      </c>
      <c r="E50" s="85">
        <v>1013.74</v>
      </c>
      <c r="F50" s="100">
        <v>1172.8</v>
      </c>
      <c r="G50" s="101">
        <v>432.91248000000002</v>
      </c>
      <c r="H50" s="102"/>
    </row>
    <row r="51" spans="2:8" x14ac:dyDescent="0.25">
      <c r="B51" s="88" t="s">
        <v>745</v>
      </c>
      <c r="C51" s="99" t="s">
        <v>1125</v>
      </c>
      <c r="D51" s="89" t="s">
        <v>1104</v>
      </c>
      <c r="E51" s="85">
        <v>6925.39</v>
      </c>
      <c r="F51" s="100">
        <v>6969.55</v>
      </c>
      <c r="G51" s="101">
        <v>61.847112000000003</v>
      </c>
      <c r="H51" s="102"/>
    </row>
    <row r="52" spans="2:8" x14ac:dyDescent="0.25">
      <c r="B52" s="88" t="s">
        <v>745</v>
      </c>
      <c r="C52" s="99" t="s">
        <v>1127</v>
      </c>
      <c r="D52" s="89" t="s">
        <v>1104</v>
      </c>
      <c r="E52" s="85">
        <v>256.74</v>
      </c>
      <c r="F52" s="100">
        <v>283.39999999999998</v>
      </c>
      <c r="G52" s="101">
        <v>106.6650112</v>
      </c>
      <c r="H52" s="102"/>
    </row>
    <row r="53" spans="2:8" x14ac:dyDescent="0.25">
      <c r="B53" s="88" t="s">
        <v>745</v>
      </c>
      <c r="C53" s="99" t="s">
        <v>1111</v>
      </c>
      <c r="D53" s="89" t="s">
        <v>1104</v>
      </c>
      <c r="E53" s="85">
        <v>615.54999999999995</v>
      </c>
      <c r="F53" s="100">
        <v>622.5</v>
      </c>
      <c r="G53" s="101">
        <v>12.393675</v>
      </c>
      <c r="H53" s="102"/>
    </row>
    <row r="54" spans="2:8" x14ac:dyDescent="0.25">
      <c r="B54" s="88" t="s">
        <v>745</v>
      </c>
      <c r="C54" s="99" t="s">
        <v>1113</v>
      </c>
      <c r="D54" s="89" t="s">
        <v>1104</v>
      </c>
      <c r="E54" s="85">
        <v>1505.87</v>
      </c>
      <c r="F54" s="100">
        <v>1513.2</v>
      </c>
      <c r="G54" s="101">
        <v>711.93845799999997</v>
      </c>
      <c r="H54" s="102"/>
    </row>
    <row r="55" spans="2:8" x14ac:dyDescent="0.25">
      <c r="B55" s="88" t="s">
        <v>745</v>
      </c>
      <c r="C55" s="99" t="s">
        <v>1139</v>
      </c>
      <c r="D55" s="89" t="s">
        <v>1104</v>
      </c>
      <c r="E55" s="85">
        <v>468.48</v>
      </c>
      <c r="F55" s="100">
        <v>497.6</v>
      </c>
      <c r="G55" s="101">
        <v>190.72268400000002</v>
      </c>
      <c r="H55" s="102"/>
    </row>
    <row r="56" spans="2:8" x14ac:dyDescent="0.25">
      <c r="B56" s="88" t="s">
        <v>745</v>
      </c>
      <c r="C56" s="99" t="s">
        <v>1114</v>
      </c>
      <c r="D56" s="89" t="s">
        <v>1104</v>
      </c>
      <c r="E56" s="85">
        <v>2246.1</v>
      </c>
      <c r="F56" s="100">
        <v>2246.25</v>
      </c>
      <c r="G56" s="101">
        <v>168.5591546</v>
      </c>
      <c r="H56" s="102"/>
    </row>
    <row r="57" spans="2:8" x14ac:dyDescent="0.25">
      <c r="B57" s="88" t="s">
        <v>745</v>
      </c>
      <c r="C57" s="99" t="s">
        <v>1140</v>
      </c>
      <c r="D57" s="89" t="s">
        <v>1104</v>
      </c>
      <c r="E57" s="85">
        <v>1064.3</v>
      </c>
      <c r="F57" s="100">
        <v>1157.75</v>
      </c>
      <c r="G57" s="101">
        <v>198.75571440000002</v>
      </c>
      <c r="H57" s="102"/>
    </row>
    <row r="58" spans="2:8" x14ac:dyDescent="0.25">
      <c r="B58" s="88" t="s">
        <v>745</v>
      </c>
      <c r="C58" s="99" t="s">
        <v>1131</v>
      </c>
      <c r="D58" s="89" t="s">
        <v>1104</v>
      </c>
      <c r="E58" s="85">
        <v>1484.16</v>
      </c>
      <c r="F58" s="100">
        <v>1525.4</v>
      </c>
      <c r="G58" s="101">
        <v>547.84421999999995</v>
      </c>
      <c r="H58" s="102"/>
    </row>
    <row r="59" spans="2:8" x14ac:dyDescent="0.25">
      <c r="B59" s="88" t="s">
        <v>745</v>
      </c>
      <c r="C59" s="99" t="s">
        <v>1132</v>
      </c>
      <c r="D59" s="89" t="s">
        <v>1104</v>
      </c>
      <c r="E59" s="85">
        <v>1445.74</v>
      </c>
      <c r="F59" s="100">
        <v>1431.1</v>
      </c>
      <c r="G59" s="101">
        <v>373.50103799999999</v>
      </c>
      <c r="H59" s="102"/>
    </row>
    <row r="60" spans="2:8" x14ac:dyDescent="0.25">
      <c r="B60" s="88" t="s">
        <v>745</v>
      </c>
      <c r="C60" s="99" t="s">
        <v>1141</v>
      </c>
      <c r="D60" s="89" t="s">
        <v>1104</v>
      </c>
      <c r="E60" s="85">
        <v>847.69</v>
      </c>
      <c r="F60" s="100">
        <v>888.6</v>
      </c>
      <c r="G60" s="101">
        <v>31.061952199999997</v>
      </c>
      <c r="H60" s="102"/>
    </row>
    <row r="61" spans="2:8" x14ac:dyDescent="0.25">
      <c r="B61" s="88" t="s">
        <v>745</v>
      </c>
      <c r="C61" s="99" t="s">
        <v>1118</v>
      </c>
      <c r="D61" s="89" t="s">
        <v>1104</v>
      </c>
      <c r="E61" s="85">
        <v>3519.71</v>
      </c>
      <c r="F61" s="100">
        <v>3617.55</v>
      </c>
      <c r="G61" s="101">
        <v>185.5375488</v>
      </c>
      <c r="H61" s="102"/>
    </row>
    <row r="62" spans="2:8" x14ac:dyDescent="0.25">
      <c r="B62" s="88" t="s">
        <v>745</v>
      </c>
      <c r="C62" s="99" t="s">
        <v>1133</v>
      </c>
      <c r="D62" s="89" t="s">
        <v>1104</v>
      </c>
      <c r="E62" s="85">
        <v>12389.61</v>
      </c>
      <c r="F62" s="100">
        <v>12877.35</v>
      </c>
      <c r="G62" s="101">
        <v>31.612940800000001</v>
      </c>
      <c r="H62" s="102"/>
    </row>
    <row r="63" spans="2:8" x14ac:dyDescent="0.25">
      <c r="B63" s="88" t="s">
        <v>745</v>
      </c>
      <c r="C63" s="99" t="s">
        <v>1134</v>
      </c>
      <c r="D63" s="89" t="s">
        <v>1104</v>
      </c>
      <c r="E63" s="85">
        <v>351.8</v>
      </c>
      <c r="F63" s="100">
        <v>365</v>
      </c>
      <c r="G63" s="101">
        <v>36.750749999999996</v>
      </c>
      <c r="H63" s="102"/>
    </row>
    <row r="64" spans="2:8" x14ac:dyDescent="0.25">
      <c r="B64" s="88" t="s">
        <v>745</v>
      </c>
      <c r="C64" s="99" t="s">
        <v>1120</v>
      </c>
      <c r="D64" s="89" t="s">
        <v>1104</v>
      </c>
      <c r="E64" s="85">
        <v>2918.24</v>
      </c>
      <c r="F64" s="100">
        <v>2953.85</v>
      </c>
      <c r="G64" s="101">
        <v>751.11661629999992</v>
      </c>
      <c r="H64" s="102"/>
    </row>
    <row r="65" spans="2:8" x14ac:dyDescent="0.25">
      <c r="B65" s="88" t="s">
        <v>745</v>
      </c>
      <c r="C65" s="99" t="s">
        <v>1135</v>
      </c>
      <c r="D65" s="89" t="s">
        <v>1104</v>
      </c>
      <c r="E65" s="85">
        <v>957.39</v>
      </c>
      <c r="F65" s="100">
        <v>1015.7</v>
      </c>
      <c r="G65" s="101">
        <v>393.32105999999999</v>
      </c>
      <c r="H65" s="102"/>
    </row>
    <row r="66" spans="2:8" x14ac:dyDescent="0.25">
      <c r="B66" s="88" t="s">
        <v>745</v>
      </c>
      <c r="C66" s="99" t="s">
        <v>1142</v>
      </c>
      <c r="D66" s="89" t="s">
        <v>1104</v>
      </c>
      <c r="E66" s="85">
        <v>161.86000000000001</v>
      </c>
      <c r="F66" s="100">
        <v>166.2</v>
      </c>
      <c r="G66" s="101">
        <v>154.38148000000001</v>
      </c>
      <c r="H66" s="102"/>
    </row>
    <row r="67" spans="2:8" x14ac:dyDescent="0.25">
      <c r="B67" s="88" t="s">
        <v>745</v>
      </c>
      <c r="C67" s="99" t="s">
        <v>1143</v>
      </c>
      <c r="D67" s="89" t="s">
        <v>1104</v>
      </c>
      <c r="E67" s="85">
        <v>1135.3900000000001</v>
      </c>
      <c r="F67" s="100">
        <v>1185.05</v>
      </c>
      <c r="G67" s="101">
        <v>38.148429800000002</v>
      </c>
      <c r="H67" s="102"/>
    </row>
    <row r="68" spans="2:8" x14ac:dyDescent="0.25">
      <c r="B68" s="88"/>
      <c r="C68" s="99"/>
      <c r="D68" s="89"/>
      <c r="E68" s="85"/>
      <c r="F68" s="100"/>
      <c r="G68" s="101"/>
      <c r="H68" s="102"/>
    </row>
    <row r="69" spans="2:8" x14ac:dyDescent="0.25">
      <c r="B69" s="88" t="s">
        <v>861</v>
      </c>
      <c r="C69" s="99" t="s">
        <v>1138</v>
      </c>
      <c r="D69" s="89" t="s">
        <v>1104</v>
      </c>
      <c r="E69" s="85">
        <v>1077.1400000000001</v>
      </c>
      <c r="F69" s="86">
        <v>1172.8</v>
      </c>
      <c r="G69" s="87">
        <v>702.19434999999999</v>
      </c>
      <c r="H69" s="102"/>
    </row>
    <row r="70" spans="2:8" x14ac:dyDescent="0.25">
      <c r="B70" s="88" t="s">
        <v>861</v>
      </c>
      <c r="C70" s="99" t="s">
        <v>1125</v>
      </c>
      <c r="D70" s="89" t="s">
        <v>1104</v>
      </c>
      <c r="E70" s="85">
        <v>7387.39</v>
      </c>
      <c r="F70" s="86">
        <v>6969.55</v>
      </c>
      <c r="G70" s="87">
        <v>316.96644900000001</v>
      </c>
      <c r="H70" s="102"/>
    </row>
    <row r="71" spans="2:8" x14ac:dyDescent="0.25">
      <c r="B71" s="88" t="s">
        <v>861</v>
      </c>
      <c r="C71" s="99" t="s">
        <v>1108</v>
      </c>
      <c r="D71" s="89" t="s">
        <v>1104</v>
      </c>
      <c r="E71" s="85">
        <v>1350.4</v>
      </c>
      <c r="F71" s="86">
        <v>1332.65</v>
      </c>
      <c r="G71" s="87">
        <v>296.4622584</v>
      </c>
      <c r="H71" s="102"/>
    </row>
    <row r="72" spans="2:8" x14ac:dyDescent="0.25">
      <c r="B72" s="88" t="s">
        <v>861</v>
      </c>
      <c r="C72" s="99" t="s">
        <v>1113</v>
      </c>
      <c r="D72" s="89" t="s">
        <v>1104</v>
      </c>
      <c r="E72" s="85">
        <v>1510.8</v>
      </c>
      <c r="F72" s="86">
        <v>1513.2</v>
      </c>
      <c r="G72" s="87">
        <v>634.48908600000004</v>
      </c>
      <c r="H72" s="102"/>
    </row>
    <row r="73" spans="2:8" x14ac:dyDescent="0.25">
      <c r="B73" s="88" t="s">
        <v>861</v>
      </c>
      <c r="C73" s="99" t="s">
        <v>1144</v>
      </c>
      <c r="D73" s="89" t="s">
        <v>1104</v>
      </c>
      <c r="E73" s="85">
        <v>3953.92</v>
      </c>
      <c r="F73" s="86">
        <v>3968.3</v>
      </c>
      <c r="G73" s="87">
        <v>241.87643550000001</v>
      </c>
      <c r="H73" s="102"/>
    </row>
    <row r="74" spans="2:8" x14ac:dyDescent="0.25">
      <c r="B74" s="88" t="s">
        <v>861</v>
      </c>
      <c r="C74" s="99" t="s">
        <v>1131</v>
      </c>
      <c r="D74" s="89" t="s">
        <v>1104</v>
      </c>
      <c r="E74" s="85">
        <v>1491.43</v>
      </c>
      <c r="F74" s="86">
        <v>1525.4</v>
      </c>
      <c r="G74" s="87">
        <v>15.217895</v>
      </c>
      <c r="H74" s="102"/>
    </row>
    <row r="75" spans="2:8" x14ac:dyDescent="0.25">
      <c r="B75" s="88" t="s">
        <v>861</v>
      </c>
      <c r="C75" s="99" t="s">
        <v>1145</v>
      </c>
      <c r="D75" s="89" t="s">
        <v>1104</v>
      </c>
      <c r="E75" s="85">
        <v>5934.53</v>
      </c>
      <c r="F75" s="86">
        <v>6087.45</v>
      </c>
      <c r="G75" s="87">
        <v>289.77888939999997</v>
      </c>
      <c r="H75" s="102"/>
    </row>
    <row r="76" spans="2:8" x14ac:dyDescent="0.25">
      <c r="B76" s="88" t="s">
        <v>861</v>
      </c>
      <c r="C76" s="99" t="s">
        <v>1132</v>
      </c>
      <c r="D76" s="89" t="s">
        <v>1104</v>
      </c>
      <c r="E76" s="85">
        <v>1446.46</v>
      </c>
      <c r="F76" s="86">
        <v>1431.1</v>
      </c>
      <c r="G76" s="87">
        <v>337.88104799999996</v>
      </c>
      <c r="H76" s="102"/>
    </row>
    <row r="77" spans="2:8" x14ac:dyDescent="0.25">
      <c r="B77" s="88" t="s">
        <v>861</v>
      </c>
      <c r="C77" s="99" t="s">
        <v>1146</v>
      </c>
      <c r="D77" s="89" t="s">
        <v>1104</v>
      </c>
      <c r="E77" s="85">
        <v>3733</v>
      </c>
      <c r="F77" s="86">
        <v>3996.6</v>
      </c>
      <c r="G77" s="87">
        <v>8.9413319999999992</v>
      </c>
      <c r="H77" s="102"/>
    </row>
    <row r="78" spans="2:8" x14ac:dyDescent="0.25">
      <c r="B78" s="88" t="s">
        <v>861</v>
      </c>
      <c r="C78" s="99" t="s">
        <v>1141</v>
      </c>
      <c r="D78" s="89" t="s">
        <v>1104</v>
      </c>
      <c r="E78" s="85">
        <v>890.26</v>
      </c>
      <c r="F78" s="86">
        <v>888.6</v>
      </c>
      <c r="G78" s="87">
        <v>22.4931378</v>
      </c>
      <c r="H78" s="102"/>
    </row>
    <row r="79" spans="2:8" x14ac:dyDescent="0.25">
      <c r="B79" s="88" t="s">
        <v>861</v>
      </c>
      <c r="C79" s="99" t="s">
        <v>1117</v>
      </c>
      <c r="D79" s="89" t="s">
        <v>1104</v>
      </c>
      <c r="E79" s="85">
        <v>1840.46</v>
      </c>
      <c r="F79" s="86">
        <v>1636.4</v>
      </c>
      <c r="G79" s="87">
        <v>103.561824</v>
      </c>
      <c r="H79" s="102"/>
    </row>
    <row r="80" spans="2:8" x14ac:dyDescent="0.25">
      <c r="B80" s="88" t="s">
        <v>861</v>
      </c>
      <c r="C80" s="99" t="s">
        <v>1118</v>
      </c>
      <c r="D80" s="89" t="s">
        <v>1104</v>
      </c>
      <c r="E80" s="85">
        <v>3584.55</v>
      </c>
      <c r="F80" s="86">
        <v>3617.55</v>
      </c>
      <c r="G80" s="87">
        <v>977.93749679999996</v>
      </c>
      <c r="H80" s="102"/>
    </row>
    <row r="81" spans="2:8" x14ac:dyDescent="0.25">
      <c r="B81" s="88" t="s">
        <v>861</v>
      </c>
      <c r="C81" s="99" t="s">
        <v>1147</v>
      </c>
      <c r="D81" s="89" t="s">
        <v>1104</v>
      </c>
      <c r="E81" s="85">
        <v>2095.91</v>
      </c>
      <c r="F81" s="86">
        <v>2170.15</v>
      </c>
      <c r="G81" s="87">
        <v>893.96286939999993</v>
      </c>
      <c r="H81" s="102"/>
    </row>
    <row r="82" spans="2:8" x14ac:dyDescent="0.25">
      <c r="B82" s="88" t="s">
        <v>861</v>
      </c>
      <c r="C82" s="99" t="s">
        <v>1120</v>
      </c>
      <c r="D82" s="89" t="s">
        <v>1104</v>
      </c>
      <c r="E82" s="85">
        <v>2937.34</v>
      </c>
      <c r="F82" s="86">
        <v>2953.85</v>
      </c>
      <c r="G82" s="87">
        <v>368.39861770000005</v>
      </c>
      <c r="H82" s="102"/>
    </row>
    <row r="83" spans="2:8" x14ac:dyDescent="0.25">
      <c r="B83" s="88" t="s">
        <v>861</v>
      </c>
      <c r="C83" s="99" t="s">
        <v>1148</v>
      </c>
      <c r="D83" s="89" t="s">
        <v>1104</v>
      </c>
      <c r="E83" s="85">
        <v>2490.04</v>
      </c>
      <c r="F83" s="86">
        <v>2564.9</v>
      </c>
      <c r="G83" s="87">
        <v>812.24252550000017</v>
      </c>
      <c r="H83" s="102"/>
    </row>
    <row r="84" spans="2:8" x14ac:dyDescent="0.25">
      <c r="B84" s="88" t="s">
        <v>861</v>
      </c>
      <c r="C84" s="99" t="s">
        <v>1123</v>
      </c>
      <c r="D84" s="89" t="s">
        <v>1104</v>
      </c>
      <c r="E84" s="85">
        <v>3883.52</v>
      </c>
      <c r="F84" s="86">
        <v>3823.05</v>
      </c>
      <c r="G84" s="87">
        <v>292.50275919999996</v>
      </c>
      <c r="H84" s="102"/>
    </row>
    <row r="85" spans="2:8" x14ac:dyDescent="0.25">
      <c r="B85" s="88" t="s">
        <v>861</v>
      </c>
      <c r="C85" s="99" t="s">
        <v>1142</v>
      </c>
      <c r="D85" s="89" t="s">
        <v>1104</v>
      </c>
      <c r="E85" s="85">
        <v>166.9</v>
      </c>
      <c r="F85" s="86">
        <v>166.2</v>
      </c>
      <c r="G85" s="87">
        <v>315.78030000000001</v>
      </c>
      <c r="H85" s="102"/>
    </row>
    <row r="86" spans="2:8" x14ac:dyDescent="0.25">
      <c r="B86" s="88" t="s">
        <v>861</v>
      </c>
      <c r="C86" s="99" t="s">
        <v>1149</v>
      </c>
      <c r="D86" s="89" t="s">
        <v>1104</v>
      </c>
      <c r="E86" s="85">
        <v>1968.19</v>
      </c>
      <c r="F86" s="86">
        <v>2076.3000000000002</v>
      </c>
      <c r="G86" s="87">
        <v>285.65028000000001</v>
      </c>
      <c r="H86" s="102"/>
    </row>
    <row r="87" spans="2:8" x14ac:dyDescent="0.25">
      <c r="B87" s="88"/>
      <c r="C87" s="99"/>
      <c r="D87" s="89"/>
      <c r="E87" s="85"/>
      <c r="F87" s="86"/>
      <c r="G87" s="87"/>
      <c r="H87" s="102"/>
    </row>
    <row r="89" spans="2:8" x14ac:dyDescent="0.25">
      <c r="B89" s="80" t="s">
        <v>1150</v>
      </c>
      <c r="E89" s="103"/>
      <c r="F89" s="103"/>
      <c r="G89" s="103"/>
    </row>
    <row r="91" spans="2:8" x14ac:dyDescent="0.25">
      <c r="B91" s="104" t="s">
        <v>1097</v>
      </c>
      <c r="C91" s="104" t="s">
        <v>1151</v>
      </c>
    </row>
    <row r="92" spans="2:8" x14ac:dyDescent="0.25">
      <c r="B92" s="88" t="s">
        <v>699</v>
      </c>
      <c r="C92" s="105">
        <v>74.08</v>
      </c>
    </row>
    <row r="93" spans="2:8" x14ac:dyDescent="0.25">
      <c r="B93" s="88" t="s">
        <v>714</v>
      </c>
      <c r="C93" s="105">
        <v>14.8</v>
      </c>
    </row>
    <row r="94" spans="2:8" x14ac:dyDescent="0.25">
      <c r="B94" s="106" t="s">
        <v>745</v>
      </c>
      <c r="C94" s="105">
        <v>30.81</v>
      </c>
    </row>
    <row r="95" spans="2:8" x14ac:dyDescent="0.25">
      <c r="B95" s="88" t="s">
        <v>861</v>
      </c>
      <c r="C95" s="105">
        <v>17.66</v>
      </c>
    </row>
    <row r="97" spans="2:12" x14ac:dyDescent="0.25">
      <c r="B97" s="80" t="s">
        <v>1152</v>
      </c>
    </row>
    <row r="98" spans="2:12" x14ac:dyDescent="0.25">
      <c r="B98" s="80"/>
    </row>
    <row r="99" spans="2:12" ht="67.5" x14ac:dyDescent="0.25">
      <c r="B99" s="107" t="s">
        <v>1097</v>
      </c>
      <c r="C99" s="108" t="s">
        <v>1153</v>
      </c>
      <c r="D99" s="108" t="s">
        <v>1154</v>
      </c>
      <c r="E99" s="108" t="s">
        <v>1155</v>
      </c>
      <c r="F99" s="108" t="s">
        <v>1156</v>
      </c>
      <c r="G99" s="108" t="s">
        <v>1157</v>
      </c>
    </row>
    <row r="100" spans="2:12" x14ac:dyDescent="0.25">
      <c r="B100" s="88" t="s">
        <v>699</v>
      </c>
      <c r="C100" s="109">
        <v>912</v>
      </c>
      <c r="D100" s="109">
        <v>912</v>
      </c>
      <c r="E100" s="110">
        <v>8477.8731052000003</v>
      </c>
      <c r="F100" s="110">
        <v>8115.8591467999995</v>
      </c>
      <c r="G100" s="111">
        <f>+F100-E100-1.24</f>
        <v>-363.25395840000078</v>
      </c>
      <c r="H100" s="112"/>
      <c r="I100" s="113"/>
      <c r="J100" s="114"/>
      <c r="K100" s="114"/>
      <c r="L100" s="114"/>
    </row>
    <row r="101" spans="2:12" x14ac:dyDescent="0.25">
      <c r="B101" s="106" t="s">
        <v>201</v>
      </c>
      <c r="C101" s="109"/>
      <c r="D101" s="109"/>
      <c r="E101" s="110"/>
      <c r="F101" s="110"/>
      <c r="G101" s="111">
        <f t="shared" ref="G101:G107" si="0">+F101-E101</f>
        <v>0</v>
      </c>
      <c r="H101" s="112"/>
      <c r="I101" s="113"/>
      <c r="J101" s="114"/>
      <c r="K101" s="114"/>
      <c r="L101" s="114"/>
    </row>
    <row r="102" spans="2:12" x14ac:dyDescent="0.25">
      <c r="B102" s="88" t="s">
        <v>714</v>
      </c>
      <c r="C102" s="115">
        <v>3245</v>
      </c>
      <c r="D102" s="115">
        <v>3245</v>
      </c>
      <c r="E102" s="116">
        <v>23251.216376</v>
      </c>
      <c r="F102" s="116">
        <v>23019.201957600002</v>
      </c>
      <c r="G102" s="111">
        <f t="shared" si="0"/>
        <v>-232.01441839999825</v>
      </c>
      <c r="H102" s="112"/>
      <c r="I102" s="113"/>
      <c r="J102" s="114"/>
      <c r="K102" s="114"/>
      <c r="L102" s="114"/>
    </row>
    <row r="103" spans="2:12" x14ac:dyDescent="0.25">
      <c r="B103" s="106" t="s">
        <v>745</v>
      </c>
      <c r="C103" s="109">
        <v>3089</v>
      </c>
      <c r="D103" s="109">
        <v>3089</v>
      </c>
      <c r="E103" s="110">
        <v>24138.034131</v>
      </c>
      <c r="F103" s="110">
        <v>24403.3776278</v>
      </c>
      <c r="G103" s="111">
        <f t="shared" si="0"/>
        <v>265.34349680000014</v>
      </c>
      <c r="H103" s="112"/>
      <c r="I103" s="113"/>
      <c r="J103" s="114"/>
      <c r="K103" s="114"/>
      <c r="L103" s="114"/>
    </row>
    <row r="104" spans="2:12" x14ac:dyDescent="0.25">
      <c r="B104" s="88" t="s">
        <v>861</v>
      </c>
      <c r="C104" s="109">
        <v>4959</v>
      </c>
      <c r="D104" s="109">
        <v>4959</v>
      </c>
      <c r="E104" s="110">
        <v>40992.094605799997</v>
      </c>
      <c r="F104" s="110">
        <v>39810.903106199999</v>
      </c>
      <c r="G104" s="111">
        <f t="shared" si="0"/>
        <v>-1181.1914995999978</v>
      </c>
      <c r="H104" s="112"/>
      <c r="I104" s="113"/>
      <c r="J104" s="114"/>
      <c r="K104" s="114"/>
      <c r="L104" s="114"/>
    </row>
    <row r="105" spans="2:12" x14ac:dyDescent="0.25">
      <c r="B105" s="88" t="s">
        <v>616</v>
      </c>
      <c r="C105" s="115">
        <v>483</v>
      </c>
      <c r="D105" s="115">
        <v>483</v>
      </c>
      <c r="E105" s="116">
        <v>4091.8303500000002</v>
      </c>
      <c r="F105" s="116">
        <v>4034.4795033</v>
      </c>
      <c r="G105" s="111">
        <f t="shared" si="0"/>
        <v>-57.350846700000147</v>
      </c>
      <c r="H105" s="112"/>
      <c r="I105" s="113"/>
      <c r="J105" s="114"/>
      <c r="K105" s="114"/>
      <c r="L105" s="114"/>
    </row>
    <row r="106" spans="2:12" x14ac:dyDescent="0.25">
      <c r="B106" s="88" t="s">
        <v>848</v>
      </c>
      <c r="C106" s="115"/>
      <c r="D106" s="115"/>
      <c r="E106" s="117"/>
      <c r="F106" s="116"/>
      <c r="G106" s="118">
        <f t="shared" si="0"/>
        <v>0</v>
      </c>
      <c r="H106" s="112"/>
      <c r="I106" s="113"/>
      <c r="J106" s="114"/>
      <c r="K106" s="114"/>
      <c r="L106" s="114"/>
    </row>
    <row r="107" spans="2:12" x14ac:dyDescent="0.25">
      <c r="B107" s="106" t="s">
        <v>860</v>
      </c>
      <c r="C107" s="119"/>
      <c r="D107" s="119"/>
      <c r="E107" s="120"/>
      <c r="F107" s="120"/>
      <c r="G107" s="118">
        <f t="shared" si="0"/>
        <v>0</v>
      </c>
      <c r="H107" s="112"/>
      <c r="I107" s="113"/>
      <c r="J107" s="114"/>
    </row>
    <row r="108" spans="2:12" x14ac:dyDescent="0.25">
      <c r="H108" s="112"/>
      <c r="I108" s="113"/>
      <c r="J108" s="114"/>
    </row>
    <row r="109" spans="2:12" x14ac:dyDescent="0.25">
      <c r="E109" s="114"/>
      <c r="F109" s="114"/>
      <c r="H109" s="112"/>
      <c r="I109" s="113"/>
      <c r="J109" s="114"/>
    </row>
    <row r="110" spans="2:12" x14ac:dyDescent="0.25">
      <c r="B110" s="80" t="s">
        <v>1158</v>
      </c>
      <c r="F110" s="114"/>
      <c r="G110" s="113"/>
      <c r="H110" s="112"/>
      <c r="I110" s="113"/>
      <c r="L110" s="112"/>
    </row>
    <row r="111" spans="2:12" x14ac:dyDescent="0.25">
      <c r="H111" s="121"/>
      <c r="L111" s="113"/>
    </row>
    <row r="112" spans="2:12" ht="27" x14ac:dyDescent="0.25">
      <c r="B112" s="107" t="s">
        <v>1097</v>
      </c>
      <c r="C112" s="107" t="s">
        <v>1098</v>
      </c>
      <c r="D112" s="107" t="s">
        <v>1099</v>
      </c>
      <c r="E112" s="108" t="s">
        <v>1100</v>
      </c>
      <c r="F112" s="108" t="s">
        <v>1101</v>
      </c>
      <c r="G112" s="108" t="s">
        <v>1159</v>
      </c>
    </row>
    <row r="113" spans="2:12" x14ac:dyDescent="0.25">
      <c r="B113" s="88" t="s">
        <v>616</v>
      </c>
      <c r="C113" s="99" t="s">
        <v>1160</v>
      </c>
      <c r="D113" s="89" t="s">
        <v>1161</v>
      </c>
      <c r="E113" s="85">
        <v>558.86</v>
      </c>
      <c r="F113" s="86">
        <v>575.4</v>
      </c>
      <c r="G113" s="87">
        <v>119.99526</v>
      </c>
    </row>
    <row r="114" spans="2:12" x14ac:dyDescent="0.25">
      <c r="B114" s="88" t="s">
        <v>768</v>
      </c>
      <c r="C114" s="99" t="s">
        <v>1162</v>
      </c>
      <c r="D114" s="89" t="s">
        <v>1161</v>
      </c>
      <c r="E114" s="85">
        <v>1745.68</v>
      </c>
      <c r="F114" s="86">
        <v>1800.85</v>
      </c>
      <c r="G114" s="87">
        <v>123.72660299999998</v>
      </c>
    </row>
    <row r="115" spans="2:12" x14ac:dyDescent="0.25">
      <c r="B115" s="88" t="s">
        <v>848</v>
      </c>
      <c r="C115" s="99" t="s">
        <v>1160</v>
      </c>
      <c r="D115" s="89" t="s">
        <v>1161</v>
      </c>
      <c r="E115" s="85">
        <v>558.94000000000005</v>
      </c>
      <c r="F115" s="86">
        <v>575.4</v>
      </c>
      <c r="G115" s="87">
        <v>113.67972</v>
      </c>
    </row>
    <row r="116" spans="2:12" x14ac:dyDescent="0.25">
      <c r="B116" s="88" t="s">
        <v>848</v>
      </c>
      <c r="C116" s="99" t="s">
        <v>1163</v>
      </c>
      <c r="D116" s="89" t="s">
        <v>1161</v>
      </c>
      <c r="E116" s="85">
        <v>429.46</v>
      </c>
      <c r="F116" s="86">
        <v>468.5</v>
      </c>
      <c r="G116" s="87">
        <v>558.29938000000004</v>
      </c>
    </row>
    <row r="117" spans="2:12" x14ac:dyDescent="0.25">
      <c r="B117" s="88" t="s">
        <v>848</v>
      </c>
      <c r="C117" s="99" t="s">
        <v>1162</v>
      </c>
      <c r="D117" s="89" t="s">
        <v>1161</v>
      </c>
      <c r="E117" s="85">
        <v>1716.35</v>
      </c>
      <c r="F117" s="86">
        <v>1800.85</v>
      </c>
      <c r="G117" s="87">
        <v>244.23952800000001</v>
      </c>
    </row>
    <row r="118" spans="2:12" x14ac:dyDescent="0.25">
      <c r="B118" s="88" t="s">
        <v>848</v>
      </c>
      <c r="C118" s="99" t="s">
        <v>1164</v>
      </c>
      <c r="D118" s="89" t="s">
        <v>1161</v>
      </c>
      <c r="E118" s="85">
        <v>35634.370000000003</v>
      </c>
      <c r="F118" s="86">
        <v>34995.599999999999</v>
      </c>
      <c r="G118" s="87">
        <v>196.03717210000002</v>
      </c>
    </row>
    <row r="119" spans="2:12" x14ac:dyDescent="0.25">
      <c r="C119" s="122"/>
      <c r="D119" s="123"/>
      <c r="E119" s="124"/>
      <c r="F119" s="125"/>
      <c r="G119" s="125"/>
      <c r="I119" s="113"/>
    </row>
    <row r="120" spans="2:12" x14ac:dyDescent="0.25">
      <c r="B120" s="80" t="s">
        <v>1165</v>
      </c>
      <c r="I120" s="113"/>
    </row>
    <row r="121" spans="2:12" x14ac:dyDescent="0.25">
      <c r="I121" s="113"/>
      <c r="L121" s="114"/>
    </row>
    <row r="122" spans="2:12" x14ac:dyDescent="0.25">
      <c r="B122" s="104" t="s">
        <v>1097</v>
      </c>
      <c r="C122" s="104" t="s">
        <v>1151</v>
      </c>
    </row>
    <row r="123" spans="2:12" x14ac:dyDescent="0.25">
      <c r="B123" s="88" t="s">
        <v>616</v>
      </c>
      <c r="C123" s="126">
        <v>0.14000000000000001</v>
      </c>
    </row>
    <row r="124" spans="2:12" x14ac:dyDescent="0.25">
      <c r="B124" s="88" t="s">
        <v>768</v>
      </c>
      <c r="C124" s="127">
        <v>0.22</v>
      </c>
    </row>
    <row r="125" spans="2:12" x14ac:dyDescent="0.25">
      <c r="B125" s="88" t="s">
        <v>848</v>
      </c>
      <c r="C125" s="128">
        <v>1.64</v>
      </c>
    </row>
    <row r="126" spans="2:12" x14ac:dyDescent="0.25">
      <c r="B126" s="88"/>
      <c r="C126" s="128"/>
    </row>
    <row r="127" spans="2:12" x14ac:dyDescent="0.25">
      <c r="B127" s="88"/>
      <c r="C127" s="128"/>
    </row>
    <row r="128" spans="2:12" x14ac:dyDescent="0.25">
      <c r="B128" s="129"/>
      <c r="C128" s="130"/>
    </row>
    <row r="129" spans="2:9" x14ac:dyDescent="0.25">
      <c r="B129" s="80" t="s">
        <v>1166</v>
      </c>
    </row>
    <row r="130" spans="2:9" x14ac:dyDescent="0.25">
      <c r="B130" s="80"/>
    </row>
    <row r="131" spans="2:9" ht="54" x14ac:dyDescent="0.25">
      <c r="B131" s="107" t="s">
        <v>1097</v>
      </c>
      <c r="C131" s="108" t="s">
        <v>1153</v>
      </c>
      <c r="D131" s="108" t="s">
        <v>1154</v>
      </c>
      <c r="E131" s="108" t="s">
        <v>1155</v>
      </c>
      <c r="F131" s="108" t="s">
        <v>1167</v>
      </c>
      <c r="G131" s="108" t="s">
        <v>1168</v>
      </c>
    </row>
    <row r="132" spans="2:9" x14ac:dyDescent="0.25">
      <c r="B132" s="88" t="s">
        <v>714</v>
      </c>
      <c r="C132" s="115">
        <v>40</v>
      </c>
      <c r="D132" s="115">
        <v>40</v>
      </c>
      <c r="E132" s="116">
        <v>361.4</v>
      </c>
      <c r="F132" s="116">
        <v>361.08</v>
      </c>
      <c r="G132" s="131">
        <f t="shared" ref="G132:G140" si="1">+F132-E132</f>
        <v>-0.31999999999999318</v>
      </c>
      <c r="H132" s="112"/>
      <c r="I132" s="113">
        <f>+C132-D132</f>
        <v>0</v>
      </c>
    </row>
    <row r="133" spans="2:9" x14ac:dyDescent="0.25">
      <c r="B133" s="106" t="s">
        <v>201</v>
      </c>
      <c r="C133" s="132">
        <v>391</v>
      </c>
      <c r="D133" s="132">
        <v>391</v>
      </c>
      <c r="E133" s="120">
        <v>4455.7601100000002</v>
      </c>
      <c r="F133" s="120">
        <v>4461.3760599999996</v>
      </c>
      <c r="G133" s="131">
        <f t="shared" si="1"/>
        <v>5.6159499999994296</v>
      </c>
      <c r="H133" s="133"/>
      <c r="I133" s="113">
        <f>+C133-D133</f>
        <v>0</v>
      </c>
    </row>
    <row r="134" spans="2:9" x14ac:dyDescent="0.25">
      <c r="B134" s="106" t="s">
        <v>1169</v>
      </c>
      <c r="C134" s="132"/>
      <c r="D134" s="132"/>
      <c r="E134" s="120"/>
      <c r="F134" s="120"/>
      <c r="G134" s="131">
        <f t="shared" si="1"/>
        <v>0</v>
      </c>
      <c r="I134" s="113">
        <f>+C134-D134</f>
        <v>0</v>
      </c>
    </row>
    <row r="135" spans="2:9" x14ac:dyDescent="0.25">
      <c r="B135" s="88" t="s">
        <v>861</v>
      </c>
      <c r="C135" s="119"/>
      <c r="D135" s="119"/>
      <c r="E135" s="120"/>
      <c r="F135" s="120"/>
      <c r="G135" s="131">
        <f t="shared" si="1"/>
        <v>0</v>
      </c>
      <c r="H135" s="134"/>
      <c r="I135" s="113">
        <f>+C135-D135</f>
        <v>0</v>
      </c>
    </row>
    <row r="136" spans="2:9" x14ac:dyDescent="0.25">
      <c r="B136" s="88" t="s">
        <v>1170</v>
      </c>
      <c r="C136" s="119">
        <v>195</v>
      </c>
      <c r="D136" s="119">
        <v>195</v>
      </c>
      <c r="E136" s="120">
        <v>1270.8968768</v>
      </c>
      <c r="F136" s="120">
        <v>1484.0392128000001</v>
      </c>
      <c r="G136" s="131">
        <f t="shared" si="1"/>
        <v>213.14233600000011</v>
      </c>
      <c r="H136" s="134"/>
      <c r="I136" s="113"/>
    </row>
    <row r="137" spans="2:9" x14ac:dyDescent="0.25">
      <c r="B137" s="88" t="s">
        <v>848</v>
      </c>
      <c r="C137" s="115">
        <v>1800</v>
      </c>
      <c r="D137" s="115">
        <v>1800</v>
      </c>
      <c r="E137" s="116">
        <v>10398.530000000001</v>
      </c>
      <c r="F137" s="116">
        <v>11332.17</v>
      </c>
      <c r="G137" s="111">
        <f t="shared" si="1"/>
        <v>933.63999999999942</v>
      </c>
      <c r="H137" s="134"/>
      <c r="I137" s="113"/>
    </row>
    <row r="138" spans="2:9" x14ac:dyDescent="0.25">
      <c r="B138" s="88" t="s">
        <v>616</v>
      </c>
      <c r="C138" s="119">
        <v>120</v>
      </c>
      <c r="D138" s="119">
        <v>120</v>
      </c>
      <c r="E138" s="120">
        <v>1084.2439199999999</v>
      </c>
      <c r="F138" s="120">
        <v>1083.24</v>
      </c>
      <c r="G138" s="131">
        <f t="shared" si="1"/>
        <v>-1.00391999999988</v>
      </c>
      <c r="H138" s="134"/>
      <c r="I138" s="113">
        <f>+C138-D138</f>
        <v>0</v>
      </c>
    </row>
    <row r="139" spans="2:9" x14ac:dyDescent="0.25">
      <c r="B139" s="88" t="s">
        <v>1171</v>
      </c>
      <c r="C139" s="119"/>
      <c r="D139" s="119"/>
      <c r="E139" s="120"/>
      <c r="F139" s="120"/>
      <c r="G139" s="131">
        <f t="shared" si="1"/>
        <v>0</v>
      </c>
      <c r="H139" s="134"/>
      <c r="I139" s="113"/>
    </row>
    <row r="140" spans="2:9" x14ac:dyDescent="0.25">
      <c r="B140" s="135" t="s">
        <v>330</v>
      </c>
      <c r="C140" s="115"/>
      <c r="D140" s="115"/>
      <c r="E140" s="116"/>
      <c r="F140" s="116"/>
      <c r="G140" s="131">
        <f t="shared" si="1"/>
        <v>0</v>
      </c>
      <c r="H140" s="112"/>
      <c r="I140" s="113"/>
    </row>
    <row r="141" spans="2:9" x14ac:dyDescent="0.25">
      <c r="H141" s="112"/>
      <c r="I141" s="113"/>
    </row>
    <row r="142" spans="2:9" x14ac:dyDescent="0.25">
      <c r="B142" s="136"/>
      <c r="C142" s="137"/>
      <c r="D142" s="137"/>
      <c r="E142" s="138"/>
      <c r="F142" s="138"/>
      <c r="G142" s="138"/>
      <c r="H142" s="113"/>
    </row>
    <row r="143" spans="2:9" x14ac:dyDescent="0.25">
      <c r="B143" s="80" t="s">
        <v>1172</v>
      </c>
      <c r="D143" s="139"/>
    </row>
    <row r="145" spans="2:7" ht="27" x14ac:dyDescent="0.25">
      <c r="B145" s="108" t="s">
        <v>1097</v>
      </c>
      <c r="C145" s="108" t="s">
        <v>1098</v>
      </c>
      <c r="D145" s="108" t="s">
        <v>1173</v>
      </c>
      <c r="E145" s="108" t="s">
        <v>1174</v>
      </c>
      <c r="F145" s="108" t="s">
        <v>1175</v>
      </c>
      <c r="G145" s="108" t="s">
        <v>1176</v>
      </c>
    </row>
    <row r="146" spans="2:7" x14ac:dyDescent="0.25">
      <c r="B146" s="140" t="s">
        <v>445</v>
      </c>
      <c r="C146" s="140" t="s">
        <v>445</v>
      </c>
      <c r="D146" s="140" t="s">
        <v>445</v>
      </c>
      <c r="E146" s="140" t="s">
        <v>445</v>
      </c>
      <c r="F146" s="140" t="s">
        <v>445</v>
      </c>
      <c r="G146" s="140" t="s">
        <v>445</v>
      </c>
    </row>
    <row r="147" spans="2:7" x14ac:dyDescent="0.25">
      <c r="D147" s="139"/>
      <c r="E147" s="139"/>
      <c r="F147" s="141"/>
      <c r="G147" s="141"/>
    </row>
    <row r="148" spans="2:7" x14ac:dyDescent="0.25">
      <c r="D148" s="139"/>
      <c r="E148" s="139"/>
      <c r="F148" s="141"/>
      <c r="G148" s="141"/>
    </row>
    <row r="149" spans="2:7" x14ac:dyDescent="0.25">
      <c r="B149" s="80" t="s">
        <v>1177</v>
      </c>
      <c r="G149" s="79" t="s">
        <v>1178</v>
      </c>
    </row>
    <row r="150" spans="2:7" x14ac:dyDescent="0.25">
      <c r="B150" s="80"/>
    </row>
    <row r="151" spans="2:7" x14ac:dyDescent="0.25">
      <c r="B151" s="104" t="s">
        <v>1097</v>
      </c>
      <c r="C151" s="104" t="s">
        <v>1151</v>
      </c>
    </row>
    <row r="152" spans="2:7" x14ac:dyDescent="0.25">
      <c r="B152" s="140" t="s">
        <v>445</v>
      </c>
      <c r="C152" s="140" t="s">
        <v>445</v>
      </c>
    </row>
    <row r="153" spans="2:7" x14ac:dyDescent="0.25">
      <c r="C153" s="142"/>
      <c r="D153" s="130"/>
    </row>
    <row r="154" spans="2:7" x14ac:dyDescent="0.25">
      <c r="B154" s="80" t="s">
        <v>1179</v>
      </c>
    </row>
    <row r="156" spans="2:7" ht="40.5" x14ac:dyDescent="0.25">
      <c r="B156" s="107" t="s">
        <v>1097</v>
      </c>
      <c r="C156" s="108" t="s">
        <v>1180</v>
      </c>
      <c r="D156" s="108" t="s">
        <v>1181</v>
      </c>
      <c r="E156" s="108" t="s">
        <v>1182</v>
      </c>
      <c r="F156" s="108" t="s">
        <v>1183</v>
      </c>
    </row>
    <row r="157" spans="2:7" x14ac:dyDescent="0.25">
      <c r="B157" s="143"/>
      <c r="C157" s="140"/>
      <c r="D157" s="144"/>
      <c r="E157" s="131"/>
      <c r="F157" s="131">
        <f>+E157-D157</f>
        <v>0</v>
      </c>
    </row>
    <row r="158" spans="2:7" x14ac:dyDescent="0.25">
      <c r="B158" s="145"/>
      <c r="C158" s="146"/>
      <c r="D158" s="147"/>
      <c r="E158" s="147"/>
      <c r="F158" s="148"/>
    </row>
    <row r="159" spans="2:7" x14ac:dyDescent="0.25">
      <c r="B159" s="145"/>
      <c r="C159" s="146"/>
      <c r="D159" s="147"/>
      <c r="E159" s="147"/>
      <c r="F159" s="148"/>
    </row>
    <row r="161" spans="2:7" x14ac:dyDescent="0.25">
      <c r="B161" s="80" t="s">
        <v>1184</v>
      </c>
    </row>
    <row r="163" spans="2:7" ht="27" x14ac:dyDescent="0.25">
      <c r="B163" s="108" t="s">
        <v>1097</v>
      </c>
      <c r="C163" s="108" t="s">
        <v>1098</v>
      </c>
      <c r="D163" s="108" t="s">
        <v>1173</v>
      </c>
      <c r="E163" s="108" t="s">
        <v>1174</v>
      </c>
      <c r="F163" s="108" t="s">
        <v>1175</v>
      </c>
      <c r="G163" s="108" t="s">
        <v>1176</v>
      </c>
    </row>
    <row r="164" spans="2:7" x14ac:dyDescent="0.25">
      <c r="B164" s="88" t="s">
        <v>445</v>
      </c>
      <c r="C164" s="88" t="s">
        <v>445</v>
      </c>
      <c r="D164" s="88" t="s">
        <v>445</v>
      </c>
      <c r="E164" s="88" t="s">
        <v>445</v>
      </c>
      <c r="F164" s="88" t="s">
        <v>445</v>
      </c>
      <c r="G164" s="88" t="s">
        <v>445</v>
      </c>
    </row>
    <row r="165" spans="2:7" x14ac:dyDescent="0.25">
      <c r="C165" s="122"/>
      <c r="D165" s="149"/>
      <c r="E165" s="150"/>
      <c r="F165" s="141"/>
      <c r="G165" s="141"/>
    </row>
    <row r="166" spans="2:7" x14ac:dyDescent="0.25">
      <c r="B166" s="80" t="s">
        <v>1185</v>
      </c>
    </row>
    <row r="167" spans="2:7" x14ac:dyDescent="0.25">
      <c r="B167" s="80"/>
    </row>
    <row r="168" spans="2:7" x14ac:dyDescent="0.25">
      <c r="B168" s="104" t="s">
        <v>1097</v>
      </c>
      <c r="C168" s="104" t="s">
        <v>1151</v>
      </c>
    </row>
    <row r="169" spans="2:7" x14ac:dyDescent="0.25">
      <c r="B169" s="88" t="s">
        <v>445</v>
      </c>
      <c r="C169" s="88" t="s">
        <v>445</v>
      </c>
    </row>
    <row r="170" spans="2:7" x14ac:dyDescent="0.25">
      <c r="B170" s="129"/>
      <c r="C170" s="130"/>
    </row>
    <row r="171" spans="2:7" x14ac:dyDescent="0.25">
      <c r="B171" s="80" t="s">
        <v>1186</v>
      </c>
    </row>
    <row r="173" spans="2:7" ht="40.5" x14ac:dyDescent="0.25">
      <c r="B173" s="107" t="s">
        <v>1097</v>
      </c>
      <c r="C173" s="108" t="s">
        <v>1180</v>
      </c>
      <c r="D173" s="108" t="s">
        <v>1187</v>
      </c>
      <c r="E173" s="108" t="s">
        <v>1188</v>
      </c>
      <c r="F173" s="108" t="s">
        <v>1183</v>
      </c>
    </row>
    <row r="174" spans="2:7" x14ac:dyDescent="0.25">
      <c r="B174" s="88"/>
      <c r="C174" s="140"/>
      <c r="D174" s="144"/>
      <c r="E174" s="140"/>
      <c r="F174" s="140"/>
    </row>
    <row r="175" spans="2:7" x14ac:dyDescent="0.25">
      <c r="G175" s="151"/>
    </row>
    <row r="176" spans="2:7" x14ac:dyDescent="0.25">
      <c r="F176" s="152"/>
      <c r="G176" s="114"/>
    </row>
    <row r="177" spans="2:7" x14ac:dyDescent="0.25">
      <c r="B177" s="80" t="s">
        <v>1189</v>
      </c>
    </row>
    <row r="178" spans="2:7" x14ac:dyDescent="0.25">
      <c r="B178" s="80"/>
    </row>
    <row r="179" spans="2:7" x14ac:dyDescent="0.25">
      <c r="E179" s="114"/>
    </row>
    <row r="180" spans="2:7" x14ac:dyDescent="0.25">
      <c r="B180" s="80" t="s">
        <v>1190</v>
      </c>
      <c r="E180" s="114"/>
    </row>
    <row r="181" spans="2:7" x14ac:dyDescent="0.25">
      <c r="E181" s="114"/>
    </row>
    <row r="182" spans="2:7" ht="27" x14ac:dyDescent="0.25">
      <c r="B182" s="107" t="s">
        <v>1097</v>
      </c>
      <c r="C182" s="108" t="s">
        <v>1098</v>
      </c>
      <c r="D182" s="108" t="s">
        <v>1099</v>
      </c>
      <c r="E182" s="108" t="s">
        <v>1191</v>
      </c>
      <c r="F182" s="108" t="s">
        <v>1192</v>
      </c>
      <c r="G182" s="108" t="s">
        <v>1193</v>
      </c>
    </row>
    <row r="183" spans="2:7" x14ac:dyDescent="0.25">
      <c r="B183" s="106" t="s">
        <v>445</v>
      </c>
      <c r="C183" s="153" t="s">
        <v>445</v>
      </c>
      <c r="D183" s="154" t="s">
        <v>445</v>
      </c>
      <c r="E183" s="155" t="s">
        <v>445</v>
      </c>
      <c r="F183" s="155" t="s">
        <v>445</v>
      </c>
      <c r="G183" s="155" t="s">
        <v>445</v>
      </c>
    </row>
    <row r="184" spans="2:7" x14ac:dyDescent="0.25">
      <c r="E184" s="114"/>
    </row>
    <row r="185" spans="2:7" x14ac:dyDescent="0.25">
      <c r="B185" s="80" t="s">
        <v>1194</v>
      </c>
      <c r="E185" s="114"/>
    </row>
    <row r="186" spans="2:7" x14ac:dyDescent="0.25">
      <c r="B186" s="80"/>
      <c r="E186" s="114"/>
    </row>
    <row r="187" spans="2:7" x14ac:dyDescent="0.25">
      <c r="B187" s="104" t="s">
        <v>1097</v>
      </c>
      <c r="C187" s="104" t="s">
        <v>1151</v>
      </c>
      <c r="E187" s="114"/>
    </row>
    <row r="188" spans="2:7" x14ac:dyDescent="0.25">
      <c r="B188" s="140" t="s">
        <v>445</v>
      </c>
      <c r="C188" s="132" t="s">
        <v>445</v>
      </c>
      <c r="E188" s="114"/>
    </row>
    <row r="189" spans="2:7" x14ac:dyDescent="0.25">
      <c r="E189" s="114"/>
    </row>
    <row r="190" spans="2:7" x14ac:dyDescent="0.25">
      <c r="B190" s="80" t="s">
        <v>1195</v>
      </c>
      <c r="E190" s="114"/>
    </row>
    <row r="191" spans="2:7" x14ac:dyDescent="0.25">
      <c r="E191" s="114"/>
    </row>
    <row r="192" spans="2:7" ht="67.5" x14ac:dyDescent="0.25">
      <c r="B192" s="107" t="s">
        <v>1097</v>
      </c>
      <c r="C192" s="108" t="s">
        <v>1153</v>
      </c>
      <c r="D192" s="108" t="s">
        <v>1154</v>
      </c>
      <c r="E192" s="108" t="s">
        <v>1155</v>
      </c>
      <c r="F192" s="108" t="s">
        <v>1156</v>
      </c>
      <c r="G192" s="108" t="s">
        <v>1157</v>
      </c>
    </row>
    <row r="193" spans="2:10" x14ac:dyDescent="0.25">
      <c r="B193" s="132"/>
      <c r="C193" s="132"/>
      <c r="D193" s="109"/>
      <c r="E193" s="156"/>
      <c r="F193" s="157"/>
      <c r="G193" s="158"/>
      <c r="I193" s="113"/>
      <c r="J193" s="114"/>
    </row>
    <row r="194" spans="2:10" x14ac:dyDescent="0.25">
      <c r="E194" s="114"/>
    </row>
    <row r="195" spans="2:10" x14ac:dyDescent="0.25">
      <c r="E195" s="114"/>
    </row>
    <row r="196" spans="2:10" x14ac:dyDescent="0.25">
      <c r="B196" s="80" t="s">
        <v>1196</v>
      </c>
      <c r="E196" s="114"/>
    </row>
    <row r="197" spans="2:10" x14ac:dyDescent="0.25">
      <c r="E197" s="114"/>
    </row>
    <row r="198" spans="2:10" ht="67.5" x14ac:dyDescent="0.25">
      <c r="B198" s="107" t="s">
        <v>1097</v>
      </c>
      <c r="C198" s="108" t="s">
        <v>1153</v>
      </c>
      <c r="D198" s="108" t="s">
        <v>1154</v>
      </c>
      <c r="E198" s="108" t="s">
        <v>1155</v>
      </c>
      <c r="F198" s="108" t="s">
        <v>1156</v>
      </c>
      <c r="G198" s="108" t="s">
        <v>1157</v>
      </c>
    </row>
    <row r="199" spans="2:10" x14ac:dyDescent="0.25">
      <c r="B199" s="89"/>
      <c r="C199" s="140"/>
      <c r="D199" s="140"/>
      <c r="E199" s="159"/>
      <c r="F199" s="159"/>
      <c r="G199" s="159"/>
    </row>
    <row r="200" spans="2:10" x14ac:dyDescent="0.25">
      <c r="E200" s="114"/>
    </row>
    <row r="201" spans="2:10" x14ac:dyDescent="0.25">
      <c r="E201" s="114"/>
    </row>
    <row r="202" spans="2:10" x14ac:dyDescent="0.25">
      <c r="E202" s="114"/>
    </row>
    <row r="203" spans="2:10" x14ac:dyDescent="0.25">
      <c r="B203" s="79" t="s">
        <v>1197</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2024-05-03T10:58:27Z</dcterms:created>
  <dcterms:modified xsi:type="dcterms:W3CDTF">2024-05-10T09:41:37Z</dcterms:modified>
</cp:coreProperties>
</file>