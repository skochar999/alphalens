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AA2EC16D-DA07-4C60-A468-B3F96E77B384}" xr6:coauthVersionLast="47" xr6:coauthVersionMax="47" xr10:uidLastSave="{00000000-0000-0000-0000-000000000000}"/>
  <bookViews>
    <workbookView xWindow="-120" yWindow="-120" windowWidth="29040" windowHeight="15840" xr2:uid="{2628EBBB-088F-40E3-B521-08DA002FFFA6}"/>
  </bookViews>
  <sheets>
    <sheet name="IDF014" sheetId="1" r:id="rId1"/>
  </sheets>
  <definedNames>
    <definedName name="JR_PAGE_ANCHOR_0_27">'IDF014'!$A$1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9" i="1" l="1"/>
</calcChain>
</file>

<file path=xl/sharedStrings.xml><?xml version="1.0" encoding="utf-8"?>
<sst xmlns="http://schemas.openxmlformats.org/spreadsheetml/2006/main" count="730" uniqueCount="483">
  <si>
    <t>IDF014</t>
  </si>
  <si>
    <t>Portfolio Statement as on September 30,2025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</si>
  <si>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</si>
  <si>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</si>
  <si>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</si>
  <si>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</si>
  <si>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</si>
  <si>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</si>
  <si>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</si>
  <si>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</si>
  <si>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</si>
  <si>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</si>
  <si>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</si>
  <si>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</si>
  <si>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</si>
  <si>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</si>
  <si>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</si>
  <si>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</si>
  <si>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</si>
  <si>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</si>
  <si>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</si>
  <si>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</si>
  <si>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</si>
  <si>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</si>
  <si>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</si>
  <si>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</si>
  <si>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</si>
  <si>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</si>
  <si>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</si>
  <si>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</si>
  <si>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</si>
  <si>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</si>
  <si>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</si>
  <si>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</si>
  <si>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</si>
  <si>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</si>
  <si>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</si>
  <si>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</si>
  <si>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</si>
  <si>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</si>
  <si>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PIDI02</t>
  </si>
  <si>
    <t>Pidilite Industries Limited</t>
  </si>
  <si>
    <t>INE318A01026</t>
  </si>
  <si>
    <t>Chemicals &amp; Petrochemicals</t>
  </si>
  <si>
    <t>MCEX01</t>
  </si>
  <si>
    <t>Multi Commodity Exchange of India Limited</t>
  </si>
  <si>
    <t>INE745G01035</t>
  </si>
  <si>
    <t>Capital Markets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</si>
  <si>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</si>
  <si>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</si>
  <si>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</si>
  <si>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</si>
  <si>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</si>
  <si>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</si>
  <si>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</si>
  <si>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TPOW02</t>
  </si>
  <si>
    <t>Tata Power Company Limited</t>
  </si>
  <si>
    <t>INE245A01021</t>
  </si>
  <si>
    <t>Power</t>
  </si>
  <si>
    <t>TCSL01</t>
  </si>
  <si>
    <t>Tata Consultancy Services Limited</t>
  </si>
  <si>
    <t>INE467B01029</t>
  </si>
  <si>
    <t>IT - Software</t>
  </si>
  <si>
    <t>HLEL02</t>
  </si>
  <si>
    <t>Hindustan Unilever Limited</t>
  </si>
  <si>
    <t>INE030A01027</t>
  </si>
  <si>
    <t>GRAS02</t>
  </si>
  <si>
    <t>Grasim Industries Limited</t>
  </si>
  <si>
    <t>INE047A01021</t>
  </si>
  <si>
    <t>Cement &amp; Cement Products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</si>
  <si>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</si>
  <si>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</si>
  <si>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</si>
  <si>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</si>
  <si>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</si>
  <si>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</si>
  <si>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</si>
  <si>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</si>
  <si>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NEST02</t>
  </si>
  <si>
    <t>Nestle India Limited</t>
  </si>
  <si>
    <t>INE239A01024</t>
  </si>
  <si>
    <t>Food Products</t>
  </si>
  <si>
    <t>PUBA02</t>
  </si>
  <si>
    <t>Punjab National Bank</t>
  </si>
  <si>
    <t>INE160A01022</t>
  </si>
  <si>
    <t>AUPH03</t>
  </si>
  <si>
    <t>Aurobindo Pharma Limited</t>
  </si>
  <si>
    <t>INE406A01037</t>
  </si>
  <si>
    <t>BTVL02</t>
  </si>
  <si>
    <t>Bharti Airtel Limited</t>
  </si>
  <si>
    <t>INE397D01024</t>
  </si>
  <si>
    <t>Telecom - Services</t>
  </si>
  <si>
    <t>DABU02</t>
  </si>
  <si>
    <t>Dabur India Limited</t>
  </si>
  <si>
    <t>INE016A01026</t>
  </si>
  <si>
    <t>Personal Products</t>
  </si>
  <si>
    <t>TISC03</t>
  </si>
  <si>
    <t>Tata Steel Limited</t>
  </si>
  <si>
    <t>INE081A01020</t>
  </si>
  <si>
    <t>Ferrous Metals</t>
  </si>
  <si>
    <t>JSPL03</t>
  </si>
  <si>
    <t>Jindal Steel Limited</t>
  </si>
  <si>
    <t>INE749A01030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</si>
  <si>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</si>
  <si>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</si>
  <si>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</si>
  <si>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</si>
  <si>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</si>
  <si>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</si>
  <si>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</si>
  <si>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</si>
  <si>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</si>
  <si>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</si>
  <si>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Insurance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</si>
  <si>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</si>
  <si>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</si>
  <si>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</si>
  <si>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</si>
  <si>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</si>
  <si>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</si>
  <si>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</si>
  <si>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</si>
  <si>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</si>
  <si>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</si>
  <si>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ASPA02</t>
  </si>
  <si>
    <t>Asian Paints Limited</t>
  </si>
  <si>
    <t>INE021A01026</t>
  </si>
  <si>
    <t>ULCC01</t>
  </si>
  <si>
    <t>UltraTech Cement Limited</t>
  </si>
  <si>
    <t>INE481G01011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</si>
  <si>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</si>
  <si>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</si>
  <si>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</si>
  <si>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</si>
  <si>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</si>
  <si>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</si>
  <si>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</si>
  <si>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</si>
  <si>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</si>
  <si>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</si>
  <si>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MOTI02</t>
  </si>
  <si>
    <t>Bosch Limited</t>
  </si>
  <si>
    <t>INE323A01026</t>
  </si>
  <si>
    <t>Auto Components</t>
  </si>
  <si>
    <t>DRRL03</t>
  </si>
  <si>
    <t>Dr. Reddy's Laboratories Limited</t>
  </si>
  <si>
    <t>INE089A01031</t>
  </si>
  <si>
    <t>TOPH02</t>
  </si>
  <si>
    <t>Torrent Pharmaceuticals Limited</t>
  </si>
  <si>
    <t>INE685A01028</t>
  </si>
  <si>
    <t>CIPL03</t>
  </si>
  <si>
    <t>Cipla Limited</t>
  </si>
  <si>
    <t>INE059A01026</t>
  </si>
  <si>
    <t>BFSL02</t>
  </si>
  <si>
    <t>Bajaj Finserv Limited</t>
  </si>
  <si>
    <t>INE918I01026</t>
  </si>
  <si>
    <t>Finance</t>
  </si>
  <si>
    <t>BALN01</t>
  </si>
  <si>
    <t>Bajaj Auto Limited</t>
  </si>
  <si>
    <t>INE917I01010</t>
  </si>
  <si>
    <t>INFS02</t>
  </si>
  <si>
    <t>Infosys Limited</t>
  </si>
  <si>
    <t>INE009A01021</t>
  </si>
  <si>
    <t>WIPR02</t>
  </si>
  <si>
    <t>Wipro Limited</t>
  </si>
  <si>
    <t>INE075A01022</t>
  </si>
  <si>
    <t>CCOI02</t>
  </si>
  <si>
    <t>Container Corporation of India Limited</t>
  </si>
  <si>
    <t>INE111A01025</t>
  </si>
  <si>
    <t>Transport Services</t>
  </si>
  <si>
    <t>ABFS01</t>
  </si>
  <si>
    <t>Aditya Birla Capital Limited</t>
  </si>
  <si>
    <t>INE674K01013</t>
  </si>
  <si>
    <t>BAFL03</t>
  </si>
  <si>
    <t>Bajaj Finance Limited</t>
  </si>
  <si>
    <t>INE296A01032</t>
  </si>
  <si>
    <t>Subtotal</t>
  </si>
  <si>
    <t>(b) UNLISTED</t>
  </si>
  <si>
    <t>NIL</t>
  </si>
  <si>
    <t>Total</t>
  </si>
  <si>
    <t>Derivatives</t>
  </si>
  <si>
    <t>Index / Stock Futures</t>
  </si>
  <si>
    <t>BAFLOCT25</t>
  </si>
  <si>
    <t>Bajaj Finance Limited October 2025 Future</t>
  </si>
  <si>
    <t xml:space="preserve"> </t>
  </si>
  <si>
    <t>ULCCOCT25</t>
  </si>
  <si>
    <t>UltraTech Cement Limited October 2025 Future</t>
  </si>
  <si>
    <t>ABFSOCT25</t>
  </si>
  <si>
    <t>Aditya Birla Capital Limited October 2025 Future</t>
  </si>
  <si>
    <t>CCOIOCT25</t>
  </si>
  <si>
    <t>Container Corporation of India Limited October 2025 Future</t>
  </si>
  <si>
    <t>ASPAOCT25</t>
  </si>
  <si>
    <t>Asian Paints Limited October 2025 Future</t>
  </si>
  <si>
    <t>SLIFOCT25</t>
  </si>
  <si>
    <t>SBI Life Insurance Company Limited October 2025 Future</t>
  </si>
  <si>
    <t>TWATOCT25</t>
  </si>
  <si>
    <t>Titan Company Limited October 2025 Future</t>
  </si>
  <si>
    <t>HCLTOCT25</t>
  </si>
  <si>
    <t>HCL Technologies Limited October 2025 Future</t>
  </si>
  <si>
    <t>JVSLOCT25</t>
  </si>
  <si>
    <t>JSW Steel Limited October 2025 Future</t>
  </si>
  <si>
    <t>HINIOCT25</t>
  </si>
  <si>
    <t>Hindalco Industries Limited October 2025 Future</t>
  </si>
  <si>
    <t>TEMAOCT25</t>
  </si>
  <si>
    <t>Tech Mahindra Limited October 2025 Future</t>
  </si>
  <si>
    <t>DABUOCT25</t>
  </si>
  <si>
    <t>Dabur India Limited October 2025 Future</t>
  </si>
  <si>
    <t>BTVLOCT25</t>
  </si>
  <si>
    <t>Bharti Airtel Limited October 2025 Future</t>
  </si>
  <si>
    <t>JSPLOCT25</t>
  </si>
  <si>
    <t>Jindal Steel Limited October 2025 Future</t>
  </si>
  <si>
    <t>NESTOCT25</t>
  </si>
  <si>
    <t>Nestle India Limited October 2025 Future</t>
  </si>
  <si>
    <t>SPILOCT25</t>
  </si>
  <si>
    <t>Sun Pharmaceutical Industries Limited October 2025 Future</t>
  </si>
  <si>
    <t>TISCOCT25</t>
  </si>
  <si>
    <t>Tata Steel Limited October 2025 Future</t>
  </si>
  <si>
    <t>AUPHOCT25</t>
  </si>
  <si>
    <t>Aurobindo Pharma Limited October 2025 Future</t>
  </si>
  <si>
    <t>HLELOCT25</t>
  </si>
  <si>
    <t>Hindustan Unilever Limited October 2025 Future</t>
  </si>
  <si>
    <t>PUBAOCT25</t>
  </si>
  <si>
    <t>Punjab National Bank October 2025 Future</t>
  </si>
  <si>
    <t>LAKMOCT25</t>
  </si>
  <si>
    <t>Trent Limited October 2025 Future</t>
  </si>
  <si>
    <t>TCSLOCT25</t>
  </si>
  <si>
    <t>Tata Consultancy Services Limited October 2025 Future</t>
  </si>
  <si>
    <t>GRASOCT25</t>
  </si>
  <si>
    <t>Grasim Industries Limited October 2025 Future</t>
  </si>
  <si>
    <t>ITCLOCT25</t>
  </si>
  <si>
    <t>ITC Limited October 2025 Future</t>
  </si>
  <si>
    <t>TPOWOCT25</t>
  </si>
  <si>
    <t>Tata Power Company Limited October 2025 Future</t>
  </si>
  <si>
    <t>MAHIOCT25</t>
  </si>
  <si>
    <t>Mahindra &amp; Mahindra Limited October 2025 Future</t>
  </si>
  <si>
    <t>MAUDOCT25</t>
  </si>
  <si>
    <t>Maruti Suzuki India Limited October 2025 Future</t>
  </si>
  <si>
    <t>PIDIOCT25</t>
  </si>
  <si>
    <t>Pidilite Industries Limited October 2025 Future</t>
  </si>
  <si>
    <t>MCEXOCT25</t>
  </si>
  <si>
    <t>Multi Commodity Exchange of India Limited October 2025 Future</t>
  </si>
  <si>
    <t>LARSOCT25</t>
  </si>
  <si>
    <t>Larsen &amp; Toubro Limited October 2025 Future</t>
  </si>
  <si>
    <t>KMBKOCT25</t>
  </si>
  <si>
    <t>Kotak Mahindra Bank Limited October 2025 Future</t>
  </si>
  <si>
    <t>SBAIOCT25</t>
  </si>
  <si>
    <t>State Bank of India October 2025 Future</t>
  </si>
  <si>
    <t>RINDOCT25</t>
  </si>
  <si>
    <t>Reliance Industries Limited October 2025 Future</t>
  </si>
  <si>
    <t>HDFBOCT25</t>
  </si>
  <si>
    <t>HDFC Bank Limited October 2025 Future</t>
  </si>
  <si>
    <t>UTIBOCT25</t>
  </si>
  <si>
    <t>Axis Bank Limited October 2025 Future</t>
  </si>
  <si>
    <t>IBCLOCT25</t>
  </si>
  <si>
    <t>ICICI Bank Limited October 2025 Future</t>
  </si>
  <si>
    <t>Index / Stock Options</t>
  </si>
  <si>
    <t>AG28OC257800C</t>
  </si>
  <si>
    <t>Apollo Hospitals Enterprise Limited 7800 Call October 2025 Option</t>
  </si>
  <si>
    <t>$</t>
  </si>
  <si>
    <t>CE28OC251300C</t>
  </si>
  <si>
    <t>Dr. Reddy's Laboratories Limited 1300 Call October 2025 Option</t>
  </si>
  <si>
    <t>AY28OC251980C</t>
  </si>
  <si>
    <t>Bharti Airtel Limited 1980 Call October 2025 Option</t>
  </si>
  <si>
    <t>BR28OC251560C</t>
  </si>
  <si>
    <t>Cipla Limited 1560 Call October 2025 Option</t>
  </si>
  <si>
    <t>HB28OC25245C</t>
  </si>
  <si>
    <t>Wipro Limited 245 Call October 2025 Option</t>
  </si>
  <si>
    <t>BA28OC252080C</t>
  </si>
  <si>
    <t>Bajaj Finserv Limited 2080 Call October 2025 Option</t>
  </si>
  <si>
    <t>AT28OC259100C</t>
  </si>
  <si>
    <t>Bajaj Auto Limited 9100 Call October 2025 Option</t>
  </si>
  <si>
    <t>EJ28OC253900C</t>
  </si>
  <si>
    <t>Larsen &amp; Toubro Limited 3900 Call October 2025 Option</t>
  </si>
  <si>
    <t>FX28OC251440C</t>
  </si>
  <si>
    <t>Reliance Industries Limited 1440 Call October 2025 Option</t>
  </si>
  <si>
    <t>GP28OC253500C</t>
  </si>
  <si>
    <t>Titan Company Limited 3500 Call October 2025 Option</t>
  </si>
  <si>
    <t>AN28OC252440C</t>
  </si>
  <si>
    <t>Asian Paints Limited 2440 Call October 2025 Option</t>
  </si>
  <si>
    <t>DF28OC251420C</t>
  </si>
  <si>
    <t>ICICI Bank Limited 1420 Call October 2025 Option</t>
  </si>
  <si>
    <t>GX28OC2512500C</t>
  </si>
  <si>
    <t>UltraTech Cement Limited 12500 Call October 2025 Option</t>
  </si>
  <si>
    <t>DV28OC25420C</t>
  </si>
  <si>
    <t>ITC Limited 420 Call October 2025 Option</t>
  </si>
  <si>
    <t>FC28OC251220C</t>
  </si>
  <si>
    <t>Nestle India Limited 1220 Call October 2025 Option</t>
  </si>
  <si>
    <t>CY28OC255550C</t>
  </si>
  <si>
    <t>Hero MotoCorp Limited 5550 Call October 2025 Option</t>
  </si>
  <si>
    <t>GF28OC251860C</t>
  </si>
  <si>
    <t>SBI Life Insurance Company Limited 1860 Call October 2025 Option</t>
  </si>
  <si>
    <t>EC28OC252080C</t>
  </si>
  <si>
    <t>Kotak Mahindra Bank Limited 2080 Call October 2025 Option</t>
  </si>
  <si>
    <t>CX28OC251440C</t>
  </si>
  <si>
    <t>HCL Technologies Limited 1440 Call October 2025 Option</t>
  </si>
  <si>
    <t>CV28OC25980C</t>
  </si>
  <si>
    <t>HDFC Bank Limited 980 Call October 2025 Option</t>
  </si>
  <si>
    <t>GM28OC253000C</t>
  </si>
  <si>
    <t>Tata Consultancy Services Limited 3000 Call October 2025 Option</t>
  </si>
  <si>
    <t>EY28OC2516800C</t>
  </si>
  <si>
    <t>Maruti Suzuki India Limited 16800 Call October 2025 Option</t>
  </si>
  <si>
    <t>DD28OC252600C</t>
  </si>
  <si>
    <t>Hindustan Unilever Limited 2600 Call October 2025 Option</t>
  </si>
  <si>
    <t>GG28OC251640C</t>
  </si>
  <si>
    <t>Sun Pharmaceutical Industries Limited 1640 Call October 2025 Option</t>
  </si>
  <si>
    <t>Debt Instruments</t>
  </si>
  <si>
    <t>(a) Listed / awaiting listing on Stock Exchange</t>
  </si>
  <si>
    <t>Government Securities</t>
  </si>
  <si>
    <t>GOI2201</t>
  </si>
  <si>
    <t>8.28% Gujarat SDL (MD 13/02/2029)</t>
  </si>
  <si>
    <t>IN1520180283</t>
  </si>
  <si>
    <t>SOVEREIGN</t>
  </si>
  <si>
    <t>GOI3734</t>
  </si>
  <si>
    <t>6.54% GOI (MD 17/01/2032)</t>
  </si>
  <si>
    <t>IN0020210244</t>
  </si>
  <si>
    <t>GOI6542</t>
  </si>
  <si>
    <t>7.04% Tamilnadu SDL (MD 19/03/2030)</t>
  </si>
  <si>
    <t>IN3120240707</t>
  </si>
  <si>
    <t>GOI2221</t>
  </si>
  <si>
    <t>8.43% Uttar Pradesh SDL (MD 06/03/2029)</t>
  </si>
  <si>
    <t>IN3320180174</t>
  </si>
  <si>
    <t>GOI2220</t>
  </si>
  <si>
    <t>8.3% Gujarat SDL (MD 13/03/2029)</t>
  </si>
  <si>
    <t>IN1520180325</t>
  </si>
  <si>
    <t>GOI5196</t>
  </si>
  <si>
    <t>7.18% GOI (MD 24/07/2037)</t>
  </si>
  <si>
    <t>IN0020230077</t>
  </si>
  <si>
    <t>GOI1954</t>
  </si>
  <si>
    <t>7.75% Gujarat SDL (MD 13/12/2027)</t>
  </si>
  <si>
    <t>IN1520170136</t>
  </si>
  <si>
    <t>GOI2174</t>
  </si>
  <si>
    <t>8.26% Maharashtra SDL (MD 02/01/2029)</t>
  </si>
  <si>
    <t>IN2220180060</t>
  </si>
  <si>
    <t>Non Convertible Debentures</t>
  </si>
  <si>
    <t>IRLY383</t>
  </si>
  <si>
    <t>7.37% Indian Railway Finance Corporation Limited</t>
  </si>
  <si>
    <t>INE053F08411</t>
  </si>
  <si>
    <t>CRISIL AAA</t>
  </si>
  <si>
    <t>TCAL511</t>
  </si>
  <si>
    <t>8.098% Tata Capital Limited **</t>
  </si>
  <si>
    <t>INE976I07CY9</t>
  </si>
  <si>
    <t>NBAR805</t>
  </si>
  <si>
    <t>7.53% National Bank For Agriculture and Rural Development</t>
  </si>
  <si>
    <t>INE261F08EM1</t>
  </si>
  <si>
    <t>ICRA AAA</t>
  </si>
  <si>
    <t>BHFL135</t>
  </si>
  <si>
    <t>7.02% Bajaj Housing Finance Limited **</t>
  </si>
  <si>
    <t>INE377Y07565</t>
  </si>
  <si>
    <t>(b) Privately placed / Unlisted</t>
  </si>
  <si>
    <t>Money Market Instruments</t>
  </si>
  <si>
    <t>TREPS / Reverse Repo Instrument</t>
  </si>
  <si>
    <t>TRP_011025</t>
  </si>
  <si>
    <t>Triparty Repo TRP_011025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</si>
  <si>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</si>
  <si>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</si>
  <si>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</si>
  <si>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</si>
  <si>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</si>
  <si>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</si>
  <si>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</si>
  <si>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</si>
  <si>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</si>
  <si>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</si>
  <si>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</si>
  <si>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</si>
  <si>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</si>
  <si>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</si>
  <si>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</si>
  <si>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</si>
  <si>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</si>
  <si>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</si>
  <si>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</si>
  <si>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</si>
  <si>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IDF014-AG</t>
  </si>
  <si>
    <t>Growth</t>
  </si>
  <si>
    <t>IDF014-AD</t>
  </si>
  <si>
    <t>Monthly IDCW #</t>
  </si>
  <si>
    <t>IDF014-AQD</t>
  </si>
  <si>
    <t>Quarterly IDCW #</t>
  </si>
  <si>
    <t>IDF014-AAD</t>
  </si>
  <si>
    <t>Annual IDCW #</t>
  </si>
  <si>
    <t>Direct Plan</t>
  </si>
  <si>
    <t>IDF014-ZG</t>
  </si>
  <si>
    <t>IDF014-ZD</t>
  </si>
  <si>
    <t>IDF014-ZQ</t>
  </si>
  <si>
    <t>IDF014-ZY</t>
  </si>
  <si>
    <t># Income Distribution cum capital withdrawal option</t>
  </si>
  <si>
    <t>(4) Details of Dividend declared per unit (In Rupees) during the period ended September 30, 2025 are as follows</t>
  </si>
  <si>
    <t>Scheme Name</t>
  </si>
  <si>
    <t>Record Date</t>
  </si>
  <si>
    <t>Dividend (Individual)</t>
  </si>
  <si>
    <t>Dividend (Corporate)</t>
  </si>
  <si>
    <t>Record Date NAV</t>
  </si>
  <si>
    <t>Bandhan Equity Savings Fund-Direct Plan-Monthly IDCW</t>
  </si>
  <si>
    <t>Bandhan Equity Savings Fund-Regular Plan-Monthly IDCW</t>
  </si>
  <si>
    <t>Bandhan Equity Savings Fund-Direct Plan-Quarterly IDCW</t>
  </si>
  <si>
    <t>Bandhan Equity Savings Fund--Regular Plan-Quarterly IDCW</t>
  </si>
  <si>
    <t>(5) Total outstanding exposure in derivative instruments as on September 30, 2025 is Rs. -19,524.38 Lacs and their percentage to net asset value is -54.99%.</t>
  </si>
  <si>
    <t>(6) Total Market value of investments in foreign securities/ADRs/GDRs as at September 30, 2025 is Rs. Nil.</t>
  </si>
  <si>
    <t>(7) The Average Maturity Period of the Portfolio has been 3.07 Years.</t>
  </si>
  <si>
    <t>(8) During the period, the portfolio turnover ratio - For Equity Securities is 0.13 times and aggregate for all asset category is 3.78 times.</t>
  </si>
  <si>
    <t>(9) Bonus declared during the half-year ended September 30, 2025 : Nil</t>
  </si>
  <si>
    <t>(10)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</si>
  <si>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</si>
  <si>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</si>
  <si>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</si>
  <si>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</si>
  <si>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</si>
  <si>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</si>
  <si>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</si>
  <si>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ABCAPITAL_28/10/2025</t>
  </si>
  <si>
    <t>Short</t>
  </si>
  <si>
    <t>ASIANPAINT_28/10/2025</t>
  </si>
  <si>
    <t>AUROPHARMA_28/10/2025</t>
  </si>
  <si>
    <t>BAJFINANCE_28/10/2025</t>
  </si>
  <si>
    <t>BHARTIARTL_28/10/2025</t>
  </si>
  <si>
    <t>CONCOR_28/10/2025</t>
  </si>
  <si>
    <t>DABUR_28/10/2025</t>
  </si>
  <si>
    <t>GRASIM_28/10/2025</t>
  </si>
  <si>
    <t>HCLTECH_28/10/2025</t>
  </si>
  <si>
    <t>HDFCBANK_28/10/2025</t>
  </si>
  <si>
    <t>HINDALCO_28/10/2025</t>
  </si>
  <si>
    <t>HINDUNILVR_28/10/2025</t>
  </si>
  <si>
    <t>ICICIBANK_28/10/2025</t>
  </si>
  <si>
    <t>ITC_28/10/2025</t>
  </si>
  <si>
    <t>JINDALSTEL_28/10/2025</t>
  </si>
  <si>
    <t>JSWSTEEL_28/10/2025</t>
  </si>
  <si>
    <t>KOTAKBANK_28/10/2025</t>
  </si>
  <si>
    <t>TRENT_28/10/2025</t>
  </si>
  <si>
    <t>LT_28/10/2025</t>
  </si>
  <si>
    <t>M&amp;M_28/10/2025</t>
  </si>
  <si>
    <t>MARUTI_28/10/2025</t>
  </si>
  <si>
    <t>MCX_28/10/2025</t>
  </si>
  <si>
    <t>NESTLEIND_28/10/2025</t>
  </si>
  <si>
    <t>PIDILITIND_28/10/2025</t>
  </si>
  <si>
    <t>PNB_28/10/2025</t>
  </si>
  <si>
    <t>RELIANCE_28/10/2025</t>
  </si>
  <si>
    <t>SBIN_28/10/2025</t>
  </si>
  <si>
    <t>SBILIFE_28/10/2025</t>
  </si>
  <si>
    <t>SUNPHARMA_28/10/2025</t>
  </si>
  <si>
    <t>TCS_28/10/2025</t>
  </si>
  <si>
    <t>TECHM_28/10/2025</t>
  </si>
  <si>
    <t>TATASTEEL_28/10/2025</t>
  </si>
  <si>
    <t>TATAPOWER_28/10/2025</t>
  </si>
  <si>
    <t>TITAN_28/10/2025</t>
  </si>
  <si>
    <t>ULTRACEMCO_28/10/2025</t>
  </si>
  <si>
    <t>AXISBANK_28/10/2025</t>
  </si>
  <si>
    <t>* Also Includes margin placed towards Stock call options.</t>
  </si>
  <si>
    <t>Total %age of existing assets hedged through futures : -54.97%</t>
  </si>
  <si>
    <t>For the half year period ended September 30, 2025 following details specified for hedging transactions through futures which have been squared off/expired:</t>
  </si>
  <si>
    <t>Total Number of contracts where futures were bought : 14,563.00.</t>
  </si>
  <si>
    <t>Total Number of contracts where futures were sold : 13,577.00.</t>
  </si>
  <si>
    <t>Gross Notional Value of contracts where futures were bought : Rs. 10,412,148,077.24</t>
  </si>
  <si>
    <t>Gross Notional Value of contracts where futures were sold : Rs. 8,885,395,748.45</t>
  </si>
  <si>
    <t>Net Profit/Loss value on all contracts combined : Rs. -33,513,402.76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</si>
  <si>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</si>
  <si>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</si>
  <si>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</si>
  <si>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</si>
  <si>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</si>
  <si>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2025 following details specified for non-hedging transactions through futures which have been squared off/expired:</t>
  </si>
  <si>
    <t>Total Number of contracts where futures were bought : 61.00</t>
  </si>
  <si>
    <t>Total Number of contracts where futures were sold : 61.00</t>
  </si>
  <si>
    <t>Gross Notional Value of contracts where futures were bought : Rs. 35,953,400.00</t>
  </si>
  <si>
    <t>Gross Notional Value of contracts where futures were sold : Rs. 35,611,549.90</t>
  </si>
  <si>
    <t>Net Profit/Loss value on all contracts combined : Rs. -341,850.10</t>
  </si>
  <si>
    <t>Hedging Positions through Put Options (Covered Call) as on September 30, 2025</t>
  </si>
  <si>
    <t>Number of Contracts</t>
  </si>
  <si>
    <t>Option Price when purchased</t>
  </si>
  <si>
    <t>Current Option Price</t>
  </si>
  <si>
    <t>Total % age of existing assets hedged through put options -0.02%</t>
  </si>
  <si>
    <t>For the half year period ended September 30, 2025 following details specified with regards to non-hedging transactions through options which have already been exercised/expired :
Total Number of contracts entered into : 3,432.00
Gross Notional Value of contracts : Rs. 29,528,638.01
Net Profit/Loss on all contracts (premium paid treated as loss) : Rs. 2,741,917.66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</si>
  <si>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</si>
  <si>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</si>
  <si>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</si>
  <si>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</si>
  <si>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0.00%</t>
  </si>
  <si>
    <t>For the half year period ended September 30, 2025 following details specified for hedging transactions through options which have already been exercised/expired :
Total Number of contracts entered into : Nil
Gross Notional value of contracts : Nil
Net Profit/Loss on all contracts (premium paid treated as loss) : Nil</t>
  </si>
  <si>
    <t>Hedging Positions through swaps as on September 30, 2025 :</t>
  </si>
  <si>
    <t>Nil exposure to Credit Default Swaps (CDS) or Interest Rate Swaps (IRS) during the Half Year ended September 30, 2025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</si>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</sst>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"/>
    <numFmt numFmtId="166" formatCode="#,##0.000"/>
    <numFmt numFmtId="167" formatCode="_ * #,##0.00_ ;_ * \-#,##0.00_ ;_ * &quot;-&quot;??_ ;_ @_ "/>
    <numFmt numFmtId="168" formatCode="_(* #,##0_);_(* \(#,##0\);_(* &quot;-&quot;??_);_(@_)"/>
    <numFmt numFmtId="169" formatCode="0.000"/>
    <numFmt numFmtId="170" formatCode="_-* #,##0.0000_-;\-* #,##0.0000_-;_-* &quot;-&quot;??_-;_-@_-"/>
    <numFmt numFmtId="171" formatCode="0.0000"/>
    <numFmt numFmtId="172" formatCode="_-* #,##0_-;\-* #,##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0" fontId="1" fillId="0" borderId="0"/>
  </cellStyleXfs>
  <cellXfs count="142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166" fontId="6" fillId="0" borderId="7" xfId="0" applyNumberFormat="1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0" fontId="10" fillId="0" borderId="9" xfId="0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2" fillId="0" borderId="0" xfId="0" applyFont="1"/>
    <xf numFmtId="0" fontId="11" fillId="0" borderId="20" xfId="1" applyFont="1" applyBorder="1"/>
    <xf numFmtId="0" fontId="12" fillId="0" borderId="21" xfId="1" applyFont="1" applyBorder="1"/>
    <xf numFmtId="167" fontId="13" fillId="0" borderId="21" xfId="2" applyFont="1" applyFill="1" applyBorder="1" applyAlignment="1"/>
    <xf numFmtId="167" fontId="13" fillId="0" borderId="22" xfId="2" applyFont="1" applyFill="1" applyBorder="1" applyAlignment="1"/>
    <xf numFmtId="0" fontId="12" fillId="0" borderId="23" xfId="1" applyFont="1" applyBorder="1"/>
    <xf numFmtId="0" fontId="12" fillId="0" borderId="0" xfId="1" applyFont="1"/>
    <xf numFmtId="167" fontId="12" fillId="0" borderId="24" xfId="2" applyFont="1" applyFill="1" applyBorder="1" applyAlignment="1"/>
    <xf numFmtId="15" fontId="12" fillId="0" borderId="23" xfId="1" applyNumberFormat="1" applyFont="1" applyBorder="1"/>
    <xf numFmtId="167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7" fontId="12" fillId="0" borderId="27" xfId="2" applyFont="1" applyFill="1" applyBorder="1" applyAlignment="1"/>
    <xf numFmtId="0" fontId="11" fillId="0" borderId="21" xfId="1" applyFont="1" applyBorder="1"/>
    <xf numFmtId="168" fontId="14" fillId="0" borderId="21" xfId="2" applyNumberFormat="1" applyFont="1" applyFill="1" applyBorder="1" applyAlignment="1"/>
    <xf numFmtId="10" fontId="14" fillId="0" borderId="22" xfId="3" applyNumberFormat="1" applyFont="1" applyFill="1" applyBorder="1" applyAlignment="1"/>
    <xf numFmtId="0" fontId="11" fillId="0" borderId="25" xfId="1" applyFont="1" applyBorder="1"/>
    <xf numFmtId="15" fontId="11" fillId="0" borderId="26" xfId="4" applyNumberFormat="1" applyFont="1" applyFill="1" applyBorder="1" applyAlignment="1"/>
    <xf numFmtId="15" fontId="11" fillId="0" borderId="26" xfId="2" applyNumberFormat="1" applyFont="1" applyFill="1" applyBorder="1" applyAlignment="1"/>
    <xf numFmtId="168" fontId="12" fillId="0" borderId="27" xfId="2" applyNumberFormat="1" applyFont="1" applyFill="1" applyBorder="1" applyAlignment="1"/>
    <xf numFmtId="168" fontId="11" fillId="0" borderId="23" xfId="2" applyNumberFormat="1" applyFont="1" applyFill="1" applyBorder="1" applyAlignment="1"/>
    <xf numFmtId="0" fontId="15" fillId="0" borderId="0" xfId="1" applyFont="1"/>
    <xf numFmtId="0" fontId="16" fillId="0" borderId="0" xfId="0" applyFont="1"/>
    <xf numFmtId="2" fontId="12" fillId="0" borderId="23" xfId="1" applyNumberFormat="1" applyFont="1" applyBorder="1"/>
    <xf numFmtId="169" fontId="12" fillId="0" borderId="0" xfId="1" applyNumberFormat="1" applyFont="1"/>
    <xf numFmtId="167" fontId="13" fillId="0" borderId="24" xfId="2" applyFont="1" applyFill="1" applyBorder="1" applyAlignment="1"/>
    <xf numFmtId="2" fontId="11" fillId="0" borderId="23" xfId="2" applyNumberFormat="1" applyFont="1" applyFill="1" applyBorder="1" applyAlignment="1"/>
    <xf numFmtId="2" fontId="12" fillId="0" borderId="0" xfId="1" applyNumberFormat="1" applyFont="1"/>
    <xf numFmtId="170" fontId="13" fillId="0" borderId="0" xfId="2" applyNumberFormat="1" applyFont="1" applyFill="1" applyBorder="1" applyAlignment="1"/>
    <xf numFmtId="168" fontId="12" fillId="0" borderId="23" xfId="2" applyNumberFormat="1" applyFont="1" applyFill="1" applyBorder="1" applyAlignment="1"/>
    <xf numFmtId="171" fontId="12" fillId="0" borderId="0" xfId="1" applyNumberFormat="1" applyFont="1"/>
    <xf numFmtId="0" fontId="12" fillId="0" borderId="20" xfId="1" applyFont="1" applyBorder="1"/>
    <xf numFmtId="171" fontId="12" fillId="0" borderId="21" xfId="1" applyNumberFormat="1" applyFont="1" applyBorder="1"/>
    <xf numFmtId="171" fontId="12" fillId="0" borderId="21" xfId="5" applyNumberFormat="1" applyFont="1" applyBorder="1"/>
    <xf numFmtId="2" fontId="12" fillId="0" borderId="21" xfId="1" applyNumberFormat="1" applyFont="1" applyBorder="1"/>
    <xf numFmtId="167" fontId="12" fillId="0" borderId="22" xfId="2" applyFont="1" applyFill="1" applyBorder="1" applyAlignment="1"/>
    <xf numFmtId="171" fontId="12" fillId="0" borderId="0" xfId="2" applyNumberFormat="1" applyFont="1" applyFill="1" applyBorder="1" applyAlignment="1"/>
    <xf numFmtId="168" fontId="12" fillId="0" borderId="0" xfId="2" applyNumberFormat="1" applyFont="1" applyFill="1" applyBorder="1" applyAlignment="1"/>
    <xf numFmtId="0" fontId="12" fillId="0" borderId="24" xfId="1" applyFont="1" applyBorder="1"/>
    <xf numFmtId="0" fontId="11" fillId="0" borderId="28" xfId="1" applyFont="1" applyBorder="1" applyAlignment="1" applyProtection="1">
      <alignment wrapText="1"/>
      <protection locked="0"/>
    </xf>
    <xf numFmtId="15" fontId="11" fillId="0" borderId="29" xfId="1" applyNumberFormat="1" applyFont="1" applyBorder="1" applyAlignment="1" applyProtection="1">
      <alignment wrapText="1"/>
      <protection locked="0"/>
    </xf>
    <xf numFmtId="171" fontId="11" fillId="0" borderId="29" xfId="1" applyNumberFormat="1" applyFont="1" applyBorder="1" applyAlignment="1" applyProtection="1">
      <alignment wrapText="1"/>
      <protection locked="0"/>
    </xf>
    <xf numFmtId="171" fontId="11" fillId="0" borderId="30" xfId="1" applyNumberFormat="1" applyFont="1" applyBorder="1" applyAlignment="1" applyProtection="1">
      <alignment wrapText="1"/>
      <protection locked="0"/>
    </xf>
    <xf numFmtId="0" fontId="11" fillId="0" borderId="20" xfId="1" applyFont="1" applyBorder="1" applyProtection="1">
      <protection locked="0"/>
    </xf>
    <xf numFmtId="15" fontId="11" fillId="0" borderId="21" xfId="1" applyNumberFormat="1" applyFont="1" applyBorder="1" applyProtection="1">
      <protection locked="0"/>
    </xf>
    <xf numFmtId="171" fontId="11" fillId="0" borderId="21" xfId="1" applyNumberFormat="1" applyFont="1" applyBorder="1" applyProtection="1">
      <protection locked="0"/>
    </xf>
    <xf numFmtId="167" fontId="11" fillId="0" borderId="22" xfId="2" applyFont="1" applyFill="1" applyBorder="1" applyAlignment="1" applyProtection="1">
      <protection locked="0"/>
    </xf>
    <xf numFmtId="0" fontId="12" fillId="0" borderId="23" xfId="6" applyFont="1" applyBorder="1"/>
    <xf numFmtId="15" fontId="12" fillId="0" borderId="0" xfId="1" applyNumberFormat="1" applyFont="1" applyProtection="1">
      <protection locked="0"/>
    </xf>
    <xf numFmtId="171" fontId="12" fillId="0" borderId="0" xfId="1" applyNumberFormat="1" applyFont="1" applyProtection="1">
      <protection locked="0"/>
    </xf>
    <xf numFmtId="171" fontId="12" fillId="0" borderId="24" xfId="2" applyNumberFormat="1" applyFont="1" applyFill="1" applyBorder="1" applyAlignment="1" applyProtection="1">
      <protection locked="0"/>
    </xf>
    <xf numFmtId="171" fontId="12" fillId="0" borderId="24" xfId="1" applyNumberFormat="1" applyFont="1" applyBorder="1" applyProtection="1">
      <protection locked="0"/>
    </xf>
    <xf numFmtId="0" fontId="12" fillId="0" borderId="25" xfId="1" applyFont="1" applyBorder="1" applyProtection="1">
      <protection locked="0"/>
    </xf>
    <xf numFmtId="15" fontId="12" fillId="0" borderId="26" xfId="1" applyNumberFormat="1" applyFont="1" applyBorder="1"/>
    <xf numFmtId="171" fontId="12" fillId="0" borderId="26" xfId="1" applyNumberFormat="1" applyFont="1" applyBorder="1"/>
    <xf numFmtId="2" fontId="12" fillId="0" borderId="26" xfId="1" applyNumberFormat="1" applyFont="1" applyBorder="1"/>
    <xf numFmtId="172" fontId="12" fillId="0" borderId="0" xfId="1" applyNumberFormat="1" applyFont="1"/>
    <xf numFmtId="167" fontId="13" fillId="0" borderId="0" xfId="2" applyFont="1" applyFill="1" applyBorder="1" applyAlignment="1"/>
    <xf numFmtId="0" fontId="14" fillId="2" borderId="0" xfId="1" applyFont="1" applyFill="1" applyAlignment="1">
      <alignment horizontal="center" vertical="top"/>
    </xf>
    <xf numFmtId="0" fontId="15" fillId="0" borderId="0" xfId="0" applyFont="1"/>
    <xf numFmtId="0" fontId="14" fillId="2" borderId="0" xfId="1" applyFont="1" applyFill="1" applyAlignment="1">
      <alignment horizontal="center" vertical="top" wrapText="1"/>
    </xf>
    <xf numFmtId="0" fontId="18" fillId="0" borderId="0" xfId="1" applyFont="1"/>
    <xf numFmtId="0" fontId="15" fillId="0" borderId="31" xfId="1" applyFont="1" applyBorder="1" applyAlignment="1">
      <alignment wrapText="1"/>
    </xf>
    <xf numFmtId="0" fontId="3" fillId="0" borderId="0" xfId="0" applyFont="1"/>
    <xf numFmtId="0" fontId="15" fillId="0" borderId="31" xfId="1" applyFont="1" applyBorder="1"/>
    <xf numFmtId="4" fontId="15" fillId="0" borderId="31" xfId="1" applyNumberFormat="1" applyFont="1" applyBorder="1"/>
    <xf numFmtId="4" fontId="15" fillId="0" borderId="31" xfId="0" applyNumberFormat="1" applyFont="1" applyBorder="1"/>
    <xf numFmtId="0" fontId="15" fillId="0" borderId="32" xfId="1" applyFont="1" applyBorder="1"/>
    <xf numFmtId="0" fontId="15" fillId="0" borderId="33" xfId="1" applyFont="1" applyBorder="1"/>
    <xf numFmtId="0" fontId="15" fillId="0" borderId="34" xfId="1" applyFont="1" applyBorder="1"/>
    <xf numFmtId="0" fontId="15" fillId="0" borderId="35" xfId="1" applyFont="1" applyBorder="1" applyAlignment="1">
      <alignment horizontal="left" wrapText="1"/>
    </xf>
    <xf numFmtId="0" fontId="15" fillId="0" borderId="36" xfId="1" applyFont="1" applyBorder="1" applyAlignment="1">
      <alignment horizontal="left" wrapText="1"/>
    </xf>
    <xf numFmtId="0" fontId="15" fillId="0" borderId="37" xfId="1" applyFont="1" applyBorder="1" applyAlignment="1">
      <alignment horizontal="left" wrapText="1"/>
    </xf>
    <xf numFmtId="0" fontId="15" fillId="0" borderId="38" xfId="1" applyFont="1" applyBorder="1"/>
    <xf numFmtId="0" fontId="15" fillId="0" borderId="39" xfId="1" applyFont="1" applyBorder="1"/>
    <xf numFmtId="0" fontId="15" fillId="0" borderId="40" xfId="1" applyFont="1" applyBorder="1"/>
    <xf numFmtId="0" fontId="15" fillId="0" borderId="41" xfId="1" applyFont="1" applyBorder="1"/>
    <xf numFmtId="0" fontId="15" fillId="0" borderId="42" xfId="1" applyFont="1" applyBorder="1"/>
    <xf numFmtId="0" fontId="15" fillId="0" borderId="36" xfId="1" applyFont="1" applyBorder="1"/>
    <xf numFmtId="0" fontId="15" fillId="0" borderId="31" xfId="1" applyFont="1" applyBorder="1" applyAlignment="1">
      <alignment horizontal="center" vertical="center" wrapText="1"/>
    </xf>
    <xf numFmtId="2" fontId="15" fillId="0" borderId="31" xfId="1" applyNumberFormat="1" applyFont="1" applyBorder="1"/>
    <xf numFmtId="0" fontId="15" fillId="0" borderId="31" xfId="1" applyFont="1" applyBorder="1"/>
    <xf numFmtId="0" fontId="15" fillId="0" borderId="35" xfId="1" applyFont="1" applyBorder="1" applyAlignment="1">
      <alignment horizontal="left" vertical="top" wrapText="1"/>
    </xf>
    <xf numFmtId="0" fontId="15" fillId="0" borderId="36" xfId="1" applyFont="1" applyBorder="1" applyAlignment="1">
      <alignment horizontal="left" vertical="top" wrapText="1"/>
    </xf>
    <xf numFmtId="0" fontId="15" fillId="0" borderId="37" xfId="1" applyFont="1" applyBorder="1" applyAlignment="1">
      <alignment horizontal="left" vertical="top" wrapText="1"/>
    </xf>
    <xf numFmtId="0" fontId="15" fillId="0" borderId="38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0" borderId="39" xfId="1" applyFont="1" applyBorder="1" applyAlignment="1">
      <alignment horizontal="left" vertical="top" wrapText="1"/>
    </xf>
    <xf numFmtId="0" fontId="15" fillId="0" borderId="40" xfId="1" applyFont="1" applyBorder="1" applyAlignment="1">
      <alignment horizontal="left" vertical="top" wrapText="1"/>
    </xf>
    <xf numFmtId="0" fontId="15" fillId="0" borderId="41" xfId="1" applyFont="1" applyBorder="1" applyAlignment="1">
      <alignment horizontal="left" vertical="top" wrapText="1"/>
    </xf>
    <xf numFmtId="0" fontId="15" fillId="0" borderId="42" xfId="1" applyFont="1" applyBorder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0" borderId="31" xfId="1" applyFont="1" applyBorder="1" applyAlignment="1">
      <alignment horizontal="left" vertical="top" wrapText="1"/>
    </xf>
  </cellXfs>
  <cellStyles count="7">
    <cellStyle name="Comma 3" xfId="2" xr:uid="{5735C2F9-ED58-4FFA-972C-9CD9F543EEDD}"/>
    <cellStyle name="Comma 4" xfId="4" xr:uid="{CA44BAD8-D837-4D0C-9409-491B05203804}"/>
    <cellStyle name="Normal" xfId="0" builtinId="0"/>
    <cellStyle name="Normal 3 2 2" xfId="1" xr:uid="{A403E657-D7D4-4025-9394-A91A65F5103F}"/>
    <cellStyle name="Normal 7" xfId="6" xr:uid="{E733400C-1548-49A3-A2B1-4482D301A7F4}"/>
    <cellStyle name="Normal_Template-ST" xfId="5" xr:uid="{E2F2CDFA-8014-48C0-AAE2-7B16F964216F}"/>
    <cellStyle name="Percent 2" xfId="3" xr:uid="{25B5B067-C737-4B1B-9197-BB9E839497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324</xdr:row>
      <xdr:rowOff>0</xdr:rowOff>
    </xdr:from>
    <xdr:to>
      <xdr:col>1</xdr:col>
      <xdr:colOff>2857500</xdr:colOff>
      <xdr:row>334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7B417-D669-4BA3-9557-272C4A1FC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875972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7</xdr:col>
      <xdr:colOff>647700</xdr:colOff>
      <xdr:row>334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473DB5-5321-45B2-A0A3-45116AAFBC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5875972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5295-80DC-400A-B13C-587CE5D279A1}">
  <sheetPr codeName="Sheet11">
    <outlinePr summaryBelow="0"/>
  </sheetPr>
  <dimension ref="A1:H323"/>
  <sheetViews>
    <sheetView tabSelected="1" topLeftCell="A170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126495</v>
      </c>
      <c r="F7" s="17">
        <v>1705.15</v>
      </c>
      <c r="G7" s="18">
        <v>4.8000000000000001E-2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148918</v>
      </c>
      <c r="F8" s="17">
        <v>1416.21</v>
      </c>
      <c r="G8" s="18">
        <v>3.9899999999999998E-2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125000</v>
      </c>
      <c r="F9" s="17">
        <v>1414.5</v>
      </c>
      <c r="G9" s="18">
        <v>3.9899999999999998E-2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25</v>
      </c>
      <c r="E10" s="16">
        <v>91333</v>
      </c>
      <c r="F10" s="17">
        <v>1245.78</v>
      </c>
      <c r="G10" s="18">
        <v>3.5099999999999999E-2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125250</v>
      </c>
      <c r="F11" s="17">
        <v>1092.74</v>
      </c>
      <c r="G11" s="18">
        <v>3.0800000000000001E-2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15</v>
      </c>
      <c r="E12" s="16">
        <v>52354</v>
      </c>
      <c r="F12" s="17">
        <v>1043.26</v>
      </c>
      <c r="G12" s="18">
        <v>2.9399999999999999E-2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6021</v>
      </c>
      <c r="F13" s="17">
        <v>965.11</v>
      </c>
      <c r="G13" s="18">
        <v>2.7199999999999998E-2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26138</v>
      </c>
      <c r="F14" s="17">
        <v>956.39</v>
      </c>
      <c r="G14" s="18">
        <v>2.69E-2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63120</v>
      </c>
      <c r="F15" s="17">
        <v>926.6</v>
      </c>
      <c r="G15" s="18">
        <v>2.6100000000000002E-2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10750</v>
      </c>
      <c r="F16" s="17">
        <v>838.07</v>
      </c>
      <c r="G16" s="18">
        <v>2.3599999999999999E-2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207708</v>
      </c>
      <c r="F17" s="17">
        <v>834.05</v>
      </c>
      <c r="G17" s="18">
        <v>2.35E-2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35</v>
      </c>
      <c r="E18" s="16">
        <v>20400</v>
      </c>
      <c r="F18" s="17">
        <v>699.11</v>
      </c>
      <c r="G18" s="18">
        <v>1.9699999999999999E-2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176900</v>
      </c>
      <c r="F19" s="17">
        <v>687.52</v>
      </c>
      <c r="G19" s="18">
        <v>1.9400000000000001E-2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23745</v>
      </c>
      <c r="F20" s="17">
        <v>685.85</v>
      </c>
      <c r="G20" s="18">
        <v>1.9300000000000001E-2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51</v>
      </c>
      <c r="E21" s="16">
        <v>26056</v>
      </c>
      <c r="F21" s="17">
        <v>655.15</v>
      </c>
      <c r="G21" s="18">
        <v>1.8499999999999999E-2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23250</v>
      </c>
      <c r="F22" s="17">
        <v>640.98</v>
      </c>
      <c r="G22" s="18">
        <v>1.8100000000000002E-2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11900</v>
      </c>
      <c r="F23" s="17">
        <v>556.62</v>
      </c>
      <c r="G23" s="18">
        <v>1.5699999999999999E-2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32708</v>
      </c>
      <c r="F24" s="17">
        <v>521.46</v>
      </c>
      <c r="G24" s="18">
        <v>1.47E-2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45090</v>
      </c>
      <c r="F25" s="17">
        <v>519.84</v>
      </c>
      <c r="G25" s="18">
        <v>1.46E-2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15</v>
      </c>
      <c r="E26" s="16">
        <v>440000</v>
      </c>
      <c r="F26" s="17">
        <v>496.45</v>
      </c>
      <c r="G26" s="18">
        <v>1.4E-2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77</v>
      </c>
      <c r="E27" s="16">
        <v>44000</v>
      </c>
      <c r="F27" s="17">
        <v>476.92</v>
      </c>
      <c r="G27" s="18">
        <v>1.34E-2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22627</v>
      </c>
      <c r="F28" s="17">
        <v>425.03</v>
      </c>
      <c r="G28" s="18">
        <v>1.2E-2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84454</v>
      </c>
      <c r="F29" s="17">
        <v>414.92</v>
      </c>
      <c r="G29" s="18">
        <v>1.17E-2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236500</v>
      </c>
      <c r="F30" s="17">
        <v>399.14</v>
      </c>
      <c r="G30" s="18">
        <v>1.12E-2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99</v>
      </c>
      <c r="E31" s="16">
        <v>28125</v>
      </c>
      <c r="F31" s="17">
        <v>299.18</v>
      </c>
      <c r="G31" s="18">
        <v>8.3999999999999995E-3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62</v>
      </c>
      <c r="E32" s="16">
        <v>20702</v>
      </c>
      <c r="F32" s="17">
        <v>286.74</v>
      </c>
      <c r="G32" s="18">
        <v>8.0999999999999996E-3</v>
      </c>
      <c r="H32" s="19"/>
    </row>
    <row r="33" spans="1:8" ht="12.95" customHeight="1">
      <c r="A33" s="14" t="s">
        <v>106</v>
      </c>
      <c r="B33" s="15" t="s">
        <v>107</v>
      </c>
      <c r="C33" s="11" t="s">
        <v>108</v>
      </c>
      <c r="D33" s="12" t="s">
        <v>109</v>
      </c>
      <c r="E33" s="16">
        <v>8373</v>
      </c>
      <c r="F33" s="17">
        <v>281.92</v>
      </c>
      <c r="G33" s="18">
        <v>7.9000000000000008E-3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113</v>
      </c>
      <c r="E34" s="16">
        <v>15263</v>
      </c>
      <c r="F34" s="17">
        <v>273.3</v>
      </c>
      <c r="G34" s="18">
        <v>7.7000000000000002E-3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62</v>
      </c>
      <c r="E35" s="16">
        <v>19200</v>
      </c>
      <c r="F35" s="17">
        <v>268.86</v>
      </c>
      <c r="G35" s="18">
        <v>7.6E-3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32200</v>
      </c>
      <c r="F36" s="17">
        <v>245.35</v>
      </c>
      <c r="G36" s="18">
        <v>6.8999999999999999E-3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99</v>
      </c>
      <c r="E37" s="16">
        <v>20925</v>
      </c>
      <c r="F37" s="17">
        <v>239.11</v>
      </c>
      <c r="G37" s="18">
        <v>6.7000000000000002E-3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109</v>
      </c>
      <c r="E38" s="16">
        <v>9867</v>
      </c>
      <c r="F38" s="17">
        <v>231.87</v>
      </c>
      <c r="G38" s="18">
        <v>6.4999999999999997E-3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69</v>
      </c>
      <c r="E39" s="16">
        <v>1357</v>
      </c>
      <c r="F39" s="17">
        <v>165.85</v>
      </c>
      <c r="G39" s="18">
        <v>4.7000000000000002E-3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81</v>
      </c>
      <c r="E40" s="16">
        <v>2688</v>
      </c>
      <c r="F40" s="17">
        <v>161.04</v>
      </c>
      <c r="G40" s="18">
        <v>4.4999999999999997E-3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2173</v>
      </c>
      <c r="F41" s="17">
        <v>161</v>
      </c>
      <c r="G41" s="18">
        <v>4.4999999999999997E-3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35</v>
      </c>
      <c r="E42" s="16">
        <v>2937</v>
      </c>
      <c r="F42" s="17">
        <v>160.72999999999999</v>
      </c>
      <c r="G42" s="18">
        <v>4.4999999999999997E-3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395</v>
      </c>
      <c r="F43" s="17">
        <v>150.66999999999999</v>
      </c>
      <c r="G43" s="18">
        <v>4.1999999999999997E-3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77</v>
      </c>
      <c r="E44" s="16">
        <v>11769</v>
      </c>
      <c r="F44" s="17">
        <v>144.02000000000001</v>
      </c>
      <c r="G44" s="18">
        <v>4.1000000000000003E-3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77</v>
      </c>
      <c r="E45" s="16">
        <v>3873</v>
      </c>
      <c r="F45" s="17">
        <v>139.55000000000001</v>
      </c>
      <c r="G45" s="18">
        <v>3.8999999999999998E-3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77</v>
      </c>
      <c r="E46" s="16">
        <v>9073</v>
      </c>
      <c r="F46" s="17">
        <v>136.38999999999999</v>
      </c>
      <c r="G46" s="18">
        <v>3.8E-3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6094</v>
      </c>
      <c r="F47" s="17">
        <v>122.27</v>
      </c>
      <c r="G47" s="18">
        <v>3.3999999999999998E-3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35</v>
      </c>
      <c r="E48" s="16">
        <v>1320</v>
      </c>
      <c r="F48" s="17">
        <v>114.56</v>
      </c>
      <c r="G48" s="18">
        <v>3.2000000000000002E-3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62</v>
      </c>
      <c r="E49" s="16">
        <v>7741</v>
      </c>
      <c r="F49" s="17">
        <v>111.61</v>
      </c>
      <c r="G49" s="18">
        <v>3.0999999999999999E-3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62</v>
      </c>
      <c r="E50" s="16">
        <v>39998</v>
      </c>
      <c r="F50" s="17">
        <v>95.74</v>
      </c>
      <c r="G50" s="18">
        <v>2.7000000000000001E-3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169</v>
      </c>
      <c r="E51" s="16">
        <v>11250</v>
      </c>
      <c r="F51" s="17">
        <v>59.15</v>
      </c>
      <c r="G51" s="18">
        <v>1.6999999999999999E-3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156</v>
      </c>
      <c r="E52" s="16">
        <v>12400</v>
      </c>
      <c r="F52" s="17">
        <v>36.25</v>
      </c>
      <c r="G52" s="18">
        <v>1E-3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156</v>
      </c>
      <c r="E53" s="16">
        <v>2250</v>
      </c>
      <c r="F53" s="17">
        <v>22.48</v>
      </c>
      <c r="G53" s="18">
        <v>5.9999999999999995E-4</v>
      </c>
      <c r="H53" s="19"/>
    </row>
    <row r="54" spans="1:8" ht="12.95" customHeight="1">
      <c r="A54" s="3"/>
      <c r="B54" s="20" t="s">
        <v>176</v>
      </c>
      <c r="C54" s="21"/>
      <c r="D54" s="20"/>
      <c r="E54" s="20"/>
      <c r="F54" s="22">
        <v>23524.49</v>
      </c>
      <c r="G54" s="23">
        <v>0.66239999999999999</v>
      </c>
      <c r="H54" s="24"/>
    </row>
    <row r="55" spans="1:8" ht="12.95" customHeight="1">
      <c r="A55" s="3"/>
      <c r="B55" s="10" t="s">
        <v>177</v>
      </c>
      <c r="C55" s="25"/>
      <c r="D55" s="26"/>
      <c r="E55" s="26"/>
      <c r="F55" s="27" t="s">
        <v>178</v>
      </c>
      <c r="G55" s="27" t="s">
        <v>178</v>
      </c>
      <c r="H55" s="24" t="s">
        <v>178</v>
      </c>
    </row>
    <row r="56" spans="1:8" ht="12.95" customHeight="1">
      <c r="A56" s="3"/>
      <c r="B56" s="20" t="s">
        <v>176</v>
      </c>
      <c r="C56" s="25"/>
      <c r="D56" s="26"/>
      <c r="E56" s="26"/>
      <c r="F56" s="27" t="s">
        <v>178</v>
      </c>
      <c r="G56" s="27" t="s">
        <v>178</v>
      </c>
      <c r="H56" s="24" t="s">
        <v>178</v>
      </c>
    </row>
    <row r="57" spans="1:8" ht="12.95" customHeight="1">
      <c r="A57" s="3"/>
      <c r="B57" s="20" t="s">
        <v>179</v>
      </c>
      <c r="C57" s="25"/>
      <c r="D57" s="26"/>
      <c r="E57" s="28"/>
      <c r="F57" s="29">
        <v>23524.49</v>
      </c>
      <c r="G57" s="30">
        <v>0.66239999999999999</v>
      </c>
      <c r="H57" s="31"/>
    </row>
    <row r="58" spans="1:8" ht="12.95" customHeight="1">
      <c r="A58" s="3"/>
      <c r="B58" s="10" t="s">
        <v>180</v>
      </c>
      <c r="C58" s="11"/>
      <c r="D58" s="12"/>
      <c r="E58" s="12"/>
      <c r="F58" s="12"/>
      <c r="G58" s="12"/>
      <c r="H58" s="13"/>
    </row>
    <row r="59" spans="1:8" ht="12.95" customHeight="1">
      <c r="A59" s="3"/>
      <c r="B59" s="10" t="s">
        <v>181</v>
      </c>
      <c r="C59" s="11"/>
      <c r="D59" s="12"/>
      <c r="E59" s="12"/>
      <c r="F59" s="12"/>
      <c r="G59" s="12"/>
      <c r="H59" s="13"/>
    </row>
    <row r="60" spans="1:8" ht="12.95" customHeight="1">
      <c r="A60" s="14" t="s">
        <v>182</v>
      </c>
      <c r="B60" s="15" t="s">
        <v>183</v>
      </c>
      <c r="C60" s="11"/>
      <c r="D60" s="12" t="s">
        <v>184</v>
      </c>
      <c r="E60" s="16">
        <v>-2250</v>
      </c>
      <c r="F60" s="17">
        <v>-22.6</v>
      </c>
      <c r="G60" s="18">
        <v>-5.9999999999999995E-4</v>
      </c>
      <c r="H60" s="19"/>
    </row>
    <row r="61" spans="1:8" ht="12.95" customHeight="1">
      <c r="A61" s="14" t="s">
        <v>185</v>
      </c>
      <c r="B61" s="15" t="s">
        <v>186</v>
      </c>
      <c r="C61" s="11"/>
      <c r="D61" s="12" t="s">
        <v>184</v>
      </c>
      <c r="E61" s="16">
        <v>-250</v>
      </c>
      <c r="F61" s="17">
        <v>-30.71</v>
      </c>
      <c r="G61" s="18">
        <v>-8.9999999999999998E-4</v>
      </c>
      <c r="H61" s="19"/>
    </row>
    <row r="62" spans="1:8" ht="12.95" customHeight="1">
      <c r="A62" s="14" t="s">
        <v>187</v>
      </c>
      <c r="B62" s="15" t="s">
        <v>188</v>
      </c>
      <c r="C62" s="11"/>
      <c r="D62" s="12" t="s">
        <v>184</v>
      </c>
      <c r="E62" s="16">
        <v>-12400</v>
      </c>
      <c r="F62" s="17">
        <v>-36.479999999999997</v>
      </c>
      <c r="G62" s="18">
        <v>-1E-3</v>
      </c>
      <c r="H62" s="19"/>
    </row>
    <row r="63" spans="1:8" ht="12.95" customHeight="1">
      <c r="A63" s="14" t="s">
        <v>189</v>
      </c>
      <c r="B63" s="15" t="s">
        <v>190</v>
      </c>
      <c r="C63" s="11"/>
      <c r="D63" s="12" t="s">
        <v>184</v>
      </c>
      <c r="E63" s="16">
        <v>-11250</v>
      </c>
      <c r="F63" s="17">
        <v>-59.58</v>
      </c>
      <c r="G63" s="18">
        <v>-1.6999999999999999E-3</v>
      </c>
      <c r="H63" s="19"/>
    </row>
    <row r="64" spans="1:8" ht="12.95" customHeight="1">
      <c r="A64" s="14" t="s">
        <v>191</v>
      </c>
      <c r="B64" s="15" t="s">
        <v>192</v>
      </c>
      <c r="C64" s="11"/>
      <c r="D64" s="12" t="s">
        <v>184</v>
      </c>
      <c r="E64" s="16">
        <v>-3250</v>
      </c>
      <c r="F64" s="17">
        <v>-76.7</v>
      </c>
      <c r="G64" s="18">
        <v>-2.2000000000000001E-3</v>
      </c>
      <c r="H64" s="19"/>
    </row>
    <row r="65" spans="1:8" ht="12.95" customHeight="1">
      <c r="A65" s="14" t="s">
        <v>193</v>
      </c>
      <c r="B65" s="15" t="s">
        <v>194</v>
      </c>
      <c r="C65" s="11"/>
      <c r="D65" s="12" t="s">
        <v>184</v>
      </c>
      <c r="E65" s="16">
        <v>-8250</v>
      </c>
      <c r="F65" s="17">
        <v>-148.66999999999999</v>
      </c>
      <c r="G65" s="18">
        <v>-4.1999999999999997E-3</v>
      </c>
      <c r="H65" s="19"/>
    </row>
    <row r="66" spans="1:8" ht="12.95" customHeight="1">
      <c r="A66" s="14" t="s">
        <v>195</v>
      </c>
      <c r="B66" s="15" t="s">
        <v>196</v>
      </c>
      <c r="C66" s="11"/>
      <c r="D66" s="12" t="s">
        <v>184</v>
      </c>
      <c r="E66" s="16">
        <v>-4550</v>
      </c>
      <c r="F66" s="17">
        <v>-154.29</v>
      </c>
      <c r="G66" s="18">
        <v>-4.3E-3</v>
      </c>
      <c r="H66" s="19"/>
    </row>
    <row r="67" spans="1:8" ht="12.95" customHeight="1">
      <c r="A67" s="14" t="s">
        <v>197</v>
      </c>
      <c r="B67" s="15" t="s">
        <v>198</v>
      </c>
      <c r="C67" s="11"/>
      <c r="D67" s="12" t="s">
        <v>184</v>
      </c>
      <c r="E67" s="16">
        <v>-13650</v>
      </c>
      <c r="F67" s="17">
        <v>-188.72</v>
      </c>
      <c r="G67" s="18">
        <v>-5.3E-3</v>
      </c>
      <c r="H67" s="19"/>
    </row>
    <row r="68" spans="1:8" ht="12.95" customHeight="1">
      <c r="A68" s="14" t="s">
        <v>199</v>
      </c>
      <c r="B68" s="15" t="s">
        <v>200</v>
      </c>
      <c r="C68" s="11"/>
      <c r="D68" s="12" t="s">
        <v>184</v>
      </c>
      <c r="E68" s="16">
        <v>-20925</v>
      </c>
      <c r="F68" s="17">
        <v>-240.45</v>
      </c>
      <c r="G68" s="18">
        <v>-6.7999999999999996E-3</v>
      </c>
      <c r="H68" s="19"/>
    </row>
    <row r="69" spans="1:8" ht="12.95" customHeight="1">
      <c r="A69" s="14" t="s">
        <v>201</v>
      </c>
      <c r="B69" s="15" t="s">
        <v>202</v>
      </c>
      <c r="C69" s="11"/>
      <c r="D69" s="12" t="s">
        <v>184</v>
      </c>
      <c r="E69" s="16">
        <v>-32200</v>
      </c>
      <c r="F69" s="17">
        <v>-247.18</v>
      </c>
      <c r="G69" s="18">
        <v>-7.0000000000000001E-3</v>
      </c>
      <c r="H69" s="19"/>
    </row>
    <row r="70" spans="1:8" ht="12.95" customHeight="1">
      <c r="A70" s="14" t="s">
        <v>203</v>
      </c>
      <c r="B70" s="15" t="s">
        <v>204</v>
      </c>
      <c r="C70" s="11"/>
      <c r="D70" s="12" t="s">
        <v>184</v>
      </c>
      <c r="E70" s="16">
        <v>-19200</v>
      </c>
      <c r="F70" s="17">
        <v>-270.3</v>
      </c>
      <c r="G70" s="18">
        <v>-7.6E-3</v>
      </c>
      <c r="H70" s="19"/>
    </row>
    <row r="71" spans="1:8" ht="12.95" customHeight="1">
      <c r="A71" s="14" t="s">
        <v>205</v>
      </c>
      <c r="B71" s="15" t="s">
        <v>206</v>
      </c>
      <c r="C71" s="11"/>
      <c r="D71" s="12" t="s">
        <v>184</v>
      </c>
      <c r="E71" s="16">
        <v>-58750</v>
      </c>
      <c r="F71" s="17">
        <v>-290.52</v>
      </c>
      <c r="G71" s="18">
        <v>-8.2000000000000007E-3</v>
      </c>
      <c r="H71" s="19"/>
    </row>
    <row r="72" spans="1:8" ht="12.95" customHeight="1">
      <c r="A72" s="14" t="s">
        <v>207</v>
      </c>
      <c r="B72" s="15" t="s">
        <v>208</v>
      </c>
      <c r="C72" s="11"/>
      <c r="D72" s="12" t="s">
        <v>184</v>
      </c>
      <c r="E72" s="16">
        <v>-15675</v>
      </c>
      <c r="F72" s="17">
        <v>-296.54000000000002</v>
      </c>
      <c r="G72" s="18">
        <v>-8.3999999999999995E-3</v>
      </c>
      <c r="H72" s="19"/>
    </row>
    <row r="73" spans="1:8" ht="12.95" customHeight="1">
      <c r="A73" s="14" t="s">
        <v>209</v>
      </c>
      <c r="B73" s="15" t="s">
        <v>210</v>
      </c>
      <c r="C73" s="11"/>
      <c r="D73" s="12" t="s">
        <v>184</v>
      </c>
      <c r="E73" s="16">
        <v>-28125</v>
      </c>
      <c r="F73" s="17">
        <v>-300.43</v>
      </c>
      <c r="G73" s="18">
        <v>-8.5000000000000006E-3</v>
      </c>
      <c r="H73" s="19"/>
    </row>
    <row r="74" spans="1:8" ht="12.95" customHeight="1">
      <c r="A74" s="14" t="s">
        <v>211</v>
      </c>
      <c r="B74" s="15" t="s">
        <v>212</v>
      </c>
      <c r="C74" s="11"/>
      <c r="D74" s="12" t="s">
        <v>184</v>
      </c>
      <c r="E74" s="16">
        <v>-30500</v>
      </c>
      <c r="F74" s="17">
        <v>-354.32</v>
      </c>
      <c r="G74" s="18">
        <v>-0.01</v>
      </c>
      <c r="H74" s="19"/>
    </row>
    <row r="75" spans="1:8" ht="12.95" customHeight="1">
      <c r="A75" s="14" t="s">
        <v>213</v>
      </c>
      <c r="B75" s="15" t="s">
        <v>214</v>
      </c>
      <c r="C75" s="11"/>
      <c r="D75" s="12" t="s">
        <v>184</v>
      </c>
      <c r="E75" s="16">
        <v>-23450</v>
      </c>
      <c r="F75" s="17">
        <v>-376.51</v>
      </c>
      <c r="G75" s="18">
        <v>-1.06E-2</v>
      </c>
      <c r="H75" s="19"/>
    </row>
    <row r="76" spans="1:8" ht="12.95" customHeight="1">
      <c r="A76" s="14" t="s">
        <v>215</v>
      </c>
      <c r="B76" s="15" t="s">
        <v>216</v>
      </c>
      <c r="C76" s="11"/>
      <c r="D76" s="12" t="s">
        <v>184</v>
      </c>
      <c r="E76" s="16">
        <v>-236500</v>
      </c>
      <c r="F76" s="17">
        <v>-402.22</v>
      </c>
      <c r="G76" s="18">
        <v>-1.1299999999999999E-2</v>
      </c>
      <c r="H76" s="19"/>
    </row>
    <row r="77" spans="1:8" ht="12.95" customHeight="1">
      <c r="A77" s="14" t="s">
        <v>217</v>
      </c>
      <c r="B77" s="15" t="s">
        <v>218</v>
      </c>
      <c r="C77" s="11"/>
      <c r="D77" s="12" t="s">
        <v>184</v>
      </c>
      <c r="E77" s="16">
        <v>-44000</v>
      </c>
      <c r="F77" s="17">
        <v>-479.16</v>
      </c>
      <c r="G77" s="18">
        <v>-1.35E-2</v>
      </c>
      <c r="H77" s="19"/>
    </row>
    <row r="78" spans="1:8" ht="12.95" customHeight="1">
      <c r="A78" s="14" t="s">
        <v>219</v>
      </c>
      <c r="B78" s="15" t="s">
        <v>220</v>
      </c>
      <c r="C78" s="11"/>
      <c r="D78" s="12" t="s">
        <v>184</v>
      </c>
      <c r="E78" s="16">
        <v>-19200</v>
      </c>
      <c r="F78" s="17">
        <v>-486.07</v>
      </c>
      <c r="G78" s="18">
        <v>-1.37E-2</v>
      </c>
      <c r="H78" s="19"/>
    </row>
    <row r="79" spans="1:8" ht="12.95" customHeight="1">
      <c r="A79" s="14" t="s">
        <v>221</v>
      </c>
      <c r="B79" s="15" t="s">
        <v>222</v>
      </c>
      <c r="C79" s="11"/>
      <c r="D79" s="12" t="s">
        <v>184</v>
      </c>
      <c r="E79" s="16">
        <v>-440000</v>
      </c>
      <c r="F79" s="17">
        <v>-500.37</v>
      </c>
      <c r="G79" s="18">
        <v>-1.41E-2</v>
      </c>
      <c r="H79" s="19"/>
    </row>
    <row r="80" spans="1:8" ht="12.95" customHeight="1">
      <c r="A80" s="14" t="s">
        <v>223</v>
      </c>
      <c r="B80" s="15" t="s">
        <v>224</v>
      </c>
      <c r="C80" s="11"/>
      <c r="D80" s="12" t="s">
        <v>184</v>
      </c>
      <c r="E80" s="16">
        <v>-11900</v>
      </c>
      <c r="F80" s="17">
        <v>-560.01</v>
      </c>
      <c r="G80" s="18">
        <v>-1.5800000000000002E-2</v>
      </c>
      <c r="H80" s="19"/>
    </row>
    <row r="81" spans="1:8" ht="12.95" customHeight="1">
      <c r="A81" s="14" t="s">
        <v>225</v>
      </c>
      <c r="B81" s="15" t="s">
        <v>226</v>
      </c>
      <c r="C81" s="11"/>
      <c r="D81" s="12" t="s">
        <v>184</v>
      </c>
      <c r="E81" s="16">
        <v>-19425</v>
      </c>
      <c r="F81" s="17">
        <v>-562.78</v>
      </c>
      <c r="G81" s="18">
        <v>-1.5900000000000001E-2</v>
      </c>
      <c r="H81" s="19"/>
    </row>
    <row r="82" spans="1:8" ht="12.95" customHeight="1">
      <c r="A82" s="14" t="s">
        <v>227</v>
      </c>
      <c r="B82" s="15" t="s">
        <v>228</v>
      </c>
      <c r="C82" s="11"/>
      <c r="D82" s="12" t="s">
        <v>184</v>
      </c>
      <c r="E82" s="16">
        <v>-23250</v>
      </c>
      <c r="F82" s="17">
        <v>-644.28</v>
      </c>
      <c r="G82" s="18">
        <v>-1.8200000000000001E-2</v>
      </c>
      <c r="H82" s="19"/>
    </row>
    <row r="83" spans="1:8" ht="12.95" customHeight="1">
      <c r="A83" s="14" t="s">
        <v>229</v>
      </c>
      <c r="B83" s="15" t="s">
        <v>230</v>
      </c>
      <c r="C83" s="11"/>
      <c r="D83" s="12" t="s">
        <v>184</v>
      </c>
      <c r="E83" s="16">
        <v>-166400</v>
      </c>
      <c r="F83" s="17">
        <v>-672.92</v>
      </c>
      <c r="G83" s="18">
        <v>-1.9E-2</v>
      </c>
      <c r="H83" s="19"/>
    </row>
    <row r="84" spans="1:8" ht="12.95" customHeight="1">
      <c r="A84" s="14" t="s">
        <v>231</v>
      </c>
      <c r="B84" s="15" t="s">
        <v>232</v>
      </c>
      <c r="C84" s="11"/>
      <c r="D84" s="12" t="s">
        <v>184</v>
      </c>
      <c r="E84" s="16">
        <v>-176900</v>
      </c>
      <c r="F84" s="17">
        <v>-692.12</v>
      </c>
      <c r="G84" s="18">
        <v>-1.95E-2</v>
      </c>
      <c r="H84" s="19"/>
    </row>
    <row r="85" spans="1:8" ht="12.95" customHeight="1">
      <c r="A85" s="14" t="s">
        <v>233</v>
      </c>
      <c r="B85" s="15" t="s">
        <v>234</v>
      </c>
      <c r="C85" s="11"/>
      <c r="D85" s="12" t="s">
        <v>184</v>
      </c>
      <c r="E85" s="16">
        <v>-20400</v>
      </c>
      <c r="F85" s="17">
        <v>-704.29</v>
      </c>
      <c r="G85" s="18">
        <v>-1.9800000000000002E-2</v>
      </c>
      <c r="H85" s="19"/>
    </row>
    <row r="86" spans="1:8" ht="12.95" customHeight="1">
      <c r="A86" s="14" t="s">
        <v>235</v>
      </c>
      <c r="B86" s="15" t="s">
        <v>236</v>
      </c>
      <c r="C86" s="11"/>
      <c r="D86" s="12" t="s">
        <v>184</v>
      </c>
      <c r="E86" s="16">
        <v>-4900</v>
      </c>
      <c r="F86" s="17">
        <v>-789.34</v>
      </c>
      <c r="G86" s="18">
        <v>-2.2200000000000001E-2</v>
      </c>
      <c r="H86" s="19"/>
    </row>
    <row r="87" spans="1:8" ht="12.95" customHeight="1">
      <c r="A87" s="14" t="s">
        <v>237</v>
      </c>
      <c r="B87" s="15" t="s">
        <v>238</v>
      </c>
      <c r="C87" s="11"/>
      <c r="D87" s="12" t="s">
        <v>184</v>
      </c>
      <c r="E87" s="16">
        <v>-55000</v>
      </c>
      <c r="F87" s="17">
        <v>-813.78</v>
      </c>
      <c r="G87" s="18">
        <v>-2.29E-2</v>
      </c>
      <c r="H87" s="19"/>
    </row>
    <row r="88" spans="1:8" ht="12.95" customHeight="1">
      <c r="A88" s="14" t="s">
        <v>239</v>
      </c>
      <c r="B88" s="15" t="s">
        <v>240</v>
      </c>
      <c r="C88" s="11"/>
      <c r="D88" s="12" t="s">
        <v>184</v>
      </c>
      <c r="E88" s="16">
        <v>-10750</v>
      </c>
      <c r="F88" s="17">
        <v>-843.66</v>
      </c>
      <c r="G88" s="18">
        <v>-2.3800000000000002E-2</v>
      </c>
      <c r="H88" s="19"/>
    </row>
    <row r="89" spans="1:8" ht="12.95" customHeight="1">
      <c r="A89" s="14" t="s">
        <v>241</v>
      </c>
      <c r="B89" s="15" t="s">
        <v>242</v>
      </c>
      <c r="C89" s="11"/>
      <c r="D89" s="12" t="s">
        <v>184</v>
      </c>
      <c r="E89" s="16">
        <v>-23100</v>
      </c>
      <c r="F89" s="17">
        <v>-850.17</v>
      </c>
      <c r="G89" s="18">
        <v>-2.4E-2</v>
      </c>
      <c r="H89" s="19"/>
    </row>
    <row r="90" spans="1:8" ht="12.95" customHeight="1">
      <c r="A90" s="14" t="s">
        <v>243</v>
      </c>
      <c r="B90" s="15" t="s">
        <v>244</v>
      </c>
      <c r="C90" s="11"/>
      <c r="D90" s="12" t="s">
        <v>184</v>
      </c>
      <c r="E90" s="16">
        <v>-46000</v>
      </c>
      <c r="F90" s="17">
        <v>-922.25</v>
      </c>
      <c r="G90" s="18">
        <v>-2.5999999999999999E-2</v>
      </c>
      <c r="H90" s="19"/>
    </row>
    <row r="91" spans="1:8" ht="12.95" customHeight="1">
      <c r="A91" s="14" t="s">
        <v>245</v>
      </c>
      <c r="B91" s="15" t="s">
        <v>246</v>
      </c>
      <c r="C91" s="11"/>
      <c r="D91" s="12" t="s">
        <v>184</v>
      </c>
      <c r="E91" s="16">
        <v>-125250</v>
      </c>
      <c r="F91" s="17">
        <v>-1098.3800000000001</v>
      </c>
      <c r="G91" s="18">
        <v>-3.09E-2</v>
      </c>
      <c r="H91" s="19"/>
    </row>
    <row r="92" spans="1:8" ht="12.95" customHeight="1">
      <c r="A92" s="14" t="s">
        <v>247</v>
      </c>
      <c r="B92" s="15" t="s">
        <v>248</v>
      </c>
      <c r="C92" s="11"/>
      <c r="D92" s="12" t="s">
        <v>184</v>
      </c>
      <c r="E92" s="16">
        <v>-82000</v>
      </c>
      <c r="F92" s="17">
        <v>-1126.02</v>
      </c>
      <c r="G92" s="18">
        <v>-3.1699999999999999E-2</v>
      </c>
      <c r="H92" s="19"/>
    </row>
    <row r="93" spans="1:8" ht="12.95" customHeight="1">
      <c r="A93" s="14" t="s">
        <v>249</v>
      </c>
      <c r="B93" s="15" t="s">
        <v>250</v>
      </c>
      <c r="C93" s="11"/>
      <c r="D93" s="12" t="s">
        <v>184</v>
      </c>
      <c r="E93" s="16">
        <v>-133100</v>
      </c>
      <c r="F93" s="17">
        <v>-1272.57</v>
      </c>
      <c r="G93" s="18">
        <v>-3.5900000000000001E-2</v>
      </c>
      <c r="H93" s="19"/>
    </row>
    <row r="94" spans="1:8" ht="12.95" customHeight="1">
      <c r="A94" s="14" t="s">
        <v>251</v>
      </c>
      <c r="B94" s="15" t="s">
        <v>252</v>
      </c>
      <c r="C94" s="11"/>
      <c r="D94" s="12" t="s">
        <v>184</v>
      </c>
      <c r="E94" s="16">
        <v>-125000</v>
      </c>
      <c r="F94" s="17">
        <v>-1421.5</v>
      </c>
      <c r="G94" s="18">
        <v>-0.04</v>
      </c>
      <c r="H94" s="19"/>
    </row>
    <row r="95" spans="1:8" ht="12.95" customHeight="1">
      <c r="A95" s="14" t="s">
        <v>253</v>
      </c>
      <c r="B95" s="15" t="s">
        <v>254</v>
      </c>
      <c r="C95" s="11"/>
      <c r="D95" s="12" t="s">
        <v>184</v>
      </c>
      <c r="E95" s="16">
        <v>-115500</v>
      </c>
      <c r="F95" s="17">
        <v>-1567.91</v>
      </c>
      <c r="G95" s="18">
        <v>-4.4200000000000003E-2</v>
      </c>
      <c r="H95" s="19"/>
    </row>
    <row r="96" spans="1:8" ht="12.95" customHeight="1">
      <c r="A96" s="3"/>
      <c r="B96" s="10" t="s">
        <v>255</v>
      </c>
      <c r="C96" s="11"/>
      <c r="D96" s="12"/>
      <c r="E96" s="12"/>
      <c r="F96" s="12"/>
      <c r="G96" s="12"/>
      <c r="H96" s="13"/>
    </row>
    <row r="97" spans="1:8" ht="12.95" customHeight="1">
      <c r="A97" s="14" t="s">
        <v>256</v>
      </c>
      <c r="B97" s="15" t="s">
        <v>257</v>
      </c>
      <c r="C97" s="11"/>
      <c r="D97" s="12" t="s">
        <v>184</v>
      </c>
      <c r="E97" s="16">
        <v>-625</v>
      </c>
      <c r="F97" s="17">
        <v>-0.26</v>
      </c>
      <c r="G97" s="32" t="s">
        <v>258</v>
      </c>
      <c r="H97" s="19"/>
    </row>
    <row r="98" spans="1:8" ht="12.95" customHeight="1">
      <c r="A98" s="14" t="s">
        <v>259</v>
      </c>
      <c r="B98" s="15" t="s">
        <v>260</v>
      </c>
      <c r="C98" s="11"/>
      <c r="D98" s="12" t="s">
        <v>184</v>
      </c>
      <c r="E98" s="16">
        <v>-3125</v>
      </c>
      <c r="F98" s="17">
        <v>-0.32</v>
      </c>
      <c r="G98" s="32" t="s">
        <v>258</v>
      </c>
      <c r="H98" s="19"/>
    </row>
    <row r="99" spans="1:8" ht="12.95" customHeight="1">
      <c r="A99" s="14" t="s">
        <v>261</v>
      </c>
      <c r="B99" s="15" t="s">
        <v>262</v>
      </c>
      <c r="C99" s="11"/>
      <c r="D99" s="12" t="s">
        <v>184</v>
      </c>
      <c r="E99" s="16">
        <v>-3800</v>
      </c>
      <c r="F99" s="17">
        <v>-0.37</v>
      </c>
      <c r="G99" s="32" t="s">
        <v>258</v>
      </c>
      <c r="H99" s="19"/>
    </row>
    <row r="100" spans="1:8" ht="12.95" customHeight="1">
      <c r="A100" s="14" t="s">
        <v>263</v>
      </c>
      <c r="B100" s="15" t="s">
        <v>264</v>
      </c>
      <c r="C100" s="11"/>
      <c r="D100" s="12" t="s">
        <v>184</v>
      </c>
      <c r="E100" s="16">
        <v>-2625</v>
      </c>
      <c r="F100" s="17">
        <v>-0.39</v>
      </c>
      <c r="G100" s="32" t="s">
        <v>258</v>
      </c>
      <c r="H100" s="19"/>
    </row>
    <row r="101" spans="1:8" ht="12.95" customHeight="1">
      <c r="A101" s="14" t="s">
        <v>265</v>
      </c>
      <c r="B101" s="15" t="s">
        <v>266</v>
      </c>
      <c r="C101" s="11"/>
      <c r="D101" s="12" t="s">
        <v>184</v>
      </c>
      <c r="E101" s="16">
        <v>-9000</v>
      </c>
      <c r="F101" s="17">
        <v>-0.4</v>
      </c>
      <c r="G101" s="32" t="s">
        <v>258</v>
      </c>
      <c r="H101" s="19"/>
    </row>
    <row r="102" spans="1:8" ht="12.95" customHeight="1">
      <c r="A102" s="14" t="s">
        <v>267</v>
      </c>
      <c r="B102" s="15" t="s">
        <v>268</v>
      </c>
      <c r="C102" s="11"/>
      <c r="D102" s="12" t="s">
        <v>184</v>
      </c>
      <c r="E102" s="16">
        <v>-1500</v>
      </c>
      <c r="F102" s="17">
        <v>-0.4</v>
      </c>
      <c r="G102" s="32" t="s">
        <v>258</v>
      </c>
      <c r="H102" s="19"/>
    </row>
    <row r="103" spans="1:8" ht="12.95" customHeight="1">
      <c r="A103" s="14" t="s">
        <v>269</v>
      </c>
      <c r="B103" s="15" t="s">
        <v>270</v>
      </c>
      <c r="C103" s="11"/>
      <c r="D103" s="12" t="s">
        <v>184</v>
      </c>
      <c r="E103" s="16">
        <v>-375</v>
      </c>
      <c r="F103" s="17">
        <v>-0.44</v>
      </c>
      <c r="G103" s="32" t="s">
        <v>258</v>
      </c>
      <c r="H103" s="19"/>
    </row>
    <row r="104" spans="1:8" ht="12.95" customHeight="1">
      <c r="A104" s="14" t="s">
        <v>271</v>
      </c>
      <c r="B104" s="15" t="s">
        <v>272</v>
      </c>
      <c r="C104" s="11"/>
      <c r="D104" s="12" t="s">
        <v>184</v>
      </c>
      <c r="E104" s="16">
        <v>-2975</v>
      </c>
      <c r="F104" s="17">
        <v>-0.54</v>
      </c>
      <c r="G104" s="32" t="s">
        <v>258</v>
      </c>
      <c r="H104" s="19"/>
    </row>
    <row r="105" spans="1:8" ht="12.95" customHeight="1">
      <c r="A105" s="14" t="s">
        <v>273</v>
      </c>
      <c r="B105" s="15" t="s">
        <v>274</v>
      </c>
      <c r="C105" s="11"/>
      <c r="D105" s="12" t="s">
        <v>184</v>
      </c>
      <c r="E105" s="16">
        <v>-9000</v>
      </c>
      <c r="F105" s="17">
        <v>-0.57999999999999996</v>
      </c>
      <c r="G105" s="32" t="s">
        <v>258</v>
      </c>
      <c r="H105" s="19"/>
    </row>
    <row r="106" spans="1:8" ht="12.95" customHeight="1">
      <c r="A106" s="14" t="s">
        <v>275</v>
      </c>
      <c r="B106" s="15" t="s">
        <v>276</v>
      </c>
      <c r="C106" s="11"/>
      <c r="D106" s="12" t="s">
        <v>184</v>
      </c>
      <c r="E106" s="16">
        <v>-1400</v>
      </c>
      <c r="F106" s="17">
        <v>-0.68</v>
      </c>
      <c r="G106" s="32" t="s">
        <v>258</v>
      </c>
      <c r="H106" s="19"/>
    </row>
    <row r="107" spans="1:8" ht="12.95" customHeight="1">
      <c r="A107" s="14" t="s">
        <v>277</v>
      </c>
      <c r="B107" s="15" t="s">
        <v>278</v>
      </c>
      <c r="C107" s="11"/>
      <c r="D107" s="12" t="s">
        <v>184</v>
      </c>
      <c r="E107" s="16">
        <v>-2750</v>
      </c>
      <c r="F107" s="17">
        <v>-0.7</v>
      </c>
      <c r="G107" s="32" t="s">
        <v>258</v>
      </c>
      <c r="H107" s="19"/>
    </row>
    <row r="108" spans="1:8" ht="12.95" customHeight="1">
      <c r="A108" s="14" t="s">
        <v>279</v>
      </c>
      <c r="B108" s="15" t="s">
        <v>280</v>
      </c>
      <c r="C108" s="11"/>
      <c r="D108" s="12" t="s">
        <v>184</v>
      </c>
      <c r="E108" s="16">
        <v>-10500</v>
      </c>
      <c r="F108" s="17">
        <v>-0.72</v>
      </c>
      <c r="G108" s="32" t="s">
        <v>258</v>
      </c>
      <c r="H108" s="19"/>
    </row>
    <row r="109" spans="1:8" ht="12.95" customHeight="1">
      <c r="A109" s="14" t="s">
        <v>281</v>
      </c>
      <c r="B109" s="15" t="s">
        <v>282</v>
      </c>
      <c r="C109" s="11"/>
      <c r="D109" s="12" t="s">
        <v>184</v>
      </c>
      <c r="E109" s="16">
        <v>-400</v>
      </c>
      <c r="F109" s="17">
        <v>-0.73</v>
      </c>
      <c r="G109" s="32" t="s">
        <v>258</v>
      </c>
      <c r="H109" s="19"/>
    </row>
    <row r="110" spans="1:8" ht="12.95" customHeight="1">
      <c r="A110" s="14" t="s">
        <v>283</v>
      </c>
      <c r="B110" s="15" t="s">
        <v>284</v>
      </c>
      <c r="C110" s="11"/>
      <c r="D110" s="12" t="s">
        <v>184</v>
      </c>
      <c r="E110" s="16">
        <v>-40000</v>
      </c>
      <c r="F110" s="17">
        <v>-0.78</v>
      </c>
      <c r="G110" s="32" t="s">
        <v>258</v>
      </c>
      <c r="H110" s="19"/>
    </row>
    <row r="111" spans="1:8" ht="12.95" customHeight="1">
      <c r="A111" s="14" t="s">
        <v>285</v>
      </c>
      <c r="B111" s="15" t="s">
        <v>286</v>
      </c>
      <c r="C111" s="11"/>
      <c r="D111" s="12" t="s">
        <v>184</v>
      </c>
      <c r="E111" s="16">
        <v>-13500</v>
      </c>
      <c r="F111" s="17">
        <v>-0.84</v>
      </c>
      <c r="G111" s="32" t="s">
        <v>258</v>
      </c>
      <c r="H111" s="19"/>
    </row>
    <row r="112" spans="1:8" ht="12.95" customHeight="1">
      <c r="A112" s="14" t="s">
        <v>287</v>
      </c>
      <c r="B112" s="15" t="s">
        <v>288</v>
      </c>
      <c r="C112" s="11"/>
      <c r="D112" s="12" t="s">
        <v>184</v>
      </c>
      <c r="E112" s="16">
        <v>-750</v>
      </c>
      <c r="F112" s="17">
        <v>-0.92</v>
      </c>
      <c r="G112" s="32" t="s">
        <v>258</v>
      </c>
      <c r="H112" s="19"/>
    </row>
    <row r="113" spans="1:8" ht="12.95" customHeight="1">
      <c r="A113" s="14" t="s">
        <v>289</v>
      </c>
      <c r="B113" s="15" t="s">
        <v>290</v>
      </c>
      <c r="C113" s="11"/>
      <c r="D113" s="12" t="s">
        <v>184</v>
      </c>
      <c r="E113" s="16">
        <v>-4500</v>
      </c>
      <c r="F113" s="17">
        <v>-0.97</v>
      </c>
      <c r="G113" s="32" t="s">
        <v>258</v>
      </c>
      <c r="H113" s="19"/>
    </row>
    <row r="114" spans="1:8" ht="12.95" customHeight="1">
      <c r="A114" s="14" t="s">
        <v>291</v>
      </c>
      <c r="B114" s="15" t="s">
        <v>292</v>
      </c>
      <c r="C114" s="11"/>
      <c r="D114" s="12" t="s">
        <v>184</v>
      </c>
      <c r="E114" s="16">
        <v>-6000</v>
      </c>
      <c r="F114" s="17">
        <v>-0.97</v>
      </c>
      <c r="G114" s="32" t="s">
        <v>258</v>
      </c>
      <c r="H114" s="19"/>
    </row>
    <row r="115" spans="1:8" ht="12.95" customHeight="1">
      <c r="A115" s="14" t="s">
        <v>293</v>
      </c>
      <c r="B115" s="15" t="s">
        <v>294</v>
      </c>
      <c r="C115" s="11"/>
      <c r="D115" s="12" t="s">
        <v>184</v>
      </c>
      <c r="E115" s="16">
        <v>-5950</v>
      </c>
      <c r="F115" s="17">
        <v>-1.05</v>
      </c>
      <c r="G115" s="32" t="s">
        <v>258</v>
      </c>
      <c r="H115" s="19"/>
    </row>
    <row r="116" spans="1:8" ht="12.95" customHeight="1">
      <c r="A116" s="14" t="s">
        <v>295</v>
      </c>
      <c r="B116" s="15" t="s">
        <v>296</v>
      </c>
      <c r="C116" s="11"/>
      <c r="D116" s="12" t="s">
        <v>184</v>
      </c>
      <c r="E116" s="16">
        <v>-15400</v>
      </c>
      <c r="F116" s="17">
        <v>-1.51</v>
      </c>
      <c r="G116" s="32" t="s">
        <v>258</v>
      </c>
      <c r="H116" s="19"/>
    </row>
    <row r="117" spans="1:8" ht="12.95" customHeight="1">
      <c r="A117" s="14" t="s">
        <v>297</v>
      </c>
      <c r="B117" s="15" t="s">
        <v>298</v>
      </c>
      <c r="C117" s="11"/>
      <c r="D117" s="12" t="s">
        <v>184</v>
      </c>
      <c r="E117" s="16">
        <v>-4200</v>
      </c>
      <c r="F117" s="17">
        <v>-1.54</v>
      </c>
      <c r="G117" s="32" t="s">
        <v>258</v>
      </c>
      <c r="H117" s="19"/>
    </row>
    <row r="118" spans="1:8" ht="12.95" customHeight="1">
      <c r="A118" s="14" t="s">
        <v>299</v>
      </c>
      <c r="B118" s="15" t="s">
        <v>300</v>
      </c>
      <c r="C118" s="11"/>
      <c r="D118" s="12" t="s">
        <v>184</v>
      </c>
      <c r="E118" s="16">
        <v>-1100</v>
      </c>
      <c r="F118" s="17">
        <v>-1.74</v>
      </c>
      <c r="G118" s="32" t="s">
        <v>258</v>
      </c>
      <c r="H118" s="19"/>
    </row>
    <row r="119" spans="1:8" ht="12.95" customHeight="1">
      <c r="A119" s="14" t="s">
        <v>301</v>
      </c>
      <c r="B119" s="15" t="s">
        <v>302</v>
      </c>
      <c r="C119" s="11"/>
      <c r="D119" s="12" t="s">
        <v>184</v>
      </c>
      <c r="E119" s="16">
        <v>-6600</v>
      </c>
      <c r="F119" s="17">
        <v>-1.79</v>
      </c>
      <c r="G119" s="18">
        <v>-1E-4</v>
      </c>
      <c r="H119" s="19"/>
    </row>
    <row r="120" spans="1:8" ht="12.95" customHeight="1">
      <c r="A120" s="14" t="s">
        <v>303</v>
      </c>
      <c r="B120" s="15" t="s">
        <v>304</v>
      </c>
      <c r="C120" s="11"/>
      <c r="D120" s="12" t="s">
        <v>184</v>
      </c>
      <c r="E120" s="16">
        <v>-9100</v>
      </c>
      <c r="F120" s="17">
        <v>-1.95</v>
      </c>
      <c r="G120" s="18">
        <v>-1E-4</v>
      </c>
      <c r="H120" s="19"/>
    </row>
    <row r="121" spans="1:8" ht="12.95" customHeight="1">
      <c r="A121" s="3"/>
      <c r="B121" s="20" t="s">
        <v>179</v>
      </c>
      <c r="C121" s="25"/>
      <c r="D121" s="26"/>
      <c r="E121" s="28"/>
      <c r="F121" s="29">
        <v>-19524.39</v>
      </c>
      <c r="G121" s="30">
        <v>-0.54990000000000006</v>
      </c>
      <c r="H121" s="31"/>
    </row>
    <row r="122" spans="1:8" ht="12.95" customHeight="1">
      <c r="A122" s="3"/>
      <c r="B122" s="10" t="s">
        <v>305</v>
      </c>
      <c r="C122" s="11"/>
      <c r="D122" s="12"/>
      <c r="E122" s="12"/>
      <c r="F122" s="12"/>
      <c r="G122" s="12"/>
      <c r="H122" s="13"/>
    </row>
    <row r="123" spans="1:8" ht="12.95" customHeight="1">
      <c r="A123" s="3"/>
      <c r="B123" s="10" t="s">
        <v>306</v>
      </c>
      <c r="C123" s="11"/>
      <c r="D123" s="12"/>
      <c r="E123" s="12"/>
      <c r="F123" s="12"/>
      <c r="G123" s="12"/>
      <c r="H123" s="13"/>
    </row>
    <row r="124" spans="1:8" ht="12.95" customHeight="1">
      <c r="A124" s="3"/>
      <c r="B124" s="10" t="s">
        <v>307</v>
      </c>
      <c r="C124" s="11"/>
      <c r="D124" s="12"/>
      <c r="E124" s="12"/>
      <c r="F124" s="12"/>
      <c r="G124" s="12"/>
      <c r="H124" s="13"/>
    </row>
    <row r="125" spans="1:8" ht="12.95" customHeight="1">
      <c r="A125" s="14" t="s">
        <v>308</v>
      </c>
      <c r="B125" s="15" t="s">
        <v>309</v>
      </c>
      <c r="C125" s="11" t="s">
        <v>310</v>
      </c>
      <c r="D125" s="12" t="s">
        <v>311</v>
      </c>
      <c r="E125" s="16">
        <v>1000000</v>
      </c>
      <c r="F125" s="17">
        <v>1048.6300000000001</v>
      </c>
      <c r="G125" s="18">
        <v>2.9499999999999998E-2</v>
      </c>
      <c r="H125" s="19">
        <v>6.7502999999999994E-2</v>
      </c>
    </row>
    <row r="126" spans="1:8" ht="12.95" customHeight="1">
      <c r="A126" s="14" t="s">
        <v>312</v>
      </c>
      <c r="B126" s="15" t="s">
        <v>313</v>
      </c>
      <c r="C126" s="11" t="s">
        <v>314</v>
      </c>
      <c r="D126" s="12" t="s">
        <v>311</v>
      </c>
      <c r="E126" s="16">
        <v>1000000</v>
      </c>
      <c r="F126" s="17">
        <v>1002.64</v>
      </c>
      <c r="G126" s="18">
        <v>2.8199999999999999E-2</v>
      </c>
      <c r="H126" s="19">
        <v>6.5909999999999996E-2</v>
      </c>
    </row>
    <row r="127" spans="1:8" ht="12.95" customHeight="1">
      <c r="A127" s="14" t="s">
        <v>315</v>
      </c>
      <c r="B127" s="15" t="s">
        <v>316</v>
      </c>
      <c r="C127" s="11" t="s">
        <v>317</v>
      </c>
      <c r="D127" s="12" t="s">
        <v>311</v>
      </c>
      <c r="E127" s="16">
        <v>769100</v>
      </c>
      <c r="F127" s="17">
        <v>776.02</v>
      </c>
      <c r="G127" s="18">
        <v>2.1899999999999999E-2</v>
      </c>
      <c r="H127" s="19">
        <v>6.9177000000000002E-2</v>
      </c>
    </row>
    <row r="128" spans="1:8" ht="12.95" customHeight="1">
      <c r="A128" s="14" t="s">
        <v>318</v>
      </c>
      <c r="B128" s="15" t="s">
        <v>319</v>
      </c>
      <c r="C128" s="11" t="s">
        <v>320</v>
      </c>
      <c r="D128" s="12" t="s">
        <v>311</v>
      </c>
      <c r="E128" s="16">
        <v>500000</v>
      </c>
      <c r="F128" s="17">
        <v>526.41999999999996</v>
      </c>
      <c r="G128" s="18">
        <v>1.4800000000000001E-2</v>
      </c>
      <c r="H128" s="19">
        <v>6.7899000000000001E-2</v>
      </c>
    </row>
    <row r="129" spans="1:8" ht="12.95" customHeight="1">
      <c r="A129" s="14" t="s">
        <v>321</v>
      </c>
      <c r="B129" s="15" t="s">
        <v>322</v>
      </c>
      <c r="C129" s="11" t="s">
        <v>323</v>
      </c>
      <c r="D129" s="12" t="s">
        <v>311</v>
      </c>
      <c r="E129" s="16">
        <v>500000</v>
      </c>
      <c r="F129" s="17">
        <v>525.19000000000005</v>
      </c>
      <c r="G129" s="18">
        <v>1.4800000000000001E-2</v>
      </c>
      <c r="H129" s="19">
        <v>6.7502999999999994E-2</v>
      </c>
    </row>
    <row r="130" spans="1:8" ht="12.95" customHeight="1">
      <c r="A130" s="14" t="s">
        <v>324</v>
      </c>
      <c r="B130" s="15" t="s">
        <v>325</v>
      </c>
      <c r="C130" s="11" t="s">
        <v>326</v>
      </c>
      <c r="D130" s="12" t="s">
        <v>311</v>
      </c>
      <c r="E130" s="16">
        <v>500000</v>
      </c>
      <c r="F130" s="17">
        <v>514.35</v>
      </c>
      <c r="G130" s="18">
        <v>1.4500000000000001E-2</v>
      </c>
      <c r="H130" s="19">
        <v>6.9367999999999999E-2</v>
      </c>
    </row>
    <row r="131" spans="1:8" ht="12.95" customHeight="1">
      <c r="A131" s="14" t="s">
        <v>327</v>
      </c>
      <c r="B131" s="15" t="s">
        <v>328</v>
      </c>
      <c r="C131" s="11" t="s">
        <v>329</v>
      </c>
      <c r="D131" s="12" t="s">
        <v>311</v>
      </c>
      <c r="E131" s="16">
        <v>480000</v>
      </c>
      <c r="F131" s="17">
        <v>494.65</v>
      </c>
      <c r="G131" s="18">
        <v>1.3899999999999999E-2</v>
      </c>
      <c r="H131" s="19">
        <v>6.3344999999999999E-2</v>
      </c>
    </row>
    <row r="132" spans="1:8" ht="12.95" customHeight="1">
      <c r="A132" s="14" t="s">
        <v>330</v>
      </c>
      <c r="B132" s="15" t="s">
        <v>331</v>
      </c>
      <c r="C132" s="11" t="s">
        <v>332</v>
      </c>
      <c r="D132" s="12" t="s">
        <v>311</v>
      </c>
      <c r="E132" s="16">
        <v>100000</v>
      </c>
      <c r="F132" s="17">
        <v>104.65</v>
      </c>
      <c r="G132" s="18">
        <v>2.8999999999999998E-3</v>
      </c>
      <c r="H132" s="19">
        <v>6.7502999999999994E-2</v>
      </c>
    </row>
    <row r="133" spans="1:8" ht="12.95" customHeight="1">
      <c r="A133" s="3"/>
      <c r="B133" s="10" t="s">
        <v>333</v>
      </c>
      <c r="C133" s="11"/>
      <c r="D133" s="12"/>
      <c r="E133" s="12"/>
      <c r="F133" s="12"/>
      <c r="G133" s="12"/>
      <c r="H133" s="13"/>
    </row>
    <row r="134" spans="1:8" ht="12.95" customHeight="1">
      <c r="A134" s="14" t="s">
        <v>334</v>
      </c>
      <c r="B134" s="15" t="s">
        <v>335</v>
      </c>
      <c r="C134" s="11" t="s">
        <v>336</v>
      </c>
      <c r="D134" s="12" t="s">
        <v>337</v>
      </c>
      <c r="E134" s="16">
        <v>1500000</v>
      </c>
      <c r="F134" s="17">
        <v>1525.18</v>
      </c>
      <c r="G134" s="18">
        <v>4.2999999999999997E-2</v>
      </c>
      <c r="H134" s="19">
        <v>6.8502999999999994E-2</v>
      </c>
    </row>
    <row r="135" spans="1:8" ht="12.95" customHeight="1">
      <c r="A135" s="14" t="s">
        <v>338</v>
      </c>
      <c r="B135" s="15" t="s">
        <v>339</v>
      </c>
      <c r="C135" s="11" t="s">
        <v>340</v>
      </c>
      <c r="D135" s="12" t="s">
        <v>337</v>
      </c>
      <c r="E135" s="16">
        <v>1000000</v>
      </c>
      <c r="F135" s="17">
        <v>1017.32</v>
      </c>
      <c r="G135" s="18">
        <v>2.87E-2</v>
      </c>
      <c r="H135" s="19">
        <v>7.1400000000000005E-2</v>
      </c>
    </row>
    <row r="136" spans="1:8" ht="12.95" customHeight="1">
      <c r="A136" s="14" t="s">
        <v>341</v>
      </c>
      <c r="B136" s="15" t="s">
        <v>342</v>
      </c>
      <c r="C136" s="11" t="s">
        <v>343</v>
      </c>
      <c r="D136" s="12" t="s">
        <v>344</v>
      </c>
      <c r="E136" s="16">
        <v>500000</v>
      </c>
      <c r="F136" s="17">
        <v>508.12</v>
      </c>
      <c r="G136" s="18">
        <v>1.43E-2</v>
      </c>
      <c r="H136" s="19">
        <v>6.7680000000000004E-2</v>
      </c>
    </row>
    <row r="137" spans="1:8" ht="12.95" customHeight="1">
      <c r="A137" s="14" t="s">
        <v>345</v>
      </c>
      <c r="B137" s="15" t="s">
        <v>346</v>
      </c>
      <c r="C137" s="11" t="s">
        <v>347</v>
      </c>
      <c r="D137" s="12" t="s">
        <v>337</v>
      </c>
      <c r="E137" s="16">
        <v>500000</v>
      </c>
      <c r="F137" s="17">
        <v>499.2</v>
      </c>
      <c r="G137" s="18">
        <v>1.41E-2</v>
      </c>
      <c r="H137" s="19">
        <v>7.0650000000000004E-2</v>
      </c>
    </row>
    <row r="138" spans="1:8" ht="12.95" customHeight="1">
      <c r="A138" s="3"/>
      <c r="B138" s="20" t="s">
        <v>176</v>
      </c>
      <c r="C138" s="21"/>
      <c r="D138" s="20"/>
      <c r="E138" s="20"/>
      <c r="F138" s="22">
        <v>8542.3700000000008</v>
      </c>
      <c r="G138" s="23">
        <v>0.24060000000000001</v>
      </c>
      <c r="H138" s="24"/>
    </row>
    <row r="139" spans="1:8" ht="12.95" customHeight="1">
      <c r="A139" s="3"/>
      <c r="B139" s="10" t="s">
        <v>348</v>
      </c>
      <c r="C139" s="11"/>
      <c r="D139" s="26"/>
      <c r="E139" s="26"/>
      <c r="F139" s="27" t="s">
        <v>178</v>
      </c>
      <c r="G139" s="27" t="s">
        <v>178</v>
      </c>
      <c r="H139" s="24" t="s">
        <v>178</v>
      </c>
    </row>
    <row r="140" spans="1:8" ht="12.95" customHeight="1">
      <c r="A140" s="3"/>
      <c r="B140" s="21" t="s">
        <v>176</v>
      </c>
      <c r="C140" s="25"/>
      <c r="D140" s="26"/>
      <c r="E140" s="26"/>
      <c r="F140" s="27" t="s">
        <v>178</v>
      </c>
      <c r="G140" s="27" t="s">
        <v>178</v>
      </c>
      <c r="H140" s="24" t="s">
        <v>178</v>
      </c>
    </row>
    <row r="141" spans="1:8" ht="12.95" customHeight="1">
      <c r="A141" s="3"/>
      <c r="B141" s="20" t="s">
        <v>179</v>
      </c>
      <c r="C141" s="25"/>
      <c r="D141" s="26"/>
      <c r="E141" s="28"/>
      <c r="F141" s="29">
        <v>8542.3700000000008</v>
      </c>
      <c r="G141" s="30">
        <v>0.24060000000000001</v>
      </c>
      <c r="H141" s="31"/>
    </row>
    <row r="142" spans="1:8" ht="12.95" customHeight="1">
      <c r="A142" s="3"/>
      <c r="B142" s="10" t="s">
        <v>349</v>
      </c>
      <c r="C142" s="11"/>
      <c r="D142" s="12"/>
      <c r="E142" s="12"/>
      <c r="F142" s="12"/>
      <c r="G142" s="12"/>
      <c r="H142" s="13"/>
    </row>
    <row r="143" spans="1:8" ht="12.95" customHeight="1">
      <c r="A143" s="3"/>
      <c r="B143" s="33" t="s">
        <v>350</v>
      </c>
      <c r="C143" s="11"/>
      <c r="D143" s="12"/>
      <c r="E143" s="12"/>
      <c r="F143" s="12"/>
      <c r="G143" s="12"/>
      <c r="H143" s="13"/>
    </row>
    <row r="144" spans="1:8" ht="12.95" customHeight="1">
      <c r="A144" s="14" t="s">
        <v>351</v>
      </c>
      <c r="B144" s="15" t="s">
        <v>352</v>
      </c>
      <c r="C144" s="11"/>
      <c r="D144" s="12"/>
      <c r="E144" s="32"/>
      <c r="F144" s="17">
        <v>614.89</v>
      </c>
      <c r="G144" s="18">
        <v>1.7299999999999999E-2</v>
      </c>
      <c r="H144" s="19">
        <v>5.4836256857999803E-2</v>
      </c>
    </row>
    <row r="145" spans="1:8" ht="12.95" customHeight="1">
      <c r="A145" s="3"/>
      <c r="B145" s="20" t="s">
        <v>179</v>
      </c>
      <c r="C145" s="25"/>
      <c r="D145" s="26"/>
      <c r="E145" s="28"/>
      <c r="F145" s="29">
        <v>614.89</v>
      </c>
      <c r="G145" s="30">
        <v>1.7299999999999999E-2</v>
      </c>
      <c r="H145" s="31"/>
    </row>
    <row r="146" spans="1:8" ht="12.95" customHeight="1">
      <c r="A146" s="3"/>
      <c r="B146" s="10" t="s">
        <v>353</v>
      </c>
      <c r="C146" s="11"/>
      <c r="D146" s="12"/>
      <c r="E146" s="12"/>
      <c r="F146" s="12"/>
      <c r="G146" s="12"/>
      <c r="H146" s="13"/>
    </row>
    <row r="147" spans="1:8" ht="12.95" customHeight="1">
      <c r="A147" s="14" t="s">
        <v>354</v>
      </c>
      <c r="B147" s="15" t="s">
        <v>355</v>
      </c>
      <c r="C147" s="11" t="s">
        <v>356</v>
      </c>
      <c r="D147" s="12"/>
      <c r="E147" s="34">
        <v>6051462.8969999999</v>
      </c>
      <c r="F147" s="17">
        <v>2688.68</v>
      </c>
      <c r="G147" s="18">
        <v>7.5700000000000003E-2</v>
      </c>
      <c r="H147" s="19"/>
    </row>
    <row r="148" spans="1:8" ht="12.95" customHeight="1">
      <c r="A148" s="3"/>
      <c r="B148" s="20" t="s">
        <v>179</v>
      </c>
      <c r="C148" s="25"/>
      <c r="D148" s="26"/>
      <c r="E148" s="28"/>
      <c r="F148" s="29">
        <v>2688.68</v>
      </c>
      <c r="G148" s="30">
        <v>7.5700000000000003E-2</v>
      </c>
      <c r="H148" s="31"/>
    </row>
    <row r="149" spans="1:8" ht="12.95" customHeight="1">
      <c r="A149" s="3"/>
      <c r="B149" s="33" t="s">
        <v>357</v>
      </c>
      <c r="C149" s="35"/>
      <c r="D149" s="36"/>
      <c r="E149" s="36"/>
      <c r="F149" s="36"/>
      <c r="G149" s="36"/>
      <c r="H149" s="37"/>
    </row>
    <row r="150" spans="1:8" ht="12.95" customHeight="1">
      <c r="A150" s="3"/>
      <c r="B150" s="26" t="s">
        <v>358</v>
      </c>
      <c r="C150" s="25"/>
      <c r="D150" s="26"/>
      <c r="E150" s="26"/>
      <c r="F150" s="22">
        <v>6.66</v>
      </c>
      <c r="G150" s="23">
        <v>2.0000000000000001E-4</v>
      </c>
      <c r="H150" s="37"/>
    </row>
    <row r="151" spans="1:8" ht="12.95" customHeight="1">
      <c r="A151" s="3"/>
      <c r="B151" s="20" t="s">
        <v>176</v>
      </c>
      <c r="C151" s="21"/>
      <c r="D151" s="20"/>
      <c r="E151" s="20"/>
      <c r="F151" s="22">
        <v>6.66</v>
      </c>
      <c r="G151" s="23">
        <v>2.0000000000000001E-4</v>
      </c>
      <c r="H151" s="37"/>
    </row>
    <row r="152" spans="1:8" ht="12.95" customHeight="1">
      <c r="A152" s="3"/>
      <c r="B152" s="26" t="s">
        <v>359</v>
      </c>
      <c r="C152" s="25"/>
      <c r="D152" s="26"/>
      <c r="E152" s="26"/>
      <c r="F152" s="22">
        <v>250</v>
      </c>
      <c r="G152" s="23">
        <v>7.0000000000000001E-3</v>
      </c>
      <c r="H152" s="37"/>
    </row>
    <row r="153" spans="1:8" ht="12.95" customHeight="1">
      <c r="A153" s="3"/>
      <c r="B153" s="36" t="s">
        <v>360</v>
      </c>
      <c r="C153" s="35"/>
      <c r="D153" s="36"/>
      <c r="E153" s="36"/>
      <c r="F153" s="38">
        <v>0.6</v>
      </c>
      <c r="G153" s="39" t="s">
        <v>258</v>
      </c>
      <c r="H153" s="37"/>
    </row>
    <row r="154" spans="1:8" ht="12.95" customHeight="1">
      <c r="A154" s="3"/>
      <c r="B154" s="36" t="s">
        <v>361</v>
      </c>
      <c r="C154" s="35"/>
      <c r="D154" s="36"/>
      <c r="E154" s="36"/>
      <c r="F154" s="40">
        <v>-133.38</v>
      </c>
      <c r="G154" s="41">
        <v>-3.2000000000000002E-3</v>
      </c>
      <c r="H154" s="37"/>
    </row>
    <row r="155" spans="1:8" ht="12.95" customHeight="1">
      <c r="A155" s="3"/>
      <c r="B155" s="20" t="s">
        <v>362</v>
      </c>
      <c r="C155" s="25"/>
      <c r="D155" s="26"/>
      <c r="E155" s="26"/>
      <c r="F155" s="22">
        <v>117.22</v>
      </c>
      <c r="G155" s="42">
        <v>3.8E-3</v>
      </c>
      <c r="H155" s="37"/>
    </row>
    <row r="156" spans="1:8" ht="12.95" customHeight="1" thickBot="1">
      <c r="A156" s="3"/>
      <c r="B156" s="43" t="s">
        <v>363</v>
      </c>
      <c r="C156" s="44"/>
      <c r="D156" s="45"/>
      <c r="E156" s="45"/>
      <c r="F156" s="46">
        <v>35494.30847917121</v>
      </c>
      <c r="G156" s="47">
        <v>1</v>
      </c>
      <c r="H156" s="48"/>
    </row>
    <row r="158" spans="1:8">
      <c r="B158" s="49" t="s">
        <v>364</v>
      </c>
    </row>
    <row r="159" spans="1:8">
      <c r="B159" s="49" t="s">
        <v>365</v>
      </c>
    </row>
    <row r="160" spans="1:8" ht="15.75" thickBot="1"/>
    <row r="161" spans="1:6">
      <c r="B161" s="50" t="s">
        <v>366</v>
      </c>
      <c r="C161" s="51"/>
      <c r="D161" s="51"/>
      <c r="E161" s="52"/>
      <c r="F161" s="53"/>
    </row>
    <row r="162" spans="1:6">
      <c r="B162" s="54" t="s">
        <v>367</v>
      </c>
      <c r="C162" s="55"/>
      <c r="D162" s="55"/>
      <c r="E162" s="55"/>
      <c r="F162" s="56"/>
    </row>
    <row r="163" spans="1:6">
      <c r="B163" s="57" t="s">
        <v>368</v>
      </c>
      <c r="C163" s="55"/>
      <c r="D163" s="55"/>
      <c r="E163" s="58"/>
      <c r="F163" s="56"/>
    </row>
    <row r="164" spans="1:6" ht="15.75" thickBot="1">
      <c r="B164" s="59" t="s">
        <v>369</v>
      </c>
      <c r="C164" s="60"/>
      <c r="D164" s="60"/>
      <c r="E164" s="60"/>
      <c r="F164" s="61"/>
    </row>
    <row r="165" spans="1:6">
      <c r="B165" s="50" t="s">
        <v>370</v>
      </c>
      <c r="C165" s="62" t="s">
        <v>371</v>
      </c>
      <c r="D165" s="62"/>
      <c r="E165" s="63"/>
      <c r="F165" s="64"/>
    </row>
    <row r="166" spans="1:6" ht="15.75" thickBot="1">
      <c r="B166" s="65"/>
      <c r="C166" s="66">
        <v>45930</v>
      </c>
      <c r="D166" s="67">
        <v>45747</v>
      </c>
      <c r="E166" s="67"/>
      <c r="F166" s="68"/>
    </row>
    <row r="167" spans="1:6">
      <c r="B167" s="69" t="s">
        <v>372</v>
      </c>
      <c r="C167" s="55"/>
      <c r="D167" s="55"/>
      <c r="E167" s="70"/>
      <c r="F167" s="56"/>
    </row>
    <row r="168" spans="1:6">
      <c r="A168" s="71" t="s">
        <v>373</v>
      </c>
      <c r="B168" s="72" t="s">
        <v>374</v>
      </c>
      <c r="C168" s="73">
        <v>31.382000000000001</v>
      </c>
      <c r="D168" s="73">
        <v>30.423999999999999</v>
      </c>
      <c r="E168" s="70"/>
      <c r="F168" s="74"/>
    </row>
    <row r="169" spans="1:6">
      <c r="A169" s="71" t="s">
        <v>375</v>
      </c>
      <c r="B169" s="72" t="s">
        <v>376</v>
      </c>
      <c r="C169" s="73">
        <v>10.992000000000001</v>
      </c>
      <c r="D169" s="73">
        <v>10.872</v>
      </c>
      <c r="E169" s="70"/>
      <c r="F169" s="74"/>
    </row>
    <row r="170" spans="1:6">
      <c r="A170" s="71" t="s">
        <v>377</v>
      </c>
      <c r="B170" s="72" t="s">
        <v>378</v>
      </c>
      <c r="C170" s="73">
        <v>12.875</v>
      </c>
      <c r="D170" s="73">
        <v>12.782999999999999</v>
      </c>
      <c r="E170" s="70"/>
      <c r="F170" s="74"/>
    </row>
    <row r="171" spans="1:6">
      <c r="A171" s="71" t="s">
        <v>379</v>
      </c>
      <c r="B171" s="72" t="s">
        <v>380</v>
      </c>
      <c r="C171" s="73">
        <v>12.949</v>
      </c>
      <c r="D171" s="73">
        <v>12.553000000000001</v>
      </c>
      <c r="E171" s="70"/>
      <c r="F171" s="74"/>
    </row>
    <row r="172" spans="1:6">
      <c r="A172" s="71"/>
      <c r="B172" s="54"/>
      <c r="C172" s="73"/>
      <c r="D172" s="73"/>
      <c r="E172" s="70"/>
      <c r="F172" s="56"/>
    </row>
    <row r="173" spans="1:6">
      <c r="A173" s="71"/>
      <c r="B173" s="75" t="s">
        <v>381</v>
      </c>
      <c r="C173" s="73"/>
      <c r="D173" s="73"/>
      <c r="E173" s="70"/>
      <c r="F173" s="56"/>
    </row>
    <row r="174" spans="1:6">
      <c r="A174" s="71" t="s">
        <v>382</v>
      </c>
      <c r="B174" s="72" t="s">
        <v>374</v>
      </c>
      <c r="C174" s="73">
        <v>34.9</v>
      </c>
      <c r="D174" s="73">
        <v>33.68</v>
      </c>
      <c r="E174" s="70"/>
      <c r="F174" s="74"/>
    </row>
    <row r="175" spans="1:6">
      <c r="A175" s="71" t="s">
        <v>383</v>
      </c>
      <c r="B175" s="72" t="s">
        <v>376</v>
      </c>
      <c r="C175" s="73">
        <v>11.632</v>
      </c>
      <c r="D175" s="73">
        <v>11.509</v>
      </c>
      <c r="E175" s="70"/>
      <c r="F175" s="74"/>
    </row>
    <row r="176" spans="1:6">
      <c r="A176" s="71" t="s">
        <v>384</v>
      </c>
      <c r="B176" s="72" t="s">
        <v>378</v>
      </c>
      <c r="C176" s="73">
        <v>13.397</v>
      </c>
      <c r="D176" s="73">
        <v>13.324999999999999</v>
      </c>
      <c r="E176" s="70"/>
      <c r="F176" s="74"/>
    </row>
    <row r="177" spans="1:6">
      <c r="A177" s="71" t="s">
        <v>385</v>
      </c>
      <c r="B177" s="72" t="s">
        <v>380</v>
      </c>
      <c r="C177" s="73">
        <v>14.31</v>
      </c>
      <c r="D177" s="73">
        <v>13.811</v>
      </c>
      <c r="E177" s="70"/>
      <c r="F177" s="74"/>
    </row>
    <row r="178" spans="1:6">
      <c r="B178" s="72"/>
      <c r="C178" s="73"/>
      <c r="D178" s="76"/>
      <c r="E178" s="77"/>
      <c r="F178" s="74"/>
    </row>
    <row r="179" spans="1:6" ht="15.75" thickBot="1">
      <c r="B179" s="78" t="s">
        <v>386</v>
      </c>
      <c r="C179" s="79"/>
      <c r="D179" s="76"/>
      <c r="E179" s="77"/>
      <c r="F179" s="74"/>
    </row>
    <row r="180" spans="1:6">
      <c r="B180" s="80"/>
      <c r="C180" s="81"/>
      <c r="D180" s="82"/>
      <c r="E180" s="83"/>
      <c r="F180" s="84"/>
    </row>
    <row r="181" spans="1:6" ht="15.75" thickBot="1">
      <c r="B181" s="54" t="s">
        <v>387</v>
      </c>
      <c r="C181" s="85"/>
      <c r="D181" s="79"/>
      <c r="E181" s="86"/>
      <c r="F181" s="87"/>
    </row>
    <row r="182" spans="1:6" ht="25.5" thickBot="1">
      <c r="B182" s="88" t="s">
        <v>388</v>
      </c>
      <c r="C182" s="89" t="s">
        <v>389</v>
      </c>
      <c r="D182" s="90" t="s">
        <v>390</v>
      </c>
      <c r="E182" s="90" t="s">
        <v>391</v>
      </c>
      <c r="F182" s="91" t="s">
        <v>392</v>
      </c>
    </row>
    <row r="183" spans="1:6">
      <c r="B183" s="92"/>
      <c r="C183" s="93"/>
      <c r="D183" s="94"/>
      <c r="E183" s="94"/>
      <c r="F183" s="95"/>
    </row>
    <row r="184" spans="1:6">
      <c r="B184" s="96" t="s">
        <v>393</v>
      </c>
      <c r="C184" s="97">
        <v>45776</v>
      </c>
      <c r="D184" s="98">
        <v>5.5191909999999997E-2</v>
      </c>
      <c r="E184" s="98">
        <v>5.5191909999999997E-2</v>
      </c>
      <c r="F184" s="99">
        <v>11.643000000000001</v>
      </c>
    </row>
    <row r="185" spans="1:6">
      <c r="B185" s="96" t="s">
        <v>394</v>
      </c>
      <c r="C185" s="97">
        <v>45776</v>
      </c>
      <c r="D185" s="98">
        <v>5.5E-2</v>
      </c>
      <c r="E185" s="98">
        <v>5.5E-2</v>
      </c>
      <c r="F185" s="100">
        <v>10.99</v>
      </c>
    </row>
    <row r="186" spans="1:6">
      <c r="B186" s="96" t="s">
        <v>393</v>
      </c>
      <c r="C186" s="97">
        <v>45806</v>
      </c>
      <c r="D186" s="98">
        <v>5.8000000000000003E-2</v>
      </c>
      <c r="E186" s="98">
        <v>5.8000000000000003E-2</v>
      </c>
      <c r="F186" s="100">
        <v>11.676</v>
      </c>
    </row>
    <row r="187" spans="1:6">
      <c r="B187" s="96" t="s">
        <v>395</v>
      </c>
      <c r="C187" s="97">
        <v>45835</v>
      </c>
      <c r="D187" s="98">
        <v>0.20399999999999999</v>
      </c>
      <c r="E187" s="98">
        <v>0.20399999999999999</v>
      </c>
      <c r="F187" s="99">
        <v>13.666</v>
      </c>
    </row>
    <row r="188" spans="1:6">
      <c r="B188" s="96" t="s">
        <v>396</v>
      </c>
      <c r="C188" s="97">
        <v>45835</v>
      </c>
      <c r="D188" s="98">
        <v>0.19600000000000001</v>
      </c>
      <c r="E188" s="98">
        <v>0.19600000000000001</v>
      </c>
      <c r="F188" s="99">
        <v>13.082000000000001</v>
      </c>
    </row>
    <row r="189" spans="1:6">
      <c r="B189" s="96" t="s">
        <v>393</v>
      </c>
      <c r="C189" s="97">
        <v>45868</v>
      </c>
      <c r="D189" s="98">
        <v>5.8999999999999997E-2</v>
      </c>
      <c r="E189" s="98">
        <v>5.8999999999999997E-2</v>
      </c>
      <c r="F189" s="99">
        <v>11.739000000000001</v>
      </c>
    </row>
    <row r="190" spans="1:6">
      <c r="B190" s="96" t="s">
        <v>394</v>
      </c>
      <c r="C190" s="97">
        <v>45868</v>
      </c>
      <c r="D190" s="98">
        <v>5.5E-2</v>
      </c>
      <c r="E190" s="98">
        <v>5.5E-2</v>
      </c>
      <c r="F190" s="100">
        <v>11.108000000000001</v>
      </c>
    </row>
    <row r="191" spans="1:6">
      <c r="B191" s="96" t="s">
        <v>393</v>
      </c>
      <c r="C191" s="97">
        <v>45897</v>
      </c>
      <c r="D191" s="98">
        <v>5.8999999999999997E-2</v>
      </c>
      <c r="E191" s="98">
        <v>5.8999999999999997E-2</v>
      </c>
      <c r="F191" s="100">
        <v>11.715</v>
      </c>
    </row>
    <row r="192" spans="1:6">
      <c r="B192" s="96" t="s">
        <v>394</v>
      </c>
      <c r="C192" s="97">
        <v>45897</v>
      </c>
      <c r="D192" s="98">
        <v>5.5E-2</v>
      </c>
      <c r="E192" s="98">
        <v>5.5E-2</v>
      </c>
      <c r="F192" s="100">
        <v>11.077999999999999</v>
      </c>
    </row>
    <row r="193" spans="2:6">
      <c r="B193" s="96" t="s">
        <v>393</v>
      </c>
      <c r="C193" s="97">
        <v>45929</v>
      </c>
      <c r="D193" s="98">
        <v>5.8999999999999997E-2</v>
      </c>
      <c r="E193" s="98">
        <v>5.8999999999999997E-2</v>
      </c>
      <c r="F193" s="99">
        <v>11.689</v>
      </c>
    </row>
    <row r="194" spans="2:6">
      <c r="B194" s="96" t="s">
        <v>395</v>
      </c>
      <c r="C194" s="97">
        <v>45929</v>
      </c>
      <c r="D194" s="98">
        <v>0.20399999999999999</v>
      </c>
      <c r="E194" s="98">
        <v>0.20399999999999999</v>
      </c>
      <c r="F194" s="99">
        <v>13.598000000000001</v>
      </c>
    </row>
    <row r="195" spans="2:6">
      <c r="B195" s="96" t="s">
        <v>394</v>
      </c>
      <c r="C195" s="97">
        <v>45929</v>
      </c>
      <c r="D195" s="98">
        <v>5.5E-2</v>
      </c>
      <c r="E195" s="98">
        <v>5.5E-2</v>
      </c>
      <c r="F195" s="100">
        <v>11.045999999999999</v>
      </c>
    </row>
    <row r="196" spans="2:6">
      <c r="B196" s="96" t="s">
        <v>396</v>
      </c>
      <c r="C196" s="97">
        <v>45929</v>
      </c>
      <c r="D196" s="98">
        <v>0.19600000000000001</v>
      </c>
      <c r="E196" s="98">
        <v>0.19600000000000001</v>
      </c>
      <c r="F196" s="99">
        <v>13.069000000000001</v>
      </c>
    </row>
    <row r="197" spans="2:6" ht="15.75" thickBot="1">
      <c r="B197" s="101"/>
      <c r="C197" s="102"/>
      <c r="D197" s="103"/>
      <c r="E197" s="104"/>
      <c r="F197" s="61"/>
    </row>
    <row r="198" spans="2:6">
      <c r="B198" s="54" t="s">
        <v>397</v>
      </c>
      <c r="C198" s="55"/>
      <c r="D198" s="79"/>
      <c r="E198" s="55"/>
      <c r="F198" s="56"/>
    </row>
    <row r="199" spans="2:6">
      <c r="B199" s="54" t="s">
        <v>398</v>
      </c>
      <c r="C199" s="55"/>
      <c r="D199" s="105"/>
      <c r="E199" s="106"/>
      <c r="F199" s="74"/>
    </row>
    <row r="200" spans="2:6">
      <c r="B200" s="54" t="s">
        <v>399</v>
      </c>
      <c r="C200" s="55"/>
      <c r="D200" s="105"/>
      <c r="E200" s="106"/>
      <c r="F200" s="74"/>
    </row>
    <row r="201" spans="2:6">
      <c r="B201" s="54" t="s">
        <v>400</v>
      </c>
      <c r="C201" s="55"/>
      <c r="D201" s="79"/>
      <c r="E201" s="55"/>
      <c r="F201" s="56"/>
    </row>
    <row r="202" spans="2:6">
      <c r="B202" s="54" t="s">
        <v>401</v>
      </c>
      <c r="C202" s="55"/>
      <c r="D202" s="55"/>
      <c r="E202" s="55"/>
      <c r="F202" s="56"/>
    </row>
    <row r="203" spans="2:6">
      <c r="B203" s="54" t="s">
        <v>402</v>
      </c>
      <c r="C203" s="55"/>
      <c r="D203" s="55"/>
      <c r="E203" s="55"/>
      <c r="F203" s="56"/>
    </row>
    <row r="204" spans="2:6" ht="15.75" thickBot="1">
      <c r="B204" s="59"/>
      <c r="C204" s="60"/>
      <c r="D204" s="60"/>
      <c r="E204" s="60"/>
      <c r="F204" s="61"/>
    </row>
    <row r="207" spans="2:6">
      <c r="B207" s="107" t="s">
        <v>403</v>
      </c>
      <c r="C207" s="107"/>
      <c r="D207" s="107"/>
      <c r="E207" s="107"/>
      <c r="F207" s="107"/>
    </row>
    <row r="208" spans="2:6">
      <c r="B208" s="108"/>
      <c r="C208" s="108"/>
      <c r="D208" s="108"/>
      <c r="E208" s="108"/>
      <c r="F208" s="108"/>
    </row>
    <row r="209" spans="1:6">
      <c r="B209" s="109" t="str">
        <f>B2</f>
        <v>Bandhan Equity Savings Fund</v>
      </c>
      <c r="C209" s="109"/>
      <c r="D209" s="109"/>
      <c r="E209" s="109"/>
      <c r="F209" s="109"/>
    </row>
    <row r="210" spans="1:6">
      <c r="B210" s="70"/>
      <c r="C210" s="70"/>
      <c r="D210" s="70"/>
      <c r="E210" s="70"/>
      <c r="F210" s="70"/>
    </row>
    <row r="211" spans="1:6">
      <c r="B211" s="110" t="s">
        <v>404</v>
      </c>
      <c r="C211" s="70"/>
      <c r="D211" s="70"/>
      <c r="E211" s="70"/>
      <c r="F211" s="70"/>
    </row>
    <row r="212" spans="1:6" ht="43.5">
      <c r="B212" s="111" t="s">
        <v>405</v>
      </c>
      <c r="C212" s="111" t="s">
        <v>406</v>
      </c>
      <c r="D212" s="111" t="s">
        <v>407</v>
      </c>
      <c r="E212" s="111" t="s">
        <v>408</v>
      </c>
      <c r="F212" s="111" t="s">
        <v>409</v>
      </c>
    </row>
    <row r="213" spans="1:6">
      <c r="A213" s="112" t="s">
        <v>410</v>
      </c>
      <c r="B213" s="113" t="s">
        <v>171</v>
      </c>
      <c r="C213" s="113" t="s">
        <v>411</v>
      </c>
      <c r="D213" s="114">
        <v>291.41250000000002</v>
      </c>
      <c r="E213" s="114">
        <v>294.2</v>
      </c>
      <c r="F213" s="115">
        <v>7.8525480000000005</v>
      </c>
    </row>
    <row r="214" spans="1:6">
      <c r="A214" s="112" t="s">
        <v>412</v>
      </c>
      <c r="B214" s="113" t="s">
        <v>125</v>
      </c>
      <c r="C214" s="113" t="s">
        <v>411</v>
      </c>
      <c r="D214" s="114">
        <v>2415.3308000000002</v>
      </c>
      <c r="E214" s="114">
        <v>2359.9</v>
      </c>
      <c r="F214" s="115">
        <v>23.080986299999999</v>
      </c>
    </row>
    <row r="215" spans="1:6">
      <c r="A215" s="112" t="s">
        <v>413</v>
      </c>
      <c r="B215" s="113" t="s">
        <v>86</v>
      </c>
      <c r="C215" s="113" t="s">
        <v>411</v>
      </c>
      <c r="D215" s="114">
        <v>1113.0999999999999</v>
      </c>
      <c r="E215" s="114">
        <v>1089</v>
      </c>
      <c r="F215" s="115">
        <v>90.985399999999998</v>
      </c>
    </row>
    <row r="216" spans="1:6">
      <c r="A216" s="112" t="s">
        <v>414</v>
      </c>
      <c r="B216" s="113" t="s">
        <v>174</v>
      </c>
      <c r="C216" s="113" t="s">
        <v>411</v>
      </c>
      <c r="D216" s="114">
        <v>1029</v>
      </c>
      <c r="E216" s="114">
        <v>1004.6</v>
      </c>
      <c r="F216" s="115">
        <v>3.9890474999999999</v>
      </c>
    </row>
    <row r="217" spans="1:6">
      <c r="A217" s="112" t="s">
        <v>415</v>
      </c>
      <c r="B217" s="113" t="s">
        <v>89</v>
      </c>
      <c r="C217" s="113" t="s">
        <v>411</v>
      </c>
      <c r="D217" s="114">
        <v>1927.6454366826156</v>
      </c>
      <c r="E217" s="114">
        <v>1891.8</v>
      </c>
      <c r="F217" s="115">
        <v>61.741692300000004</v>
      </c>
    </row>
    <row r="218" spans="1:6">
      <c r="A218" s="112" t="s">
        <v>416</v>
      </c>
      <c r="B218" s="113" t="s">
        <v>167</v>
      </c>
      <c r="C218" s="113" t="s">
        <v>411</v>
      </c>
      <c r="D218" s="114">
        <v>536.25</v>
      </c>
      <c r="E218" s="114">
        <v>529.6</v>
      </c>
      <c r="F218" s="115">
        <v>11.850300000000001</v>
      </c>
    </row>
    <row r="219" spans="1:6">
      <c r="A219" s="112" t="s">
        <v>417</v>
      </c>
      <c r="B219" s="113" t="s">
        <v>93</v>
      </c>
      <c r="C219" s="113" t="s">
        <v>411</v>
      </c>
      <c r="D219" s="114">
        <v>517.41380000000004</v>
      </c>
      <c r="E219" s="114">
        <v>494.5</v>
      </c>
      <c r="F219" s="115">
        <v>51.234406299999996</v>
      </c>
    </row>
    <row r="220" spans="1:6">
      <c r="A220" s="112" t="s">
        <v>418</v>
      </c>
      <c r="B220" s="113" t="s">
        <v>67</v>
      </c>
      <c r="C220" s="113" t="s">
        <v>411</v>
      </c>
      <c r="D220" s="114">
        <v>2819.3773999999999</v>
      </c>
      <c r="E220" s="114">
        <v>2771.1</v>
      </c>
      <c r="F220" s="115">
        <v>113.75027630000001</v>
      </c>
    </row>
    <row r="221" spans="1:6">
      <c r="A221" s="112" t="s">
        <v>419</v>
      </c>
      <c r="B221" s="113" t="s">
        <v>104</v>
      </c>
      <c r="C221" s="113" t="s">
        <v>411</v>
      </c>
      <c r="D221" s="114">
        <v>1423.2</v>
      </c>
      <c r="E221" s="114">
        <v>1382.6</v>
      </c>
      <c r="F221" s="115">
        <v>45.609597300000004</v>
      </c>
    </row>
    <row r="222" spans="1:6">
      <c r="A222" s="112" t="s">
        <v>420</v>
      </c>
      <c r="B222" s="113" t="s">
        <v>17</v>
      </c>
      <c r="C222" s="113" t="s">
        <v>411</v>
      </c>
      <c r="D222" s="114">
        <v>959.71159999999998</v>
      </c>
      <c r="E222" s="114">
        <v>956.1</v>
      </c>
      <c r="F222" s="115">
        <v>246.94211850000002</v>
      </c>
    </row>
    <row r="223" spans="1:6">
      <c r="A223" s="112" t="s">
        <v>421</v>
      </c>
      <c r="B223" s="113" t="s">
        <v>118</v>
      </c>
      <c r="C223" s="113" t="s">
        <v>411</v>
      </c>
      <c r="D223" s="114">
        <v>762.74132608695652</v>
      </c>
      <c r="E223" s="114">
        <v>767.65</v>
      </c>
      <c r="F223" s="115">
        <v>45.436695499999999</v>
      </c>
    </row>
    <row r="224" spans="1:6">
      <c r="A224" s="112" t="s">
        <v>422</v>
      </c>
      <c r="B224" s="113" t="s">
        <v>64</v>
      </c>
      <c r="C224" s="113" t="s">
        <v>411</v>
      </c>
      <c r="D224" s="114">
        <v>2566.375</v>
      </c>
      <c r="E224" s="114">
        <v>2531.6</v>
      </c>
      <c r="F224" s="115">
        <v>110.61159599999999</v>
      </c>
    </row>
    <row r="225" spans="1:6">
      <c r="A225" s="112" t="s">
        <v>423</v>
      </c>
      <c r="B225" s="113" t="s">
        <v>13</v>
      </c>
      <c r="C225" s="113" t="s">
        <v>411</v>
      </c>
      <c r="D225" s="114">
        <v>1383.269696969697</v>
      </c>
      <c r="E225" s="114">
        <v>1357.5</v>
      </c>
      <c r="F225" s="115">
        <v>295.28598749999998</v>
      </c>
    </row>
    <row r="226" spans="1:6">
      <c r="A226" s="112" t="s">
        <v>424</v>
      </c>
      <c r="B226" s="113" t="s">
        <v>49</v>
      </c>
      <c r="C226" s="113" t="s">
        <v>411</v>
      </c>
      <c r="D226" s="114">
        <v>403.60379999999998</v>
      </c>
      <c r="E226" s="114">
        <v>404.4</v>
      </c>
      <c r="F226" s="115">
        <v>140.806276</v>
      </c>
    </row>
    <row r="227" spans="1:6">
      <c r="A227" s="112" t="s">
        <v>425</v>
      </c>
      <c r="B227" s="113" t="s">
        <v>101</v>
      </c>
      <c r="C227" s="113" t="s">
        <v>411</v>
      </c>
      <c r="D227" s="114">
        <v>1054.8255999999999</v>
      </c>
      <c r="E227" s="114">
        <v>1068.2</v>
      </c>
      <c r="F227" s="115">
        <v>59.084156299999997</v>
      </c>
    </row>
    <row r="228" spans="1:6">
      <c r="A228" s="112" t="s">
        <v>426</v>
      </c>
      <c r="B228" s="113" t="s">
        <v>122</v>
      </c>
      <c r="C228" s="113" t="s">
        <v>411</v>
      </c>
      <c r="D228" s="114">
        <v>1155.7</v>
      </c>
      <c r="E228" s="114">
        <v>1149.0999999999999</v>
      </c>
      <c r="F228" s="115">
        <v>42.437678600000005</v>
      </c>
    </row>
    <row r="229" spans="1:6">
      <c r="A229" s="112" t="s">
        <v>427</v>
      </c>
      <c r="B229" s="113" t="s">
        <v>30</v>
      </c>
      <c r="C229" s="113" t="s">
        <v>411</v>
      </c>
      <c r="D229" s="114">
        <v>2035.3783000000001</v>
      </c>
      <c r="E229" s="114">
        <v>2004.9</v>
      </c>
      <c r="F229" s="115">
        <v>179.51795999999999</v>
      </c>
    </row>
    <row r="230" spans="1:6">
      <c r="A230" s="112" t="s">
        <v>428</v>
      </c>
      <c r="B230" s="113" t="s">
        <v>71</v>
      </c>
      <c r="C230" s="113" t="s">
        <v>411</v>
      </c>
      <c r="D230" s="114">
        <v>4829.8865999999998</v>
      </c>
      <c r="E230" s="114">
        <v>4706</v>
      </c>
      <c r="F230" s="115">
        <v>133.08841000000001</v>
      </c>
    </row>
    <row r="231" spans="1:6">
      <c r="A231" s="112" t="s">
        <v>429</v>
      </c>
      <c r="B231" s="113" t="s">
        <v>37</v>
      </c>
      <c r="C231" s="113" t="s">
        <v>411</v>
      </c>
      <c r="D231" s="114">
        <v>3693.1484999999998</v>
      </c>
      <c r="E231" s="114">
        <v>3680.4</v>
      </c>
      <c r="F231" s="115">
        <v>163.7106503</v>
      </c>
    </row>
    <row r="232" spans="1:6">
      <c r="A232" s="112" t="s">
        <v>430</v>
      </c>
      <c r="B232" s="113" t="s">
        <v>53</v>
      </c>
      <c r="C232" s="113" t="s">
        <v>411</v>
      </c>
      <c r="D232" s="114">
        <v>3567.3078</v>
      </c>
      <c r="E232" s="114">
        <v>3452.4</v>
      </c>
      <c r="F232" s="115">
        <v>133.335216</v>
      </c>
    </row>
    <row r="233" spans="1:6">
      <c r="A233" s="112" t="s">
        <v>431</v>
      </c>
      <c r="B233" s="113" t="s">
        <v>33</v>
      </c>
      <c r="C233" s="113" t="s">
        <v>411</v>
      </c>
      <c r="D233" s="114">
        <v>16232.8163</v>
      </c>
      <c r="E233" s="114">
        <v>16109</v>
      </c>
      <c r="F233" s="115">
        <v>164.14109999999999</v>
      </c>
    </row>
    <row r="234" spans="1:6">
      <c r="A234" s="112" t="s">
        <v>432</v>
      </c>
      <c r="B234" s="113" t="s">
        <v>45</v>
      </c>
      <c r="C234" s="113" t="s">
        <v>411</v>
      </c>
      <c r="D234" s="114">
        <v>8072.1395004651167</v>
      </c>
      <c r="E234" s="114">
        <v>7848</v>
      </c>
      <c r="F234" s="115">
        <v>205.29060000000001</v>
      </c>
    </row>
    <row r="235" spans="1:6">
      <c r="A235" s="112" t="s">
        <v>433</v>
      </c>
      <c r="B235" s="113" t="s">
        <v>79</v>
      </c>
      <c r="C235" s="113" t="s">
        <v>411</v>
      </c>
      <c r="D235" s="114">
        <v>1185.4492</v>
      </c>
      <c r="E235" s="114">
        <v>1161.7</v>
      </c>
      <c r="F235" s="115">
        <v>82.748350000000002</v>
      </c>
    </row>
    <row r="236" spans="1:6">
      <c r="A236" s="112" t="s">
        <v>434</v>
      </c>
      <c r="B236" s="113" t="s">
        <v>41</v>
      </c>
      <c r="C236" s="113" t="s">
        <v>411</v>
      </c>
      <c r="D236" s="114">
        <v>1512.9736</v>
      </c>
      <c r="E236" s="114">
        <v>1479.6</v>
      </c>
      <c r="F236" s="115">
        <v>143.36080000000001</v>
      </c>
    </row>
    <row r="237" spans="1:6">
      <c r="A237" s="112" t="s">
        <v>435</v>
      </c>
      <c r="B237" s="113" t="s">
        <v>83</v>
      </c>
      <c r="C237" s="113" t="s">
        <v>411</v>
      </c>
      <c r="D237" s="114">
        <v>113.6871</v>
      </c>
      <c r="E237" s="114">
        <v>113.72</v>
      </c>
      <c r="F237" s="115">
        <v>109.60532000000001</v>
      </c>
    </row>
    <row r="238" spans="1:6">
      <c r="A238" s="112" t="s">
        <v>436</v>
      </c>
      <c r="B238" s="113" t="s">
        <v>23</v>
      </c>
      <c r="C238" s="113" t="s">
        <v>411</v>
      </c>
      <c r="D238" s="114">
        <v>1383.7366</v>
      </c>
      <c r="E238" s="114">
        <v>1373.2</v>
      </c>
      <c r="F238" s="115">
        <v>214.66184000000001</v>
      </c>
    </row>
    <row r="239" spans="1:6">
      <c r="A239" s="112" t="s">
        <v>437</v>
      </c>
      <c r="B239" s="113" t="s">
        <v>27</v>
      </c>
      <c r="C239" s="113" t="s">
        <v>411</v>
      </c>
      <c r="D239" s="114">
        <v>871.17340000000002</v>
      </c>
      <c r="E239" s="114">
        <v>876.95</v>
      </c>
      <c r="F239" s="115">
        <v>193.92864559999998</v>
      </c>
    </row>
    <row r="240" spans="1:6">
      <c r="A240" s="112" t="s">
        <v>438</v>
      </c>
      <c r="B240" s="113" t="s">
        <v>111</v>
      </c>
      <c r="C240" s="113" t="s">
        <v>411</v>
      </c>
      <c r="D240" s="114">
        <v>1819.2773006060606</v>
      </c>
      <c r="E240" s="114">
        <v>1802</v>
      </c>
      <c r="F240" s="115">
        <v>38.112645000000001</v>
      </c>
    </row>
    <row r="241" spans="1:6">
      <c r="A241" s="112" t="s">
        <v>439</v>
      </c>
      <c r="B241" s="113" t="s">
        <v>75</v>
      </c>
      <c r="C241" s="113" t="s">
        <v>411</v>
      </c>
      <c r="D241" s="114">
        <v>1651.5806</v>
      </c>
      <c r="E241" s="114">
        <v>1605.6</v>
      </c>
      <c r="F241" s="115">
        <v>88.879927499999994</v>
      </c>
    </row>
    <row r="242" spans="1:6">
      <c r="A242" s="112" t="s">
        <v>440</v>
      </c>
      <c r="B242" s="113" t="s">
        <v>60</v>
      </c>
      <c r="C242" s="113" t="s">
        <v>411</v>
      </c>
      <c r="D242" s="114">
        <v>3000.4766002574002</v>
      </c>
      <c r="E242" s="114">
        <v>2897.2</v>
      </c>
      <c r="F242" s="115">
        <v>117.585909</v>
      </c>
    </row>
    <row r="243" spans="1:6">
      <c r="A243" s="112" t="s">
        <v>441</v>
      </c>
      <c r="B243" s="113" t="s">
        <v>115</v>
      </c>
      <c r="C243" s="113" t="s">
        <v>411</v>
      </c>
      <c r="D243" s="114">
        <v>1457.2030999999999</v>
      </c>
      <c r="E243" s="114">
        <v>1407.8</v>
      </c>
      <c r="F243" s="115">
        <v>47.714495999999997</v>
      </c>
    </row>
    <row r="244" spans="1:6">
      <c r="A244" s="112" t="s">
        <v>442</v>
      </c>
      <c r="B244" s="113" t="s">
        <v>97</v>
      </c>
      <c r="C244" s="113" t="s">
        <v>411</v>
      </c>
      <c r="D244" s="114">
        <v>173.87</v>
      </c>
      <c r="E244" s="114">
        <v>170.07</v>
      </c>
      <c r="F244" s="115">
        <v>75.472944299999995</v>
      </c>
    </row>
    <row r="245" spans="1:6">
      <c r="A245" s="112" t="s">
        <v>443</v>
      </c>
      <c r="B245" s="113" t="s">
        <v>56</v>
      </c>
      <c r="C245" s="113" t="s">
        <v>411</v>
      </c>
      <c r="D245" s="114">
        <v>392.15</v>
      </c>
      <c r="E245" s="114">
        <v>391.25</v>
      </c>
      <c r="F245" s="115">
        <v>128.11761380000002</v>
      </c>
    </row>
    <row r="246" spans="1:6">
      <c r="A246" s="112" t="s">
        <v>444</v>
      </c>
      <c r="B246" s="113" t="s">
        <v>107</v>
      </c>
      <c r="C246" s="113" t="s">
        <v>411</v>
      </c>
      <c r="D246" s="114">
        <v>3395.7192307692308</v>
      </c>
      <c r="E246" s="114">
        <v>3391</v>
      </c>
      <c r="F246" s="115">
        <v>34.256442499999999</v>
      </c>
    </row>
    <row r="247" spans="1:6">
      <c r="A247" s="112" t="s">
        <v>445</v>
      </c>
      <c r="B247" s="113" t="s">
        <v>128</v>
      </c>
      <c r="C247" s="113" t="s">
        <v>411</v>
      </c>
      <c r="D247" s="114">
        <v>12270</v>
      </c>
      <c r="E247" s="114">
        <v>12283</v>
      </c>
      <c r="F247" s="115">
        <v>13.191117500000001</v>
      </c>
    </row>
    <row r="248" spans="1:6">
      <c r="A248" s="112" t="s">
        <v>446</v>
      </c>
      <c r="B248" s="113" t="s">
        <v>20</v>
      </c>
      <c r="C248" s="113" t="s">
        <v>411</v>
      </c>
      <c r="D248" s="114">
        <v>1171.502</v>
      </c>
      <c r="E248" s="114">
        <v>1137.2</v>
      </c>
      <c r="F248" s="115">
        <v>251.01499999999999</v>
      </c>
    </row>
    <row r="249" spans="1:6">
      <c r="B249" s="113"/>
      <c r="C249" s="113"/>
      <c r="D249" s="114"/>
      <c r="E249" s="114"/>
      <c r="F249" s="114"/>
    </row>
    <row r="250" spans="1:6">
      <c r="B250" s="116" t="s">
        <v>447</v>
      </c>
      <c r="C250" s="117"/>
      <c r="D250" s="117"/>
      <c r="E250" s="117"/>
      <c r="F250" s="118"/>
    </row>
    <row r="251" spans="1:6">
      <c r="B251" s="116" t="s">
        <v>448</v>
      </c>
      <c r="C251" s="117"/>
      <c r="D251" s="117"/>
      <c r="E251" s="117"/>
      <c r="F251" s="118"/>
    </row>
    <row r="252" spans="1:6">
      <c r="B252" s="119" t="s">
        <v>449</v>
      </c>
      <c r="C252" s="120"/>
      <c r="D252" s="120"/>
      <c r="E252" s="120"/>
      <c r="F252" s="121"/>
    </row>
    <row r="253" spans="1:6">
      <c r="B253" s="122"/>
      <c r="C253" s="70"/>
      <c r="D253" s="70"/>
      <c r="E253" s="70"/>
      <c r="F253" s="123"/>
    </row>
    <row r="254" spans="1:6">
      <c r="B254" s="122" t="s">
        <v>450</v>
      </c>
      <c r="C254" s="70"/>
      <c r="D254" s="70"/>
      <c r="E254" s="70"/>
      <c r="F254" s="123"/>
    </row>
    <row r="255" spans="1:6">
      <c r="B255" s="122" t="s">
        <v>451</v>
      </c>
      <c r="C255" s="70"/>
      <c r="D255" s="70"/>
      <c r="E255" s="70"/>
      <c r="F255" s="123"/>
    </row>
    <row r="256" spans="1:6">
      <c r="B256" s="122" t="s">
        <v>452</v>
      </c>
      <c r="C256" s="70"/>
      <c r="D256" s="70"/>
      <c r="E256" s="70"/>
      <c r="F256" s="123"/>
    </row>
    <row r="257" spans="2:6">
      <c r="B257" s="122" t="s">
        <v>453</v>
      </c>
      <c r="C257" s="70"/>
      <c r="D257" s="70"/>
      <c r="E257" s="70"/>
      <c r="F257" s="123"/>
    </row>
    <row r="258" spans="2:6">
      <c r="B258" s="124" t="s">
        <v>454</v>
      </c>
      <c r="C258" s="125"/>
      <c r="D258" s="125"/>
      <c r="E258" s="125"/>
      <c r="F258" s="126"/>
    </row>
    <row r="259" spans="2:6">
      <c r="B259" s="70"/>
      <c r="C259" s="70"/>
      <c r="D259" s="70"/>
      <c r="E259" s="70"/>
      <c r="F259" s="70"/>
    </row>
    <row r="260" spans="2:6">
      <c r="B260" s="110" t="s">
        <v>455</v>
      </c>
      <c r="C260" s="70"/>
      <c r="D260" s="70"/>
      <c r="E260" s="70"/>
      <c r="F260" s="70"/>
    </row>
    <row r="261" spans="2:6" ht="43.5">
      <c r="B261" s="111" t="s">
        <v>405</v>
      </c>
      <c r="C261" s="111" t="s">
        <v>406</v>
      </c>
      <c r="D261" s="111" t="s">
        <v>456</v>
      </c>
      <c r="E261" s="111" t="s">
        <v>457</v>
      </c>
      <c r="F261" s="111" t="s">
        <v>458</v>
      </c>
    </row>
    <row r="262" spans="2:6">
      <c r="B262" s="113" t="s">
        <v>178</v>
      </c>
      <c r="C262" s="113"/>
      <c r="D262" s="114"/>
      <c r="E262" s="114"/>
      <c r="F262" s="114"/>
    </row>
    <row r="263" spans="2:6">
      <c r="B263" s="116" t="s">
        <v>459</v>
      </c>
      <c r="C263" s="117"/>
      <c r="D263" s="117"/>
      <c r="E263" s="117"/>
      <c r="F263" s="118"/>
    </row>
    <row r="264" spans="2:6">
      <c r="B264" s="119" t="s">
        <v>460</v>
      </c>
      <c r="C264" s="120"/>
      <c r="D264" s="120"/>
      <c r="E264" s="120"/>
      <c r="F264" s="121"/>
    </row>
    <row r="265" spans="2:6">
      <c r="B265" s="122"/>
      <c r="C265" s="70"/>
      <c r="D265" s="70"/>
      <c r="E265" s="70"/>
      <c r="F265" s="123"/>
    </row>
    <row r="266" spans="2:6">
      <c r="B266" s="122" t="s">
        <v>461</v>
      </c>
      <c r="C266" s="70"/>
      <c r="D266" s="70"/>
      <c r="E266" s="70"/>
      <c r="F266" s="123"/>
    </row>
    <row r="267" spans="2:6">
      <c r="B267" s="122" t="s">
        <v>462</v>
      </c>
      <c r="C267" s="70"/>
      <c r="D267" s="70"/>
      <c r="E267" s="70"/>
      <c r="F267" s="123"/>
    </row>
    <row r="268" spans="2:6">
      <c r="B268" s="122" t="s">
        <v>463</v>
      </c>
      <c r="C268" s="70"/>
      <c r="D268" s="70"/>
      <c r="E268" s="70"/>
      <c r="F268" s="123"/>
    </row>
    <row r="269" spans="2:6">
      <c r="B269" s="122" t="s">
        <v>464</v>
      </c>
      <c r="C269" s="70"/>
      <c r="D269" s="70"/>
      <c r="E269" s="70"/>
      <c r="F269" s="123"/>
    </row>
    <row r="270" spans="2:6">
      <c r="B270" s="122" t="s">
        <v>465</v>
      </c>
      <c r="C270" s="125"/>
      <c r="D270" s="125"/>
      <c r="E270" s="125"/>
      <c r="F270" s="126"/>
    </row>
    <row r="271" spans="2:6">
      <c r="B271" s="127"/>
      <c r="C271" s="70"/>
      <c r="D271" s="70"/>
      <c r="E271" s="70"/>
      <c r="F271" s="70"/>
    </row>
    <row r="272" spans="2:6">
      <c r="B272" s="110" t="s">
        <v>466</v>
      </c>
      <c r="C272" s="110"/>
      <c r="D272" s="110"/>
      <c r="E272" s="110"/>
      <c r="F272" s="110"/>
    </row>
    <row r="273" spans="2:6" ht="28.5">
      <c r="B273" s="128" t="s">
        <v>405</v>
      </c>
      <c r="C273" s="128" t="s">
        <v>467</v>
      </c>
      <c r="D273" s="128" t="s">
        <v>468</v>
      </c>
      <c r="E273" s="128" t="s">
        <v>469</v>
      </c>
      <c r="F273" s="70"/>
    </row>
    <row r="274" spans="2:6">
      <c r="B274" s="113" t="s">
        <v>134</v>
      </c>
      <c r="C274" s="113">
        <v>5</v>
      </c>
      <c r="D274" s="129">
        <v>80.92</v>
      </c>
      <c r="E274" s="129">
        <v>40.950000000000003</v>
      </c>
      <c r="F274" s="70"/>
    </row>
    <row r="275" spans="2:6">
      <c r="B275" s="113" t="s">
        <v>125</v>
      </c>
      <c r="C275" s="113">
        <v>11</v>
      </c>
      <c r="D275" s="129">
        <v>30.0182</v>
      </c>
      <c r="E275" s="129">
        <v>25.45</v>
      </c>
      <c r="F275" s="70"/>
    </row>
    <row r="276" spans="2:6">
      <c r="B276" s="113" t="s">
        <v>158</v>
      </c>
      <c r="C276" s="113">
        <v>5</v>
      </c>
      <c r="D276" s="129">
        <v>138.55000000000001</v>
      </c>
      <c r="E276" s="129">
        <v>116.15</v>
      </c>
      <c r="F276" s="70"/>
    </row>
    <row r="277" spans="2:6">
      <c r="B277" s="113" t="s">
        <v>89</v>
      </c>
      <c r="C277" s="113">
        <v>8</v>
      </c>
      <c r="D277" s="129">
        <v>17.956299999999999</v>
      </c>
      <c r="E277" s="129">
        <v>9.8000000000000007</v>
      </c>
      <c r="F277" s="70"/>
    </row>
    <row r="278" spans="2:6">
      <c r="B278" s="113" t="s">
        <v>154</v>
      </c>
      <c r="C278" s="113">
        <v>3</v>
      </c>
      <c r="D278" s="129">
        <v>26.85</v>
      </c>
      <c r="E278" s="129">
        <v>26.85</v>
      </c>
      <c r="F278" s="70"/>
    </row>
    <row r="279" spans="2:6">
      <c r="B279" s="113" t="s">
        <v>151</v>
      </c>
      <c r="C279" s="113">
        <v>7</v>
      </c>
      <c r="D279" s="129">
        <v>18.035699047619048</v>
      </c>
      <c r="E279" s="129">
        <v>15</v>
      </c>
      <c r="F279" s="70"/>
    </row>
    <row r="280" spans="2:6">
      <c r="B280" s="113" t="s">
        <v>145</v>
      </c>
      <c r="C280" s="113">
        <v>5</v>
      </c>
      <c r="D280" s="129">
        <v>16.79</v>
      </c>
      <c r="E280" s="129">
        <v>10.25</v>
      </c>
      <c r="F280" s="70"/>
    </row>
    <row r="281" spans="2:6">
      <c r="B281" s="113" t="s">
        <v>17</v>
      </c>
      <c r="C281" s="113">
        <v>14</v>
      </c>
      <c r="D281" s="129">
        <v>9.8142999999999994</v>
      </c>
      <c r="E281" s="129">
        <v>9.8000000000000007</v>
      </c>
      <c r="F281" s="70"/>
    </row>
    <row r="282" spans="2:6">
      <c r="B282" s="113" t="s">
        <v>104</v>
      </c>
      <c r="C282" s="113">
        <v>17</v>
      </c>
      <c r="D282" s="129">
        <v>22.382400000000001</v>
      </c>
      <c r="E282" s="129">
        <v>17.600000000000001</v>
      </c>
      <c r="F282" s="70"/>
    </row>
    <row r="283" spans="2:6">
      <c r="B283" s="113" t="s">
        <v>138</v>
      </c>
      <c r="C283" s="113">
        <v>5</v>
      </c>
      <c r="D283" s="129">
        <v>76.36</v>
      </c>
      <c r="E283" s="129">
        <v>122.2</v>
      </c>
      <c r="F283" s="70"/>
    </row>
    <row r="284" spans="2:6">
      <c r="B284" s="113" t="s">
        <v>64</v>
      </c>
      <c r="C284" s="113">
        <v>22</v>
      </c>
      <c r="D284" s="129">
        <v>28.052299999999999</v>
      </c>
      <c r="E284" s="129">
        <v>27.1</v>
      </c>
      <c r="F284" s="70"/>
    </row>
    <row r="285" spans="2:6">
      <c r="B285" s="113" t="s">
        <v>13</v>
      </c>
      <c r="C285" s="113">
        <v>15</v>
      </c>
      <c r="D285" s="129">
        <v>10.976699999999999</v>
      </c>
      <c r="E285" s="129">
        <v>6.85</v>
      </c>
      <c r="F285" s="70"/>
    </row>
    <row r="286" spans="2:6">
      <c r="B286" s="113" t="s">
        <v>49</v>
      </c>
      <c r="C286" s="113">
        <v>25</v>
      </c>
      <c r="D286" s="129">
        <v>2.75</v>
      </c>
      <c r="E286" s="129">
        <v>1.95</v>
      </c>
      <c r="F286" s="70"/>
    </row>
    <row r="287" spans="2:6">
      <c r="B287" s="113" t="s">
        <v>30</v>
      </c>
      <c r="C287" s="113">
        <v>15</v>
      </c>
      <c r="D287" s="129">
        <v>17.64</v>
      </c>
      <c r="E287" s="129">
        <v>16.100000000000001</v>
      </c>
      <c r="F287" s="70"/>
    </row>
    <row r="288" spans="2:6">
      <c r="B288" s="113" t="s">
        <v>37</v>
      </c>
      <c r="C288" s="113">
        <v>17</v>
      </c>
      <c r="D288" s="129">
        <v>43.391199999999998</v>
      </c>
      <c r="E288" s="129">
        <v>18</v>
      </c>
      <c r="F288" s="70"/>
    </row>
    <row r="289" spans="2:6">
      <c r="B289" s="113" t="s">
        <v>33</v>
      </c>
      <c r="C289" s="113">
        <v>22</v>
      </c>
      <c r="D289" s="129">
        <v>231.62950000000001</v>
      </c>
      <c r="E289" s="129">
        <v>158.25</v>
      </c>
      <c r="F289" s="70"/>
    </row>
    <row r="290" spans="2:6">
      <c r="B290" s="113" t="s">
        <v>79</v>
      </c>
      <c r="C290" s="113">
        <v>27</v>
      </c>
      <c r="D290" s="129">
        <v>9.6999999999999993</v>
      </c>
      <c r="E290" s="129">
        <v>6.2</v>
      </c>
      <c r="F290" s="70"/>
    </row>
    <row r="291" spans="2:6">
      <c r="B291" s="113" t="s">
        <v>23</v>
      </c>
      <c r="C291" s="113">
        <v>18</v>
      </c>
      <c r="D291" s="129">
        <v>10.869400000000001</v>
      </c>
      <c r="E291" s="129">
        <v>6.45</v>
      </c>
      <c r="F291" s="70"/>
    </row>
    <row r="292" spans="2:6">
      <c r="B292" s="113" t="s">
        <v>111</v>
      </c>
      <c r="C292" s="113">
        <v>12</v>
      </c>
      <c r="D292" s="129">
        <v>26.012499999999999</v>
      </c>
      <c r="E292" s="129">
        <v>21.45</v>
      </c>
      <c r="F292" s="70"/>
    </row>
    <row r="293" spans="2:6">
      <c r="B293" s="113" t="s">
        <v>75</v>
      </c>
      <c r="C293" s="113">
        <v>26</v>
      </c>
      <c r="D293" s="129">
        <v>20.038499999999999</v>
      </c>
      <c r="E293" s="129">
        <v>21.4</v>
      </c>
      <c r="F293" s="70"/>
    </row>
    <row r="294" spans="2:6">
      <c r="B294" s="113" t="s">
        <v>60</v>
      </c>
      <c r="C294" s="113">
        <v>24</v>
      </c>
      <c r="D294" s="129">
        <v>47</v>
      </c>
      <c r="E294" s="129">
        <v>36.6</v>
      </c>
      <c r="F294" s="70"/>
    </row>
    <row r="295" spans="2:6">
      <c r="B295" s="113" t="s">
        <v>107</v>
      </c>
      <c r="C295" s="113">
        <v>8</v>
      </c>
      <c r="D295" s="129">
        <v>46.106299999999997</v>
      </c>
      <c r="E295" s="129">
        <v>48.75</v>
      </c>
      <c r="F295" s="70"/>
    </row>
    <row r="296" spans="2:6">
      <c r="B296" s="113" t="s">
        <v>128</v>
      </c>
      <c r="C296" s="113">
        <v>8</v>
      </c>
      <c r="D296" s="129">
        <v>164.6</v>
      </c>
      <c r="E296" s="129">
        <v>183.45</v>
      </c>
      <c r="F296" s="70"/>
    </row>
    <row r="297" spans="2:6">
      <c r="B297" s="113" t="s">
        <v>164</v>
      </c>
      <c r="C297" s="113">
        <v>3</v>
      </c>
      <c r="D297" s="129">
        <v>3.75</v>
      </c>
      <c r="E297" s="129">
        <v>4.45</v>
      </c>
      <c r="F297" s="70"/>
    </row>
    <row r="298" spans="2:6">
      <c r="B298" s="113"/>
      <c r="C298" s="113"/>
      <c r="D298" s="113"/>
      <c r="E298" s="113"/>
      <c r="F298" s="70"/>
    </row>
    <row r="299" spans="2:6">
      <c r="B299" s="130" t="s">
        <v>470</v>
      </c>
      <c r="C299" s="130"/>
      <c r="D299" s="130"/>
      <c r="E299" s="130"/>
      <c r="F299" s="70"/>
    </row>
    <row r="300" spans="2:6">
      <c r="B300" s="131" t="s">
        <v>471</v>
      </c>
      <c r="C300" s="132"/>
      <c r="D300" s="132"/>
      <c r="E300" s="133"/>
      <c r="F300" s="70"/>
    </row>
    <row r="301" spans="2:6">
      <c r="B301" s="134"/>
      <c r="C301" s="135"/>
      <c r="D301" s="135"/>
      <c r="E301" s="136"/>
      <c r="F301" s="70"/>
    </row>
    <row r="302" spans="2:6">
      <c r="B302" s="134"/>
      <c r="C302" s="135"/>
      <c r="D302" s="135"/>
      <c r="E302" s="136"/>
      <c r="F302" s="70"/>
    </row>
    <row r="303" spans="2:6">
      <c r="B303" s="134"/>
      <c r="C303" s="135"/>
      <c r="D303" s="135"/>
      <c r="E303" s="136"/>
      <c r="F303" s="70"/>
    </row>
    <row r="304" spans="2:6">
      <c r="B304" s="134"/>
      <c r="C304" s="135"/>
      <c r="D304" s="135"/>
      <c r="E304" s="136"/>
      <c r="F304" s="70"/>
    </row>
    <row r="305" spans="2:6">
      <c r="B305" s="134"/>
      <c r="C305" s="135"/>
      <c r="D305" s="135"/>
      <c r="E305" s="136"/>
      <c r="F305" s="70"/>
    </row>
    <row r="306" spans="2:6">
      <c r="B306" s="137"/>
      <c r="C306" s="138"/>
      <c r="D306" s="138"/>
      <c r="E306" s="139"/>
      <c r="F306" s="70"/>
    </row>
    <row r="307" spans="2:6">
      <c r="B307" s="140"/>
      <c r="C307" s="140"/>
      <c r="D307" s="140"/>
      <c r="E307" s="140"/>
      <c r="F307" s="70"/>
    </row>
    <row r="308" spans="2:6">
      <c r="B308" s="110" t="s">
        <v>472</v>
      </c>
      <c r="C308" s="110"/>
      <c r="D308" s="110"/>
      <c r="E308" s="110"/>
      <c r="F308" s="110"/>
    </row>
    <row r="309" spans="2:6" ht="28.5">
      <c r="B309" s="128" t="s">
        <v>405</v>
      </c>
      <c r="C309" s="128" t="s">
        <v>473</v>
      </c>
      <c r="D309" s="128" t="s">
        <v>474</v>
      </c>
      <c r="E309" s="128" t="s">
        <v>468</v>
      </c>
      <c r="F309" s="128" t="s">
        <v>475</v>
      </c>
    </row>
    <row r="310" spans="2:6">
      <c r="B310" s="113"/>
      <c r="C310" s="113"/>
      <c r="D310" s="113"/>
      <c r="E310" s="113"/>
      <c r="F310" s="113"/>
    </row>
    <row r="311" spans="2:6">
      <c r="B311" s="130" t="s">
        <v>476</v>
      </c>
      <c r="C311" s="130"/>
      <c r="D311" s="130"/>
      <c r="E311" s="130"/>
      <c r="F311" s="113"/>
    </row>
    <row r="312" spans="2:6">
      <c r="B312" s="141" t="s">
        <v>477</v>
      </c>
      <c r="C312" s="141"/>
      <c r="D312" s="141"/>
      <c r="E312" s="141"/>
      <c r="F312" s="130"/>
    </row>
    <row r="313" spans="2:6">
      <c r="B313" s="141"/>
      <c r="C313" s="141"/>
      <c r="D313" s="141"/>
      <c r="E313" s="141"/>
      <c r="F313" s="130"/>
    </row>
    <row r="314" spans="2:6">
      <c r="B314" s="141"/>
      <c r="C314" s="141"/>
      <c r="D314" s="141"/>
      <c r="E314" s="141"/>
      <c r="F314" s="130"/>
    </row>
    <row r="315" spans="2:6">
      <c r="B315" s="141"/>
      <c r="C315" s="141"/>
      <c r="D315" s="141"/>
      <c r="E315" s="141"/>
      <c r="F315" s="130"/>
    </row>
    <row r="316" spans="2:6">
      <c r="B316" s="141"/>
      <c r="C316" s="141"/>
      <c r="D316" s="141"/>
      <c r="E316" s="141"/>
      <c r="F316" s="130"/>
    </row>
    <row r="317" spans="2:6">
      <c r="B317" s="141"/>
      <c r="C317" s="141"/>
      <c r="D317" s="141"/>
      <c r="E317" s="141"/>
      <c r="F317" s="130"/>
    </row>
    <row r="318" spans="2:6">
      <c r="B318" s="141"/>
      <c r="C318" s="141"/>
      <c r="D318" s="141"/>
      <c r="E318" s="141"/>
      <c r="F318" s="130"/>
    </row>
    <row r="320" spans="2:6">
      <c r="B320" s="110" t="s">
        <v>478</v>
      </c>
    </row>
    <row r="321" spans="2:6">
      <c r="B321" s="70" t="s">
        <v>479</v>
      </c>
    </row>
    <row r="322" spans="2:6">
      <c r="F322" s="49" t="s">
        <v>480</v>
      </c>
    </row>
    <row r="323" spans="2:6">
      <c r="B323" s="49" t="s">
        <v>481</v>
      </c>
      <c r="F323" s="49" t="s">
        <v>482</v>
      </c>
    </row>
  </sheetData>
  <mergeCells count="10">
    <mergeCell ref="B299:E299"/>
    <mergeCell ref="B300:E306"/>
    <mergeCell ref="B311:E311"/>
    <mergeCell ref="B312:F318"/>
    <mergeCell ref="B1:G1"/>
    <mergeCell ref="B2:G2"/>
    <mergeCell ref="B207:F207"/>
    <mergeCell ref="B209:F209"/>
    <mergeCell ref="B252:F252"/>
    <mergeCell ref="B264:F264"/>
  </mergeCells>
  <conditionalFormatting sqref="G213:G248">
    <cfRule type="duplicateValues" dxfId="0" priority="1"/>
  </conditionalFormatting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2025-10-08T10:06:00Z</dcterms:created>
  <dcterms:modified xsi:type="dcterms:W3CDTF">2025-10-08T10:06:02Z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7130f651-dfee-437b-a4f9-a0886c5ac3d2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