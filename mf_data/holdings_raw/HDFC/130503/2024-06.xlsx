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SMALLF" sheetId="1" r:id="rId1"/>
    <sheet name="DerivativeHDFCBKEXTF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3" l="1"/>
</calcChain>
</file>

<file path=xl/sharedStrings.xml><?xml version="1.0" encoding="utf-8"?>
<sst xmlns="http://schemas.openxmlformats.org/spreadsheetml/2006/main" count="902" uniqueCount="259">
  <si>
    <t>HDFC Small Cap Fund (An open ended equity scheme predominantly investing in small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</si>
  <si>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</si>
  <si>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</si>
  <si>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</si>
  <si>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</si>
  <si>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</si>
  <si>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</si>
  <si>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</si>
  <si>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</si>
  <si>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</si>
  <si>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</si>
  <si>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</si>
  <si>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</si>
  <si>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</si>
  <si>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</si>
  <si>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</si>
  <si>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</si>
  <si>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</si>
  <si>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</si>
  <si>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</si>
  <si>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</si>
  <si>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</si>
  <si>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</si>
  <si>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</si>
  <si>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</si>
  <si>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</si>
  <si>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INE269A01021</t>
  </si>
  <si>
    <t>Sonata Software Ltd.</t>
  </si>
  <si>
    <t>IT - Software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</si>
  <si>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</si>
  <si>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</si>
  <si>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</si>
  <si>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</si>
  <si>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</si>
  <si>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</si>
  <si>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INE640A01023</t>
  </si>
  <si>
    <t>SKF India Ltd.</t>
  </si>
  <si>
    <t>Industrial Products</t>
  </si>
  <si>
    <t>INE193E01025</t>
  </si>
  <si>
    <t>Bajaj Electricals Ltd.</t>
  </si>
  <si>
    <t>Consumer Durables</t>
  </si>
  <si>
    <t>INE406M01024</t>
  </si>
  <si>
    <t>Eris Lifesciences Ltd</t>
  </si>
  <si>
    <t>Pharmaceuticals &amp; Biotechnology</t>
  </si>
  <si>
    <t>INE195J01029</t>
  </si>
  <si>
    <t>PNC Infratech Ltd.</t>
  </si>
  <si>
    <t>Construction</t>
  </si>
  <si>
    <t>INE884B01025</t>
  </si>
  <si>
    <t>Kirloskar Ferrous Industries Ltd.</t>
  </si>
  <si>
    <t>Ferrous Metals</t>
  </si>
  <si>
    <t>INE061F01013</t>
  </si>
  <si>
    <t>Fortis Healthcare Limited</t>
  </si>
  <si>
    <t>INE063P01018</t>
  </si>
  <si>
    <t>Equitas Small Finance Bank Ltd</t>
  </si>
  <si>
    <t>INE524A01029</t>
  </si>
  <si>
    <t>Gabriel India Ltd.</t>
  </si>
  <si>
    <t>Auto Components</t>
  </si>
  <si>
    <t>INE211R01019</t>
  </si>
  <si>
    <t>Power Mech Projects Ltd.</t>
  </si>
  <si>
    <t>INE191H01014</t>
  </si>
  <si>
    <t>PVR LIMITED</t>
  </si>
  <si>
    <t>Entertainment</t>
  </si>
  <si>
    <t>INE399C01030</t>
  </si>
  <si>
    <t>Suprajit Engineering Ltd.</t>
  </si>
  <si>
    <t>INE562A01011</t>
  </si>
  <si>
    <t>Indian Bank</t>
  </si>
  <si>
    <t>INE878B01027</t>
  </si>
  <si>
    <t>KEI Industries Ltd.</t>
  </si>
  <si>
    <t>INE220B01022</t>
  </si>
  <si>
    <t>Kalpataru Projects International Ltd</t>
  </si>
  <si>
    <t>INE372A01015</t>
  </si>
  <si>
    <t>Apar Industries Limited</t>
  </si>
  <si>
    <t>Electrical Equipment</t>
  </si>
  <si>
    <t>INE540H01012</t>
  </si>
  <si>
    <t>Voltamp Transformers Ltd.</t>
  </si>
  <si>
    <t>INE659A01023</t>
  </si>
  <si>
    <t>Sudarshan Chemical Industries Limited</t>
  </si>
  <si>
    <t>Chemicals &amp; Petrochemicals</t>
  </si>
  <si>
    <t>INE474Q01031</t>
  </si>
  <si>
    <t>Global Health Limited</t>
  </si>
  <si>
    <t>INE967H01017</t>
  </si>
  <si>
    <t>Krishna Institute Of Medical Sciences Limited</t>
  </si>
  <si>
    <t>INE429E01023</t>
  </si>
  <si>
    <t>Safari Industries (India) Ltd.</t>
  </si>
  <si>
    <t>INE825A01020</t>
  </si>
  <si>
    <t>Vardhman Textiles Ltd.</t>
  </si>
  <si>
    <t>Textiles &amp; Apparels</t>
  </si>
  <si>
    <t>INE085A01013</t>
  </si>
  <si>
    <t>Chambal Fertilizers &amp; Chemicals Ltd.</t>
  </si>
  <si>
    <t>Fertilizers &amp; Agrochemicals</t>
  </si>
  <si>
    <t>INE0LXT01019</t>
  </si>
  <si>
    <t>Redtape Limited</t>
  </si>
  <si>
    <t>INE389H01022</t>
  </si>
  <si>
    <t>KEC International Ltd.</t>
  </si>
  <si>
    <t>INE337A01034</t>
  </si>
  <si>
    <t>LG Balakrishnan &amp; Bros Ltd.</t>
  </si>
  <si>
    <t>INE427F01016</t>
  </si>
  <si>
    <t>Chalet Hotels Ltd.</t>
  </si>
  <si>
    <t>Leisure Services</t>
  </si>
  <si>
    <t>INE171A01029</t>
  </si>
  <si>
    <t>The Federal Bank Ltd.</t>
  </si>
  <si>
    <t>INE688A01022</t>
  </si>
  <si>
    <t>Transport Corporation of India Ltd.</t>
  </si>
  <si>
    <t>INE498B01024</t>
  </si>
  <si>
    <t>Shoppers Stop Ltd.</t>
  </si>
  <si>
    <t>Retailing</t>
  </si>
  <si>
    <t>INE233B01017</t>
  </si>
  <si>
    <t>Blue Dart Express Ltd.</t>
  </si>
  <si>
    <t>INE366I01010</t>
  </si>
  <si>
    <t>VRL Logistics Ltd.</t>
  </si>
  <si>
    <t>INE536H01010</t>
  </si>
  <si>
    <t>CIE Automotive India Ltd</t>
  </si>
  <si>
    <t>INE679V01019</t>
  </si>
  <si>
    <t>Aditya Vision Limited</t>
  </si>
  <si>
    <t>INE079J01017</t>
  </si>
  <si>
    <t>Gateway Distriparks Limited</t>
  </si>
  <si>
    <t>INE043D01016</t>
  </si>
  <si>
    <t>IDFC Ltd.</t>
  </si>
  <si>
    <t>Finance</t>
  </si>
  <si>
    <t>INE349A01021</t>
  </si>
  <si>
    <t>NRB Bearing Ltd.</t>
  </si>
  <si>
    <t>INE142Q01026</t>
  </si>
  <si>
    <t>SULA VINEYARDS LIMITED</t>
  </si>
  <si>
    <t>Beverages</t>
  </si>
  <si>
    <t>INE520A01027</t>
  </si>
  <si>
    <t>Zensar Technologies Ltd.</t>
  </si>
  <si>
    <t>INE891D01026</t>
  </si>
  <si>
    <t>Redington Ltd.</t>
  </si>
  <si>
    <t>INE351A01035</t>
  </si>
  <si>
    <t>Unichem Laboratories Ltd.</t>
  </si>
  <si>
    <t>INE059D01020</t>
  </si>
  <si>
    <t>La Opala RG Limited</t>
  </si>
  <si>
    <t>INE120A01034</t>
  </si>
  <si>
    <t>Carborundum Universal Ltd.</t>
  </si>
  <si>
    <t>INE081A01020</t>
  </si>
  <si>
    <t>Tata Steel Ltd.</t>
  </si>
  <si>
    <t>INE258A01016</t>
  </si>
  <si>
    <t>BEML Limited</t>
  </si>
  <si>
    <t>Agricultural, Commercial &amp; Construction Vehicles</t>
  </si>
  <si>
    <t>INE933K01021</t>
  </si>
  <si>
    <t>Bajaj Consumer Care Ltd.</t>
  </si>
  <si>
    <t>Personal Products</t>
  </si>
  <si>
    <t>INE221J01015</t>
  </si>
  <si>
    <t>Sharda Cropchem Ltd.</t>
  </si>
  <si>
    <t>INE548C01032</t>
  </si>
  <si>
    <t>Emami Ltd.</t>
  </si>
  <si>
    <t>INE133Y01011</t>
  </si>
  <si>
    <t>IFGL Refractories Limited (Erst IFGL Exports Ltd)</t>
  </si>
  <si>
    <t>INE201P01022</t>
  </si>
  <si>
    <t>G R Infraprojects Limited</t>
  </si>
  <si>
    <t>INE570A01022</t>
  </si>
  <si>
    <t>ION EXCHANGE (INDIA) LIMITED</t>
  </si>
  <si>
    <t>Other Utilities</t>
  </si>
  <si>
    <t>INE612J01015</t>
  </si>
  <si>
    <t>Repco Home Finance Ltd.</t>
  </si>
  <si>
    <t>INE183A01024</t>
  </si>
  <si>
    <t>Finolex Industries Ltd.</t>
  </si>
  <si>
    <t>INE386A01015</t>
  </si>
  <si>
    <t>Vesuvius India Ltd.</t>
  </si>
  <si>
    <t>INE503A01015</t>
  </si>
  <si>
    <t>DCB Bank Limited</t>
  </si>
  <si>
    <t>INE517F01014</t>
  </si>
  <si>
    <t>Gujarat Pipavav Port Ltd.</t>
  </si>
  <si>
    <t>Transport Infrastructure</t>
  </si>
  <si>
    <t>INE745G01035</t>
  </si>
  <si>
    <t>Multi Commodity Exchange of India L</t>
  </si>
  <si>
    <t>Capital Markets</t>
  </si>
  <si>
    <t>INE070I01018</t>
  </si>
  <si>
    <t>Insecticides (India) Ltd.</t>
  </si>
  <si>
    <t>INE136B01020</t>
  </si>
  <si>
    <t>Cyient Ltd.</t>
  </si>
  <si>
    <t>IT - Services</t>
  </si>
  <si>
    <t>INE0KQN01018</t>
  </si>
  <si>
    <t>Bajel Projects Limited</t>
  </si>
  <si>
    <t>Power</t>
  </si>
  <si>
    <t>INE950I01011</t>
  </si>
  <si>
    <t>D B Corp Limited</t>
  </si>
  <si>
    <t>Media</t>
  </si>
  <si>
    <t>INE124G01033</t>
  </si>
  <si>
    <t>Delta Corp Ltd.</t>
  </si>
  <si>
    <t>INE934S01014</t>
  </si>
  <si>
    <t>GNA Axles Ltd.</t>
  </si>
  <si>
    <t>INE533A01012</t>
  </si>
  <si>
    <t>Goodyear India Ltd.</t>
  </si>
  <si>
    <t>INE837H01020</t>
  </si>
  <si>
    <t>Advanced Enzyme Technologies Ltd.</t>
  </si>
  <si>
    <t>INE038F01029</t>
  </si>
  <si>
    <t>T. V. Today Network Ltd.</t>
  </si>
  <si>
    <t>INE544R01021</t>
  </si>
  <si>
    <t>Greenlam Industries Ltd.</t>
  </si>
  <si>
    <t>INE586V01016</t>
  </si>
  <si>
    <t>TCI Express Ltd.</t>
  </si>
  <si>
    <t>INE310A01015</t>
  </si>
  <si>
    <t>Nilkamal Ltd.</t>
  </si>
  <si>
    <t>INE883F01010</t>
  </si>
  <si>
    <t>Aadhar Housing Finance Limited</t>
  </si>
  <si>
    <t>INE108V01019</t>
  </si>
  <si>
    <t>AWFIS SPACE SOLUTIONS LIMITED</t>
  </si>
  <si>
    <t>INE321D01016</t>
  </si>
  <si>
    <t>Oriental Carbon &amp; Chemicals Ltd.</t>
  </si>
  <si>
    <t>INE199G01027</t>
  </si>
  <si>
    <t>Jagran Prakashan Ltd.</t>
  </si>
  <si>
    <t>INE226H01026</t>
  </si>
  <si>
    <t>Sadbhav Engineering Ltd.</t>
  </si>
  <si>
    <t>INE00LO01017</t>
  </si>
  <si>
    <t>Craftsman Automation Ltd</t>
  </si>
  <si>
    <t>INA000000011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</si>
  <si>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</si>
  <si>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</si>
  <si>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</si>
  <si>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</si>
  <si>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</si>
  <si>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</si>
  <si>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</si>
  <si>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</si>
  <si>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</si>
  <si>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</si>
  <si>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</si>
  <si>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</si>
  <si>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</si>
  <si>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</si>
  <si>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</si>
  <si>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</si>
  <si>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</si>
  <si>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</si>
  <si>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</si>
  <si>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</si>
  <si>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</si>
  <si>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</si>
  <si>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</si>
  <si>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</si>
  <si>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</si>
  <si>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</si>
  <si>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</si>
  <si>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</si>
  <si>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</si>
  <si>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</si>
  <si>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</si>
  <si>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Portfolio Turnover Ratio : 11.44%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</si>
  <si>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</si>
  <si>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</si>
  <si>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(TRI)" as on Jun 30, 2024</t>
  </si>
  <si>
    <t>Scheme Riskometer:</t>
  </si>
  <si>
    <t>Benchmark Riskometer:</t>
  </si>
  <si>
    <t>DERIVATIVE DISCLOSURE - HDFC Small Cap Fund</t>
  </si>
  <si>
    <t>Disclosure regarding Derivative positions pursuant to SEBI Circular no. CIR/IMD/DF/11/2010 dated August 18, 2010.</t>
  </si>
  <si>
    <t>A.  Hedging Positions through Options as on  June 30,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</si>
  <si>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</si>
  <si>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</si>
  <si>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</si>
  <si>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</si>
  <si>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</si>
  <si>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</si>
  <si>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</si>
  <si>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</si>
  <si>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NIFTY Bank ETF</t>
  </si>
  <si>
    <t>BANKNIFTY25-07-2024</t>
  </si>
  <si>
    <t>BANKNIFTY</t>
  </si>
  <si>
    <t>5) Total outstanding exposure in Derivative Instruments as on Jun 30, 2024 : Rs.39.40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</si>
</sst>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000"/>
    <numFmt numFmtId="165" formatCode="#,##0.000"/>
    <numFmt numFmtId="166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4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095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042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4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60176764</v>
      </c>
      <c r="G9" s="13">
        <v>126347.13</v>
      </c>
      <c r="H9" s="13">
        <v>4.01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42828792</v>
      </c>
      <c r="G10" s="13">
        <v>117950.49</v>
      </c>
      <c r="H10" s="13">
        <v>3.74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20</v>
      </c>
      <c r="F11" s="12">
        <v>3662509</v>
      </c>
      <c r="G11" s="13">
        <v>88599.76</v>
      </c>
      <c r="H11" s="13">
        <v>2.81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14279889</v>
      </c>
      <c r="G12" s="13">
        <v>84601.2</v>
      </c>
      <c r="H12" s="13">
        <v>2.68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6135613</v>
      </c>
      <c r="G13" s="13">
        <v>75161.259999999995</v>
      </c>
      <c r="H13" s="13">
        <v>2.38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21517479</v>
      </c>
      <c r="G14" s="13">
        <v>74590.34</v>
      </c>
      <c r="H14" s="13">
        <v>2.37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1049491</v>
      </c>
      <c r="G15" s="13">
        <v>67875.83</v>
      </c>
      <c r="H15" s="13">
        <v>2.15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40</v>
      </c>
      <c r="F16" s="12">
        <v>6287502</v>
      </c>
      <c r="G16" s="13">
        <v>66436.89</v>
      </c>
      <c r="H16" s="13">
        <v>2.11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41</v>
      </c>
      <c r="C17" s="11" t="s">
        <v>13</v>
      </c>
      <c r="D17" s="11" t="s">
        <v>42</v>
      </c>
      <c r="E17" s="11" t="s">
        <v>43</v>
      </c>
      <c r="F17" s="12">
        <v>6285426</v>
      </c>
      <c r="G17" s="13">
        <v>64328.19</v>
      </c>
      <c r="H17" s="13">
        <v>2.04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44</v>
      </c>
      <c r="C18" s="11" t="s">
        <v>13</v>
      </c>
      <c r="D18" s="11" t="s">
        <v>45</v>
      </c>
      <c r="E18" s="11" t="s">
        <v>46</v>
      </c>
      <c r="F18" s="12">
        <v>12986529</v>
      </c>
      <c r="G18" s="13">
        <v>62523.64</v>
      </c>
      <c r="H18" s="13">
        <v>1.98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47</v>
      </c>
      <c r="C19" s="11" t="s">
        <v>13</v>
      </c>
      <c r="D19" s="11" t="s">
        <v>48</v>
      </c>
      <c r="E19" s="11" t="s">
        <v>49</v>
      </c>
      <c r="F19" s="12">
        <v>8993701</v>
      </c>
      <c r="G19" s="13">
        <v>61858.68</v>
      </c>
      <c r="H19" s="13">
        <v>1.96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50</v>
      </c>
      <c r="C20" s="11" t="s">
        <v>13</v>
      </c>
      <c r="D20" s="11" t="s">
        <v>51</v>
      </c>
      <c r="E20" s="11" t="s">
        <v>34</v>
      </c>
      <c r="F20" s="12">
        <v>12453275</v>
      </c>
      <c r="G20" s="13">
        <v>59196.639999999999</v>
      </c>
      <c r="H20" s="13">
        <v>1.88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52</v>
      </c>
      <c r="C21" s="11" t="s">
        <v>13</v>
      </c>
      <c r="D21" s="11" t="s">
        <v>53</v>
      </c>
      <c r="E21" s="11" t="s">
        <v>23</v>
      </c>
      <c r="F21" s="12">
        <v>60564526</v>
      </c>
      <c r="G21" s="13">
        <v>58844.49</v>
      </c>
      <c r="H21" s="13">
        <v>1.87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54</v>
      </c>
      <c r="C22" s="11" t="s">
        <v>13</v>
      </c>
      <c r="D22" s="11" t="s">
        <v>55</v>
      </c>
      <c r="E22" s="11" t="s">
        <v>56</v>
      </c>
      <c r="F22" s="12">
        <v>12036000</v>
      </c>
      <c r="G22" s="13">
        <v>58266.28</v>
      </c>
      <c r="H22" s="13">
        <v>1.85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57</v>
      </c>
      <c r="C23" s="11" t="s">
        <v>13</v>
      </c>
      <c r="D23" s="11" t="s">
        <v>58</v>
      </c>
      <c r="E23" s="11" t="s">
        <v>46</v>
      </c>
      <c r="F23" s="12">
        <v>1170432</v>
      </c>
      <c r="G23" s="13">
        <v>57871.43</v>
      </c>
      <c r="H23" s="13">
        <v>1.84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59</v>
      </c>
      <c r="C24" s="11" t="s">
        <v>13</v>
      </c>
      <c r="D24" s="11" t="s">
        <v>60</v>
      </c>
      <c r="E24" s="11" t="s">
        <v>61</v>
      </c>
      <c r="F24" s="12">
        <v>3777141</v>
      </c>
      <c r="G24" s="13">
        <v>53913.02</v>
      </c>
      <c r="H24" s="13">
        <v>1.71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62</v>
      </c>
      <c r="C25" s="11" t="s">
        <v>13</v>
      </c>
      <c r="D25" s="11" t="s">
        <v>63</v>
      </c>
      <c r="E25" s="11" t="s">
        <v>56</v>
      </c>
      <c r="F25" s="12">
        <v>10456075</v>
      </c>
      <c r="G25" s="13">
        <v>53414.86</v>
      </c>
      <c r="H25" s="13">
        <v>1.69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64</v>
      </c>
      <c r="C26" s="11" t="s">
        <v>13</v>
      </c>
      <c r="D26" s="11" t="s">
        <v>65</v>
      </c>
      <c r="E26" s="11" t="s">
        <v>23</v>
      </c>
      <c r="F26" s="12">
        <v>9688128</v>
      </c>
      <c r="G26" s="13">
        <v>52848.74</v>
      </c>
      <c r="H26" s="13">
        <v>1.68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37</v>
      </c>
      <c r="F27" s="12">
        <v>1144034</v>
      </c>
      <c r="G27" s="13">
        <v>50565.16</v>
      </c>
      <c r="H27" s="13">
        <v>1.6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46</v>
      </c>
      <c r="F28" s="12">
        <v>4214750</v>
      </c>
      <c r="G28" s="13">
        <v>49552.82</v>
      </c>
      <c r="H28" s="13">
        <v>1.57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575371</v>
      </c>
      <c r="G29" s="13">
        <v>48753.77</v>
      </c>
      <c r="H29" s="13">
        <v>1.55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72</v>
      </c>
      <c r="F30" s="12">
        <v>442404</v>
      </c>
      <c r="G30" s="13">
        <v>48681.25</v>
      </c>
      <c r="H30" s="13">
        <v>1.54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5059631</v>
      </c>
      <c r="G31" s="13">
        <v>45594.86</v>
      </c>
      <c r="H31" s="13">
        <v>1.45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34</v>
      </c>
      <c r="F32" s="12">
        <v>3451023</v>
      </c>
      <c r="G32" s="13">
        <v>45149.73</v>
      </c>
      <c r="H32" s="13">
        <v>1.43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80</v>
      </c>
      <c r="C33" s="11" t="s">
        <v>13</v>
      </c>
      <c r="D33" s="11" t="s">
        <v>81</v>
      </c>
      <c r="E33" s="11" t="s">
        <v>34</v>
      </c>
      <c r="F33" s="12">
        <v>2162215</v>
      </c>
      <c r="G33" s="13">
        <v>45068.13</v>
      </c>
      <c r="H33" s="13">
        <v>1.43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82</v>
      </c>
      <c r="C34" s="11" t="s">
        <v>13</v>
      </c>
      <c r="D34" s="11" t="s">
        <v>83</v>
      </c>
      <c r="E34" s="11" t="s">
        <v>40</v>
      </c>
      <c r="F34" s="12">
        <v>2179222</v>
      </c>
      <c r="G34" s="13">
        <v>44419.08</v>
      </c>
      <c r="H34" s="13">
        <v>1.41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84</v>
      </c>
      <c r="C35" s="11" t="s">
        <v>13</v>
      </c>
      <c r="D35" s="11" t="s">
        <v>85</v>
      </c>
      <c r="E35" s="11" t="s">
        <v>86</v>
      </c>
      <c r="F35" s="12">
        <v>9261551</v>
      </c>
      <c r="G35" s="13">
        <v>44492.49</v>
      </c>
      <c r="H35" s="13">
        <v>1.41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8577755</v>
      </c>
      <c r="G36" s="13">
        <v>43472.06</v>
      </c>
      <c r="H36" s="13">
        <v>1.38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40</v>
      </c>
      <c r="F37" s="12">
        <v>5583886</v>
      </c>
      <c r="G37" s="13">
        <v>42822.82</v>
      </c>
      <c r="H37" s="13">
        <v>1.36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46</v>
      </c>
      <c r="F38" s="12">
        <v>4689839</v>
      </c>
      <c r="G38" s="13">
        <v>41594.18</v>
      </c>
      <c r="H38" s="13">
        <v>1.32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56</v>
      </c>
      <c r="F39" s="12">
        <v>2731901</v>
      </c>
      <c r="G39" s="13">
        <v>39044.33</v>
      </c>
      <c r="H39" s="13">
        <v>1.24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98</v>
      </c>
      <c r="F40" s="12">
        <v>4676949</v>
      </c>
      <c r="G40" s="13">
        <v>37572.269999999997</v>
      </c>
      <c r="H40" s="13">
        <v>1.19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23</v>
      </c>
      <c r="F41" s="12">
        <v>20759451</v>
      </c>
      <c r="G41" s="13">
        <v>36796.129999999997</v>
      </c>
      <c r="H41" s="13">
        <v>1.17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31</v>
      </c>
      <c r="F42" s="12">
        <v>4094212</v>
      </c>
      <c r="G42" s="13">
        <v>37013.72</v>
      </c>
      <c r="H42" s="13">
        <v>1.17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103</v>
      </c>
      <c r="C43" s="11" t="s">
        <v>13</v>
      </c>
      <c r="D43" s="11" t="s">
        <v>104</v>
      </c>
      <c r="E43" s="11" t="s">
        <v>105</v>
      </c>
      <c r="F43" s="12">
        <v>4828018</v>
      </c>
      <c r="G43" s="13">
        <v>36415.33</v>
      </c>
      <c r="H43" s="13">
        <v>1.1599999999999999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31</v>
      </c>
      <c r="F44" s="12">
        <v>454461</v>
      </c>
      <c r="G44" s="13">
        <v>36227.129999999997</v>
      </c>
      <c r="H44" s="13">
        <v>1.1499999999999999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31</v>
      </c>
      <c r="F45" s="12">
        <v>6207126</v>
      </c>
      <c r="G45" s="13">
        <v>34980.26</v>
      </c>
      <c r="H45" s="13">
        <v>1.1100000000000001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56</v>
      </c>
      <c r="F46" s="12">
        <v>6082036</v>
      </c>
      <c r="G46" s="13">
        <v>34807.49</v>
      </c>
      <c r="H46" s="13">
        <v>1.1000000000000001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105</v>
      </c>
      <c r="F47" s="12">
        <v>775096</v>
      </c>
      <c r="G47" s="13">
        <v>34484.410000000003</v>
      </c>
      <c r="H47" s="13">
        <v>1.0900000000000001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114</v>
      </c>
      <c r="C48" s="11" t="s">
        <v>13</v>
      </c>
      <c r="D48" s="11" t="s">
        <v>115</v>
      </c>
      <c r="E48" s="11" t="s">
        <v>31</v>
      </c>
      <c r="F48" s="12">
        <v>33496436</v>
      </c>
      <c r="G48" s="13">
        <v>34343.9</v>
      </c>
      <c r="H48" s="13">
        <v>1.0900000000000001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116</v>
      </c>
      <c r="C49" s="11" t="s">
        <v>13</v>
      </c>
      <c r="D49" s="11" t="s">
        <v>117</v>
      </c>
      <c r="E49" s="11" t="s">
        <v>118</v>
      </c>
      <c r="F49" s="12">
        <v>26400000</v>
      </c>
      <c r="G49" s="13">
        <v>32250.240000000002</v>
      </c>
      <c r="H49" s="13">
        <v>1.02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119</v>
      </c>
      <c r="C50" s="11" t="s">
        <v>13</v>
      </c>
      <c r="D50" s="11" t="s">
        <v>120</v>
      </c>
      <c r="E50" s="11" t="s">
        <v>56</v>
      </c>
      <c r="F50" s="12">
        <v>8748982</v>
      </c>
      <c r="G50" s="13">
        <v>30564.57</v>
      </c>
      <c r="H50" s="13">
        <v>0.97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121</v>
      </c>
      <c r="C51" s="11" t="s">
        <v>13</v>
      </c>
      <c r="D51" s="11" t="s">
        <v>122</v>
      </c>
      <c r="E51" s="11" t="s">
        <v>123</v>
      </c>
      <c r="F51" s="12">
        <v>5912609</v>
      </c>
      <c r="G51" s="13">
        <v>29459.57</v>
      </c>
      <c r="H51" s="13">
        <v>0.93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124</v>
      </c>
      <c r="C52" s="11" t="s">
        <v>13</v>
      </c>
      <c r="D52" s="11" t="s">
        <v>125</v>
      </c>
      <c r="E52" s="11" t="s">
        <v>28</v>
      </c>
      <c r="F52" s="12">
        <v>3935749</v>
      </c>
      <c r="G52" s="13">
        <v>29413.82</v>
      </c>
      <c r="H52" s="13">
        <v>0.93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126</v>
      </c>
      <c r="C53" s="11" t="s">
        <v>13</v>
      </c>
      <c r="D53" s="11" t="s">
        <v>127</v>
      </c>
      <c r="E53" s="11" t="s">
        <v>20</v>
      </c>
      <c r="F53" s="12">
        <v>13566331</v>
      </c>
      <c r="G53" s="13">
        <v>29061.79</v>
      </c>
      <c r="H53" s="13">
        <v>0.92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128</v>
      </c>
      <c r="C54" s="11" t="s">
        <v>13</v>
      </c>
      <c r="D54" s="11" t="s">
        <v>129</v>
      </c>
      <c r="E54" s="11" t="s">
        <v>43</v>
      </c>
      <c r="F54" s="12">
        <v>5473134</v>
      </c>
      <c r="G54" s="13">
        <v>29114.34</v>
      </c>
      <c r="H54" s="13">
        <v>0.92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130</v>
      </c>
      <c r="C55" s="11" t="s">
        <v>13</v>
      </c>
      <c r="D55" s="11" t="s">
        <v>131</v>
      </c>
      <c r="E55" s="11" t="s">
        <v>40</v>
      </c>
      <c r="F55" s="12">
        <v>8973400</v>
      </c>
      <c r="G55" s="13">
        <v>28822.560000000001</v>
      </c>
      <c r="H55" s="13">
        <v>0.91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132</v>
      </c>
      <c r="C56" s="11" t="s">
        <v>13</v>
      </c>
      <c r="D56" s="11" t="s">
        <v>133</v>
      </c>
      <c r="E56" s="11" t="s">
        <v>37</v>
      </c>
      <c r="F56" s="12">
        <v>1603000</v>
      </c>
      <c r="G56" s="13">
        <v>26766.09</v>
      </c>
      <c r="H56" s="13">
        <v>0.85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134</v>
      </c>
      <c r="C57" s="11" t="s">
        <v>13</v>
      </c>
      <c r="D57" s="11" t="s">
        <v>135</v>
      </c>
      <c r="E57" s="11" t="s">
        <v>49</v>
      </c>
      <c r="F57" s="12">
        <v>15443425</v>
      </c>
      <c r="G57" s="13">
        <v>26873.1</v>
      </c>
      <c r="H57" s="13">
        <v>0.85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136</v>
      </c>
      <c r="C58" s="11" t="s">
        <v>13</v>
      </c>
      <c r="D58" s="11" t="s">
        <v>137</v>
      </c>
      <c r="E58" s="11" t="s">
        <v>138</v>
      </c>
      <c r="F58" s="12">
        <v>600000</v>
      </c>
      <c r="G58" s="13">
        <v>26628.3</v>
      </c>
      <c r="H58" s="13">
        <v>0.84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139</v>
      </c>
      <c r="C59" s="11" t="s">
        <v>13</v>
      </c>
      <c r="D59" s="11" t="s">
        <v>140</v>
      </c>
      <c r="E59" s="11" t="s">
        <v>141</v>
      </c>
      <c r="F59" s="12">
        <v>9432635</v>
      </c>
      <c r="G59" s="13">
        <v>24895.55</v>
      </c>
      <c r="H59" s="13">
        <v>0.79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142</v>
      </c>
      <c r="C60" s="11" t="s">
        <v>13</v>
      </c>
      <c r="D60" s="11" t="s">
        <v>143</v>
      </c>
      <c r="E60" s="11" t="s">
        <v>89</v>
      </c>
      <c r="F60" s="12">
        <v>5406610</v>
      </c>
      <c r="G60" s="13">
        <v>24140.51</v>
      </c>
      <c r="H60" s="13">
        <v>0.77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144</v>
      </c>
      <c r="C61" s="11" t="s">
        <v>13</v>
      </c>
      <c r="D61" s="11" t="s">
        <v>145</v>
      </c>
      <c r="E61" s="11" t="s">
        <v>141</v>
      </c>
      <c r="F61" s="12">
        <v>3365892</v>
      </c>
      <c r="G61" s="13">
        <v>23201.09</v>
      </c>
      <c r="H61" s="13">
        <v>0.74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146</v>
      </c>
      <c r="C62" s="11" t="s">
        <v>13</v>
      </c>
      <c r="D62" s="11" t="s">
        <v>147</v>
      </c>
      <c r="E62" s="11" t="s">
        <v>37</v>
      </c>
      <c r="F62" s="12">
        <v>3347492</v>
      </c>
      <c r="G62" s="13">
        <v>21711.83</v>
      </c>
      <c r="H62" s="13">
        <v>0.69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148</v>
      </c>
      <c r="C63" s="11" t="s">
        <v>13</v>
      </c>
      <c r="D63" s="11" t="s">
        <v>149</v>
      </c>
      <c r="E63" s="11" t="s">
        <v>46</v>
      </c>
      <c r="F63" s="12">
        <v>1219293</v>
      </c>
      <c r="G63" s="13">
        <v>21216.31</v>
      </c>
      <c r="H63" s="13">
        <v>0.67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150</v>
      </c>
      <c r="C64" s="11" t="s">
        <v>13</v>
      </c>
      <c r="D64" s="11" t="s">
        <v>151</v>
      </c>
      <c r="E64" s="11" t="s">
        <v>152</v>
      </c>
      <c r="F64" s="12">
        <v>3609231</v>
      </c>
      <c r="G64" s="13">
        <v>20735.03</v>
      </c>
      <c r="H64" s="13">
        <v>0.66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153</v>
      </c>
      <c r="C65" s="11" t="s">
        <v>13</v>
      </c>
      <c r="D65" s="11" t="s">
        <v>154</v>
      </c>
      <c r="E65" s="11" t="s">
        <v>118</v>
      </c>
      <c r="F65" s="12">
        <v>3733750</v>
      </c>
      <c r="G65" s="13">
        <v>20503.89</v>
      </c>
      <c r="H65" s="13">
        <v>0.65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155</v>
      </c>
      <c r="C66" s="11" t="s">
        <v>13</v>
      </c>
      <c r="D66" s="11" t="s">
        <v>156</v>
      </c>
      <c r="E66" s="11" t="s">
        <v>37</v>
      </c>
      <c r="F66" s="12">
        <v>6091817</v>
      </c>
      <c r="G66" s="13">
        <v>19825.82</v>
      </c>
      <c r="H66" s="13">
        <v>0.63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157</v>
      </c>
      <c r="C67" s="11" t="s">
        <v>13</v>
      </c>
      <c r="D67" s="11" t="s">
        <v>158</v>
      </c>
      <c r="E67" s="11" t="s">
        <v>37</v>
      </c>
      <c r="F67" s="12">
        <v>393577</v>
      </c>
      <c r="G67" s="13">
        <v>19813.060000000001</v>
      </c>
      <c r="H67" s="13">
        <v>0.63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159</v>
      </c>
      <c r="C68" s="11" t="s">
        <v>13</v>
      </c>
      <c r="D68" s="11" t="s">
        <v>160</v>
      </c>
      <c r="E68" s="11" t="s">
        <v>23</v>
      </c>
      <c r="F68" s="12">
        <v>13948722</v>
      </c>
      <c r="G68" s="13">
        <v>19249.240000000002</v>
      </c>
      <c r="H68" s="13">
        <v>0.61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161</v>
      </c>
      <c r="C69" s="11" t="s">
        <v>13</v>
      </c>
      <c r="D69" s="11" t="s">
        <v>162</v>
      </c>
      <c r="E69" s="11" t="s">
        <v>163</v>
      </c>
      <c r="F69" s="12">
        <v>9250000</v>
      </c>
      <c r="G69" s="13">
        <v>19351.93</v>
      </c>
      <c r="H69" s="13">
        <v>0.61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164</v>
      </c>
      <c r="C70" s="11" t="s">
        <v>13</v>
      </c>
      <c r="D70" s="11" t="s">
        <v>165</v>
      </c>
      <c r="E70" s="11" t="s">
        <v>166</v>
      </c>
      <c r="F70" s="12">
        <v>478227</v>
      </c>
      <c r="G70" s="13">
        <v>18765.150000000001</v>
      </c>
      <c r="H70" s="13">
        <v>0.6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167</v>
      </c>
      <c r="C71" s="11" t="s">
        <v>13</v>
      </c>
      <c r="D71" s="11" t="s">
        <v>168</v>
      </c>
      <c r="E71" s="11" t="s">
        <v>89</v>
      </c>
      <c r="F71" s="12">
        <v>2596800</v>
      </c>
      <c r="G71" s="13">
        <v>17985.439999999999</v>
      </c>
      <c r="H71" s="13">
        <v>0.56999999999999995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169</v>
      </c>
      <c r="C72" s="11" t="s">
        <v>13</v>
      </c>
      <c r="D72" s="11" t="s">
        <v>170</v>
      </c>
      <c r="E72" s="11" t="s">
        <v>171</v>
      </c>
      <c r="F72" s="12">
        <v>954321</v>
      </c>
      <c r="G72" s="13">
        <v>17530.88</v>
      </c>
      <c r="H72" s="13">
        <v>0.56000000000000005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172</v>
      </c>
      <c r="C73" s="11" t="s">
        <v>13</v>
      </c>
      <c r="D73" s="11" t="s">
        <v>173</v>
      </c>
      <c r="E73" s="11" t="s">
        <v>174</v>
      </c>
      <c r="F73" s="12">
        <v>5545822</v>
      </c>
      <c r="G73" s="13">
        <v>16486.62</v>
      </c>
      <c r="H73" s="13">
        <v>0.52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175</v>
      </c>
      <c r="C74" s="11" t="s">
        <v>13</v>
      </c>
      <c r="D74" s="11" t="s">
        <v>176</v>
      </c>
      <c r="E74" s="11" t="s">
        <v>177</v>
      </c>
      <c r="F74" s="12">
        <v>4922150</v>
      </c>
      <c r="G74" s="13">
        <v>15593.37</v>
      </c>
      <c r="H74" s="13">
        <v>0.49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178</v>
      </c>
      <c r="C75" s="11" t="s">
        <v>13</v>
      </c>
      <c r="D75" s="11" t="s">
        <v>179</v>
      </c>
      <c r="E75" s="11" t="s">
        <v>98</v>
      </c>
      <c r="F75" s="12">
        <v>10190330</v>
      </c>
      <c r="G75" s="13">
        <v>13227.05</v>
      </c>
      <c r="H75" s="13">
        <v>0.42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180</v>
      </c>
      <c r="C76" s="11" t="s">
        <v>13</v>
      </c>
      <c r="D76" s="11" t="s">
        <v>181</v>
      </c>
      <c r="E76" s="11" t="s">
        <v>56</v>
      </c>
      <c r="F76" s="12">
        <v>3202102</v>
      </c>
      <c r="G76" s="13">
        <v>12659.51</v>
      </c>
      <c r="H76" s="13">
        <v>0.4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182</v>
      </c>
      <c r="C77" s="11" t="s">
        <v>13</v>
      </c>
      <c r="D77" s="11" t="s">
        <v>183</v>
      </c>
      <c r="E77" s="11" t="s">
        <v>56</v>
      </c>
      <c r="F77" s="12">
        <v>1047638</v>
      </c>
      <c r="G77" s="13">
        <v>12557.51</v>
      </c>
      <c r="H77" s="13">
        <v>0.4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184</v>
      </c>
      <c r="C78" s="11" t="s">
        <v>13</v>
      </c>
      <c r="D78" s="11" t="s">
        <v>185</v>
      </c>
      <c r="E78" s="11" t="s">
        <v>43</v>
      </c>
      <c r="F78" s="12">
        <v>3217468</v>
      </c>
      <c r="G78" s="13">
        <v>12282.68</v>
      </c>
      <c r="H78" s="13">
        <v>0.39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186</v>
      </c>
      <c r="C79" s="11" t="s">
        <v>13</v>
      </c>
      <c r="D79" s="11" t="s">
        <v>187</v>
      </c>
      <c r="E79" s="11" t="s">
        <v>61</v>
      </c>
      <c r="F79" s="12">
        <v>5236466</v>
      </c>
      <c r="G79" s="13">
        <v>12012.98</v>
      </c>
      <c r="H79" s="13">
        <v>0.38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188</v>
      </c>
      <c r="C80" s="11" t="s">
        <v>13</v>
      </c>
      <c r="D80" s="11" t="s">
        <v>189</v>
      </c>
      <c r="E80" s="11" t="s">
        <v>40</v>
      </c>
      <c r="F80" s="12">
        <v>1777521</v>
      </c>
      <c r="G80" s="13">
        <v>10809.11</v>
      </c>
      <c r="H80" s="13">
        <v>0.34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190</v>
      </c>
      <c r="C81" s="11" t="s">
        <v>13</v>
      </c>
      <c r="D81" s="11" t="s">
        <v>191</v>
      </c>
      <c r="E81" s="11" t="s">
        <v>31</v>
      </c>
      <c r="F81" s="12">
        <v>809393</v>
      </c>
      <c r="G81" s="13">
        <v>9887.14</v>
      </c>
      <c r="H81" s="13">
        <v>0.31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192</v>
      </c>
      <c r="C82" s="11" t="s">
        <v>13</v>
      </c>
      <c r="D82" s="11" t="s">
        <v>193</v>
      </c>
      <c r="E82" s="11" t="s">
        <v>40</v>
      </c>
      <c r="F82" s="12">
        <v>392105</v>
      </c>
      <c r="G82" s="13">
        <v>7644.68</v>
      </c>
      <c r="H82" s="13">
        <v>0.24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194</v>
      </c>
      <c r="C83" s="11" t="s">
        <v>13</v>
      </c>
      <c r="D83" s="11" t="s">
        <v>195</v>
      </c>
      <c r="E83" s="11" t="s">
        <v>118</v>
      </c>
      <c r="F83" s="12">
        <v>1495779</v>
      </c>
      <c r="G83" s="13">
        <v>6114</v>
      </c>
      <c r="H83" s="13">
        <v>0.19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196</v>
      </c>
      <c r="C84" s="11" t="s">
        <v>13</v>
      </c>
      <c r="D84" s="11" t="s">
        <v>197</v>
      </c>
      <c r="E84" s="11" t="s">
        <v>20</v>
      </c>
      <c r="F84" s="12">
        <v>892243</v>
      </c>
      <c r="G84" s="13">
        <v>4591.4799999999996</v>
      </c>
      <c r="H84" s="13">
        <v>0.15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198</v>
      </c>
      <c r="C85" s="11" t="s">
        <v>13</v>
      </c>
      <c r="D85" s="11" t="s">
        <v>199</v>
      </c>
      <c r="E85" s="11" t="s">
        <v>77</v>
      </c>
      <c r="F85" s="12">
        <v>533962</v>
      </c>
      <c r="G85" s="13">
        <v>4324.0200000000004</v>
      </c>
      <c r="H85" s="13">
        <v>0.14000000000000001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200</v>
      </c>
      <c r="C86" s="11" t="s">
        <v>13</v>
      </c>
      <c r="D86" s="11" t="s">
        <v>201</v>
      </c>
      <c r="E86" s="11" t="s">
        <v>177</v>
      </c>
      <c r="F86" s="12">
        <v>3185742</v>
      </c>
      <c r="G86" s="13">
        <v>2845.5</v>
      </c>
      <c r="H86" s="13">
        <v>0.09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202</v>
      </c>
      <c r="C87" s="11" t="s">
        <v>13</v>
      </c>
      <c r="D87" s="11" t="s">
        <v>203</v>
      </c>
      <c r="E87" s="11" t="s">
        <v>46</v>
      </c>
      <c r="F87" s="12">
        <v>9392742</v>
      </c>
      <c r="G87" s="13">
        <v>2618.6999999999998</v>
      </c>
      <c r="H87" s="13">
        <v>0.08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204</v>
      </c>
      <c r="C88" s="11" t="s">
        <v>13</v>
      </c>
      <c r="D88" s="11" t="s">
        <v>205</v>
      </c>
      <c r="E88" s="11" t="s">
        <v>56</v>
      </c>
      <c r="F88" s="12">
        <v>34732</v>
      </c>
      <c r="G88" s="13">
        <v>1924.69</v>
      </c>
      <c r="H88" s="13">
        <v>0.06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206</v>
      </c>
      <c r="C89" s="11" t="s">
        <v>13</v>
      </c>
      <c r="D89" s="11" t="s">
        <v>197</v>
      </c>
      <c r="E89" s="11" t="s">
        <v>20</v>
      </c>
      <c r="F89" s="12">
        <v>208877</v>
      </c>
      <c r="G89" s="13">
        <v>1021.14</v>
      </c>
      <c r="H89" s="13">
        <v>0.03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7"/>
      <c r="B90" s="9" t="s">
        <v>207</v>
      </c>
      <c r="C90" s="17"/>
      <c r="D90" s="17"/>
      <c r="E90" s="17"/>
      <c r="F90" s="17"/>
      <c r="G90" s="18">
        <v>2920960.4799999995</v>
      </c>
      <c r="H90" s="18">
        <v>92.61999999999999</v>
      </c>
      <c r="I90" s="17"/>
      <c r="J90" s="17"/>
      <c r="K90" s="17"/>
      <c r="L90" s="17"/>
    </row>
    <row r="91" spans="1:12" x14ac:dyDescent="0.35">
      <c r="A91" s="8"/>
      <c r="B91" s="9" t="s">
        <v>208</v>
      </c>
      <c r="C91" s="8"/>
      <c r="D91" s="8"/>
      <c r="E91" s="8"/>
      <c r="F91" s="8"/>
      <c r="G91" s="19">
        <v>2920960.4799999995</v>
      </c>
      <c r="H91" s="19">
        <v>92.61999999999999</v>
      </c>
      <c r="I91" s="8"/>
      <c r="J91" s="8"/>
      <c r="K91" s="8"/>
      <c r="L91" s="8"/>
    </row>
    <row r="92" spans="1:12" x14ac:dyDescent="0.35">
      <c r="A92" s="8"/>
      <c r="B92" s="9" t="s">
        <v>209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35">
      <c r="A93" s="8"/>
      <c r="B93" s="9" t="s">
        <v>210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35">
      <c r="A94" s="10" t="s">
        <v>13</v>
      </c>
      <c r="B94" s="11" t="s">
        <v>13</v>
      </c>
      <c r="C94" s="11" t="s">
        <v>13</v>
      </c>
      <c r="D94" s="11" t="s">
        <v>210</v>
      </c>
      <c r="E94" s="11" t="s">
        <v>13</v>
      </c>
      <c r="F94" s="12" t="s">
        <v>13</v>
      </c>
      <c r="G94" s="13">
        <v>230937.55</v>
      </c>
      <c r="H94" s="13">
        <v>7.33</v>
      </c>
      <c r="I94" s="14">
        <v>6.7210999999999999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7"/>
      <c r="B95" s="9" t="s">
        <v>207</v>
      </c>
      <c r="C95" s="17"/>
      <c r="D95" s="17"/>
      <c r="E95" s="17"/>
      <c r="F95" s="17"/>
      <c r="G95" s="18">
        <v>230937.55</v>
      </c>
      <c r="H95" s="18">
        <v>7.33</v>
      </c>
      <c r="I95" s="17"/>
      <c r="J95" s="17"/>
      <c r="K95" s="17"/>
      <c r="L95" s="17"/>
    </row>
    <row r="96" spans="1:12" x14ac:dyDescent="0.35">
      <c r="A96" s="8"/>
      <c r="B96" s="9" t="s">
        <v>208</v>
      </c>
      <c r="C96" s="8"/>
      <c r="D96" s="8"/>
      <c r="E96" s="8"/>
      <c r="F96" s="8"/>
      <c r="G96" s="19">
        <v>230937.55</v>
      </c>
      <c r="H96" s="19">
        <v>7.33</v>
      </c>
      <c r="I96" s="8"/>
      <c r="J96" s="8"/>
      <c r="K96" s="8"/>
      <c r="L96" s="8"/>
    </row>
    <row r="97" spans="1:12" x14ac:dyDescent="0.35">
      <c r="A97" s="8"/>
      <c r="B97" s="9" t="s">
        <v>211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35">
      <c r="A98" s="8"/>
      <c r="B98" s="9" t="s">
        <v>212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35">
      <c r="A99" s="10" t="s">
        <v>13</v>
      </c>
      <c r="B99" s="11" t="s">
        <v>13</v>
      </c>
      <c r="C99" s="11" t="s">
        <v>13</v>
      </c>
      <c r="D99" s="11" t="s">
        <v>212</v>
      </c>
      <c r="E99" s="11" t="s">
        <v>13</v>
      </c>
      <c r="F99" s="12" t="s">
        <v>13</v>
      </c>
      <c r="G99" s="13">
        <v>367.63</v>
      </c>
      <c r="H99" s="13">
        <v>0.05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7"/>
      <c r="B100" s="9" t="s">
        <v>207</v>
      </c>
      <c r="C100" s="17"/>
      <c r="D100" s="17"/>
      <c r="E100" s="17"/>
      <c r="F100" s="17"/>
      <c r="G100" s="18">
        <v>367.63</v>
      </c>
      <c r="H100" s="18">
        <v>0.05</v>
      </c>
      <c r="I100" s="17"/>
      <c r="J100" s="17"/>
      <c r="K100" s="17"/>
      <c r="L100" s="17"/>
    </row>
    <row r="101" spans="1:12" x14ac:dyDescent="0.35">
      <c r="A101" s="8"/>
      <c r="B101" s="9" t="s">
        <v>208</v>
      </c>
      <c r="C101" s="8"/>
      <c r="D101" s="8"/>
      <c r="E101" s="8"/>
      <c r="F101" s="8"/>
      <c r="G101" s="19">
        <v>367.63</v>
      </c>
      <c r="H101" s="19">
        <v>0.05</v>
      </c>
      <c r="I101" s="8"/>
      <c r="J101" s="8"/>
      <c r="K101" s="8"/>
      <c r="L101" s="8"/>
    </row>
    <row r="102" spans="1:12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x14ac:dyDescent="0.35">
      <c r="A103" s="4"/>
      <c r="B103" s="20" t="s">
        <v>213</v>
      </c>
      <c r="C103" s="4"/>
      <c r="D103" s="4"/>
      <c r="E103" s="4"/>
      <c r="F103" s="4"/>
      <c r="G103" s="21">
        <v>3152265.6599999992</v>
      </c>
      <c r="H103" s="21">
        <v>99.999999999999986</v>
      </c>
      <c r="I103" s="4"/>
      <c r="J103" s="4"/>
      <c r="K103" s="4"/>
      <c r="L103" s="4"/>
    </row>
    <row r="104" spans="1:12" x14ac:dyDescent="0.35">
      <c r="A104" s="10" t="s">
        <v>17</v>
      </c>
      <c r="B104" s="35" t="s">
        <v>214</v>
      </c>
      <c r="C104" s="35" t="s">
        <v>214</v>
      </c>
      <c r="D104" s="35" t="s">
        <v>214</v>
      </c>
      <c r="E104" s="35" t="s">
        <v>214</v>
      </c>
      <c r="F104" s="35" t="s">
        <v>214</v>
      </c>
      <c r="G104" s="11"/>
      <c r="H104" s="11"/>
      <c r="I104" s="11"/>
      <c r="J104" s="11"/>
      <c r="K104" s="11"/>
      <c r="L104" s="11"/>
    </row>
    <row r="105" spans="1:12" x14ac:dyDescent="0.35">
      <c r="A105" s="11"/>
      <c r="B105" s="32" t="s">
        <v>215</v>
      </c>
      <c r="C105" s="32" t="s">
        <v>215</v>
      </c>
      <c r="D105" s="32" t="s">
        <v>215</v>
      </c>
      <c r="E105" s="32" t="s">
        <v>215</v>
      </c>
      <c r="F105" s="32" t="s">
        <v>215</v>
      </c>
      <c r="G105" s="11"/>
      <c r="H105" s="11"/>
      <c r="I105" s="11"/>
      <c r="J105" s="11"/>
      <c r="K105" s="11"/>
      <c r="L105" s="11"/>
    </row>
    <row r="106" spans="1:12" x14ac:dyDescent="0.35">
      <c r="A106" s="11"/>
      <c r="B106" s="32" t="s">
        <v>216</v>
      </c>
      <c r="C106" s="32" t="s">
        <v>216</v>
      </c>
      <c r="D106" s="32" t="s">
        <v>216</v>
      </c>
      <c r="E106" s="32" t="s">
        <v>216</v>
      </c>
      <c r="F106" s="32" t="s">
        <v>216</v>
      </c>
      <c r="G106" s="11"/>
      <c r="H106" s="11"/>
      <c r="I106" s="11"/>
      <c r="J106" s="11"/>
      <c r="K106" s="11"/>
      <c r="L106" s="11"/>
    </row>
    <row r="107" spans="1:12" x14ac:dyDescent="0.35">
      <c r="A107" s="11"/>
      <c r="B107" s="32" t="s">
        <v>217</v>
      </c>
      <c r="C107" s="32" t="s">
        <v>217</v>
      </c>
      <c r="D107" s="32" t="s">
        <v>217</v>
      </c>
      <c r="E107" s="32" t="s">
        <v>217</v>
      </c>
      <c r="F107" s="32" t="s">
        <v>217</v>
      </c>
      <c r="G107" s="11"/>
      <c r="H107" s="11"/>
      <c r="I107" s="11"/>
      <c r="J107" s="11"/>
      <c r="K107" s="11"/>
      <c r="L107" s="11"/>
    </row>
    <row r="108" spans="1:12" x14ac:dyDescent="0.35">
      <c r="A108" s="11"/>
      <c r="B108" s="32" t="s">
        <v>218</v>
      </c>
      <c r="C108" s="32" t="s">
        <v>218</v>
      </c>
      <c r="D108" s="32" t="s">
        <v>218</v>
      </c>
      <c r="E108" s="32" t="s">
        <v>218</v>
      </c>
      <c r="F108" s="32" t="s">
        <v>218</v>
      </c>
      <c r="G108" s="11"/>
      <c r="H108" s="11"/>
      <c r="I108" s="11"/>
      <c r="J108" s="11"/>
      <c r="K108" s="11"/>
      <c r="L108" s="11"/>
    </row>
    <row r="109" spans="1:12" x14ac:dyDescent="0.35">
      <c r="A109" s="11"/>
      <c r="B109" s="32" t="s">
        <v>219</v>
      </c>
      <c r="C109" s="32" t="s">
        <v>219</v>
      </c>
      <c r="D109" s="32" t="s">
        <v>219</v>
      </c>
      <c r="E109" s="32" t="s">
        <v>219</v>
      </c>
      <c r="F109" s="32" t="s">
        <v>219</v>
      </c>
      <c r="G109" s="11"/>
      <c r="H109" s="11"/>
      <c r="I109" s="11"/>
      <c r="J109" s="11"/>
      <c r="K109" s="11"/>
      <c r="L109" s="11"/>
    </row>
    <row r="110" spans="1:12" x14ac:dyDescent="0.35">
      <c r="A110" s="11"/>
      <c r="B110" s="32" t="s">
        <v>220</v>
      </c>
      <c r="C110" s="32" t="s">
        <v>220</v>
      </c>
      <c r="D110" s="32" t="s">
        <v>220</v>
      </c>
      <c r="E110" s="32" t="s">
        <v>220</v>
      </c>
      <c r="F110" s="32" t="s">
        <v>220</v>
      </c>
      <c r="G110" s="11"/>
      <c r="H110" s="11"/>
      <c r="I110" s="11"/>
      <c r="J110" s="11"/>
      <c r="K110" s="11"/>
      <c r="L110" s="11"/>
    </row>
    <row r="111" spans="1:12" x14ac:dyDescent="0.35">
      <c r="A111" s="11"/>
      <c r="B111" s="32" t="s">
        <v>221</v>
      </c>
      <c r="C111" s="32" t="s">
        <v>221</v>
      </c>
      <c r="D111" s="32" t="s">
        <v>221</v>
      </c>
      <c r="E111" s="32" t="s">
        <v>221</v>
      </c>
      <c r="F111" s="32" t="s">
        <v>221</v>
      </c>
      <c r="G111" s="11"/>
      <c r="H111" s="11"/>
      <c r="I111" s="11"/>
      <c r="J111" s="11"/>
      <c r="K111" s="11"/>
      <c r="L111" s="11"/>
    </row>
    <row r="112" spans="1:12" x14ac:dyDescent="0.35">
      <c r="A112" s="11"/>
      <c r="B112" s="11"/>
      <c r="C112" s="11"/>
      <c r="D112" s="11"/>
      <c r="E112" s="11"/>
      <c r="F112" s="11"/>
      <c r="G112" s="11"/>
      <c r="H112" s="11"/>
    </row>
    <row r="113" spans="1:8" x14ac:dyDescent="0.35">
      <c r="A113" s="22"/>
      <c r="B113" s="23" t="s">
        <v>222</v>
      </c>
      <c r="C113" s="22"/>
      <c r="D113" s="22"/>
      <c r="E113" s="11"/>
      <c r="F113" s="11"/>
      <c r="G113" s="11"/>
      <c r="H113" s="11"/>
    </row>
    <row r="114" spans="1:8" x14ac:dyDescent="0.35">
      <c r="A114" s="22"/>
      <c r="B114" s="24" t="s">
        <v>23</v>
      </c>
      <c r="C114" s="25"/>
      <c r="D114" s="26">
        <v>9.07</v>
      </c>
      <c r="E114" s="11"/>
      <c r="F114" s="11"/>
      <c r="G114" s="11"/>
      <c r="H114" s="11"/>
    </row>
    <row r="115" spans="1:8" x14ac:dyDescent="0.35">
      <c r="A115" s="22"/>
      <c r="B115" s="24" t="s">
        <v>20</v>
      </c>
      <c r="C115" s="25"/>
      <c r="D115" s="26">
        <v>7.92</v>
      </c>
      <c r="E115" s="11"/>
      <c r="F115" s="11"/>
      <c r="G115" s="11"/>
      <c r="H115" s="11"/>
    </row>
    <row r="116" spans="1:8" x14ac:dyDescent="0.35">
      <c r="A116" s="22"/>
      <c r="B116" s="24" t="s">
        <v>56</v>
      </c>
      <c r="C116" s="25"/>
      <c r="D116" s="26">
        <v>7.7100000000000009</v>
      </c>
      <c r="E116" s="11"/>
      <c r="F116" s="11"/>
      <c r="G116" s="11"/>
      <c r="H116" s="11"/>
    </row>
    <row r="117" spans="1:8" x14ac:dyDescent="0.35">
      <c r="A117" s="22"/>
      <c r="B117" s="24" t="s">
        <v>46</v>
      </c>
      <c r="C117" s="25"/>
      <c r="D117" s="26">
        <v>7.4600000000000009</v>
      </c>
      <c r="E117" s="11"/>
      <c r="F117" s="11"/>
      <c r="G117" s="11"/>
      <c r="H117" s="11"/>
    </row>
    <row r="118" spans="1:8" x14ac:dyDescent="0.35">
      <c r="A118" s="22"/>
      <c r="B118" s="24" t="s">
        <v>31</v>
      </c>
      <c r="C118" s="25"/>
      <c r="D118" s="26">
        <v>7.21</v>
      </c>
      <c r="E118" s="11"/>
      <c r="F118" s="11"/>
      <c r="G118" s="11"/>
      <c r="H118" s="11"/>
    </row>
    <row r="119" spans="1:8" x14ac:dyDescent="0.35">
      <c r="A119" s="22"/>
      <c r="B119" s="24" t="s">
        <v>34</v>
      </c>
      <c r="C119" s="25"/>
      <c r="D119" s="26">
        <v>7.1099999999999994</v>
      </c>
      <c r="E119" s="11"/>
      <c r="F119" s="11"/>
      <c r="G119" s="11"/>
      <c r="H119" s="11"/>
    </row>
    <row r="120" spans="1:8" x14ac:dyDescent="0.35">
      <c r="A120" s="22"/>
      <c r="B120" s="24" t="s">
        <v>37</v>
      </c>
      <c r="C120" s="25"/>
      <c r="D120" s="26">
        <v>6.55</v>
      </c>
      <c r="E120" s="11"/>
      <c r="F120" s="11"/>
      <c r="G120" s="11"/>
      <c r="H120" s="11"/>
    </row>
    <row r="121" spans="1:8" x14ac:dyDescent="0.35">
      <c r="A121" s="22"/>
      <c r="B121" s="24" t="s">
        <v>40</v>
      </c>
      <c r="C121" s="25"/>
      <c r="D121" s="26">
        <v>6.37</v>
      </c>
      <c r="E121" s="11"/>
      <c r="F121" s="11"/>
      <c r="G121" s="11"/>
      <c r="H121" s="11"/>
    </row>
    <row r="122" spans="1:8" x14ac:dyDescent="0.35">
      <c r="A122" s="22"/>
      <c r="B122" s="24" t="s">
        <v>28</v>
      </c>
      <c r="C122" s="25"/>
      <c r="D122" s="26">
        <v>3.6100000000000003</v>
      </c>
      <c r="E122" s="11"/>
      <c r="F122" s="11"/>
      <c r="G122" s="11"/>
      <c r="H122" s="11"/>
    </row>
    <row r="123" spans="1:8" x14ac:dyDescent="0.35">
      <c r="A123" s="22"/>
      <c r="B123" s="24" t="s">
        <v>43</v>
      </c>
      <c r="C123" s="25"/>
      <c r="D123" s="26">
        <v>3.35</v>
      </c>
      <c r="E123" s="11"/>
      <c r="F123" s="11"/>
      <c r="G123" s="11"/>
      <c r="H123" s="11"/>
    </row>
    <row r="124" spans="1:8" x14ac:dyDescent="0.35">
      <c r="A124" s="22"/>
      <c r="B124" s="24" t="s">
        <v>72</v>
      </c>
      <c r="C124" s="25"/>
      <c r="D124" s="26">
        <v>3.09</v>
      </c>
      <c r="E124" s="11"/>
      <c r="F124" s="11"/>
      <c r="G124" s="11"/>
      <c r="H124" s="11"/>
    </row>
    <row r="125" spans="1:8" x14ac:dyDescent="0.35">
      <c r="A125" s="22"/>
      <c r="B125" s="24" t="s">
        <v>49</v>
      </c>
      <c r="C125" s="25"/>
      <c r="D125" s="26">
        <v>2.81</v>
      </c>
      <c r="E125" s="11"/>
      <c r="F125" s="11"/>
      <c r="G125" s="11"/>
      <c r="H125" s="11"/>
    </row>
    <row r="126" spans="1:8" x14ac:dyDescent="0.35">
      <c r="A126" s="22"/>
      <c r="B126" s="24" t="s">
        <v>89</v>
      </c>
      <c r="C126" s="25"/>
      <c r="D126" s="26">
        <v>2.7199999999999998</v>
      </c>
      <c r="E126" s="11"/>
      <c r="F126" s="11"/>
      <c r="G126" s="11"/>
      <c r="H126" s="11"/>
    </row>
    <row r="127" spans="1:8" x14ac:dyDescent="0.35">
      <c r="A127" s="22"/>
      <c r="B127" s="24" t="s">
        <v>105</v>
      </c>
      <c r="C127" s="25"/>
      <c r="D127" s="26">
        <v>2.25</v>
      </c>
      <c r="E127" s="11"/>
      <c r="F127" s="11"/>
      <c r="G127" s="11"/>
      <c r="H127" s="11"/>
    </row>
    <row r="128" spans="1:8" x14ac:dyDescent="0.35">
      <c r="A128" s="22"/>
      <c r="B128" s="24" t="s">
        <v>61</v>
      </c>
      <c r="C128" s="25"/>
      <c r="D128" s="26">
        <v>2.09</v>
      </c>
      <c r="E128" s="11"/>
      <c r="F128" s="11"/>
      <c r="G128" s="11"/>
      <c r="H128" s="11"/>
    </row>
    <row r="129" spans="1:8" x14ac:dyDescent="0.35">
      <c r="A129" s="22"/>
      <c r="B129" s="24" t="s">
        <v>118</v>
      </c>
      <c r="C129" s="25"/>
      <c r="D129" s="26">
        <v>1.8599999999999999</v>
      </c>
      <c r="E129" s="11"/>
      <c r="F129" s="11"/>
      <c r="G129" s="11"/>
      <c r="H129" s="11"/>
    </row>
    <row r="130" spans="1:8" x14ac:dyDescent="0.35">
      <c r="A130" s="22"/>
      <c r="B130" s="24" t="s">
        <v>98</v>
      </c>
      <c r="C130" s="25"/>
      <c r="D130" s="26">
        <v>1.6099999999999999</v>
      </c>
      <c r="E130" s="11"/>
      <c r="F130" s="11"/>
      <c r="G130" s="11"/>
      <c r="H130" s="11"/>
    </row>
    <row r="131" spans="1:8" x14ac:dyDescent="0.35">
      <c r="A131" s="22"/>
      <c r="B131" s="24" t="s">
        <v>77</v>
      </c>
      <c r="C131" s="25"/>
      <c r="D131" s="26">
        <v>1.5899999999999999</v>
      </c>
      <c r="E131" s="11"/>
      <c r="F131" s="11"/>
      <c r="G131" s="11"/>
      <c r="H131" s="11"/>
    </row>
    <row r="132" spans="1:8" x14ac:dyDescent="0.35">
      <c r="A132" s="22"/>
      <c r="B132" s="24" t="s">
        <v>141</v>
      </c>
      <c r="C132" s="25"/>
      <c r="D132" s="26">
        <v>1.53</v>
      </c>
      <c r="E132" s="11"/>
      <c r="F132" s="11"/>
      <c r="G132" s="11"/>
      <c r="H132" s="11"/>
    </row>
    <row r="133" spans="1:8" x14ac:dyDescent="0.35">
      <c r="A133" s="22"/>
      <c r="B133" s="24" t="s">
        <v>86</v>
      </c>
      <c r="C133" s="25"/>
      <c r="D133" s="26">
        <v>1.41</v>
      </c>
      <c r="E133" s="11"/>
      <c r="F133" s="11"/>
      <c r="G133" s="11"/>
      <c r="H133" s="11"/>
    </row>
    <row r="134" spans="1:8" x14ac:dyDescent="0.35">
      <c r="A134" s="22"/>
      <c r="B134" s="24" t="s">
        <v>123</v>
      </c>
      <c r="C134" s="25"/>
      <c r="D134" s="26">
        <v>0.93</v>
      </c>
      <c r="E134" s="11"/>
      <c r="F134" s="11"/>
      <c r="G134" s="11"/>
      <c r="H134" s="11"/>
    </row>
    <row r="135" spans="1:8" x14ac:dyDescent="0.35">
      <c r="A135" s="22"/>
      <c r="B135" s="24" t="s">
        <v>138</v>
      </c>
      <c r="C135" s="25"/>
      <c r="D135" s="26">
        <v>0.84</v>
      </c>
      <c r="E135" s="11"/>
      <c r="F135" s="11"/>
      <c r="G135" s="11"/>
      <c r="H135" s="11"/>
    </row>
    <row r="136" spans="1:8" x14ac:dyDescent="0.35">
      <c r="A136" s="22"/>
      <c r="B136" s="24" t="s">
        <v>152</v>
      </c>
      <c r="C136" s="25"/>
      <c r="D136" s="26">
        <v>0.66</v>
      </c>
      <c r="E136" s="11"/>
      <c r="F136" s="11"/>
      <c r="G136" s="11"/>
      <c r="H136" s="11"/>
    </row>
    <row r="137" spans="1:8" x14ac:dyDescent="0.35">
      <c r="A137" s="22"/>
      <c r="B137" s="24" t="s">
        <v>163</v>
      </c>
      <c r="C137" s="25"/>
      <c r="D137" s="26">
        <v>0.61</v>
      </c>
      <c r="E137" s="11"/>
      <c r="F137" s="11"/>
      <c r="G137" s="11"/>
      <c r="H137" s="11"/>
    </row>
    <row r="138" spans="1:8" x14ac:dyDescent="0.35">
      <c r="A138" s="22"/>
      <c r="B138" s="24" t="s">
        <v>166</v>
      </c>
      <c r="C138" s="25"/>
      <c r="D138" s="26">
        <v>0.6</v>
      </c>
      <c r="E138" s="11"/>
      <c r="F138" s="11"/>
      <c r="G138" s="11"/>
      <c r="H138" s="11"/>
    </row>
    <row r="139" spans="1:8" x14ac:dyDescent="0.35">
      <c r="A139" s="22"/>
      <c r="B139" s="24" t="s">
        <v>177</v>
      </c>
      <c r="C139" s="25"/>
      <c r="D139" s="26">
        <v>0.57999999999999996</v>
      </c>
      <c r="E139" s="11"/>
      <c r="F139" s="11"/>
      <c r="G139" s="11"/>
      <c r="H139" s="11"/>
    </row>
    <row r="140" spans="1:8" x14ac:dyDescent="0.35">
      <c r="A140" s="22"/>
      <c r="B140" s="24" t="s">
        <v>171</v>
      </c>
      <c r="C140" s="25"/>
      <c r="D140" s="26">
        <v>0.56000000000000005</v>
      </c>
      <c r="E140" s="11"/>
      <c r="F140" s="11"/>
      <c r="G140" s="11"/>
      <c r="H140" s="11"/>
    </row>
    <row r="141" spans="1:8" x14ac:dyDescent="0.35">
      <c r="A141" s="22"/>
      <c r="B141" s="24" t="s">
        <v>174</v>
      </c>
      <c r="C141" s="25"/>
      <c r="D141" s="26">
        <v>0.52</v>
      </c>
      <c r="E141" s="11"/>
      <c r="F141" s="11"/>
      <c r="G141" s="11"/>
      <c r="H141" s="11"/>
    </row>
    <row r="142" spans="1:8" x14ac:dyDescent="0.35">
      <c r="A142" s="22"/>
      <c r="B142" s="24" t="s">
        <v>223</v>
      </c>
      <c r="C142" s="25"/>
      <c r="D142" s="26">
        <v>7.38</v>
      </c>
      <c r="E142" s="11"/>
      <c r="F142" s="11"/>
      <c r="G142" s="11"/>
      <c r="H142" s="11"/>
    </row>
    <row r="143" spans="1:8" x14ac:dyDescent="0.35">
      <c r="A143" s="27"/>
      <c r="B143" s="27"/>
      <c r="C143" s="27"/>
      <c r="D143" s="27"/>
      <c r="E143" s="27"/>
      <c r="F143" s="27"/>
      <c r="G143" s="27"/>
      <c r="H143" s="27"/>
    </row>
    <row r="144" spans="1:8" x14ac:dyDescent="0.35">
      <c r="A144" s="27"/>
      <c r="B144" s="8" t="s">
        <v>224</v>
      </c>
      <c r="C144" s="27"/>
      <c r="D144" s="27"/>
      <c r="E144" s="27"/>
      <c r="F144" s="27"/>
      <c r="G144" s="27"/>
      <c r="H144" s="27"/>
    </row>
    <row r="145" spans="1:8" x14ac:dyDescent="0.35">
      <c r="A145" s="11"/>
      <c r="B145" s="11" t="s">
        <v>225</v>
      </c>
      <c r="C145" s="11"/>
      <c r="D145" s="11"/>
      <c r="E145" s="11"/>
      <c r="F145" s="11"/>
      <c r="G145" s="11"/>
      <c r="H145" s="27"/>
    </row>
    <row r="146" spans="1:8" x14ac:dyDescent="0.35">
      <c r="A146" s="11"/>
      <c r="B146" s="28" t="s">
        <v>226</v>
      </c>
      <c r="C146" s="29" t="s">
        <v>227</v>
      </c>
      <c r="D146" s="28" t="s">
        <v>228</v>
      </c>
      <c r="E146" s="11"/>
      <c r="F146" s="11"/>
      <c r="G146" s="11"/>
      <c r="H146" s="27"/>
    </row>
    <row r="147" spans="1:8" x14ac:dyDescent="0.35">
      <c r="A147" s="11"/>
      <c r="B147" s="8" t="s">
        <v>229</v>
      </c>
      <c r="C147" s="30">
        <v>47.225999999999999</v>
      </c>
      <c r="D147" s="30">
        <v>43.878999999999998</v>
      </c>
      <c r="E147" s="11"/>
      <c r="F147" s="11"/>
      <c r="G147" s="11"/>
      <c r="H147" s="27"/>
    </row>
    <row r="148" spans="1:8" x14ac:dyDescent="0.35">
      <c r="A148" s="11"/>
      <c r="B148" s="8" t="s">
        <v>230</v>
      </c>
      <c r="C148" s="30">
        <v>69.128</v>
      </c>
      <c r="D148" s="30">
        <v>64.183999999999997</v>
      </c>
      <c r="E148" s="11"/>
      <c r="F148" s="11"/>
      <c r="G148" s="11"/>
      <c r="H148" s="27"/>
    </row>
    <row r="149" spans="1:8" x14ac:dyDescent="0.35">
      <c r="A149" s="11"/>
      <c r="B149" s="8" t="s">
        <v>231</v>
      </c>
      <c r="C149" s="30">
        <v>132.50800000000001</v>
      </c>
      <c r="D149" s="30">
        <v>123.11799999999999</v>
      </c>
      <c r="E149" s="11"/>
      <c r="F149" s="11"/>
      <c r="G149" s="11"/>
      <c r="H149" s="27"/>
    </row>
    <row r="150" spans="1:8" x14ac:dyDescent="0.35">
      <c r="A150" s="11"/>
      <c r="B150" s="8" t="s">
        <v>232</v>
      </c>
      <c r="C150" s="30">
        <v>149.30600000000001</v>
      </c>
      <c r="D150" s="30">
        <v>138.62700000000001</v>
      </c>
      <c r="E150" s="11"/>
      <c r="F150" s="11"/>
      <c r="G150" s="11"/>
      <c r="H150" s="27"/>
    </row>
    <row r="151" spans="1:8" x14ac:dyDescent="0.35">
      <c r="A151" s="11"/>
      <c r="B151" s="8" t="s">
        <v>13</v>
      </c>
      <c r="C151" s="11"/>
      <c r="D151" s="11"/>
      <c r="E151" s="11"/>
      <c r="F151" s="11"/>
      <c r="G151" s="11"/>
      <c r="H151" s="27"/>
    </row>
    <row r="152" spans="1:8" x14ac:dyDescent="0.35">
      <c r="A152" s="11"/>
      <c r="B152" s="11"/>
      <c r="C152" s="11"/>
      <c r="D152" s="11"/>
      <c r="E152" s="11"/>
      <c r="F152" s="11"/>
      <c r="G152" s="11"/>
      <c r="H152" s="27"/>
    </row>
    <row r="153" spans="1:8" x14ac:dyDescent="0.35">
      <c r="A153" s="11"/>
      <c r="B153" s="11" t="s">
        <v>233</v>
      </c>
      <c r="C153" s="11"/>
      <c r="D153" s="11"/>
      <c r="E153" s="11"/>
      <c r="F153" s="11"/>
      <c r="G153" s="11"/>
      <c r="H153" s="27"/>
    </row>
    <row r="154" spans="1:8" x14ac:dyDescent="0.35">
      <c r="A154" s="11"/>
      <c r="B154" s="11"/>
      <c r="C154" s="11"/>
      <c r="D154" s="11"/>
      <c r="E154" s="11"/>
      <c r="F154" s="11"/>
      <c r="G154" s="11"/>
      <c r="H154" s="27"/>
    </row>
    <row r="155" spans="1:8" x14ac:dyDescent="0.35">
      <c r="A155" s="11"/>
      <c r="B155" s="11" t="s">
        <v>234</v>
      </c>
      <c r="C155" s="11"/>
      <c r="D155" s="11"/>
      <c r="E155" s="11"/>
      <c r="F155" s="11"/>
      <c r="G155" s="11"/>
      <c r="H155" s="27"/>
    </row>
    <row r="156" spans="1:8" x14ac:dyDescent="0.35">
      <c r="A156" s="27"/>
      <c r="B156" s="27"/>
      <c r="C156" s="27"/>
      <c r="D156" s="27"/>
      <c r="E156" s="27"/>
      <c r="F156" s="27"/>
      <c r="G156" s="27"/>
      <c r="H156" s="27"/>
    </row>
    <row r="157" spans="1:8" x14ac:dyDescent="0.35">
      <c r="A157" s="11"/>
      <c r="B157" s="11" t="s">
        <v>235</v>
      </c>
      <c r="C157" s="11"/>
      <c r="D157" s="11"/>
      <c r="E157" s="11"/>
      <c r="F157" s="11"/>
      <c r="G157" s="11"/>
      <c r="H157" s="11"/>
    </row>
    <row r="158" spans="1:8" x14ac:dyDescent="0.35">
      <c r="A158" s="11"/>
      <c r="B158" s="11" t="s">
        <v>236</v>
      </c>
      <c r="C158" s="11"/>
      <c r="D158" s="11"/>
      <c r="E158" s="11"/>
      <c r="F158" s="11"/>
      <c r="G158" s="11"/>
      <c r="H158" s="27"/>
    </row>
    <row r="159" spans="1:8" x14ac:dyDescent="0.35">
      <c r="A159" s="11"/>
      <c r="B159" s="11" t="s">
        <v>237</v>
      </c>
      <c r="C159" s="11"/>
      <c r="D159" s="11"/>
      <c r="E159" s="11"/>
      <c r="F159" s="11"/>
      <c r="G159" s="11"/>
      <c r="H159" s="27"/>
    </row>
    <row r="160" spans="1:8" x14ac:dyDescent="0.35">
      <c r="A160" s="11"/>
      <c r="B160" s="11" t="s">
        <v>258</v>
      </c>
      <c r="C160" s="11"/>
      <c r="D160" s="11"/>
      <c r="E160" s="11"/>
      <c r="F160" s="11"/>
      <c r="G160" s="11"/>
      <c r="H160" s="27"/>
    </row>
    <row r="161" spans="1:8" x14ac:dyDescent="0.35">
      <c r="A161" s="11"/>
      <c r="B161" s="11" t="s">
        <v>238</v>
      </c>
      <c r="C161" s="11"/>
      <c r="D161" s="11"/>
      <c r="E161" s="11"/>
      <c r="F161" s="11"/>
      <c r="G161" s="11"/>
      <c r="H161" s="27"/>
    </row>
    <row r="162" spans="1:8" x14ac:dyDescent="0.35">
      <c r="A162" s="11"/>
      <c r="B162" s="11" t="s">
        <v>239</v>
      </c>
      <c r="C162" s="11"/>
      <c r="D162" s="11"/>
      <c r="E162" s="11"/>
      <c r="F162" s="11"/>
      <c r="G162" s="11"/>
      <c r="H162" s="27"/>
    </row>
    <row r="163" spans="1:8" x14ac:dyDescent="0.35">
      <c r="A163" s="11"/>
      <c r="B163" s="11" t="s">
        <v>240</v>
      </c>
      <c r="C163" s="11"/>
      <c r="D163" s="11"/>
      <c r="E163" s="11"/>
      <c r="F163" s="11"/>
      <c r="G163" s="11"/>
      <c r="H163" s="27"/>
    </row>
    <row r="164" spans="1:8" x14ac:dyDescent="0.35">
      <c r="A164" s="11"/>
      <c r="B164" s="11" t="s">
        <v>241</v>
      </c>
      <c r="C164" s="11"/>
      <c r="D164" s="11"/>
      <c r="E164" s="11"/>
      <c r="F164" s="11"/>
      <c r="G164" s="11"/>
      <c r="H164" s="27"/>
    </row>
    <row r="166" spans="1:8" x14ac:dyDescent="0.35">
      <c r="B166" s="31" t="s">
        <v>242</v>
      </c>
    </row>
    <row r="182" spans="2:2" x14ac:dyDescent="0.35">
      <c r="B182" s="31" t="s">
        <v>243</v>
      </c>
    </row>
  </sheetData>
  <mergeCells count="10">
    <mergeCell ref="B108:F108"/>
    <mergeCell ref="B109:F109"/>
    <mergeCell ref="B110:F110"/>
    <mergeCell ref="B111:F111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/>
  </sheetViews>
  <sheetFormatPr defaultColWidth="9.1796875" defaultRowHeight="12.5" x14ac:dyDescent="0.25"/>
  <cols>
    <col min="1" max="1" width="20.81640625" style="36" customWidth="1"/>
    <col min="2" max="2" width="20.7265625" style="36" customWidth="1"/>
    <col min="3" max="3" width="11.26953125" style="36" customWidth="1"/>
    <col min="4" max="4" width="13.453125" style="36" customWidth="1"/>
    <col min="5" max="5" width="16.1796875" style="36" customWidth="1"/>
    <col min="6" max="6" width="15.26953125" style="36" customWidth="1"/>
    <col min="7" max="7" width="13.7265625" style="36" customWidth="1"/>
    <col min="8" max="8" width="14.1796875" style="36" customWidth="1"/>
    <col min="9" max="9" width="9.1796875" style="36" customWidth="1"/>
    <col min="10" max="10" width="11.7265625" style="36" customWidth="1"/>
    <col min="11" max="11" width="12.7265625" style="36" customWidth="1"/>
    <col min="12" max="12" width="27.26953125" style="36" customWidth="1"/>
    <col min="13" max="14" width="9.1796875" style="36" customWidth="1"/>
    <col min="15" max="15" width="10.7265625" style="36" customWidth="1"/>
    <col min="16" max="16384" width="9.1796875" style="36"/>
  </cols>
  <sheetData>
    <row r="2" spans="1:9" x14ac:dyDescent="0.25">
      <c r="G2" s="37"/>
    </row>
    <row r="3" spans="1:9" ht="13" x14ac:dyDescent="0.3">
      <c r="A3" s="38" t="s">
        <v>244</v>
      </c>
      <c r="B3" s="38"/>
      <c r="C3" s="38"/>
      <c r="D3" s="38"/>
      <c r="E3" s="38"/>
      <c r="F3" s="38"/>
      <c r="G3" s="38"/>
    </row>
    <row r="5" spans="1:9" x14ac:dyDescent="0.25">
      <c r="A5" s="36" t="s">
        <v>245</v>
      </c>
    </row>
    <row r="7" spans="1:9" ht="12.75" customHeight="1" x14ac:dyDescent="0.25">
      <c r="A7" s="39" t="s">
        <v>246</v>
      </c>
      <c r="B7" s="39"/>
      <c r="C7" s="39"/>
      <c r="D7" s="39"/>
      <c r="E7" s="39"/>
      <c r="F7" s="39"/>
    </row>
    <row r="8" spans="1:9" ht="39" x14ac:dyDescent="0.3">
      <c r="A8" s="40" t="s">
        <v>247</v>
      </c>
      <c r="B8" s="41" t="s">
        <v>248</v>
      </c>
      <c r="C8" s="41" t="s">
        <v>249</v>
      </c>
      <c r="D8" s="41" t="s">
        <v>250</v>
      </c>
      <c r="E8" s="41" t="s">
        <v>251</v>
      </c>
      <c r="F8" s="41" t="s">
        <v>252</v>
      </c>
      <c r="G8" s="41" t="s">
        <v>253</v>
      </c>
      <c r="H8" s="42" t="s">
        <v>254</v>
      </c>
    </row>
    <row r="9" spans="1:9" x14ac:dyDescent="0.25">
      <c r="A9" s="43" t="s">
        <v>255</v>
      </c>
      <c r="B9" s="44" t="s">
        <v>256</v>
      </c>
      <c r="C9" s="44" t="s">
        <v>257</v>
      </c>
      <c r="D9" s="45">
        <v>75</v>
      </c>
      <c r="E9" s="46">
        <v>52712.75</v>
      </c>
      <c r="F9" s="47">
        <v>52529.7</v>
      </c>
      <c r="G9" s="47">
        <v>5.2674029999999998</v>
      </c>
      <c r="H9" s="48">
        <f>(D9*F9)/100000</f>
        <v>39.397275</v>
      </c>
      <c r="I9" s="49"/>
    </row>
    <row r="12" spans="1:9" x14ac:dyDescent="0.25">
      <c r="H12" s="50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HDFCSMALLF</vt:lpstr>
      <vt:lpstr>DerivativeHDFCBKEXTF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2024-07-08T10:55:56Z</dcterms:created>
  <dcterms:modified xsi:type="dcterms:W3CDTF">2024-07-08T11:18:08Z</dcterms:modified>
</cp:coreProperties>
</file>