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SMALLF" sheetId="1" r:id="rId1"/>
    <sheet name="DerivativeHDFCSMAL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_FilterDatabase" localSheetId="1" hidden="1">DerivativeHDFCSMALLF!$A$8:$G$8</definedName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localSheetId="1" hidden="1">_xll.Formula.SK(#REF!,1)</definedName>
    <definedName name="SheetKraftFormula117" hidden="1">_xll.Formula.SK(#REF!,1)</definedName>
    <definedName name="SheetKraftFormula118" localSheetId="1" hidden="1">_xll.Formula.SK(#REF!,)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localSheetId="1" hidden="1">_xll.Formula.SK(#REF!,1)</definedName>
    <definedName name="SheetKraftFormula193" hidden="1">_xll.Formula.SK(#REF!,1)</definedName>
    <definedName name="SheetKraftFormula194" localSheetId="1" hidden="1">_xll.Formula.SK(#REF!,1)</definedName>
    <definedName name="SheetKraftFormula194" hidden="1">_xll.Formula.SK(#REF!,1)</definedName>
    <definedName name="SheetKraftFormula195" localSheetId="1" hidden="1">_xll.Formula.SK('[10]Scheme Master'!#REF!,1)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localSheetId="1" hidden="1">_xll.Formula.SK(#REF!,1)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E10" i="2"/>
  <c r="D10" i="2"/>
  <c r="C10" i="2"/>
  <c r="G9" i="2"/>
  <c r="G10" i="2" s="1"/>
</calcChain>
</file>

<file path=xl/sharedStrings.xml><?xml version="1.0" encoding="utf-8"?>
<sst xmlns="http://schemas.openxmlformats.org/spreadsheetml/2006/main" count="749" uniqueCount="264">
  <si>
    <t>HDFC Small Cap Fund (An open ended equity scheme predominantly investing in small cap stocks)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</si>
  <si>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</si>
  <si>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</si>
  <si>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</si>
  <si>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</si>
  <si>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</si>
  <si>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</si>
  <si>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</si>
  <si>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</si>
  <si>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</si>
  <si>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</si>
  <si>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</si>
  <si>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</si>
  <si>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
% to NAV</t>
  </si>
  <si>
    <t>Unhedged
% to NAV</t>
  </si>
  <si>
    <t>EQUITY &amp; EQUITY RELATED</t>
  </si>
  <si>
    <t>(a) Listed / awaiting listing on Stock Exchanges</t>
  </si>
  <si>
    <t>Equity</t>
  </si>
  <si>
    <t>|</t>
  </si>
  <si>
    <t>INE684F01012</t>
  </si>
  <si>
    <t/>
  </si>
  <si>
    <t>Firstsource Solutions Ltd.</t>
  </si>
  <si>
    <t>Commercial Services &amp; Supplies</t>
  </si>
  <si>
    <t>INE914M01019</t>
  </si>
  <si>
    <t>Aster DM Healthcare Limited</t>
  </si>
  <si>
    <t>Healthcare Services</t>
  </si>
  <si>
    <t>INE738I01010</t>
  </si>
  <si>
    <t>eClerx Services Limited</t>
  </si>
  <si>
    <t>INE028A01039</t>
  </si>
  <si>
    <t>Bank of Baroda</t>
  </si>
  <si>
    <t>Banks</t>
  </si>
  <si>
    <t>INE524A01029</t>
  </si>
  <si>
    <t>Gabriel India Ltd.</t>
  </si>
  <si>
    <t>Auto Components</t>
  </si>
  <si>
    <t>INE406M01024</t>
  </si>
  <si>
    <t>Eris Lifesciences Ltd</t>
  </si>
  <si>
    <t>Pharmaceuticals &amp; Biotechnology</t>
  </si>
  <si>
    <t>INE061F01013</t>
  </si>
  <si>
    <t>Fortis Healthcare Limited</t>
  </si>
  <si>
    <t>INE967H01025</t>
  </si>
  <si>
    <t>Krishna Institute Of Medical Sciences Limited</t>
  </si>
  <si>
    <t>INE659A01023</t>
  </si>
  <si>
    <t>Sudarshan Chemical Industries Limited</t>
  </si>
  <si>
    <t>Chemicals &amp; Petrochemicals</t>
  </si>
  <si>
    <t>INE562A01011</t>
  </si>
  <si>
    <t>Indian Bank</t>
  </si>
  <si>
    <t>INE269A01021</t>
  </si>
  <si>
    <t>Sonata Software Ltd.</t>
  </si>
  <si>
    <t>IT - Software</t>
  </si>
  <si>
    <t>INE211R01019</t>
  </si>
  <si>
    <t>Power Mech Projects Ltd.</t>
  </si>
  <si>
    <t>Construction</t>
  </si>
  <si>
    <t>INE220B01022</t>
  </si>
  <si>
    <t>Kalpataru Projects International Ltd</t>
  </si>
  <si>
    <t>INE481N01025</t>
  </si>
  <si>
    <t>Home First Finance Company India Ltd</t>
  </si>
  <si>
    <t>Finance</t>
  </si>
  <si>
    <t>INE427F01016</t>
  </si>
  <si>
    <t>Chalet Hotels Ltd.</t>
  </si>
  <si>
    <t>Leisure Services</t>
  </si>
  <si>
    <t>INE688A01022</t>
  </si>
  <si>
    <t>Transport Corporation of India Ltd.</t>
  </si>
  <si>
    <t>Transport Services</t>
  </si>
  <si>
    <t>INE399C01030</t>
  </si>
  <si>
    <t>Suprajit Engineering Ltd.</t>
  </si>
  <si>
    <t>INE640A01023</t>
  </si>
  <si>
    <t>SKF India Ltd.</t>
  </si>
  <si>
    <t>Industrial Products</t>
  </si>
  <si>
    <t>INE017A01032</t>
  </si>
  <si>
    <t>Great Eastern Shipping Company Ltd.</t>
  </si>
  <si>
    <t>INE679V01027</t>
  </si>
  <si>
    <t>Aditya Vision Limited</t>
  </si>
  <si>
    <t>Retailing</t>
  </si>
  <si>
    <t>INE221J01015</t>
  </si>
  <si>
    <t>Sharda Cropchem Ltd.</t>
  </si>
  <si>
    <t>Fertilizers &amp; Agrochemicals</t>
  </si>
  <si>
    <t>INE191H01014</t>
  </si>
  <si>
    <t>PVR LIMITED</t>
  </si>
  <si>
    <t>Entertainment</t>
  </si>
  <si>
    <t>INE085A01013</t>
  </si>
  <si>
    <t>Chambal Fertilizers &amp; Chemicals Ltd.</t>
  </si>
  <si>
    <t>INE389H01022</t>
  </si>
  <si>
    <t>KEC International Ltd.</t>
  </si>
  <si>
    <t>INE491A01021</t>
  </si>
  <si>
    <t>City Union Bank Ltd.</t>
  </si>
  <si>
    <t>INE884B01025</t>
  </si>
  <si>
    <t>Kirloskar Ferrous Industries Ltd.</t>
  </si>
  <si>
    <t>Ferrous Metals</t>
  </si>
  <si>
    <t>INE372A01015</t>
  </si>
  <si>
    <t>Apar Industries Limited</t>
  </si>
  <si>
    <t>Electrical Equipment</t>
  </si>
  <si>
    <t>INE325A01013</t>
  </si>
  <si>
    <t>Timken India Ltd.</t>
  </si>
  <si>
    <t>INE878B01027</t>
  </si>
  <si>
    <t>KEI Industries Ltd.</t>
  </si>
  <si>
    <t>INE171A01029</t>
  </si>
  <si>
    <t>The Federal Bank Ltd.</t>
  </si>
  <si>
    <t>INE520A01027</t>
  </si>
  <si>
    <t>Zensar Technologies Ltd.</t>
  </si>
  <si>
    <t>INE337A01034</t>
  </si>
  <si>
    <t>LG Balakrishnan &amp; Bros Ltd.</t>
  </si>
  <si>
    <t>INE366I01010</t>
  </si>
  <si>
    <t>VRL Logistics Ltd.</t>
  </si>
  <si>
    <t>INE536H01010</t>
  </si>
  <si>
    <t>CIE Automotive India Ltd</t>
  </si>
  <si>
    <t>INE825A01020</t>
  </si>
  <si>
    <t>Vardhman Textiles Ltd.</t>
  </si>
  <si>
    <t>Textiles &amp; Apparels</t>
  </si>
  <si>
    <t>INE195J01029</t>
  </si>
  <si>
    <t>PNC Infratech Ltd.</t>
  </si>
  <si>
    <t>INE891D01026</t>
  </si>
  <si>
    <t>Redington Ltd.</t>
  </si>
  <si>
    <t>INE063P01018</t>
  </si>
  <si>
    <t>Equitas Small Finance Bank Ltd</t>
  </si>
  <si>
    <t>INE233B01017</t>
  </si>
  <si>
    <t>Blue Dart Express Ltd.</t>
  </si>
  <si>
    <t>INE108V01019</t>
  </si>
  <si>
    <t>AWFIS SPACE SOLUTIONS LIMITED</t>
  </si>
  <si>
    <t>INE193E01025</t>
  </si>
  <si>
    <t>Bajaj Electricals Ltd.</t>
  </si>
  <si>
    <t>Consumer Durables</t>
  </si>
  <si>
    <t>INE940H01022</t>
  </si>
  <si>
    <t>PEARL GLOBAL INDUSTRIES LIMITED</t>
  </si>
  <si>
    <t>INE0LXT01019</t>
  </si>
  <si>
    <t>Redtape Limited</t>
  </si>
  <si>
    <t>INE737H01014</t>
  </si>
  <si>
    <t>FIEM INDUSTRIES LIMITED</t>
  </si>
  <si>
    <t>INE021O01019</t>
  </si>
  <si>
    <t>Dodla Dairy Limited</t>
  </si>
  <si>
    <t>Food Products</t>
  </si>
  <si>
    <t>INE498B01024</t>
  </si>
  <si>
    <t>Shoppers Stop Ltd.</t>
  </si>
  <si>
    <t>INE294Z01018</t>
  </si>
  <si>
    <t>The Anup Engineering Limited</t>
  </si>
  <si>
    <t>Industrial Manufacturing</t>
  </si>
  <si>
    <t>INE01EA01019</t>
  </si>
  <si>
    <t>Vishal Mega Mart Limited</t>
  </si>
  <si>
    <t>INE540H01012</t>
  </si>
  <si>
    <t>Voltamp Transformers Ltd.</t>
  </si>
  <si>
    <t>INE081A01020</t>
  </si>
  <si>
    <t>Tata Steel Ltd.</t>
  </si>
  <si>
    <t>INE351A01035</t>
  </si>
  <si>
    <t>Unichem Laboratories Ltd.</t>
  </si>
  <si>
    <t>INE349A01021</t>
  </si>
  <si>
    <t>NRB Bearing Ltd.</t>
  </si>
  <si>
    <t>INE883F01010</t>
  </si>
  <si>
    <t>Aadhar Housing Finance Limited</t>
  </si>
  <si>
    <t>INE102D01028</t>
  </si>
  <si>
    <t>Godrej Consumer Products Ltd.</t>
  </si>
  <si>
    <t>Personal Products</t>
  </si>
  <si>
    <t>INE09VQ01012</t>
  </si>
  <si>
    <t>Indigo Paints Limited</t>
  </si>
  <si>
    <t>INE059D01020</t>
  </si>
  <si>
    <t>La Opala RG Limited</t>
  </si>
  <si>
    <t>INE162B01018</t>
  </si>
  <si>
    <t>Lumax Industries Ltd</t>
  </si>
  <si>
    <t>INE094J01016</t>
  </si>
  <si>
    <t>UTI Asset Management Company Ltd</t>
  </si>
  <si>
    <t>Capital Markets</t>
  </si>
  <si>
    <t>INE079J01017</t>
  </si>
  <si>
    <t>Gateway Distriparks Limited</t>
  </si>
  <si>
    <t>INE541A01023</t>
  </si>
  <si>
    <t>GMM Pfaudler Limited</t>
  </si>
  <si>
    <t>INE386A01023</t>
  </si>
  <si>
    <t>Vesuvius India Ltd.</t>
  </si>
  <si>
    <t>INE070I01018</t>
  </si>
  <si>
    <t>Insecticides (India) Ltd.</t>
  </si>
  <si>
    <t>INE933K01021</t>
  </si>
  <si>
    <t>Bajaj Consumer Care Ltd.</t>
  </si>
  <si>
    <t>INE133Y01011</t>
  </si>
  <si>
    <t>Ifgl Refractories Limited (Erst Ifgl Exports Limited)</t>
  </si>
  <si>
    <t>INE201P01022</t>
  </si>
  <si>
    <t>G R Infraprojects Limited</t>
  </si>
  <si>
    <t>INE548C01032</t>
  </si>
  <si>
    <t>Emami Ltd.</t>
  </si>
  <si>
    <t>INE570A01022</t>
  </si>
  <si>
    <t>ION EXCHANGE (INDIA) LIMITED</t>
  </si>
  <si>
    <t>Other Utilities</t>
  </si>
  <si>
    <t>INE142Q01026</t>
  </si>
  <si>
    <t>SULA VINEYARDS LIMITED</t>
  </si>
  <si>
    <t>Beverages</t>
  </si>
  <si>
    <t>INE517F01014</t>
  </si>
  <si>
    <t>Gujarat Pipavav Port Ltd.</t>
  </si>
  <si>
    <t>Transport Infrastructure</t>
  </si>
  <si>
    <t>INE950I01011</t>
  </si>
  <si>
    <t>D B Corp Limited</t>
  </si>
  <si>
    <t>Media</t>
  </si>
  <si>
    <t>INE533A01012</t>
  </si>
  <si>
    <t>Goodyear India Ltd.</t>
  </si>
  <si>
    <t>INE573A01042</t>
  </si>
  <si>
    <t>JK Tyre &amp; Industries Limited</t>
  </si>
  <si>
    <t>INE934S01014</t>
  </si>
  <si>
    <t>GNA Axles Ltd.</t>
  </si>
  <si>
    <t>INE258A01016</t>
  </si>
  <si>
    <t>BEML Limited</t>
  </si>
  <si>
    <t>Agricultural, Commercial &amp; Construction Vehicles</t>
  </si>
  <si>
    <t>INE544R01021</t>
  </si>
  <si>
    <t>Greenlam Industries Ltd.</t>
  </si>
  <si>
    <t>INE586V01016</t>
  </si>
  <si>
    <t>TCI Express Ltd.</t>
  </si>
  <si>
    <t>INE038F01029</t>
  </si>
  <si>
    <t>T. V. Today Network Ltd.</t>
  </si>
  <si>
    <t>INE133A01011</t>
  </si>
  <si>
    <t>AkzoNobel India Ltd.</t>
  </si>
  <si>
    <t>INE120A01034</t>
  </si>
  <si>
    <t>Carborundum Universal Ltd.</t>
  </si>
  <si>
    <t>INE199G01027</t>
  </si>
  <si>
    <t>Jagran Prakashan Ltd.</t>
  </si>
  <si>
    <t>INE124G01033</t>
  </si>
  <si>
    <t>Delta Corp Ltd.</t>
  </si>
  <si>
    <t>INE822C01015</t>
  </si>
  <si>
    <t>TCPL PACKAGING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</si>
  <si>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</si>
  <si>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</si>
  <si>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</si>
  <si>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</si>
  <si>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</si>
  <si>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</si>
  <si>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</si>
  <si>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</si>
  <si>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</si>
  <si>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</si>
  <si>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</si>
  <si>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</si>
  <si>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</si>
  <si>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</si>
  <si>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</si>
  <si>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</si>
  <si>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Total Hedged Exposure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</si>
  <si>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</si>
  <si>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</si>
  <si>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</si>
  <si>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</si>
  <si>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</si>
  <si>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</si>
  <si>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IDCW Option</t>
  </si>
  <si>
    <t>Direct Plan - IDCW Option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</si>
  <si>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</si>
  <si>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</si>
  <si>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</si>
  <si>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</si>
  <si>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</si>
  <si>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</si>
  <si>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</si>
  <si>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Rs. 2135.43 Lacs</t>
  </si>
  <si>
    <t>6) Portfolio Turnover Ratio : 9.93%</t>
  </si>
  <si>
    <t>7) Total value and percentage of Illiquid Equity Shares : Nil</t>
  </si>
  <si>
    <t>8) IDCW stands for Income Distribution cum Capital Withdrawal</t>
  </si>
  <si>
    <t>9) Riskometer based on Scheme Portfolio and Portfolio Benchmark "BSE 250 SmallCap Index TRI" as on Sep 30, 2025</t>
  </si>
  <si>
    <t>Scheme Riskometer:</t>
  </si>
  <si>
    <t>Benchmark Riskometer:</t>
  </si>
  <si>
    <t>DERIVATIVE DISCLOSURE -  HDFC Small Cap Fund</t>
  </si>
  <si>
    <t>Disclosure regarding Derivative positions pursuant to SEBI Circular no. CIR/IMD/DF/11/2010 dated August 18, 2010.</t>
  </si>
  <si>
    <t>A.  Hedging Positions through Futures as on September 30, 2025</t>
  </si>
  <si>
    <t>Underlying</t>
  </si>
  <si>
    <t>Industry</t>
  </si>
  <si>
    <t xml:space="preserve">Long / (Short) </t>
  </si>
  <si>
    <t>Futures Price when purchased (Rs.) Per Unit</t>
  </si>
  <si>
    <t>Current price of the contract (Rs.) Per Unit</t>
  </si>
  <si>
    <t>Margin maintained in (Rs. In Lacs)</t>
  </si>
  <si>
    <t>Market value 
(Rs. in Lakhs)</t>
  </si>
  <si>
    <t>B.  Other than Hedging Positions through Futures as on September 30, 2025 - Nil</t>
  </si>
  <si>
    <t>C.  Hedging Positions through Options as on September 30, 2025- Nil</t>
  </si>
  <si>
    <t>D.  Other than Hedging Positions through Options as on September 30, 2025 -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</si>
</sst>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166" fontId="12" fillId="0" borderId="0" applyFont="0" applyFill="0" applyBorder="0" applyAlignment="0" applyProtection="0"/>
    <xf numFmtId="166" fontId="13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4" fontId="7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0" fontId="14" fillId="0" borderId="0" xfId="1" applyFont="1" applyFill="1" applyBorder="1" applyAlignment="1"/>
    <xf numFmtId="0" fontId="14" fillId="0" borderId="0" xfId="1" applyFont="1" applyFill="1" applyBorder="1" applyAlignment="1">
      <alignment horizontal="right"/>
    </xf>
    <xf numFmtId="0" fontId="15" fillId="0" borderId="0" xfId="1" applyFont="1" applyFill="1" applyBorder="1" applyAlignment="1">
      <alignment horizontal="left"/>
    </xf>
    <xf numFmtId="0" fontId="15" fillId="0" borderId="0" xfId="1" applyFont="1" applyFill="1" applyBorder="1" applyAlignment="1">
      <alignment horizontal="left" vertical="justify"/>
    </xf>
    <xf numFmtId="0" fontId="15" fillId="0" borderId="1" xfId="1" applyFont="1" applyFill="1" applyBorder="1" applyAlignment="1">
      <alignment horizontal="center" vertical="center" wrapText="1"/>
    </xf>
    <xf numFmtId="166" fontId="16" fillId="0" borderId="1" xfId="2" applyFont="1" applyBorder="1" applyAlignment="1">
      <alignment horizontal="center" vertical="center" wrapText="1"/>
    </xf>
    <xf numFmtId="0" fontId="14" fillId="0" borderId="1" xfId="1" applyFont="1" applyFill="1" applyBorder="1" applyAlignment="1"/>
    <xf numFmtId="166" fontId="14" fillId="0" borderId="1" xfId="3" applyNumberFormat="1" applyFont="1" applyFill="1" applyBorder="1" applyAlignment="1">
      <alignment horizontal="right" vertical="center"/>
    </xf>
    <xf numFmtId="166" fontId="14" fillId="0" borderId="1" xfId="2" applyFont="1" applyFill="1" applyBorder="1" applyAlignment="1">
      <alignment horizontal="right" vertical="top"/>
    </xf>
    <xf numFmtId="166" fontId="14" fillId="0" borderId="1" xfId="2" applyFont="1" applyFill="1" applyBorder="1" applyAlignment="1"/>
    <xf numFmtId="166" fontId="14" fillId="0" borderId="0" xfId="2" applyFont="1" applyFill="1" applyBorder="1" applyAlignment="1"/>
    <xf numFmtId="166" fontId="14" fillId="0" borderId="0" xfId="1" applyNumberFormat="1" applyFont="1" applyFill="1" applyBorder="1" applyAlignment="1"/>
    <xf numFmtId="166" fontId="15" fillId="0" borderId="1" xfId="1" applyNumberFormat="1" applyFont="1" applyFill="1" applyBorder="1" applyAlignment="1"/>
    <xf numFmtId="166" fontId="15" fillId="0" borderId="0" xfId="2" applyFont="1" applyFill="1" applyBorder="1" applyAlignment="1"/>
    <xf numFmtId="49" fontId="14" fillId="0" borderId="0" xfId="1" applyNumberFormat="1" applyFont="1" applyFill="1" applyBorder="1" applyAlignment="1"/>
  </cellXfs>
  <cellStyles count="4">
    <cellStyle name="Comma 2" xfId="2"/>
    <cellStyle name="Comma 2 3" xf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169</xdr:row>
      <xdr:rowOff>0</xdr:rowOff>
    </xdr:from>
    <xdr:to>
      <xdr:col>2</xdr:col>
      <xdr:colOff>1384300</xdr:colOff>
      <xdr:row>182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1750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2</xdr:col>
      <xdr:colOff>1384300</xdr:colOff>
      <xdr:row>198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4696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L185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1" width="15.7265625" style="3" customWidth="1"/>
    <col min="12" max="12" width="10.453125" style="3" customWidth="1"/>
    <col min="13" max="16384" width="8.7265625" style="3"/>
  </cols>
  <sheetData>
    <row r="1" spans="1:12" ht="52.5" customHeight="1" x14ac:dyDescent="0.4">
      <c r="A1" s="32" t="s">
        <v>0</v>
      </c>
      <c r="B1" s="32" t="s">
        <v>0</v>
      </c>
      <c r="C1" s="32" t="s">
        <v>0</v>
      </c>
      <c r="D1" s="32" t="s">
        <v>0</v>
      </c>
      <c r="E1" s="32" t="s">
        <v>0</v>
      </c>
      <c r="F1" s="32" t="s">
        <v>0</v>
      </c>
      <c r="G1" s="32" t="s">
        <v>0</v>
      </c>
      <c r="H1" s="32" t="s">
        <v>0</v>
      </c>
      <c r="I1" s="32" t="s">
        <v>0</v>
      </c>
      <c r="J1" s="32" t="s">
        <v>0</v>
      </c>
      <c r="K1" s="1" t="s">
        <v>1</v>
      </c>
      <c r="L1" s="2" t="s">
        <v>2</v>
      </c>
    </row>
    <row r="2" spans="1:12" x14ac:dyDescent="0.35">
      <c r="A2" s="33" t="s">
        <v>3</v>
      </c>
      <c r="B2" s="33" t="s">
        <v>3</v>
      </c>
      <c r="C2" s="33" t="s">
        <v>3</v>
      </c>
      <c r="D2" s="33" t="s">
        <v>3</v>
      </c>
      <c r="E2" s="33" t="s">
        <v>3</v>
      </c>
      <c r="F2" s="33" t="s">
        <v>3</v>
      </c>
      <c r="G2" s="33" t="s">
        <v>3</v>
      </c>
      <c r="H2" s="33" t="s">
        <v>3</v>
      </c>
      <c r="I2" s="33" t="s">
        <v>3</v>
      </c>
      <c r="J2" s="33" t="s">
        <v>3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5" t="s">
        <v>14</v>
      </c>
    </row>
    <row r="6" spans="1:12" x14ac:dyDescent="0.35">
      <c r="A6" s="7"/>
      <c r="B6" s="8" t="s">
        <v>15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x14ac:dyDescent="0.35">
      <c r="A7" s="7"/>
      <c r="B7" s="8" t="s">
        <v>16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x14ac:dyDescent="0.35">
      <c r="A8" s="7"/>
      <c r="B8" s="8" t="s">
        <v>17</v>
      </c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x14ac:dyDescent="0.35">
      <c r="A9" s="9" t="s">
        <v>18</v>
      </c>
      <c r="B9" s="10" t="s">
        <v>19</v>
      </c>
      <c r="C9" s="10" t="s">
        <v>20</v>
      </c>
      <c r="D9" s="10" t="s">
        <v>21</v>
      </c>
      <c r="E9" s="10" t="s">
        <v>22</v>
      </c>
      <c r="F9" s="11">
        <v>54911834</v>
      </c>
      <c r="G9" s="12">
        <v>180550.11</v>
      </c>
      <c r="H9" s="12">
        <v>4.9000000000000004</v>
      </c>
      <c r="I9" s="13" t="s">
        <v>20</v>
      </c>
      <c r="J9" s="13" t="s">
        <v>20</v>
      </c>
      <c r="K9" s="14">
        <v>0</v>
      </c>
      <c r="L9" s="15">
        <v>4.9000000000000004</v>
      </c>
    </row>
    <row r="10" spans="1:12" x14ac:dyDescent="0.35">
      <c r="A10" s="9" t="s">
        <v>18</v>
      </c>
      <c r="B10" s="10" t="s">
        <v>23</v>
      </c>
      <c r="C10" s="10" t="s">
        <v>20</v>
      </c>
      <c r="D10" s="10" t="s">
        <v>24</v>
      </c>
      <c r="E10" s="10" t="s">
        <v>25</v>
      </c>
      <c r="F10" s="11">
        <v>24127134</v>
      </c>
      <c r="G10" s="12">
        <v>151265.07</v>
      </c>
      <c r="H10" s="12">
        <v>4.1100000000000003</v>
      </c>
      <c r="I10" s="13" t="s">
        <v>20</v>
      </c>
      <c r="J10" s="13" t="s">
        <v>20</v>
      </c>
      <c r="K10" s="14">
        <v>0</v>
      </c>
      <c r="L10" s="15">
        <v>4.1100000000000003</v>
      </c>
    </row>
    <row r="11" spans="1:12" x14ac:dyDescent="0.35">
      <c r="A11" s="9" t="s">
        <v>18</v>
      </c>
      <c r="B11" s="10" t="s">
        <v>26</v>
      </c>
      <c r="C11" s="10" t="s">
        <v>20</v>
      </c>
      <c r="D11" s="10" t="s">
        <v>27</v>
      </c>
      <c r="E11" s="10" t="s">
        <v>22</v>
      </c>
      <c r="F11" s="11">
        <v>3683761</v>
      </c>
      <c r="G11" s="12">
        <v>147928.79</v>
      </c>
      <c r="H11" s="12">
        <v>4.0199999999999996</v>
      </c>
      <c r="I11" s="13" t="s">
        <v>20</v>
      </c>
      <c r="J11" s="13" t="s">
        <v>20</v>
      </c>
      <c r="K11" s="14">
        <v>0</v>
      </c>
      <c r="L11" s="15">
        <v>4.0199999999999996</v>
      </c>
    </row>
    <row r="12" spans="1:12" x14ac:dyDescent="0.35">
      <c r="A12" s="9" t="s">
        <v>18</v>
      </c>
      <c r="B12" s="10" t="s">
        <v>28</v>
      </c>
      <c r="C12" s="10" t="s">
        <v>20</v>
      </c>
      <c r="D12" s="10" t="s">
        <v>29</v>
      </c>
      <c r="E12" s="10" t="s">
        <v>30</v>
      </c>
      <c r="F12" s="11">
        <v>46828792</v>
      </c>
      <c r="G12" s="12">
        <v>121071.16</v>
      </c>
      <c r="H12" s="12">
        <v>3.29</v>
      </c>
      <c r="I12" s="13" t="s">
        <v>20</v>
      </c>
      <c r="J12" s="13" t="s">
        <v>20</v>
      </c>
      <c r="K12" s="14">
        <v>0</v>
      </c>
      <c r="L12" s="15">
        <v>3.29</v>
      </c>
    </row>
    <row r="13" spans="1:12" x14ac:dyDescent="0.35">
      <c r="A13" s="9" t="s">
        <v>18</v>
      </c>
      <c r="B13" s="10" t="s">
        <v>31</v>
      </c>
      <c r="C13" s="10" t="s">
        <v>20</v>
      </c>
      <c r="D13" s="10" t="s">
        <v>32</v>
      </c>
      <c r="E13" s="10" t="s">
        <v>33</v>
      </c>
      <c r="F13" s="11">
        <v>9875000</v>
      </c>
      <c r="G13" s="12">
        <v>116663.25</v>
      </c>
      <c r="H13" s="12">
        <v>3.17</v>
      </c>
      <c r="I13" s="13" t="s">
        <v>20</v>
      </c>
      <c r="J13" s="13" t="s">
        <v>20</v>
      </c>
      <c r="K13" s="14">
        <v>0</v>
      </c>
      <c r="L13" s="15">
        <v>3.17</v>
      </c>
    </row>
    <row r="14" spans="1:12" x14ac:dyDescent="0.35">
      <c r="A14" s="9" t="s">
        <v>18</v>
      </c>
      <c r="B14" s="10" t="s">
        <v>34</v>
      </c>
      <c r="C14" s="10" t="s">
        <v>20</v>
      </c>
      <c r="D14" s="10" t="s">
        <v>35</v>
      </c>
      <c r="E14" s="10" t="s">
        <v>36</v>
      </c>
      <c r="F14" s="11">
        <v>6336543</v>
      </c>
      <c r="G14" s="12">
        <v>100491.24</v>
      </c>
      <c r="H14" s="12">
        <v>2.73</v>
      </c>
      <c r="I14" s="13" t="s">
        <v>20</v>
      </c>
      <c r="J14" s="13" t="s">
        <v>20</v>
      </c>
      <c r="K14" s="14">
        <v>0</v>
      </c>
      <c r="L14" s="15">
        <v>2.73</v>
      </c>
    </row>
    <row r="15" spans="1:12" x14ac:dyDescent="0.35">
      <c r="A15" s="9" t="s">
        <v>18</v>
      </c>
      <c r="B15" s="10" t="s">
        <v>37</v>
      </c>
      <c r="C15" s="10" t="s">
        <v>20</v>
      </c>
      <c r="D15" s="10" t="s">
        <v>38</v>
      </c>
      <c r="E15" s="10" t="s">
        <v>25</v>
      </c>
      <c r="F15" s="11">
        <v>10073132</v>
      </c>
      <c r="G15" s="12">
        <v>97689.23</v>
      </c>
      <c r="H15" s="12">
        <v>2.65</v>
      </c>
      <c r="I15" s="13" t="s">
        <v>20</v>
      </c>
      <c r="J15" s="13" t="s">
        <v>20</v>
      </c>
      <c r="K15" s="14">
        <v>0</v>
      </c>
      <c r="L15" s="15">
        <v>2.65</v>
      </c>
    </row>
    <row r="16" spans="1:12" x14ac:dyDescent="0.35">
      <c r="A16" s="9" t="s">
        <v>18</v>
      </c>
      <c r="B16" s="10" t="s">
        <v>39</v>
      </c>
      <c r="C16" s="10" t="s">
        <v>20</v>
      </c>
      <c r="D16" s="10" t="s">
        <v>40</v>
      </c>
      <c r="E16" s="10" t="s">
        <v>25</v>
      </c>
      <c r="F16" s="11">
        <v>11127166</v>
      </c>
      <c r="G16" s="12">
        <v>77906.850000000006</v>
      </c>
      <c r="H16" s="12">
        <v>2.12</v>
      </c>
      <c r="I16" s="13" t="s">
        <v>20</v>
      </c>
      <c r="J16" s="13" t="s">
        <v>20</v>
      </c>
      <c r="K16" s="14">
        <v>0</v>
      </c>
      <c r="L16" s="15">
        <v>2.12</v>
      </c>
    </row>
    <row r="17" spans="1:12" x14ac:dyDescent="0.35">
      <c r="A17" s="9" t="s">
        <v>18</v>
      </c>
      <c r="B17" s="10" t="s">
        <v>41</v>
      </c>
      <c r="C17" s="10" t="s">
        <v>20</v>
      </c>
      <c r="D17" s="10" t="s">
        <v>42</v>
      </c>
      <c r="E17" s="10" t="s">
        <v>43</v>
      </c>
      <c r="F17" s="11">
        <v>5789852</v>
      </c>
      <c r="G17" s="12">
        <v>77248.210000000006</v>
      </c>
      <c r="H17" s="12">
        <v>2.1</v>
      </c>
      <c r="I17" s="13" t="s">
        <v>20</v>
      </c>
      <c r="J17" s="13" t="s">
        <v>20</v>
      </c>
      <c r="K17" s="14">
        <v>0</v>
      </c>
      <c r="L17" s="15">
        <v>2.1</v>
      </c>
    </row>
    <row r="18" spans="1:12" x14ac:dyDescent="0.35">
      <c r="A18" s="9" t="s">
        <v>18</v>
      </c>
      <c r="B18" s="10" t="s">
        <v>44</v>
      </c>
      <c r="C18" s="10" t="s">
        <v>20</v>
      </c>
      <c r="D18" s="10" t="s">
        <v>45</v>
      </c>
      <c r="E18" s="10" t="s">
        <v>30</v>
      </c>
      <c r="F18" s="11">
        <v>9688128</v>
      </c>
      <c r="G18" s="12">
        <v>72728.78</v>
      </c>
      <c r="H18" s="12">
        <v>1.97</v>
      </c>
      <c r="I18" s="13" t="s">
        <v>20</v>
      </c>
      <c r="J18" s="13" t="s">
        <v>20</v>
      </c>
      <c r="K18" s="14">
        <v>0</v>
      </c>
      <c r="L18" s="15">
        <v>1.97</v>
      </c>
    </row>
    <row r="19" spans="1:12" x14ac:dyDescent="0.35">
      <c r="A19" s="9" t="s">
        <v>20</v>
      </c>
      <c r="B19" s="10" t="s">
        <v>46</v>
      </c>
      <c r="C19" s="10" t="s">
        <v>20</v>
      </c>
      <c r="D19" s="10" t="s">
        <v>47</v>
      </c>
      <c r="E19" s="10" t="s">
        <v>48</v>
      </c>
      <c r="F19" s="11">
        <v>19154113</v>
      </c>
      <c r="G19" s="12">
        <v>66292.39</v>
      </c>
      <c r="H19" s="12">
        <v>1.8</v>
      </c>
      <c r="I19" s="13" t="s">
        <v>20</v>
      </c>
      <c r="J19" s="13" t="s">
        <v>20</v>
      </c>
      <c r="K19" s="14">
        <v>0</v>
      </c>
      <c r="L19" s="15">
        <v>1.8</v>
      </c>
    </row>
    <row r="20" spans="1:12" x14ac:dyDescent="0.35">
      <c r="A20" s="9" t="s">
        <v>20</v>
      </c>
      <c r="B20" s="10" t="s">
        <v>49</v>
      </c>
      <c r="C20" s="10" t="s">
        <v>20</v>
      </c>
      <c r="D20" s="10" t="s">
        <v>50</v>
      </c>
      <c r="E20" s="10" t="s">
        <v>51</v>
      </c>
      <c r="F20" s="11">
        <v>2367936</v>
      </c>
      <c r="G20" s="12">
        <v>64078.720000000001</v>
      </c>
      <c r="H20" s="12">
        <v>1.74</v>
      </c>
      <c r="I20" s="13" t="s">
        <v>20</v>
      </c>
      <c r="J20" s="13" t="s">
        <v>20</v>
      </c>
      <c r="K20" s="14">
        <v>0</v>
      </c>
      <c r="L20" s="15">
        <v>1.74</v>
      </c>
    </row>
    <row r="21" spans="1:12" x14ac:dyDescent="0.35">
      <c r="A21" s="9" t="s">
        <v>20</v>
      </c>
      <c r="B21" s="10" t="s">
        <v>52</v>
      </c>
      <c r="C21" s="10" t="s">
        <v>20</v>
      </c>
      <c r="D21" s="10" t="s">
        <v>53</v>
      </c>
      <c r="E21" s="10" t="s">
        <v>51</v>
      </c>
      <c r="F21" s="11">
        <v>4636042</v>
      </c>
      <c r="G21" s="12">
        <v>58173.06</v>
      </c>
      <c r="H21" s="12">
        <v>1.58</v>
      </c>
      <c r="I21" s="13" t="s">
        <v>20</v>
      </c>
      <c r="J21" s="13" t="s">
        <v>20</v>
      </c>
      <c r="K21" s="14">
        <v>0</v>
      </c>
      <c r="L21" s="15">
        <v>1.58</v>
      </c>
    </row>
    <row r="22" spans="1:12" x14ac:dyDescent="0.35">
      <c r="A22" s="9" t="s">
        <v>20</v>
      </c>
      <c r="B22" s="10" t="s">
        <v>54</v>
      </c>
      <c r="C22" s="10" t="s">
        <v>20</v>
      </c>
      <c r="D22" s="10" t="s">
        <v>55</v>
      </c>
      <c r="E22" s="10" t="s">
        <v>56</v>
      </c>
      <c r="F22" s="11">
        <v>4751657</v>
      </c>
      <c r="G22" s="12">
        <v>57780.15</v>
      </c>
      <c r="H22" s="12">
        <v>1.57</v>
      </c>
      <c r="I22" s="13" t="s">
        <v>20</v>
      </c>
      <c r="J22" s="13" t="s">
        <v>20</v>
      </c>
      <c r="K22" s="14">
        <v>0</v>
      </c>
      <c r="L22" s="15">
        <v>1.57</v>
      </c>
    </row>
    <row r="23" spans="1:12" x14ac:dyDescent="0.35">
      <c r="A23" s="9" t="s">
        <v>20</v>
      </c>
      <c r="B23" s="10" t="s">
        <v>57</v>
      </c>
      <c r="C23" s="10" t="s">
        <v>20</v>
      </c>
      <c r="D23" s="10" t="s">
        <v>58</v>
      </c>
      <c r="E23" s="10" t="s">
        <v>59</v>
      </c>
      <c r="F23" s="11">
        <v>5945956</v>
      </c>
      <c r="G23" s="12">
        <v>56557.93</v>
      </c>
      <c r="H23" s="12">
        <v>1.54</v>
      </c>
      <c r="I23" s="13" t="s">
        <v>20</v>
      </c>
      <c r="J23" s="13" t="s">
        <v>20</v>
      </c>
      <c r="K23" s="14">
        <v>0</v>
      </c>
      <c r="L23" s="15">
        <v>1.54</v>
      </c>
    </row>
    <row r="24" spans="1:12" x14ac:dyDescent="0.35">
      <c r="A24" s="9" t="s">
        <v>20</v>
      </c>
      <c r="B24" s="10" t="s">
        <v>60</v>
      </c>
      <c r="C24" s="10" t="s">
        <v>20</v>
      </c>
      <c r="D24" s="10" t="s">
        <v>61</v>
      </c>
      <c r="E24" s="10" t="s">
        <v>62</v>
      </c>
      <c r="F24" s="11">
        <v>4681334</v>
      </c>
      <c r="G24" s="12">
        <v>55300.6</v>
      </c>
      <c r="H24" s="12">
        <v>1.5</v>
      </c>
      <c r="I24" s="13" t="s">
        <v>20</v>
      </c>
      <c r="J24" s="13" t="s">
        <v>20</v>
      </c>
      <c r="K24" s="14">
        <v>0</v>
      </c>
      <c r="L24" s="15">
        <v>1.5</v>
      </c>
    </row>
    <row r="25" spans="1:12" x14ac:dyDescent="0.35">
      <c r="A25" s="9" t="s">
        <v>20</v>
      </c>
      <c r="B25" s="10" t="s">
        <v>63</v>
      </c>
      <c r="C25" s="10" t="s">
        <v>20</v>
      </c>
      <c r="D25" s="10" t="s">
        <v>64</v>
      </c>
      <c r="E25" s="10" t="s">
        <v>33</v>
      </c>
      <c r="F25" s="11">
        <v>11840566</v>
      </c>
      <c r="G25" s="12">
        <v>54798.14</v>
      </c>
      <c r="H25" s="12">
        <v>1.49</v>
      </c>
      <c r="I25" s="13" t="s">
        <v>20</v>
      </c>
      <c r="J25" s="13" t="s">
        <v>20</v>
      </c>
      <c r="K25" s="14">
        <v>0</v>
      </c>
      <c r="L25" s="15">
        <v>1.49</v>
      </c>
    </row>
    <row r="26" spans="1:12" x14ac:dyDescent="0.35">
      <c r="A26" s="9" t="s">
        <v>20</v>
      </c>
      <c r="B26" s="10" t="s">
        <v>65</v>
      </c>
      <c r="C26" s="10" t="s">
        <v>20</v>
      </c>
      <c r="D26" s="10" t="s">
        <v>66</v>
      </c>
      <c r="E26" s="10" t="s">
        <v>67</v>
      </c>
      <c r="F26" s="11">
        <v>1108471</v>
      </c>
      <c r="G26" s="12">
        <v>52271.06</v>
      </c>
      <c r="H26" s="12">
        <v>1.42</v>
      </c>
      <c r="I26" s="13" t="s">
        <v>20</v>
      </c>
      <c r="J26" s="13" t="s">
        <v>20</v>
      </c>
      <c r="K26" s="14">
        <v>0</v>
      </c>
      <c r="L26" s="15">
        <v>1.42</v>
      </c>
    </row>
    <row r="27" spans="1:12" x14ac:dyDescent="0.35">
      <c r="A27" s="9" t="s">
        <v>20</v>
      </c>
      <c r="B27" s="10" t="s">
        <v>68</v>
      </c>
      <c r="C27" s="10" t="s">
        <v>20</v>
      </c>
      <c r="D27" s="10" t="s">
        <v>69</v>
      </c>
      <c r="E27" s="10" t="s">
        <v>62</v>
      </c>
      <c r="F27" s="11">
        <v>5229582</v>
      </c>
      <c r="G27" s="12">
        <v>51968.97</v>
      </c>
      <c r="H27" s="12">
        <v>1.41</v>
      </c>
      <c r="I27" s="13" t="s">
        <v>20</v>
      </c>
      <c r="J27" s="13" t="s">
        <v>20</v>
      </c>
      <c r="K27" s="14">
        <v>0</v>
      </c>
      <c r="L27" s="15">
        <v>1.41</v>
      </c>
    </row>
    <row r="28" spans="1:12" x14ac:dyDescent="0.35">
      <c r="A28" s="9" t="s">
        <v>20</v>
      </c>
      <c r="B28" s="10" t="s">
        <v>70</v>
      </c>
      <c r="C28" s="10" t="s">
        <v>20</v>
      </c>
      <c r="D28" s="10" t="s">
        <v>71</v>
      </c>
      <c r="E28" s="10" t="s">
        <v>72</v>
      </c>
      <c r="F28" s="11">
        <v>8994037</v>
      </c>
      <c r="G28" s="12">
        <v>50510.51</v>
      </c>
      <c r="H28" s="12">
        <v>1.37</v>
      </c>
      <c r="I28" s="13" t="s">
        <v>20</v>
      </c>
      <c r="J28" s="13" t="s">
        <v>20</v>
      </c>
      <c r="K28" s="14">
        <v>0</v>
      </c>
      <c r="L28" s="15">
        <v>1.37</v>
      </c>
    </row>
    <row r="29" spans="1:12" x14ac:dyDescent="0.35">
      <c r="A29" s="9" t="s">
        <v>20</v>
      </c>
      <c r="B29" s="10" t="s">
        <v>73</v>
      </c>
      <c r="C29" s="10" t="s">
        <v>20</v>
      </c>
      <c r="D29" s="10" t="s">
        <v>74</v>
      </c>
      <c r="E29" s="10" t="s">
        <v>75</v>
      </c>
      <c r="F29" s="11">
        <v>5406610</v>
      </c>
      <c r="G29" s="12">
        <v>44431.519999999997</v>
      </c>
      <c r="H29" s="12">
        <v>1.21</v>
      </c>
      <c r="I29" s="13" t="s">
        <v>20</v>
      </c>
      <c r="J29" s="13" t="s">
        <v>20</v>
      </c>
      <c r="K29" s="14">
        <v>0</v>
      </c>
      <c r="L29" s="15">
        <v>1.21</v>
      </c>
    </row>
    <row r="30" spans="1:12" x14ac:dyDescent="0.35">
      <c r="A30" s="9" t="s">
        <v>20</v>
      </c>
      <c r="B30" s="10" t="s">
        <v>76</v>
      </c>
      <c r="C30" s="10" t="s">
        <v>20</v>
      </c>
      <c r="D30" s="10" t="s">
        <v>77</v>
      </c>
      <c r="E30" s="10" t="s">
        <v>78</v>
      </c>
      <c r="F30" s="11">
        <v>4101954</v>
      </c>
      <c r="G30" s="12">
        <v>44096.01</v>
      </c>
      <c r="H30" s="12">
        <v>1.2</v>
      </c>
      <c r="I30" s="13" t="s">
        <v>20</v>
      </c>
      <c r="J30" s="13" t="s">
        <v>20</v>
      </c>
      <c r="K30" s="14">
        <v>0</v>
      </c>
      <c r="L30" s="15">
        <v>1.2</v>
      </c>
    </row>
    <row r="31" spans="1:12" x14ac:dyDescent="0.35">
      <c r="A31" s="9" t="s">
        <v>20</v>
      </c>
      <c r="B31" s="10" t="s">
        <v>79</v>
      </c>
      <c r="C31" s="10" t="s">
        <v>20</v>
      </c>
      <c r="D31" s="10" t="s">
        <v>80</v>
      </c>
      <c r="E31" s="10" t="s">
        <v>75</v>
      </c>
      <c r="F31" s="11">
        <v>8577755</v>
      </c>
      <c r="G31" s="12">
        <v>43810.879999999997</v>
      </c>
      <c r="H31" s="12">
        <v>1.19</v>
      </c>
      <c r="I31" s="13" t="s">
        <v>20</v>
      </c>
      <c r="J31" s="13" t="s">
        <v>20</v>
      </c>
      <c r="K31" s="14">
        <v>0</v>
      </c>
      <c r="L31" s="15">
        <v>1.19</v>
      </c>
    </row>
    <row r="32" spans="1:12" x14ac:dyDescent="0.35">
      <c r="A32" s="9" t="s">
        <v>20</v>
      </c>
      <c r="B32" s="10" t="s">
        <v>81</v>
      </c>
      <c r="C32" s="10" t="s">
        <v>20</v>
      </c>
      <c r="D32" s="10" t="s">
        <v>82</v>
      </c>
      <c r="E32" s="10" t="s">
        <v>51</v>
      </c>
      <c r="F32" s="11">
        <v>4959256</v>
      </c>
      <c r="G32" s="12">
        <v>43291.83</v>
      </c>
      <c r="H32" s="12">
        <v>1.18</v>
      </c>
      <c r="I32" s="13" t="s">
        <v>20</v>
      </c>
      <c r="J32" s="13" t="s">
        <v>20</v>
      </c>
      <c r="K32" s="14">
        <v>0</v>
      </c>
      <c r="L32" s="15">
        <v>1.18</v>
      </c>
    </row>
    <row r="33" spans="1:12" x14ac:dyDescent="0.35">
      <c r="A33" s="9" t="s">
        <v>20</v>
      </c>
      <c r="B33" s="10" t="s">
        <v>83</v>
      </c>
      <c r="C33" s="10" t="s">
        <v>20</v>
      </c>
      <c r="D33" s="10" t="s">
        <v>84</v>
      </c>
      <c r="E33" s="10" t="s">
        <v>30</v>
      </c>
      <c r="F33" s="11">
        <v>20005638</v>
      </c>
      <c r="G33" s="12">
        <v>42758.05</v>
      </c>
      <c r="H33" s="12">
        <v>1.1599999999999999</v>
      </c>
      <c r="I33" s="13" t="s">
        <v>20</v>
      </c>
      <c r="J33" s="13" t="s">
        <v>20</v>
      </c>
      <c r="K33" s="14">
        <v>0</v>
      </c>
      <c r="L33" s="15">
        <v>1.1599999999999999</v>
      </c>
    </row>
    <row r="34" spans="1:12" x14ac:dyDescent="0.35">
      <c r="A34" s="9" t="s">
        <v>20</v>
      </c>
      <c r="B34" s="10" t="s">
        <v>85</v>
      </c>
      <c r="C34" s="10" t="s">
        <v>20</v>
      </c>
      <c r="D34" s="10" t="s">
        <v>86</v>
      </c>
      <c r="E34" s="10" t="s">
        <v>87</v>
      </c>
      <c r="F34" s="11">
        <v>7899475</v>
      </c>
      <c r="G34" s="12">
        <v>42159.5</v>
      </c>
      <c r="H34" s="12">
        <v>1.1399999999999999</v>
      </c>
      <c r="I34" s="13" t="s">
        <v>20</v>
      </c>
      <c r="J34" s="13" t="s">
        <v>20</v>
      </c>
      <c r="K34" s="14">
        <v>0</v>
      </c>
      <c r="L34" s="15">
        <v>1.1399999999999999</v>
      </c>
    </row>
    <row r="35" spans="1:12" x14ac:dyDescent="0.35">
      <c r="A35" s="9" t="s">
        <v>20</v>
      </c>
      <c r="B35" s="10" t="s">
        <v>88</v>
      </c>
      <c r="C35" s="10" t="s">
        <v>20</v>
      </c>
      <c r="D35" s="10" t="s">
        <v>89</v>
      </c>
      <c r="E35" s="10" t="s">
        <v>90</v>
      </c>
      <c r="F35" s="11">
        <v>505371</v>
      </c>
      <c r="G35" s="12">
        <v>41369.67</v>
      </c>
      <c r="H35" s="12">
        <v>1.1200000000000001</v>
      </c>
      <c r="I35" s="13" t="s">
        <v>20</v>
      </c>
      <c r="J35" s="13" t="s">
        <v>20</v>
      </c>
      <c r="K35" s="14">
        <v>0</v>
      </c>
      <c r="L35" s="15">
        <v>1.1200000000000001</v>
      </c>
    </row>
    <row r="36" spans="1:12" x14ac:dyDescent="0.35">
      <c r="A36" s="9" t="s">
        <v>20</v>
      </c>
      <c r="B36" s="10" t="s">
        <v>91</v>
      </c>
      <c r="C36" s="10" t="s">
        <v>20</v>
      </c>
      <c r="D36" s="10" t="s">
        <v>92</v>
      </c>
      <c r="E36" s="10" t="s">
        <v>67</v>
      </c>
      <c r="F36" s="11">
        <v>1365997</v>
      </c>
      <c r="G36" s="12">
        <v>41115.14</v>
      </c>
      <c r="H36" s="12">
        <v>1.1200000000000001</v>
      </c>
      <c r="I36" s="13" t="s">
        <v>20</v>
      </c>
      <c r="J36" s="13" t="s">
        <v>20</v>
      </c>
      <c r="K36" s="14">
        <v>0</v>
      </c>
      <c r="L36" s="15">
        <v>1.1200000000000001</v>
      </c>
    </row>
    <row r="37" spans="1:12" x14ac:dyDescent="0.35">
      <c r="A37" s="9" t="s">
        <v>20</v>
      </c>
      <c r="B37" s="10" t="s">
        <v>93</v>
      </c>
      <c r="C37" s="10" t="s">
        <v>20</v>
      </c>
      <c r="D37" s="10" t="s">
        <v>94</v>
      </c>
      <c r="E37" s="10" t="s">
        <v>67</v>
      </c>
      <c r="F37" s="11">
        <v>1007856</v>
      </c>
      <c r="G37" s="12">
        <v>40942.129999999997</v>
      </c>
      <c r="H37" s="12">
        <v>1.1100000000000001</v>
      </c>
      <c r="I37" s="13" t="s">
        <v>20</v>
      </c>
      <c r="J37" s="13" t="s">
        <v>20</v>
      </c>
      <c r="K37" s="14">
        <v>0</v>
      </c>
      <c r="L37" s="15">
        <v>1.1100000000000001</v>
      </c>
    </row>
    <row r="38" spans="1:12" x14ac:dyDescent="0.35">
      <c r="A38" s="9" t="s">
        <v>20</v>
      </c>
      <c r="B38" s="10" t="s">
        <v>95</v>
      </c>
      <c r="C38" s="10" t="s">
        <v>20</v>
      </c>
      <c r="D38" s="10" t="s">
        <v>96</v>
      </c>
      <c r="E38" s="10" t="s">
        <v>30</v>
      </c>
      <c r="F38" s="11">
        <v>20759451</v>
      </c>
      <c r="G38" s="12">
        <v>40051.21</v>
      </c>
      <c r="H38" s="12">
        <v>1.0900000000000001</v>
      </c>
      <c r="I38" s="13" t="s">
        <v>20</v>
      </c>
      <c r="J38" s="13" t="s">
        <v>20</v>
      </c>
      <c r="K38" s="14">
        <v>0</v>
      </c>
      <c r="L38" s="15">
        <v>1.0900000000000001</v>
      </c>
    </row>
    <row r="39" spans="1:12" x14ac:dyDescent="0.35">
      <c r="A39" s="9" t="s">
        <v>20</v>
      </c>
      <c r="B39" s="10" t="s">
        <v>97</v>
      </c>
      <c r="C39" s="10" t="s">
        <v>20</v>
      </c>
      <c r="D39" s="10" t="s">
        <v>98</v>
      </c>
      <c r="E39" s="10" t="s">
        <v>48</v>
      </c>
      <c r="F39" s="11">
        <v>5243552</v>
      </c>
      <c r="G39" s="12">
        <v>40013.550000000003</v>
      </c>
      <c r="H39" s="12">
        <v>1.0900000000000001</v>
      </c>
      <c r="I39" s="13" t="s">
        <v>20</v>
      </c>
      <c r="J39" s="13" t="s">
        <v>20</v>
      </c>
      <c r="K39" s="14">
        <v>0</v>
      </c>
      <c r="L39" s="15">
        <v>1.0900000000000001</v>
      </c>
    </row>
    <row r="40" spans="1:12" x14ac:dyDescent="0.35">
      <c r="A40" s="9" t="s">
        <v>20</v>
      </c>
      <c r="B40" s="10" t="s">
        <v>99</v>
      </c>
      <c r="C40" s="10" t="s">
        <v>20</v>
      </c>
      <c r="D40" s="10" t="s">
        <v>100</v>
      </c>
      <c r="E40" s="10" t="s">
        <v>33</v>
      </c>
      <c r="F40" s="11">
        <v>2836501</v>
      </c>
      <c r="G40" s="12">
        <v>38922.47</v>
      </c>
      <c r="H40" s="12">
        <v>1.06</v>
      </c>
      <c r="I40" s="13" t="s">
        <v>20</v>
      </c>
      <c r="J40" s="13" t="s">
        <v>20</v>
      </c>
      <c r="K40" s="14">
        <v>0</v>
      </c>
      <c r="L40" s="15">
        <v>1.06</v>
      </c>
    </row>
    <row r="41" spans="1:12" x14ac:dyDescent="0.35">
      <c r="A41" s="9" t="s">
        <v>20</v>
      </c>
      <c r="B41" s="10" t="s">
        <v>101</v>
      </c>
      <c r="C41" s="10" t="s">
        <v>20</v>
      </c>
      <c r="D41" s="10" t="s">
        <v>102</v>
      </c>
      <c r="E41" s="10" t="s">
        <v>62</v>
      </c>
      <c r="F41" s="11">
        <v>14295612</v>
      </c>
      <c r="G41" s="12">
        <v>39084.199999999997</v>
      </c>
      <c r="H41" s="12">
        <v>1.06</v>
      </c>
      <c r="I41" s="13" t="s">
        <v>20</v>
      </c>
      <c r="J41" s="13" t="s">
        <v>20</v>
      </c>
      <c r="K41" s="14">
        <v>0</v>
      </c>
      <c r="L41" s="15">
        <v>1.06</v>
      </c>
    </row>
    <row r="42" spans="1:12" x14ac:dyDescent="0.35">
      <c r="A42" s="9" t="s">
        <v>20</v>
      </c>
      <c r="B42" s="10" t="s">
        <v>103</v>
      </c>
      <c r="C42" s="10" t="s">
        <v>20</v>
      </c>
      <c r="D42" s="10" t="s">
        <v>104</v>
      </c>
      <c r="E42" s="10" t="s">
        <v>33</v>
      </c>
      <c r="F42" s="11">
        <v>9578101</v>
      </c>
      <c r="G42" s="12">
        <v>38585.379999999997</v>
      </c>
      <c r="H42" s="12">
        <v>1.05</v>
      </c>
      <c r="I42" s="13" t="s">
        <v>20</v>
      </c>
      <c r="J42" s="13" t="s">
        <v>20</v>
      </c>
      <c r="K42" s="14">
        <v>0</v>
      </c>
      <c r="L42" s="15">
        <v>1.05</v>
      </c>
    </row>
    <row r="43" spans="1:12" x14ac:dyDescent="0.35">
      <c r="A43" s="9" t="s">
        <v>20</v>
      </c>
      <c r="B43" s="10" t="s">
        <v>105</v>
      </c>
      <c r="C43" s="10" t="s">
        <v>20</v>
      </c>
      <c r="D43" s="10" t="s">
        <v>106</v>
      </c>
      <c r="E43" s="10" t="s">
        <v>107</v>
      </c>
      <c r="F43" s="11">
        <v>9392211</v>
      </c>
      <c r="G43" s="12">
        <v>38775.74</v>
      </c>
      <c r="H43" s="12">
        <v>1.05</v>
      </c>
      <c r="I43" s="13" t="s">
        <v>20</v>
      </c>
      <c r="J43" s="13" t="s">
        <v>20</v>
      </c>
      <c r="K43" s="14">
        <v>0</v>
      </c>
      <c r="L43" s="15">
        <v>1.05</v>
      </c>
    </row>
    <row r="44" spans="1:12" x14ac:dyDescent="0.35">
      <c r="A44" s="9" t="s">
        <v>20</v>
      </c>
      <c r="B44" s="10" t="s">
        <v>108</v>
      </c>
      <c r="C44" s="10" t="s">
        <v>20</v>
      </c>
      <c r="D44" s="10" t="s">
        <v>109</v>
      </c>
      <c r="E44" s="10" t="s">
        <v>51</v>
      </c>
      <c r="F44" s="11">
        <v>13086529</v>
      </c>
      <c r="G44" s="12">
        <v>38474.400000000001</v>
      </c>
      <c r="H44" s="12">
        <v>1.04</v>
      </c>
      <c r="I44" s="13" t="s">
        <v>20</v>
      </c>
      <c r="J44" s="13" t="s">
        <v>20</v>
      </c>
      <c r="K44" s="14">
        <v>0</v>
      </c>
      <c r="L44" s="15">
        <v>1.04</v>
      </c>
    </row>
    <row r="45" spans="1:12" x14ac:dyDescent="0.35">
      <c r="A45" s="9" t="s">
        <v>20</v>
      </c>
      <c r="B45" s="10" t="s">
        <v>110</v>
      </c>
      <c r="C45" s="10" t="s">
        <v>20</v>
      </c>
      <c r="D45" s="10" t="s">
        <v>111</v>
      </c>
      <c r="E45" s="10" t="s">
        <v>22</v>
      </c>
      <c r="F45" s="11">
        <v>13566331</v>
      </c>
      <c r="G45" s="12">
        <v>38451.050000000003</v>
      </c>
      <c r="H45" s="12">
        <v>1.04</v>
      </c>
      <c r="I45" s="13" t="s">
        <v>20</v>
      </c>
      <c r="J45" s="13" t="s">
        <v>20</v>
      </c>
      <c r="K45" s="14">
        <v>0</v>
      </c>
      <c r="L45" s="15">
        <v>1.04</v>
      </c>
    </row>
    <row r="46" spans="1:12" x14ac:dyDescent="0.35">
      <c r="A46" s="9" t="s">
        <v>20</v>
      </c>
      <c r="B46" s="10" t="s">
        <v>112</v>
      </c>
      <c r="C46" s="10" t="s">
        <v>20</v>
      </c>
      <c r="D46" s="10" t="s">
        <v>113</v>
      </c>
      <c r="E46" s="10" t="s">
        <v>30</v>
      </c>
      <c r="F46" s="11">
        <v>66023564</v>
      </c>
      <c r="G46" s="12">
        <v>37752.269999999997</v>
      </c>
      <c r="H46" s="12">
        <v>1.03</v>
      </c>
      <c r="I46" s="13" t="s">
        <v>20</v>
      </c>
      <c r="J46" s="13" t="s">
        <v>20</v>
      </c>
      <c r="K46" s="14">
        <v>0</v>
      </c>
      <c r="L46" s="15">
        <v>1.03</v>
      </c>
    </row>
    <row r="47" spans="1:12" x14ac:dyDescent="0.35">
      <c r="A47" s="9" t="s">
        <v>20</v>
      </c>
      <c r="B47" s="10" t="s">
        <v>114</v>
      </c>
      <c r="C47" s="10" t="s">
        <v>20</v>
      </c>
      <c r="D47" s="10" t="s">
        <v>115</v>
      </c>
      <c r="E47" s="10" t="s">
        <v>62</v>
      </c>
      <c r="F47" s="11">
        <v>657595</v>
      </c>
      <c r="G47" s="12">
        <v>37502.639999999999</v>
      </c>
      <c r="H47" s="12">
        <v>1.02</v>
      </c>
      <c r="I47" s="13" t="s">
        <v>20</v>
      </c>
      <c r="J47" s="13" t="s">
        <v>20</v>
      </c>
      <c r="K47" s="14">
        <v>0</v>
      </c>
      <c r="L47" s="15">
        <v>1.02</v>
      </c>
    </row>
    <row r="48" spans="1:12" x14ac:dyDescent="0.35">
      <c r="A48" s="9" t="s">
        <v>20</v>
      </c>
      <c r="B48" s="10" t="s">
        <v>116</v>
      </c>
      <c r="C48" s="10" t="s">
        <v>20</v>
      </c>
      <c r="D48" s="10" t="s">
        <v>117</v>
      </c>
      <c r="E48" s="10" t="s">
        <v>22</v>
      </c>
      <c r="F48" s="11">
        <v>6314340</v>
      </c>
      <c r="G48" s="12">
        <v>35979.11</v>
      </c>
      <c r="H48" s="12">
        <v>0.98</v>
      </c>
      <c r="I48" s="13" t="s">
        <v>20</v>
      </c>
      <c r="J48" s="13" t="s">
        <v>20</v>
      </c>
      <c r="K48" s="14">
        <v>0</v>
      </c>
      <c r="L48" s="15">
        <v>0.98</v>
      </c>
    </row>
    <row r="49" spans="1:12" x14ac:dyDescent="0.35">
      <c r="A49" s="9" t="s">
        <v>20</v>
      </c>
      <c r="B49" s="10" t="s">
        <v>118</v>
      </c>
      <c r="C49" s="10" t="s">
        <v>20</v>
      </c>
      <c r="D49" s="10" t="s">
        <v>119</v>
      </c>
      <c r="E49" s="10" t="s">
        <v>120</v>
      </c>
      <c r="F49" s="11">
        <v>6635036</v>
      </c>
      <c r="G49" s="12">
        <v>36164.26</v>
      </c>
      <c r="H49" s="12">
        <v>0.98</v>
      </c>
      <c r="I49" s="13" t="s">
        <v>20</v>
      </c>
      <c r="J49" s="13" t="s">
        <v>20</v>
      </c>
      <c r="K49" s="14">
        <v>0</v>
      </c>
      <c r="L49" s="15">
        <v>0.98</v>
      </c>
    </row>
    <row r="50" spans="1:12" x14ac:dyDescent="0.35">
      <c r="A50" s="9" t="s">
        <v>20</v>
      </c>
      <c r="B50" s="10" t="s">
        <v>121</v>
      </c>
      <c r="C50" s="10" t="s">
        <v>20</v>
      </c>
      <c r="D50" s="10" t="s">
        <v>122</v>
      </c>
      <c r="E50" s="10" t="s">
        <v>107</v>
      </c>
      <c r="F50" s="11">
        <v>2654481</v>
      </c>
      <c r="G50" s="12">
        <v>33775.620000000003</v>
      </c>
      <c r="H50" s="12">
        <v>0.92</v>
      </c>
      <c r="I50" s="13" t="s">
        <v>20</v>
      </c>
      <c r="J50" s="13" t="s">
        <v>20</v>
      </c>
      <c r="K50" s="14">
        <v>0</v>
      </c>
      <c r="L50" s="15">
        <v>0.92</v>
      </c>
    </row>
    <row r="51" spans="1:12" x14ac:dyDescent="0.35">
      <c r="A51" s="9" t="s">
        <v>20</v>
      </c>
      <c r="B51" s="10" t="s">
        <v>123</v>
      </c>
      <c r="C51" s="10" t="s">
        <v>20</v>
      </c>
      <c r="D51" s="10" t="s">
        <v>124</v>
      </c>
      <c r="E51" s="10" t="s">
        <v>120</v>
      </c>
      <c r="F51" s="11">
        <v>22396179</v>
      </c>
      <c r="G51" s="12">
        <v>32156.43</v>
      </c>
      <c r="H51" s="12">
        <v>0.87</v>
      </c>
      <c r="I51" s="13" t="s">
        <v>20</v>
      </c>
      <c r="J51" s="13" t="s">
        <v>20</v>
      </c>
      <c r="K51" s="14">
        <v>0</v>
      </c>
      <c r="L51" s="15">
        <v>0.87</v>
      </c>
    </row>
    <row r="52" spans="1:12" x14ac:dyDescent="0.35">
      <c r="A52" s="9" t="s">
        <v>20</v>
      </c>
      <c r="B52" s="10" t="s">
        <v>125</v>
      </c>
      <c r="C52" s="10" t="s">
        <v>20</v>
      </c>
      <c r="D52" s="10" t="s">
        <v>126</v>
      </c>
      <c r="E52" s="10" t="s">
        <v>33</v>
      </c>
      <c r="F52" s="11">
        <v>1663173</v>
      </c>
      <c r="G52" s="12">
        <v>31716.71</v>
      </c>
      <c r="H52" s="12">
        <v>0.86</v>
      </c>
      <c r="I52" s="13" t="s">
        <v>20</v>
      </c>
      <c r="J52" s="13" t="s">
        <v>20</v>
      </c>
      <c r="K52" s="14">
        <v>0</v>
      </c>
      <c r="L52" s="15">
        <v>0.86</v>
      </c>
    </row>
    <row r="53" spans="1:12" x14ac:dyDescent="0.35">
      <c r="A53" s="9" t="s">
        <v>20</v>
      </c>
      <c r="B53" s="10" t="s">
        <v>127</v>
      </c>
      <c r="C53" s="10" t="s">
        <v>20</v>
      </c>
      <c r="D53" s="10" t="s">
        <v>128</v>
      </c>
      <c r="E53" s="10" t="s">
        <v>129</v>
      </c>
      <c r="F53" s="11">
        <v>2259678</v>
      </c>
      <c r="G53" s="12">
        <v>29940.73</v>
      </c>
      <c r="H53" s="12">
        <v>0.81</v>
      </c>
      <c r="I53" s="13" t="s">
        <v>20</v>
      </c>
      <c r="J53" s="13" t="s">
        <v>20</v>
      </c>
      <c r="K53" s="14">
        <v>0</v>
      </c>
      <c r="L53" s="15">
        <v>0.81</v>
      </c>
    </row>
    <row r="54" spans="1:12" x14ac:dyDescent="0.35">
      <c r="A54" s="9" t="s">
        <v>20</v>
      </c>
      <c r="B54" s="10" t="s">
        <v>130</v>
      </c>
      <c r="C54" s="10" t="s">
        <v>20</v>
      </c>
      <c r="D54" s="10" t="s">
        <v>131</v>
      </c>
      <c r="E54" s="10" t="s">
        <v>72</v>
      </c>
      <c r="F54" s="11">
        <v>5599871</v>
      </c>
      <c r="G54" s="12">
        <v>29068.93</v>
      </c>
      <c r="H54" s="12">
        <v>0.79</v>
      </c>
      <c r="I54" s="13" t="s">
        <v>20</v>
      </c>
      <c r="J54" s="13" t="s">
        <v>20</v>
      </c>
      <c r="K54" s="14">
        <v>0</v>
      </c>
      <c r="L54" s="15">
        <v>0.79</v>
      </c>
    </row>
    <row r="55" spans="1:12" x14ac:dyDescent="0.35">
      <c r="A55" s="9" t="s">
        <v>20</v>
      </c>
      <c r="B55" s="10" t="s">
        <v>132</v>
      </c>
      <c r="C55" s="10" t="s">
        <v>20</v>
      </c>
      <c r="D55" s="10" t="s">
        <v>133</v>
      </c>
      <c r="E55" s="10" t="s">
        <v>134</v>
      </c>
      <c r="F55" s="11">
        <v>1221503</v>
      </c>
      <c r="G55" s="12">
        <v>28669.9</v>
      </c>
      <c r="H55" s="12">
        <v>0.78</v>
      </c>
      <c r="I55" s="13" t="s">
        <v>20</v>
      </c>
      <c r="J55" s="13" t="s">
        <v>20</v>
      </c>
      <c r="K55" s="14">
        <v>0</v>
      </c>
      <c r="L55" s="15">
        <v>0.78</v>
      </c>
    </row>
    <row r="56" spans="1:12" x14ac:dyDescent="0.35">
      <c r="A56" s="9" t="s">
        <v>20</v>
      </c>
      <c r="B56" s="10" t="s">
        <v>135</v>
      </c>
      <c r="C56" s="10" t="s">
        <v>20</v>
      </c>
      <c r="D56" s="10" t="s">
        <v>136</v>
      </c>
      <c r="E56" s="10" t="s">
        <v>72</v>
      </c>
      <c r="F56" s="11">
        <v>19136949</v>
      </c>
      <c r="G56" s="12">
        <v>28515.97</v>
      </c>
      <c r="H56" s="12">
        <v>0.77</v>
      </c>
      <c r="I56" s="13" t="s">
        <v>20</v>
      </c>
      <c r="J56" s="13" t="s">
        <v>20</v>
      </c>
      <c r="K56" s="14">
        <v>0</v>
      </c>
      <c r="L56" s="15">
        <v>0.77</v>
      </c>
    </row>
    <row r="57" spans="1:12" x14ac:dyDescent="0.35">
      <c r="A57" s="9" t="s">
        <v>20</v>
      </c>
      <c r="B57" s="10" t="s">
        <v>137</v>
      </c>
      <c r="C57" s="10" t="s">
        <v>20</v>
      </c>
      <c r="D57" s="10" t="s">
        <v>138</v>
      </c>
      <c r="E57" s="10" t="s">
        <v>90</v>
      </c>
      <c r="F57" s="11">
        <v>385000</v>
      </c>
      <c r="G57" s="12">
        <v>27856.68</v>
      </c>
      <c r="H57" s="12">
        <v>0.76</v>
      </c>
      <c r="I57" s="13" t="s">
        <v>20</v>
      </c>
      <c r="J57" s="13" t="s">
        <v>20</v>
      </c>
      <c r="K57" s="14">
        <v>0</v>
      </c>
      <c r="L57" s="15">
        <v>0.76</v>
      </c>
    </row>
    <row r="58" spans="1:12" x14ac:dyDescent="0.35">
      <c r="A58" s="9" t="s">
        <v>20</v>
      </c>
      <c r="B58" s="10" t="s">
        <v>139</v>
      </c>
      <c r="C58" s="10" t="s">
        <v>20</v>
      </c>
      <c r="D58" s="10" t="s">
        <v>140</v>
      </c>
      <c r="E58" s="10" t="s">
        <v>87</v>
      </c>
      <c r="F58" s="11">
        <v>15443425</v>
      </c>
      <c r="G58" s="12">
        <v>26063.87</v>
      </c>
      <c r="H58" s="12">
        <v>0.71</v>
      </c>
      <c r="I58" s="13" t="s">
        <v>20</v>
      </c>
      <c r="J58" s="13" t="s">
        <v>20</v>
      </c>
      <c r="K58" s="14">
        <v>0</v>
      </c>
      <c r="L58" s="15">
        <v>0.71</v>
      </c>
    </row>
    <row r="59" spans="1:12" x14ac:dyDescent="0.35">
      <c r="A59" s="9" t="s">
        <v>20</v>
      </c>
      <c r="B59" s="10" t="s">
        <v>141</v>
      </c>
      <c r="C59" s="10" t="s">
        <v>20</v>
      </c>
      <c r="D59" s="10" t="s">
        <v>142</v>
      </c>
      <c r="E59" s="10" t="s">
        <v>36</v>
      </c>
      <c r="F59" s="11">
        <v>5458645</v>
      </c>
      <c r="G59" s="12">
        <v>25186.19</v>
      </c>
      <c r="H59" s="12">
        <v>0.68</v>
      </c>
      <c r="I59" s="13" t="s">
        <v>20</v>
      </c>
      <c r="J59" s="13" t="s">
        <v>20</v>
      </c>
      <c r="K59" s="14">
        <v>0</v>
      </c>
      <c r="L59" s="15">
        <v>0.68</v>
      </c>
    </row>
    <row r="60" spans="1:12" x14ac:dyDescent="0.35">
      <c r="A60" s="9" t="s">
        <v>20</v>
      </c>
      <c r="B60" s="10" t="s">
        <v>143</v>
      </c>
      <c r="C60" s="10" t="s">
        <v>20</v>
      </c>
      <c r="D60" s="10" t="s">
        <v>144</v>
      </c>
      <c r="E60" s="10" t="s">
        <v>33</v>
      </c>
      <c r="F60" s="11">
        <v>8748982</v>
      </c>
      <c r="G60" s="12">
        <v>24825.24</v>
      </c>
      <c r="H60" s="12">
        <v>0.67</v>
      </c>
      <c r="I60" s="13" t="s">
        <v>20</v>
      </c>
      <c r="J60" s="13" t="s">
        <v>20</v>
      </c>
      <c r="K60" s="14">
        <v>0</v>
      </c>
      <c r="L60" s="15">
        <v>0.67</v>
      </c>
    </row>
    <row r="61" spans="1:12" x14ac:dyDescent="0.35">
      <c r="A61" s="9" t="s">
        <v>20</v>
      </c>
      <c r="B61" s="10" t="s">
        <v>145</v>
      </c>
      <c r="C61" s="10" t="s">
        <v>20</v>
      </c>
      <c r="D61" s="10" t="s">
        <v>146</v>
      </c>
      <c r="E61" s="10" t="s">
        <v>56</v>
      </c>
      <c r="F61" s="11">
        <v>4733174</v>
      </c>
      <c r="G61" s="12">
        <v>24151.02</v>
      </c>
      <c r="H61" s="12">
        <v>0.66</v>
      </c>
      <c r="I61" s="13" t="s">
        <v>20</v>
      </c>
      <c r="J61" s="13" t="s">
        <v>20</v>
      </c>
      <c r="K61" s="14">
        <v>0</v>
      </c>
      <c r="L61" s="15">
        <v>0.66</v>
      </c>
    </row>
    <row r="62" spans="1:12" x14ac:dyDescent="0.35">
      <c r="A62" s="9" t="s">
        <v>20</v>
      </c>
      <c r="B62" s="10" t="s">
        <v>147</v>
      </c>
      <c r="C62" s="10" t="s">
        <v>20</v>
      </c>
      <c r="D62" s="10" t="s">
        <v>148</v>
      </c>
      <c r="E62" s="10" t="s">
        <v>149</v>
      </c>
      <c r="F62" s="11">
        <v>2058752</v>
      </c>
      <c r="G62" s="12">
        <v>24023.58</v>
      </c>
      <c r="H62" s="12">
        <v>0.65</v>
      </c>
      <c r="I62" s="13" t="s">
        <v>20</v>
      </c>
      <c r="J62" s="13" t="s">
        <v>20</v>
      </c>
      <c r="K62" s="14">
        <v>0.06</v>
      </c>
      <c r="L62" s="15">
        <v>0.71</v>
      </c>
    </row>
    <row r="63" spans="1:12" x14ac:dyDescent="0.35">
      <c r="A63" s="9" t="s">
        <v>20</v>
      </c>
      <c r="B63" s="10" t="s">
        <v>150</v>
      </c>
      <c r="C63" s="10" t="s">
        <v>20</v>
      </c>
      <c r="D63" s="10" t="s">
        <v>151</v>
      </c>
      <c r="E63" s="10" t="s">
        <v>120</v>
      </c>
      <c r="F63" s="11">
        <v>2199907</v>
      </c>
      <c r="G63" s="12">
        <v>23147.42</v>
      </c>
      <c r="H63" s="12">
        <v>0.63</v>
      </c>
      <c r="I63" s="13" t="s">
        <v>20</v>
      </c>
      <c r="J63" s="13" t="s">
        <v>20</v>
      </c>
      <c r="K63" s="14">
        <v>0</v>
      </c>
      <c r="L63" s="15">
        <v>0.63</v>
      </c>
    </row>
    <row r="64" spans="1:12" x14ac:dyDescent="0.35">
      <c r="A64" s="9" t="s">
        <v>20</v>
      </c>
      <c r="B64" s="10" t="s">
        <v>152</v>
      </c>
      <c r="C64" s="10" t="s">
        <v>20</v>
      </c>
      <c r="D64" s="10" t="s">
        <v>153</v>
      </c>
      <c r="E64" s="10" t="s">
        <v>120</v>
      </c>
      <c r="F64" s="11">
        <v>9444822</v>
      </c>
      <c r="G64" s="12">
        <v>22825.3</v>
      </c>
      <c r="H64" s="12">
        <v>0.62</v>
      </c>
      <c r="I64" s="13" t="s">
        <v>20</v>
      </c>
      <c r="J64" s="13" t="s">
        <v>20</v>
      </c>
      <c r="K64" s="14">
        <v>0</v>
      </c>
      <c r="L64" s="15">
        <v>0.62</v>
      </c>
    </row>
    <row r="65" spans="1:12" x14ac:dyDescent="0.35">
      <c r="A65" s="9" t="s">
        <v>20</v>
      </c>
      <c r="B65" s="10" t="s">
        <v>154</v>
      </c>
      <c r="C65" s="10" t="s">
        <v>20</v>
      </c>
      <c r="D65" s="10" t="s">
        <v>155</v>
      </c>
      <c r="E65" s="10" t="s">
        <v>33</v>
      </c>
      <c r="F65" s="11">
        <v>432935</v>
      </c>
      <c r="G65" s="12">
        <v>21867.98</v>
      </c>
      <c r="H65" s="12">
        <v>0.59</v>
      </c>
      <c r="I65" s="13" t="s">
        <v>20</v>
      </c>
      <c r="J65" s="13" t="s">
        <v>20</v>
      </c>
      <c r="K65" s="14">
        <v>0</v>
      </c>
      <c r="L65" s="15">
        <v>0.59</v>
      </c>
    </row>
    <row r="66" spans="1:12" x14ac:dyDescent="0.35">
      <c r="A66" s="9" t="s">
        <v>20</v>
      </c>
      <c r="B66" s="10" t="s">
        <v>156</v>
      </c>
      <c r="C66" s="10" t="s">
        <v>20</v>
      </c>
      <c r="D66" s="10" t="s">
        <v>157</v>
      </c>
      <c r="E66" s="10" t="s">
        <v>158</v>
      </c>
      <c r="F66" s="11">
        <v>1672559</v>
      </c>
      <c r="G66" s="12">
        <v>21811.84</v>
      </c>
      <c r="H66" s="12">
        <v>0.59</v>
      </c>
      <c r="I66" s="13" t="s">
        <v>20</v>
      </c>
      <c r="J66" s="13" t="s">
        <v>20</v>
      </c>
      <c r="K66" s="14">
        <v>0</v>
      </c>
      <c r="L66" s="15">
        <v>0.59</v>
      </c>
    </row>
    <row r="67" spans="1:12" x14ac:dyDescent="0.35">
      <c r="A67" s="9" t="s">
        <v>20</v>
      </c>
      <c r="B67" s="10" t="s">
        <v>159</v>
      </c>
      <c r="C67" s="10" t="s">
        <v>20</v>
      </c>
      <c r="D67" s="10" t="s">
        <v>160</v>
      </c>
      <c r="E67" s="10" t="s">
        <v>62</v>
      </c>
      <c r="F67" s="11">
        <v>33756481</v>
      </c>
      <c r="G67" s="12">
        <v>20685.97</v>
      </c>
      <c r="H67" s="12">
        <v>0.56000000000000005</v>
      </c>
      <c r="I67" s="13" t="s">
        <v>20</v>
      </c>
      <c r="J67" s="13" t="s">
        <v>20</v>
      </c>
      <c r="K67" s="14">
        <v>0</v>
      </c>
      <c r="L67" s="15">
        <v>0.56000000000000005</v>
      </c>
    </row>
    <row r="68" spans="1:12" x14ac:dyDescent="0.35">
      <c r="A68" s="9" t="s">
        <v>20</v>
      </c>
      <c r="B68" s="10" t="s">
        <v>161</v>
      </c>
      <c r="C68" s="10" t="s">
        <v>20</v>
      </c>
      <c r="D68" s="10" t="s">
        <v>162</v>
      </c>
      <c r="E68" s="10" t="s">
        <v>134</v>
      </c>
      <c r="F68" s="11">
        <v>1924361</v>
      </c>
      <c r="G68" s="12">
        <v>20392.45</v>
      </c>
      <c r="H68" s="12">
        <v>0.55000000000000004</v>
      </c>
      <c r="I68" s="13" t="s">
        <v>20</v>
      </c>
      <c r="J68" s="13" t="s">
        <v>20</v>
      </c>
      <c r="K68" s="14">
        <v>0</v>
      </c>
      <c r="L68" s="15">
        <v>0.55000000000000004</v>
      </c>
    </row>
    <row r="69" spans="1:12" x14ac:dyDescent="0.35">
      <c r="A69" s="9" t="s">
        <v>20</v>
      </c>
      <c r="B69" s="10" t="s">
        <v>163</v>
      </c>
      <c r="C69" s="10" t="s">
        <v>20</v>
      </c>
      <c r="D69" s="10" t="s">
        <v>164</v>
      </c>
      <c r="E69" s="10" t="s">
        <v>67</v>
      </c>
      <c r="F69" s="11">
        <v>3935770</v>
      </c>
      <c r="G69" s="12">
        <v>20176.72</v>
      </c>
      <c r="H69" s="12">
        <v>0.55000000000000004</v>
      </c>
      <c r="I69" s="13" t="s">
        <v>20</v>
      </c>
      <c r="J69" s="13" t="s">
        <v>20</v>
      </c>
      <c r="K69" s="14">
        <v>0</v>
      </c>
      <c r="L69" s="15">
        <v>0.55000000000000004</v>
      </c>
    </row>
    <row r="70" spans="1:12" x14ac:dyDescent="0.35">
      <c r="A70" s="9" t="s">
        <v>20</v>
      </c>
      <c r="B70" s="10" t="s">
        <v>165</v>
      </c>
      <c r="C70" s="10" t="s">
        <v>20</v>
      </c>
      <c r="D70" s="10" t="s">
        <v>166</v>
      </c>
      <c r="E70" s="10" t="s">
        <v>75</v>
      </c>
      <c r="F70" s="11">
        <v>2636351</v>
      </c>
      <c r="G70" s="12">
        <v>19743.63</v>
      </c>
      <c r="H70" s="12">
        <v>0.54</v>
      </c>
      <c r="I70" s="13" t="s">
        <v>20</v>
      </c>
      <c r="J70" s="13" t="s">
        <v>20</v>
      </c>
      <c r="K70" s="14">
        <v>0</v>
      </c>
      <c r="L70" s="15">
        <v>0.54</v>
      </c>
    </row>
    <row r="71" spans="1:12" x14ac:dyDescent="0.35">
      <c r="A71" s="9" t="s">
        <v>20</v>
      </c>
      <c r="B71" s="10" t="s">
        <v>167</v>
      </c>
      <c r="C71" s="10" t="s">
        <v>20</v>
      </c>
      <c r="D71" s="10" t="s">
        <v>168</v>
      </c>
      <c r="E71" s="10" t="s">
        <v>149</v>
      </c>
      <c r="F71" s="11">
        <v>8026417</v>
      </c>
      <c r="G71" s="12">
        <v>19014.580000000002</v>
      </c>
      <c r="H71" s="12">
        <v>0.52</v>
      </c>
      <c r="I71" s="13" t="s">
        <v>20</v>
      </c>
      <c r="J71" s="13" t="s">
        <v>20</v>
      </c>
      <c r="K71" s="14">
        <v>0</v>
      </c>
      <c r="L71" s="15">
        <v>0.52</v>
      </c>
    </row>
    <row r="72" spans="1:12" x14ac:dyDescent="0.35">
      <c r="A72" s="9" t="s">
        <v>20</v>
      </c>
      <c r="B72" s="10" t="s">
        <v>169</v>
      </c>
      <c r="C72" s="10" t="s">
        <v>20</v>
      </c>
      <c r="D72" s="10" t="s">
        <v>170</v>
      </c>
      <c r="E72" s="10" t="s">
        <v>67</v>
      </c>
      <c r="F72" s="11">
        <v>6549367</v>
      </c>
      <c r="G72" s="12">
        <v>19287.23</v>
      </c>
      <c r="H72" s="12">
        <v>0.52</v>
      </c>
      <c r="I72" s="13" t="s">
        <v>20</v>
      </c>
      <c r="J72" s="13" t="s">
        <v>20</v>
      </c>
      <c r="K72" s="14">
        <v>0</v>
      </c>
      <c r="L72" s="15">
        <v>0.52</v>
      </c>
    </row>
    <row r="73" spans="1:12" x14ac:dyDescent="0.35">
      <c r="A73" s="9" t="s">
        <v>20</v>
      </c>
      <c r="B73" s="10" t="s">
        <v>171</v>
      </c>
      <c r="C73" s="10" t="s">
        <v>20</v>
      </c>
      <c r="D73" s="10" t="s">
        <v>172</v>
      </c>
      <c r="E73" s="10" t="s">
        <v>51</v>
      </c>
      <c r="F73" s="11">
        <v>1497051</v>
      </c>
      <c r="G73" s="12">
        <v>18281.990000000002</v>
      </c>
      <c r="H73" s="12">
        <v>0.5</v>
      </c>
      <c r="I73" s="13" t="s">
        <v>20</v>
      </c>
      <c r="J73" s="13" t="s">
        <v>20</v>
      </c>
      <c r="K73" s="14">
        <v>0</v>
      </c>
      <c r="L73" s="15">
        <v>0.5</v>
      </c>
    </row>
    <row r="74" spans="1:12" x14ac:dyDescent="0.35">
      <c r="A74" s="9" t="s">
        <v>20</v>
      </c>
      <c r="B74" s="10" t="s">
        <v>173</v>
      </c>
      <c r="C74" s="10" t="s">
        <v>20</v>
      </c>
      <c r="D74" s="10" t="s">
        <v>174</v>
      </c>
      <c r="E74" s="10" t="s">
        <v>149</v>
      </c>
      <c r="F74" s="11">
        <v>3365892</v>
      </c>
      <c r="G74" s="12">
        <v>18116.91</v>
      </c>
      <c r="H74" s="12">
        <v>0.49</v>
      </c>
      <c r="I74" s="13" t="s">
        <v>20</v>
      </c>
      <c r="J74" s="13" t="s">
        <v>20</v>
      </c>
      <c r="K74" s="14">
        <v>0</v>
      </c>
      <c r="L74" s="15">
        <v>0.49</v>
      </c>
    </row>
    <row r="75" spans="1:12" x14ac:dyDescent="0.35">
      <c r="A75" s="9" t="s">
        <v>20</v>
      </c>
      <c r="B75" s="10" t="s">
        <v>175</v>
      </c>
      <c r="C75" s="10" t="s">
        <v>20</v>
      </c>
      <c r="D75" s="10" t="s">
        <v>176</v>
      </c>
      <c r="E75" s="10" t="s">
        <v>177</v>
      </c>
      <c r="F75" s="11">
        <v>3805736</v>
      </c>
      <c r="G75" s="12">
        <v>15363.76</v>
      </c>
      <c r="H75" s="12">
        <v>0.42</v>
      </c>
      <c r="I75" s="13" t="s">
        <v>20</v>
      </c>
      <c r="J75" s="13" t="s">
        <v>20</v>
      </c>
      <c r="K75" s="14">
        <v>0</v>
      </c>
      <c r="L75" s="15">
        <v>0.42</v>
      </c>
    </row>
    <row r="76" spans="1:12" x14ac:dyDescent="0.35">
      <c r="A76" s="9" t="s">
        <v>20</v>
      </c>
      <c r="B76" s="10" t="s">
        <v>178</v>
      </c>
      <c r="C76" s="10" t="s">
        <v>20</v>
      </c>
      <c r="D76" s="10" t="s">
        <v>179</v>
      </c>
      <c r="E76" s="10" t="s">
        <v>180</v>
      </c>
      <c r="F76" s="11">
        <v>6005600</v>
      </c>
      <c r="G76" s="12">
        <v>15637.38</v>
      </c>
      <c r="H76" s="12">
        <v>0.42</v>
      </c>
      <c r="I76" s="13" t="s">
        <v>20</v>
      </c>
      <c r="J76" s="13" t="s">
        <v>20</v>
      </c>
      <c r="K76" s="14">
        <v>0</v>
      </c>
      <c r="L76" s="15">
        <v>0.42</v>
      </c>
    </row>
    <row r="77" spans="1:12" x14ac:dyDescent="0.35">
      <c r="A77" s="9" t="s">
        <v>20</v>
      </c>
      <c r="B77" s="10" t="s">
        <v>181</v>
      </c>
      <c r="C77" s="10" t="s">
        <v>20</v>
      </c>
      <c r="D77" s="10" t="s">
        <v>182</v>
      </c>
      <c r="E77" s="10" t="s">
        <v>183</v>
      </c>
      <c r="F77" s="11">
        <v>8800000</v>
      </c>
      <c r="G77" s="12">
        <v>13906.64</v>
      </c>
      <c r="H77" s="12">
        <v>0.38</v>
      </c>
      <c r="I77" s="13" t="s">
        <v>20</v>
      </c>
      <c r="J77" s="13" t="s">
        <v>20</v>
      </c>
      <c r="K77" s="14">
        <v>0</v>
      </c>
      <c r="L77" s="15">
        <v>0.38</v>
      </c>
    </row>
    <row r="78" spans="1:12" x14ac:dyDescent="0.35">
      <c r="A78" s="9" t="s">
        <v>20</v>
      </c>
      <c r="B78" s="10" t="s">
        <v>184</v>
      </c>
      <c r="C78" s="10" t="s">
        <v>20</v>
      </c>
      <c r="D78" s="10" t="s">
        <v>185</v>
      </c>
      <c r="E78" s="10" t="s">
        <v>186</v>
      </c>
      <c r="F78" s="11">
        <v>4922150</v>
      </c>
      <c r="G78" s="12">
        <v>13252.89</v>
      </c>
      <c r="H78" s="12">
        <v>0.36</v>
      </c>
      <c r="I78" s="13" t="s">
        <v>20</v>
      </c>
      <c r="J78" s="13" t="s">
        <v>20</v>
      </c>
      <c r="K78" s="14">
        <v>0</v>
      </c>
      <c r="L78" s="15">
        <v>0.36</v>
      </c>
    </row>
    <row r="79" spans="1:12" x14ac:dyDescent="0.35">
      <c r="A79" s="9" t="s">
        <v>20</v>
      </c>
      <c r="B79" s="10" t="s">
        <v>187</v>
      </c>
      <c r="C79" s="10" t="s">
        <v>20</v>
      </c>
      <c r="D79" s="10" t="s">
        <v>188</v>
      </c>
      <c r="E79" s="10" t="s">
        <v>33</v>
      </c>
      <c r="F79" s="11">
        <v>1253916</v>
      </c>
      <c r="G79" s="12">
        <v>12289</v>
      </c>
      <c r="H79" s="12">
        <v>0.33</v>
      </c>
      <c r="I79" s="13" t="s">
        <v>20</v>
      </c>
      <c r="J79" s="13" t="s">
        <v>20</v>
      </c>
      <c r="K79" s="14">
        <v>0</v>
      </c>
      <c r="L79" s="15">
        <v>0.33</v>
      </c>
    </row>
    <row r="80" spans="1:12" x14ac:dyDescent="0.35">
      <c r="A80" s="9" t="s">
        <v>20</v>
      </c>
      <c r="B80" s="10" t="s">
        <v>189</v>
      </c>
      <c r="C80" s="10" t="s">
        <v>20</v>
      </c>
      <c r="D80" s="10" t="s">
        <v>190</v>
      </c>
      <c r="E80" s="10" t="s">
        <v>33</v>
      </c>
      <c r="F80" s="11">
        <v>2973016</v>
      </c>
      <c r="G80" s="12">
        <v>10632.99</v>
      </c>
      <c r="H80" s="12">
        <v>0.28999999999999998</v>
      </c>
      <c r="I80" s="13" t="s">
        <v>20</v>
      </c>
      <c r="J80" s="13" t="s">
        <v>20</v>
      </c>
      <c r="K80" s="14">
        <v>0</v>
      </c>
      <c r="L80" s="15">
        <v>0.28999999999999998</v>
      </c>
    </row>
    <row r="81" spans="1:12" x14ac:dyDescent="0.35">
      <c r="A81" s="9" t="s">
        <v>20</v>
      </c>
      <c r="B81" s="10" t="s">
        <v>191</v>
      </c>
      <c r="C81" s="10" t="s">
        <v>20</v>
      </c>
      <c r="D81" s="10" t="s">
        <v>192</v>
      </c>
      <c r="E81" s="10" t="s">
        <v>33</v>
      </c>
      <c r="F81" s="11">
        <v>3277102</v>
      </c>
      <c r="G81" s="12">
        <v>10109.86</v>
      </c>
      <c r="H81" s="12">
        <v>0.27</v>
      </c>
      <c r="I81" s="13" t="s">
        <v>20</v>
      </c>
      <c r="J81" s="13" t="s">
        <v>20</v>
      </c>
      <c r="K81" s="14">
        <v>0</v>
      </c>
      <c r="L81" s="15">
        <v>0.27</v>
      </c>
    </row>
    <row r="82" spans="1:12" x14ac:dyDescent="0.35">
      <c r="A82" s="9" t="s">
        <v>20</v>
      </c>
      <c r="B82" s="10" t="s">
        <v>193</v>
      </c>
      <c r="C82" s="10" t="s">
        <v>20</v>
      </c>
      <c r="D82" s="10" t="s">
        <v>194</v>
      </c>
      <c r="E82" s="10" t="s">
        <v>195</v>
      </c>
      <c r="F82" s="11">
        <v>203239</v>
      </c>
      <c r="G82" s="12">
        <v>8482.7900000000009</v>
      </c>
      <c r="H82" s="12">
        <v>0.23</v>
      </c>
      <c r="I82" s="13" t="s">
        <v>20</v>
      </c>
      <c r="J82" s="13" t="s">
        <v>20</v>
      </c>
      <c r="K82" s="14">
        <v>0</v>
      </c>
      <c r="L82" s="15">
        <v>0.23</v>
      </c>
    </row>
    <row r="83" spans="1:12" x14ac:dyDescent="0.35">
      <c r="A83" s="9" t="s">
        <v>20</v>
      </c>
      <c r="B83" s="10" t="s">
        <v>196</v>
      </c>
      <c r="C83" s="10" t="s">
        <v>20</v>
      </c>
      <c r="D83" s="10" t="s">
        <v>197</v>
      </c>
      <c r="E83" s="10" t="s">
        <v>120</v>
      </c>
      <c r="F83" s="11">
        <v>3555042</v>
      </c>
      <c r="G83" s="12">
        <v>8505.44</v>
      </c>
      <c r="H83" s="12">
        <v>0.23</v>
      </c>
      <c r="I83" s="13" t="s">
        <v>20</v>
      </c>
      <c r="J83" s="13" t="s">
        <v>20</v>
      </c>
      <c r="K83" s="14">
        <v>0</v>
      </c>
      <c r="L83" s="15">
        <v>0.23</v>
      </c>
    </row>
    <row r="84" spans="1:12" x14ac:dyDescent="0.35">
      <c r="A84" s="9" t="s">
        <v>20</v>
      </c>
      <c r="B84" s="10" t="s">
        <v>198</v>
      </c>
      <c r="C84" s="10" t="s">
        <v>20</v>
      </c>
      <c r="D84" s="10" t="s">
        <v>199</v>
      </c>
      <c r="E84" s="10" t="s">
        <v>62</v>
      </c>
      <c r="F84" s="11">
        <v>1140052</v>
      </c>
      <c r="G84" s="12">
        <v>8375.9599999999991</v>
      </c>
      <c r="H84" s="12">
        <v>0.23</v>
      </c>
      <c r="I84" s="13" t="s">
        <v>20</v>
      </c>
      <c r="J84" s="13" t="s">
        <v>20</v>
      </c>
      <c r="K84" s="14">
        <v>0</v>
      </c>
      <c r="L84" s="15">
        <v>0.23</v>
      </c>
    </row>
    <row r="85" spans="1:12" x14ac:dyDescent="0.35">
      <c r="A85" s="9" t="s">
        <v>20</v>
      </c>
      <c r="B85" s="10" t="s">
        <v>200</v>
      </c>
      <c r="C85" s="10" t="s">
        <v>20</v>
      </c>
      <c r="D85" s="10" t="s">
        <v>201</v>
      </c>
      <c r="E85" s="10" t="s">
        <v>78</v>
      </c>
      <c r="F85" s="11">
        <v>4670754</v>
      </c>
      <c r="G85" s="12">
        <v>6910.38</v>
      </c>
      <c r="H85" s="12">
        <v>0.19</v>
      </c>
      <c r="I85" s="13" t="s">
        <v>20</v>
      </c>
      <c r="J85" s="13" t="s">
        <v>20</v>
      </c>
      <c r="K85" s="14">
        <v>0</v>
      </c>
      <c r="L85" s="15">
        <v>0.19</v>
      </c>
    </row>
    <row r="86" spans="1:12" x14ac:dyDescent="0.35">
      <c r="A86" s="9" t="s">
        <v>20</v>
      </c>
      <c r="B86" s="10" t="s">
        <v>202</v>
      </c>
      <c r="C86" s="10" t="s">
        <v>20</v>
      </c>
      <c r="D86" s="10" t="s">
        <v>203</v>
      </c>
      <c r="E86" s="10" t="s">
        <v>120</v>
      </c>
      <c r="F86" s="11">
        <v>203045</v>
      </c>
      <c r="G86" s="12">
        <v>6719.77</v>
      </c>
      <c r="H86" s="12">
        <v>0.18</v>
      </c>
      <c r="I86" s="13" t="s">
        <v>20</v>
      </c>
      <c r="J86" s="13" t="s">
        <v>20</v>
      </c>
      <c r="K86" s="14">
        <v>0</v>
      </c>
      <c r="L86" s="15">
        <v>0.18</v>
      </c>
    </row>
    <row r="87" spans="1:12" x14ac:dyDescent="0.35">
      <c r="A87" s="9" t="s">
        <v>20</v>
      </c>
      <c r="B87" s="10" t="s">
        <v>204</v>
      </c>
      <c r="C87" s="10" t="s">
        <v>20</v>
      </c>
      <c r="D87" s="10" t="s">
        <v>205</v>
      </c>
      <c r="E87" s="10" t="s">
        <v>67</v>
      </c>
      <c r="F87" s="11">
        <v>652537</v>
      </c>
      <c r="G87" s="12">
        <v>6033.68</v>
      </c>
      <c r="H87" s="12">
        <v>0.16</v>
      </c>
      <c r="I87" s="13" t="s">
        <v>20</v>
      </c>
      <c r="J87" s="13" t="s">
        <v>20</v>
      </c>
      <c r="K87" s="14">
        <v>0</v>
      </c>
      <c r="L87" s="15">
        <v>0.16</v>
      </c>
    </row>
    <row r="88" spans="1:12" x14ac:dyDescent="0.35">
      <c r="A88" s="9" t="s">
        <v>20</v>
      </c>
      <c r="B88" s="10" t="s">
        <v>206</v>
      </c>
      <c r="C88" s="10" t="s">
        <v>20</v>
      </c>
      <c r="D88" s="10" t="s">
        <v>207</v>
      </c>
      <c r="E88" s="10" t="s">
        <v>186</v>
      </c>
      <c r="F88" s="11">
        <v>2348332</v>
      </c>
      <c r="G88" s="12">
        <v>1689.16</v>
      </c>
      <c r="H88" s="12">
        <v>0.05</v>
      </c>
      <c r="I88" s="13" t="s">
        <v>20</v>
      </c>
      <c r="J88" s="13" t="s">
        <v>20</v>
      </c>
      <c r="K88" s="14">
        <v>0</v>
      </c>
      <c r="L88" s="15">
        <v>0.05</v>
      </c>
    </row>
    <row r="89" spans="1:12" x14ac:dyDescent="0.35">
      <c r="A89" s="9" t="s">
        <v>20</v>
      </c>
      <c r="B89" s="10" t="s">
        <v>208</v>
      </c>
      <c r="C89" s="10" t="s">
        <v>20</v>
      </c>
      <c r="D89" s="10" t="s">
        <v>209</v>
      </c>
      <c r="E89" s="10" t="s">
        <v>59</v>
      </c>
      <c r="F89" s="11">
        <v>2000000</v>
      </c>
      <c r="G89" s="12">
        <v>1560.8</v>
      </c>
      <c r="H89" s="12">
        <v>0.04</v>
      </c>
      <c r="I89" s="13" t="s">
        <v>20</v>
      </c>
      <c r="J89" s="13" t="s">
        <v>20</v>
      </c>
      <c r="K89" s="14">
        <v>0</v>
      </c>
      <c r="L89" s="15">
        <v>0.04</v>
      </c>
    </row>
    <row r="90" spans="1:12" x14ac:dyDescent="0.35">
      <c r="A90" s="9" t="s">
        <v>20</v>
      </c>
      <c r="B90" s="10" t="s">
        <v>210</v>
      </c>
      <c r="C90" s="10" t="s">
        <v>20</v>
      </c>
      <c r="D90" s="10" t="s">
        <v>211</v>
      </c>
      <c r="E90" s="10" t="s">
        <v>67</v>
      </c>
      <c r="F90" s="11">
        <v>47201</v>
      </c>
      <c r="G90" s="12">
        <v>1570.24</v>
      </c>
      <c r="H90" s="12">
        <v>0.04</v>
      </c>
      <c r="I90" s="13" t="s">
        <v>20</v>
      </c>
      <c r="J90" s="13" t="s">
        <v>20</v>
      </c>
      <c r="K90" s="14">
        <v>0</v>
      </c>
      <c r="L90" s="15">
        <v>0.04</v>
      </c>
    </row>
    <row r="91" spans="1:12" x14ac:dyDescent="0.35">
      <c r="A91" s="16"/>
      <c r="B91" s="8" t="s">
        <v>212</v>
      </c>
      <c r="C91" s="16"/>
      <c r="D91" s="16"/>
      <c r="E91" s="16"/>
      <c r="F91" s="16"/>
      <c r="G91" s="17">
        <v>3307348.8600000013</v>
      </c>
      <c r="H91" s="17">
        <v>89.810000000000045</v>
      </c>
      <c r="I91" s="16"/>
      <c r="J91" s="16"/>
      <c r="K91" s="16"/>
      <c r="L91" s="16"/>
    </row>
    <row r="92" spans="1:12" x14ac:dyDescent="0.35">
      <c r="A92" s="7"/>
      <c r="B92" s="8" t="s">
        <v>213</v>
      </c>
      <c r="C92" s="7"/>
      <c r="D92" s="7"/>
      <c r="E92" s="7"/>
      <c r="F92" s="7"/>
      <c r="G92" s="18">
        <v>3307348.8600000013</v>
      </c>
      <c r="H92" s="18">
        <v>89.810000000000045</v>
      </c>
      <c r="I92" s="7"/>
      <c r="J92" s="7"/>
      <c r="K92" s="7"/>
      <c r="L92" s="7"/>
    </row>
    <row r="93" spans="1:12" x14ac:dyDescent="0.35">
      <c r="A93" s="7"/>
      <c r="B93" s="8" t="s">
        <v>214</v>
      </c>
      <c r="C93" s="7"/>
      <c r="D93" s="7"/>
      <c r="E93" s="7"/>
      <c r="F93" s="7"/>
      <c r="G93" s="7"/>
      <c r="H93" s="7"/>
      <c r="I93" s="7"/>
      <c r="J93" s="7"/>
      <c r="K93" s="7"/>
      <c r="L93" s="7"/>
    </row>
    <row r="94" spans="1:12" x14ac:dyDescent="0.35">
      <c r="A94" s="7"/>
      <c r="B94" s="8" t="s">
        <v>215</v>
      </c>
      <c r="C94" s="7"/>
      <c r="D94" s="7"/>
      <c r="E94" s="7"/>
      <c r="F94" s="7"/>
      <c r="G94" s="7"/>
      <c r="H94" s="7"/>
      <c r="I94" s="7"/>
      <c r="J94" s="7"/>
      <c r="K94" s="7"/>
      <c r="L94" s="7"/>
    </row>
    <row r="95" spans="1:12" x14ac:dyDescent="0.35">
      <c r="A95" s="9" t="s">
        <v>20</v>
      </c>
      <c r="B95" s="10" t="s">
        <v>20</v>
      </c>
      <c r="C95" s="10" t="s">
        <v>20</v>
      </c>
      <c r="D95" s="10" t="s">
        <v>215</v>
      </c>
      <c r="E95" s="10" t="s">
        <v>20</v>
      </c>
      <c r="F95" s="11" t="s">
        <v>20</v>
      </c>
      <c r="G95" s="12">
        <v>382614.63</v>
      </c>
      <c r="H95" s="12">
        <v>10.39</v>
      </c>
      <c r="I95" s="13">
        <v>5.49</v>
      </c>
      <c r="J95" s="13" t="s">
        <v>20</v>
      </c>
      <c r="K95" s="14" t="s">
        <v>20</v>
      </c>
      <c r="L95" s="15" t="s">
        <v>20</v>
      </c>
    </row>
    <row r="96" spans="1:12" x14ac:dyDescent="0.35">
      <c r="A96" s="16"/>
      <c r="B96" s="8" t="s">
        <v>212</v>
      </c>
      <c r="C96" s="16"/>
      <c r="D96" s="16"/>
      <c r="E96" s="16"/>
      <c r="F96" s="16"/>
      <c r="G96" s="17">
        <v>382614.63</v>
      </c>
      <c r="H96" s="17">
        <v>10.39</v>
      </c>
      <c r="I96" s="16"/>
      <c r="J96" s="16"/>
      <c r="K96" s="16"/>
      <c r="L96" s="16"/>
    </row>
    <row r="97" spans="1:12" x14ac:dyDescent="0.35">
      <c r="A97" s="7"/>
      <c r="B97" s="8" t="s">
        <v>213</v>
      </c>
      <c r="C97" s="7"/>
      <c r="D97" s="7"/>
      <c r="E97" s="7"/>
      <c r="F97" s="7"/>
      <c r="G97" s="18">
        <v>382614.63</v>
      </c>
      <c r="H97" s="18">
        <v>10.39</v>
      </c>
      <c r="I97" s="7"/>
      <c r="J97" s="7"/>
      <c r="K97" s="7"/>
      <c r="L97" s="7"/>
    </row>
    <row r="98" spans="1:12" x14ac:dyDescent="0.35">
      <c r="A98" s="7"/>
      <c r="B98" s="8" t="s">
        <v>216</v>
      </c>
      <c r="C98" s="7"/>
      <c r="D98" s="7"/>
      <c r="E98" s="7"/>
      <c r="F98" s="7"/>
      <c r="G98" s="7"/>
      <c r="H98" s="7"/>
      <c r="I98" s="7"/>
      <c r="J98" s="7"/>
      <c r="K98" s="7"/>
      <c r="L98" s="7"/>
    </row>
    <row r="99" spans="1:12" x14ac:dyDescent="0.35">
      <c r="A99" s="7"/>
      <c r="B99" s="8" t="s">
        <v>217</v>
      </c>
      <c r="C99" s="7"/>
      <c r="D99" s="7"/>
      <c r="E99" s="7"/>
      <c r="F99" s="7"/>
      <c r="G99" s="7"/>
      <c r="H99" s="7"/>
      <c r="I99" s="7"/>
      <c r="J99" s="7"/>
      <c r="K99" s="7"/>
      <c r="L99" s="7"/>
    </row>
    <row r="100" spans="1:12" x14ac:dyDescent="0.35">
      <c r="A100" s="9" t="s">
        <v>20</v>
      </c>
      <c r="B100" s="10" t="s">
        <v>20</v>
      </c>
      <c r="C100" s="10" t="s">
        <v>20</v>
      </c>
      <c r="D100" s="10" t="s">
        <v>217</v>
      </c>
      <c r="E100" s="10" t="s">
        <v>20</v>
      </c>
      <c r="F100" s="11" t="s">
        <v>20</v>
      </c>
      <c r="G100" s="12">
        <v>-7196.5</v>
      </c>
      <c r="H100" s="12">
        <v>-0.2</v>
      </c>
      <c r="I100" s="13" t="s">
        <v>20</v>
      </c>
      <c r="J100" s="13" t="s">
        <v>20</v>
      </c>
      <c r="K100" s="14" t="s">
        <v>20</v>
      </c>
      <c r="L100" s="15" t="s">
        <v>20</v>
      </c>
    </row>
    <row r="101" spans="1:12" x14ac:dyDescent="0.35">
      <c r="A101" s="16"/>
      <c r="B101" s="8" t="s">
        <v>212</v>
      </c>
      <c r="C101" s="16"/>
      <c r="D101" s="16"/>
      <c r="E101" s="16"/>
      <c r="F101" s="16"/>
      <c r="G101" s="17">
        <v>-7196.5</v>
      </c>
      <c r="H101" s="17">
        <v>-0.2</v>
      </c>
      <c r="I101" s="16"/>
      <c r="J101" s="16"/>
      <c r="K101" s="16"/>
      <c r="L101" s="16"/>
    </row>
    <row r="102" spans="1:12" x14ac:dyDescent="0.35">
      <c r="A102" s="7"/>
      <c r="B102" s="8" t="s">
        <v>213</v>
      </c>
      <c r="C102" s="7"/>
      <c r="D102" s="7"/>
      <c r="E102" s="7"/>
      <c r="F102" s="7"/>
      <c r="G102" s="18">
        <v>-7196.5</v>
      </c>
      <c r="H102" s="18">
        <v>-0.2</v>
      </c>
      <c r="I102" s="7"/>
      <c r="J102" s="7"/>
      <c r="K102" s="7"/>
      <c r="L102" s="7"/>
    </row>
    <row r="103" spans="1:12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spans="1:12" x14ac:dyDescent="0.35">
      <c r="A104" s="4"/>
      <c r="B104" s="19" t="s">
        <v>218</v>
      </c>
      <c r="C104" s="4"/>
      <c r="D104" s="4"/>
      <c r="E104" s="4"/>
      <c r="F104" s="4"/>
      <c r="G104" s="20">
        <v>3682766.9900000012</v>
      </c>
      <c r="H104" s="20">
        <v>100.00000000000004</v>
      </c>
      <c r="I104" s="4"/>
      <c r="J104" s="4"/>
      <c r="K104" s="4"/>
      <c r="L104" s="4"/>
    </row>
    <row r="105" spans="1:12" x14ac:dyDescent="0.35">
      <c r="A105" s="9" t="s">
        <v>18</v>
      </c>
      <c r="B105" s="34" t="s">
        <v>219</v>
      </c>
      <c r="C105" s="34" t="s">
        <v>219</v>
      </c>
      <c r="D105" s="34" t="s">
        <v>219</v>
      </c>
      <c r="E105" s="34" t="s">
        <v>219</v>
      </c>
      <c r="F105" s="34" t="s">
        <v>219</v>
      </c>
      <c r="G105" s="10"/>
      <c r="H105" s="10"/>
      <c r="I105" s="10"/>
      <c r="J105" s="10"/>
      <c r="K105" s="10"/>
      <c r="L105" s="10"/>
    </row>
    <row r="106" spans="1:12" x14ac:dyDescent="0.35">
      <c r="A106" s="10"/>
      <c r="B106" s="31" t="s">
        <v>220</v>
      </c>
      <c r="C106" s="31" t="s">
        <v>220</v>
      </c>
      <c r="D106" s="31" t="s">
        <v>220</v>
      </c>
      <c r="E106" s="31" t="s">
        <v>220</v>
      </c>
      <c r="F106" s="31" t="s">
        <v>220</v>
      </c>
      <c r="G106" s="10"/>
      <c r="H106" s="10"/>
      <c r="I106" s="10"/>
      <c r="J106" s="10"/>
      <c r="K106" s="10"/>
      <c r="L106" s="10"/>
    </row>
    <row r="107" spans="1:12" x14ac:dyDescent="0.35">
      <c r="A107" s="10"/>
      <c r="B107" s="31" t="s">
        <v>221</v>
      </c>
      <c r="C107" s="31" t="s">
        <v>221</v>
      </c>
      <c r="D107" s="31" t="s">
        <v>221</v>
      </c>
      <c r="E107" s="31" t="s">
        <v>221</v>
      </c>
      <c r="F107" s="31" t="s">
        <v>221</v>
      </c>
      <c r="G107" s="10"/>
      <c r="H107" s="10"/>
      <c r="I107" s="10"/>
      <c r="J107" s="10"/>
      <c r="K107" s="10"/>
      <c r="L107" s="10"/>
    </row>
    <row r="108" spans="1:12" x14ac:dyDescent="0.35">
      <c r="A108" s="10"/>
      <c r="B108" s="31" t="s">
        <v>222</v>
      </c>
      <c r="C108" s="31" t="s">
        <v>222</v>
      </c>
      <c r="D108" s="31" t="s">
        <v>222</v>
      </c>
      <c r="E108" s="31" t="s">
        <v>222</v>
      </c>
      <c r="F108" s="31" t="s">
        <v>222</v>
      </c>
      <c r="G108" s="10"/>
      <c r="H108" s="10"/>
      <c r="I108" s="10"/>
      <c r="J108" s="10"/>
      <c r="K108" s="10"/>
      <c r="L108" s="10"/>
    </row>
    <row r="109" spans="1:12" x14ac:dyDescent="0.35">
      <c r="A109" s="10"/>
      <c r="B109" s="31" t="s">
        <v>223</v>
      </c>
      <c r="C109" s="31" t="s">
        <v>223</v>
      </c>
      <c r="D109" s="31" t="s">
        <v>223</v>
      </c>
      <c r="E109" s="31" t="s">
        <v>223</v>
      </c>
      <c r="F109" s="31" t="s">
        <v>223</v>
      </c>
      <c r="G109" s="10"/>
      <c r="H109" s="10"/>
      <c r="I109" s="10"/>
      <c r="J109" s="10"/>
      <c r="K109" s="10"/>
      <c r="L109" s="10"/>
    </row>
    <row r="110" spans="1:12" x14ac:dyDescent="0.35">
      <c r="A110" s="10"/>
      <c r="B110" s="31" t="s">
        <v>224</v>
      </c>
      <c r="C110" s="31" t="s">
        <v>224</v>
      </c>
      <c r="D110" s="31" t="s">
        <v>224</v>
      </c>
      <c r="E110" s="31" t="s">
        <v>224</v>
      </c>
      <c r="F110" s="31" t="s">
        <v>224</v>
      </c>
      <c r="G110" s="10"/>
      <c r="H110" s="10"/>
      <c r="I110" s="10"/>
      <c r="J110" s="10"/>
      <c r="K110" s="10"/>
      <c r="L110" s="10"/>
    </row>
    <row r="111" spans="1:12" x14ac:dyDescent="0.35">
      <c r="A111" s="10"/>
      <c r="B111" s="31" t="s">
        <v>225</v>
      </c>
      <c r="C111" s="31" t="s">
        <v>225</v>
      </c>
      <c r="D111" s="31" t="s">
        <v>225</v>
      </c>
      <c r="E111" s="31" t="s">
        <v>225</v>
      </c>
      <c r="F111" s="31" t="s">
        <v>225</v>
      </c>
      <c r="G111" s="10"/>
      <c r="H111" s="10"/>
      <c r="I111" s="10"/>
      <c r="J111" s="10"/>
      <c r="K111" s="10"/>
      <c r="L111" s="10"/>
    </row>
    <row r="112" spans="1:12" x14ac:dyDescent="0.35">
      <c r="A112" s="10"/>
      <c r="B112" s="31" t="s">
        <v>226</v>
      </c>
      <c r="C112" s="31" t="s">
        <v>226</v>
      </c>
      <c r="D112" s="31" t="s">
        <v>226</v>
      </c>
      <c r="E112" s="31" t="s">
        <v>226</v>
      </c>
      <c r="F112" s="31" t="s">
        <v>226</v>
      </c>
      <c r="G112" s="10"/>
      <c r="H112" s="10"/>
      <c r="I112" s="10"/>
      <c r="J112" s="10"/>
      <c r="K112" s="10"/>
      <c r="L112" s="10"/>
    </row>
    <row r="113" spans="1:8" x14ac:dyDescent="0.35">
      <c r="A113" s="10"/>
      <c r="B113" s="10"/>
      <c r="C113" s="10"/>
      <c r="D113" s="10"/>
      <c r="E113" s="10"/>
      <c r="F113" s="10"/>
      <c r="G113" s="10"/>
      <c r="H113" s="10"/>
    </row>
    <row r="114" spans="1:8" x14ac:dyDescent="0.35">
      <c r="A114" s="21"/>
      <c r="B114" s="22" t="s">
        <v>227</v>
      </c>
      <c r="C114" s="21"/>
      <c r="D114" s="21"/>
      <c r="E114" s="10"/>
      <c r="F114" s="10"/>
      <c r="G114" s="10"/>
      <c r="H114" s="10"/>
    </row>
    <row r="115" spans="1:8" x14ac:dyDescent="0.35">
      <c r="A115" s="21"/>
      <c r="B115" s="23" t="s">
        <v>22</v>
      </c>
      <c r="C115" s="24"/>
      <c r="D115" s="25">
        <v>10.940000000000001</v>
      </c>
      <c r="E115" s="10"/>
      <c r="F115" s="10"/>
      <c r="G115" s="10"/>
      <c r="H115" s="10"/>
    </row>
    <row r="116" spans="1:8" x14ac:dyDescent="0.35">
      <c r="A116" s="21"/>
      <c r="B116" s="23" t="s">
        <v>33</v>
      </c>
      <c r="C116" s="24"/>
      <c r="D116" s="25">
        <v>9.7800000000000011</v>
      </c>
      <c r="E116" s="10"/>
      <c r="F116" s="10"/>
      <c r="G116" s="10"/>
      <c r="H116" s="10"/>
    </row>
    <row r="117" spans="1:8" x14ac:dyDescent="0.35">
      <c r="A117" s="21"/>
      <c r="B117" s="23" t="s">
        <v>25</v>
      </c>
      <c r="C117" s="24"/>
      <c r="D117" s="25">
        <v>8.879999999999999</v>
      </c>
      <c r="E117" s="10"/>
      <c r="F117" s="10"/>
      <c r="G117" s="10"/>
      <c r="H117" s="10"/>
    </row>
    <row r="118" spans="1:8" x14ac:dyDescent="0.35">
      <c r="A118" s="21"/>
      <c r="B118" s="23" t="s">
        <v>30</v>
      </c>
      <c r="C118" s="24"/>
      <c r="D118" s="25">
        <v>8.5400000000000009</v>
      </c>
      <c r="E118" s="10"/>
      <c r="F118" s="10"/>
      <c r="G118" s="10"/>
      <c r="H118" s="10"/>
    </row>
    <row r="119" spans="1:8" x14ac:dyDescent="0.35">
      <c r="A119" s="21"/>
      <c r="B119" s="23" t="s">
        <v>51</v>
      </c>
      <c r="C119" s="24"/>
      <c r="D119" s="25">
        <v>6.04</v>
      </c>
      <c r="E119" s="10"/>
      <c r="F119" s="10"/>
      <c r="G119" s="10"/>
      <c r="H119" s="10"/>
    </row>
    <row r="120" spans="1:8" x14ac:dyDescent="0.35">
      <c r="A120" s="21"/>
      <c r="B120" s="23" t="s">
        <v>62</v>
      </c>
      <c r="C120" s="24"/>
      <c r="D120" s="25">
        <v>5.7799999999999994</v>
      </c>
      <c r="E120" s="10"/>
      <c r="F120" s="10"/>
      <c r="G120" s="10"/>
      <c r="H120" s="10"/>
    </row>
    <row r="121" spans="1:8" x14ac:dyDescent="0.35">
      <c r="A121" s="21"/>
      <c r="B121" s="23" t="s">
        <v>67</v>
      </c>
      <c r="C121" s="24"/>
      <c r="D121" s="25">
        <v>4.92</v>
      </c>
      <c r="E121" s="10"/>
      <c r="F121" s="10"/>
      <c r="G121" s="10"/>
      <c r="H121" s="10"/>
    </row>
    <row r="122" spans="1:8" x14ac:dyDescent="0.35">
      <c r="A122" s="21"/>
      <c r="B122" s="23" t="s">
        <v>120</v>
      </c>
      <c r="C122" s="24"/>
      <c r="D122" s="25">
        <v>3.5100000000000002</v>
      </c>
      <c r="E122" s="10"/>
      <c r="F122" s="10"/>
      <c r="G122" s="10"/>
      <c r="H122" s="10"/>
    </row>
    <row r="123" spans="1:8" x14ac:dyDescent="0.35">
      <c r="A123" s="21"/>
      <c r="B123" s="23" t="s">
        <v>36</v>
      </c>
      <c r="C123" s="24"/>
      <c r="D123" s="25">
        <v>3.41</v>
      </c>
      <c r="E123" s="10"/>
      <c r="F123" s="10"/>
      <c r="G123" s="10"/>
      <c r="H123" s="10"/>
    </row>
    <row r="124" spans="1:8" x14ac:dyDescent="0.35">
      <c r="A124" s="21"/>
      <c r="B124" s="23" t="s">
        <v>75</v>
      </c>
      <c r="C124" s="24"/>
      <c r="D124" s="25">
        <v>2.94</v>
      </c>
      <c r="E124" s="10"/>
      <c r="F124" s="10"/>
      <c r="G124" s="10"/>
      <c r="H124" s="10"/>
    </row>
    <row r="125" spans="1:8" x14ac:dyDescent="0.35">
      <c r="A125" s="21"/>
      <c r="B125" s="23" t="s">
        <v>72</v>
      </c>
      <c r="C125" s="24"/>
      <c r="D125" s="25">
        <v>2.93</v>
      </c>
      <c r="E125" s="10"/>
      <c r="F125" s="10"/>
      <c r="G125" s="10"/>
      <c r="H125" s="10"/>
    </row>
    <row r="126" spans="1:8" x14ac:dyDescent="0.35">
      <c r="A126" s="21"/>
      <c r="B126" s="23" t="s">
        <v>48</v>
      </c>
      <c r="C126" s="24"/>
      <c r="D126" s="25">
        <v>2.89</v>
      </c>
      <c r="E126" s="10"/>
      <c r="F126" s="10"/>
      <c r="G126" s="10"/>
      <c r="H126" s="10"/>
    </row>
    <row r="127" spans="1:8" x14ac:dyDescent="0.35">
      <c r="A127" s="21"/>
      <c r="B127" s="23" t="s">
        <v>56</v>
      </c>
      <c r="C127" s="24"/>
      <c r="D127" s="25">
        <v>2.23</v>
      </c>
      <c r="E127" s="10"/>
      <c r="F127" s="10"/>
      <c r="G127" s="10"/>
      <c r="H127" s="10"/>
    </row>
    <row r="128" spans="1:8" x14ac:dyDescent="0.35">
      <c r="A128" s="21"/>
      <c r="B128" s="23" t="s">
        <v>43</v>
      </c>
      <c r="C128" s="24"/>
      <c r="D128" s="25">
        <v>2.1</v>
      </c>
      <c r="E128" s="10"/>
      <c r="F128" s="10"/>
      <c r="G128" s="10"/>
      <c r="H128" s="10"/>
    </row>
    <row r="129" spans="1:8" x14ac:dyDescent="0.35">
      <c r="A129" s="21"/>
      <c r="B129" s="23" t="s">
        <v>107</v>
      </c>
      <c r="C129" s="24"/>
      <c r="D129" s="25">
        <v>1.9700000000000002</v>
      </c>
      <c r="E129" s="10"/>
      <c r="F129" s="10"/>
      <c r="G129" s="10"/>
      <c r="H129" s="10"/>
    </row>
    <row r="130" spans="1:8" x14ac:dyDescent="0.35">
      <c r="A130" s="21"/>
      <c r="B130" s="23" t="s">
        <v>90</v>
      </c>
      <c r="C130" s="24"/>
      <c r="D130" s="25">
        <v>1.8800000000000001</v>
      </c>
      <c r="E130" s="10"/>
      <c r="F130" s="10"/>
      <c r="G130" s="10"/>
      <c r="H130" s="10"/>
    </row>
    <row r="131" spans="1:8" x14ac:dyDescent="0.35">
      <c r="A131" s="21"/>
      <c r="B131" s="23" t="s">
        <v>87</v>
      </c>
      <c r="C131" s="24"/>
      <c r="D131" s="25">
        <v>1.8499999999999999</v>
      </c>
      <c r="E131" s="10"/>
      <c r="F131" s="10"/>
      <c r="G131" s="10"/>
      <c r="H131" s="10"/>
    </row>
    <row r="132" spans="1:8" x14ac:dyDescent="0.35">
      <c r="A132" s="21"/>
      <c r="B132" s="23" t="s">
        <v>149</v>
      </c>
      <c r="C132" s="24"/>
      <c r="D132" s="25">
        <v>1.6</v>
      </c>
      <c r="E132" s="10"/>
      <c r="F132" s="10"/>
      <c r="G132" s="10"/>
      <c r="H132" s="10"/>
    </row>
    <row r="133" spans="1:8" x14ac:dyDescent="0.35">
      <c r="A133" s="21"/>
      <c r="B133" s="23" t="s">
        <v>59</v>
      </c>
      <c r="C133" s="24"/>
      <c r="D133" s="25">
        <v>1.58</v>
      </c>
      <c r="E133" s="10"/>
      <c r="F133" s="10"/>
      <c r="G133" s="10"/>
      <c r="H133" s="10"/>
    </row>
    <row r="134" spans="1:8" x14ac:dyDescent="0.35">
      <c r="A134" s="21"/>
      <c r="B134" s="23" t="s">
        <v>78</v>
      </c>
      <c r="C134" s="24"/>
      <c r="D134" s="25">
        <v>1.39</v>
      </c>
      <c r="E134" s="10"/>
      <c r="F134" s="10"/>
      <c r="G134" s="10"/>
      <c r="H134" s="10"/>
    </row>
    <row r="135" spans="1:8" x14ac:dyDescent="0.35">
      <c r="A135" s="21"/>
      <c r="B135" s="23" t="s">
        <v>134</v>
      </c>
      <c r="C135" s="24"/>
      <c r="D135" s="25">
        <v>1.33</v>
      </c>
      <c r="E135" s="10"/>
      <c r="F135" s="10"/>
      <c r="G135" s="10"/>
      <c r="H135" s="10"/>
    </row>
    <row r="136" spans="1:8" x14ac:dyDescent="0.35">
      <c r="A136" s="21"/>
      <c r="B136" s="23" t="s">
        <v>129</v>
      </c>
      <c r="C136" s="24"/>
      <c r="D136" s="25">
        <v>0.81</v>
      </c>
      <c r="E136" s="10"/>
      <c r="F136" s="10"/>
      <c r="G136" s="10"/>
      <c r="H136" s="10"/>
    </row>
    <row r="137" spans="1:8" x14ac:dyDescent="0.35">
      <c r="A137" s="21"/>
      <c r="B137" s="23" t="s">
        <v>158</v>
      </c>
      <c r="C137" s="24"/>
      <c r="D137" s="25">
        <v>0.59</v>
      </c>
      <c r="E137" s="10"/>
      <c r="F137" s="10"/>
      <c r="G137" s="10"/>
      <c r="H137" s="10"/>
    </row>
    <row r="138" spans="1:8" x14ac:dyDescent="0.35">
      <c r="A138" s="21"/>
      <c r="B138" s="23" t="s">
        <v>180</v>
      </c>
      <c r="C138" s="24"/>
      <c r="D138" s="25">
        <v>0.42</v>
      </c>
      <c r="E138" s="10"/>
      <c r="F138" s="10"/>
      <c r="G138" s="10"/>
      <c r="H138" s="10"/>
    </row>
    <row r="139" spans="1:8" x14ac:dyDescent="0.35">
      <c r="A139" s="21"/>
      <c r="B139" s="23" t="s">
        <v>177</v>
      </c>
      <c r="C139" s="24"/>
      <c r="D139" s="25">
        <v>0.42</v>
      </c>
      <c r="E139" s="10"/>
      <c r="F139" s="10"/>
      <c r="G139" s="10"/>
      <c r="H139" s="10"/>
    </row>
    <row r="140" spans="1:8" x14ac:dyDescent="0.35">
      <c r="A140" s="21"/>
      <c r="B140" s="23" t="s">
        <v>186</v>
      </c>
      <c r="C140" s="24"/>
      <c r="D140" s="25">
        <v>0.41</v>
      </c>
      <c r="E140" s="10"/>
      <c r="F140" s="10"/>
      <c r="G140" s="10"/>
      <c r="H140" s="10"/>
    </row>
    <row r="141" spans="1:8" x14ac:dyDescent="0.35">
      <c r="A141" s="21"/>
      <c r="B141" s="23" t="s">
        <v>183</v>
      </c>
      <c r="C141" s="24"/>
      <c r="D141" s="25">
        <v>0.38</v>
      </c>
      <c r="E141" s="10"/>
      <c r="F141" s="10"/>
      <c r="G141" s="10"/>
      <c r="H141" s="10"/>
    </row>
    <row r="142" spans="1:8" x14ac:dyDescent="0.35">
      <c r="A142" s="21"/>
      <c r="B142" s="23" t="s">
        <v>195</v>
      </c>
      <c r="C142" s="24"/>
      <c r="D142" s="25">
        <v>0.23</v>
      </c>
      <c r="E142" s="10"/>
      <c r="F142" s="10"/>
      <c r="G142" s="10"/>
      <c r="H142" s="10"/>
    </row>
    <row r="143" spans="1:8" x14ac:dyDescent="0.35">
      <c r="A143" s="21"/>
      <c r="B143" s="23" t="s">
        <v>228</v>
      </c>
      <c r="C143" s="24"/>
      <c r="D143" s="25">
        <v>0.06</v>
      </c>
      <c r="E143" s="10"/>
      <c r="F143" s="10"/>
      <c r="G143" s="10"/>
      <c r="H143" s="10"/>
    </row>
    <row r="144" spans="1:8" x14ac:dyDescent="0.35">
      <c r="A144" s="21"/>
      <c r="B144" s="23" t="s">
        <v>229</v>
      </c>
      <c r="C144" s="24"/>
      <c r="D144" s="25">
        <v>10.190000000000001</v>
      </c>
      <c r="E144" s="10"/>
      <c r="F144" s="10"/>
      <c r="G144" s="10"/>
      <c r="H144" s="10"/>
    </row>
    <row r="145" spans="1:8" x14ac:dyDescent="0.35">
      <c r="A145" s="26"/>
      <c r="B145" s="26"/>
      <c r="C145" s="26"/>
      <c r="D145" s="26"/>
      <c r="E145" s="26"/>
      <c r="F145" s="26"/>
      <c r="G145" s="26"/>
      <c r="H145" s="26"/>
    </row>
    <row r="146" spans="1:8" x14ac:dyDescent="0.35">
      <c r="A146" s="26"/>
      <c r="B146" s="7" t="s">
        <v>230</v>
      </c>
      <c r="C146" s="26"/>
      <c r="D146" s="26"/>
      <c r="E146" s="26"/>
      <c r="F146" s="26"/>
      <c r="G146" s="26"/>
      <c r="H146" s="26"/>
    </row>
    <row r="147" spans="1:8" x14ac:dyDescent="0.35">
      <c r="A147" s="10"/>
      <c r="B147" s="10" t="s">
        <v>231</v>
      </c>
      <c r="C147" s="10"/>
      <c r="D147" s="10"/>
      <c r="E147" s="10"/>
      <c r="F147" s="10"/>
      <c r="G147" s="10"/>
      <c r="H147" s="26"/>
    </row>
    <row r="148" spans="1:8" x14ac:dyDescent="0.35">
      <c r="A148" s="10"/>
      <c r="B148" s="27" t="s">
        <v>232</v>
      </c>
      <c r="C148" s="28" t="s">
        <v>233</v>
      </c>
      <c r="D148" s="27" t="s">
        <v>234</v>
      </c>
      <c r="E148" s="10"/>
      <c r="F148" s="10"/>
      <c r="G148" s="10"/>
      <c r="H148" s="26"/>
    </row>
    <row r="149" spans="1:8" x14ac:dyDescent="0.35">
      <c r="A149" s="10"/>
      <c r="B149" s="7" t="s">
        <v>235</v>
      </c>
      <c r="C149" s="29">
        <v>44.86</v>
      </c>
      <c r="D149" s="29">
        <v>44.734000000000002</v>
      </c>
      <c r="E149" s="10"/>
      <c r="F149" s="10"/>
      <c r="G149" s="10"/>
      <c r="H149" s="26"/>
    </row>
    <row r="150" spans="1:8" x14ac:dyDescent="0.35">
      <c r="A150" s="10"/>
      <c r="B150" s="7" t="s">
        <v>236</v>
      </c>
      <c r="C150" s="29">
        <v>68.707999999999998</v>
      </c>
      <c r="D150" s="29">
        <v>68.462999999999994</v>
      </c>
      <c r="E150" s="10"/>
      <c r="F150" s="10"/>
      <c r="G150" s="10"/>
      <c r="H150" s="26"/>
    </row>
    <row r="151" spans="1:8" x14ac:dyDescent="0.35">
      <c r="A151" s="10"/>
      <c r="B151" s="7" t="s">
        <v>237</v>
      </c>
      <c r="C151" s="29">
        <v>139.666</v>
      </c>
      <c r="D151" s="29">
        <v>139.273</v>
      </c>
      <c r="E151" s="10"/>
      <c r="F151" s="10"/>
      <c r="G151" s="10"/>
      <c r="H151" s="26"/>
    </row>
    <row r="152" spans="1:8" x14ac:dyDescent="0.35">
      <c r="A152" s="10"/>
      <c r="B152" s="7" t="s">
        <v>238</v>
      </c>
      <c r="C152" s="29">
        <v>159.06700000000001</v>
      </c>
      <c r="D152" s="29">
        <v>158.5</v>
      </c>
      <c r="E152" s="10"/>
      <c r="F152" s="10"/>
      <c r="G152" s="10"/>
      <c r="H152" s="26"/>
    </row>
    <row r="153" spans="1:8" x14ac:dyDescent="0.35">
      <c r="A153" s="10"/>
      <c r="B153" s="7" t="s">
        <v>20</v>
      </c>
      <c r="C153" s="10"/>
      <c r="D153" s="10"/>
      <c r="E153" s="10"/>
      <c r="F153" s="10"/>
      <c r="G153" s="10"/>
      <c r="H153" s="26"/>
    </row>
    <row r="154" spans="1:8" x14ac:dyDescent="0.35">
      <c r="A154" s="10"/>
      <c r="B154" s="10"/>
      <c r="C154" s="10"/>
      <c r="D154" s="10"/>
      <c r="E154" s="10"/>
      <c r="F154" s="10"/>
      <c r="G154" s="10"/>
      <c r="H154" s="26"/>
    </row>
    <row r="155" spans="1:8" x14ac:dyDescent="0.35">
      <c r="A155" s="10"/>
      <c r="B155" s="10" t="s">
        <v>239</v>
      </c>
      <c r="C155" s="10"/>
      <c r="D155" s="10"/>
      <c r="E155" s="10"/>
      <c r="F155" s="10"/>
      <c r="G155" s="10"/>
      <c r="H155" s="26"/>
    </row>
    <row r="156" spans="1:8" x14ac:dyDescent="0.35">
      <c r="A156" s="10"/>
      <c r="B156" s="10"/>
      <c r="C156" s="10"/>
      <c r="D156" s="10"/>
      <c r="E156" s="10"/>
      <c r="F156" s="10"/>
      <c r="G156" s="10"/>
      <c r="H156" s="26"/>
    </row>
    <row r="157" spans="1:8" x14ac:dyDescent="0.35">
      <c r="A157" s="10"/>
      <c r="B157" s="10" t="s">
        <v>240</v>
      </c>
      <c r="C157" s="10"/>
      <c r="D157" s="10"/>
      <c r="E157" s="10"/>
      <c r="F157" s="10"/>
      <c r="G157" s="10"/>
      <c r="H157" s="26"/>
    </row>
    <row r="158" spans="1:8" x14ac:dyDescent="0.35">
      <c r="A158" s="26"/>
      <c r="B158" s="26"/>
      <c r="C158" s="26"/>
      <c r="D158" s="26"/>
      <c r="E158" s="26"/>
      <c r="F158" s="26"/>
      <c r="G158" s="26"/>
      <c r="H158" s="26"/>
    </row>
    <row r="159" spans="1:8" x14ac:dyDescent="0.35">
      <c r="A159" s="10"/>
      <c r="B159" s="10" t="s">
        <v>241</v>
      </c>
      <c r="C159" s="10"/>
      <c r="D159" s="10"/>
      <c r="E159" s="10"/>
      <c r="F159" s="10"/>
      <c r="G159" s="10"/>
      <c r="H159" s="10"/>
    </row>
    <row r="160" spans="1:8" x14ac:dyDescent="0.35">
      <c r="A160" s="10"/>
      <c r="B160" s="10" t="s">
        <v>242</v>
      </c>
      <c r="C160" s="10"/>
      <c r="D160" s="10"/>
      <c r="E160" s="10"/>
      <c r="F160" s="10"/>
      <c r="G160" s="10"/>
      <c r="H160" s="26"/>
    </row>
    <row r="161" spans="1:8" x14ac:dyDescent="0.35">
      <c r="A161" s="10"/>
      <c r="B161" s="10" t="s">
        <v>243</v>
      </c>
      <c r="C161" s="10"/>
      <c r="D161" s="10"/>
      <c r="E161" s="10"/>
      <c r="F161" s="10"/>
      <c r="G161" s="10"/>
      <c r="H161" s="26"/>
    </row>
    <row r="162" spans="1:8" x14ac:dyDescent="0.35">
      <c r="A162" s="10"/>
      <c r="B162" s="10" t="s">
        <v>244</v>
      </c>
      <c r="C162" s="10"/>
      <c r="D162" s="10"/>
      <c r="E162" s="10"/>
      <c r="F162" s="10"/>
      <c r="G162" s="10"/>
      <c r="H162" s="26"/>
    </row>
    <row r="163" spans="1:8" x14ac:dyDescent="0.35">
      <c r="A163" s="10"/>
      <c r="B163" s="10" t="s">
        <v>245</v>
      </c>
      <c r="C163" s="10"/>
      <c r="D163" s="10"/>
      <c r="E163" s="10"/>
      <c r="F163" s="10"/>
      <c r="G163" s="10"/>
      <c r="H163" s="26"/>
    </row>
    <row r="164" spans="1:8" x14ac:dyDescent="0.35">
      <c r="A164" s="10"/>
      <c r="B164" s="10" t="s">
        <v>246</v>
      </c>
      <c r="C164" s="10"/>
      <c r="D164" s="10"/>
      <c r="E164" s="10"/>
      <c r="F164" s="10"/>
      <c r="G164" s="10"/>
      <c r="H164" s="26"/>
    </row>
    <row r="165" spans="1:8" x14ac:dyDescent="0.35">
      <c r="A165" s="10"/>
      <c r="B165" s="10" t="s">
        <v>247</v>
      </c>
      <c r="C165" s="10"/>
      <c r="D165" s="10"/>
      <c r="E165" s="10"/>
      <c r="F165" s="10"/>
      <c r="G165" s="10"/>
      <c r="H165" s="26"/>
    </row>
    <row r="166" spans="1:8" x14ac:dyDescent="0.35">
      <c r="A166" s="10"/>
      <c r="B166" s="10" t="s">
        <v>248</v>
      </c>
      <c r="C166" s="10"/>
      <c r="D166" s="10"/>
      <c r="E166" s="10"/>
      <c r="F166" s="10"/>
      <c r="G166" s="10"/>
      <c r="H166" s="26"/>
    </row>
    <row r="167" spans="1:8" x14ac:dyDescent="0.35">
      <c r="A167" s="10"/>
      <c r="B167" s="10"/>
      <c r="C167" s="10"/>
      <c r="D167" s="10"/>
      <c r="E167" s="10"/>
      <c r="F167" s="10"/>
      <c r="G167" s="10"/>
      <c r="H167" s="26"/>
    </row>
    <row r="169" spans="1:8" x14ac:dyDescent="0.35">
      <c r="B169" s="30" t="s">
        <v>249</v>
      </c>
    </row>
    <row r="185" spans="2:2" x14ac:dyDescent="0.35">
      <c r="B185" s="30" t="s">
        <v>250</v>
      </c>
    </row>
  </sheetData>
  <mergeCells count="10">
    <mergeCell ref="B109:F109"/>
    <mergeCell ref="B110:F110"/>
    <mergeCell ref="B111:F111"/>
    <mergeCell ref="B112:F112"/>
    <mergeCell ref="A1:J1"/>
    <mergeCell ref="A2:J2"/>
    <mergeCell ref="B105:F105"/>
    <mergeCell ref="B106:F106"/>
    <mergeCell ref="B107:F107"/>
    <mergeCell ref="B108:F10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/>
  <dimension ref="A2:I17"/>
  <sheetViews>
    <sheetView zoomScale="80" zoomScaleNormal="80" workbookViewId="0"/>
  </sheetViews>
  <sheetFormatPr defaultColWidth="9.1796875" defaultRowHeight="15.5" x14ac:dyDescent="0.35"/>
  <cols>
    <col min="1" max="1" width="36.26953125" style="35" customWidth="1"/>
    <col min="2" max="2" width="35.26953125" style="35" customWidth="1"/>
    <col min="3" max="3" width="16.453125" style="35" customWidth="1"/>
    <col min="4" max="4" width="20.54296875" style="35" customWidth="1"/>
    <col min="5" max="5" width="18" style="35" customWidth="1"/>
    <col min="6" max="6" width="14.81640625" style="35" customWidth="1"/>
    <col min="7" max="7" width="13.54296875" style="35" customWidth="1"/>
    <col min="8" max="8" width="20.81640625" style="35" bestFit="1" customWidth="1"/>
    <col min="9" max="9" width="16.1796875" style="35" customWidth="1"/>
    <col min="10" max="10" width="11.7265625" style="35" customWidth="1"/>
    <col min="11" max="11" width="12.7265625" style="35" customWidth="1"/>
    <col min="12" max="12" width="27.26953125" style="35" customWidth="1"/>
    <col min="13" max="14" width="9.1796875" style="35" customWidth="1"/>
    <col min="15" max="15" width="10.7265625" style="35" customWidth="1"/>
    <col min="16" max="16384" width="9.1796875" style="35"/>
  </cols>
  <sheetData>
    <row r="2" spans="1:9" x14ac:dyDescent="0.35">
      <c r="G2" s="36"/>
    </row>
    <row r="3" spans="1:9" x14ac:dyDescent="0.35">
      <c r="A3" s="37" t="s">
        <v>251</v>
      </c>
      <c r="B3" s="37"/>
      <c r="C3" s="37"/>
      <c r="D3" s="37"/>
      <c r="E3" s="37"/>
      <c r="F3" s="37"/>
      <c r="G3" s="37"/>
    </row>
    <row r="5" spans="1:9" x14ac:dyDescent="0.35">
      <c r="A5" s="35" t="s">
        <v>252</v>
      </c>
    </row>
    <row r="7" spans="1:9" x14ac:dyDescent="0.35">
      <c r="A7" s="38" t="s">
        <v>253</v>
      </c>
      <c r="B7" s="38"/>
      <c r="C7" s="38"/>
      <c r="D7" s="38"/>
      <c r="E7" s="38"/>
      <c r="F7" s="38"/>
    </row>
    <row r="8" spans="1:9" ht="46.5" x14ac:dyDescent="0.35">
      <c r="A8" s="39" t="s">
        <v>254</v>
      </c>
      <c r="B8" s="39" t="s">
        <v>255</v>
      </c>
      <c r="C8" s="39" t="s">
        <v>256</v>
      </c>
      <c r="D8" s="39" t="s">
        <v>257</v>
      </c>
      <c r="E8" s="39" t="s">
        <v>258</v>
      </c>
      <c r="F8" s="39" t="s">
        <v>259</v>
      </c>
      <c r="G8" s="40" t="s">
        <v>260</v>
      </c>
    </row>
    <row r="9" spans="1:9" x14ac:dyDescent="0.35">
      <c r="A9" s="41" t="s">
        <v>148</v>
      </c>
      <c r="B9" s="41" t="s">
        <v>149</v>
      </c>
      <c r="C9" s="42">
        <v>183000</v>
      </c>
      <c r="D9" s="43">
        <v>1158.3978</v>
      </c>
      <c r="E9" s="44">
        <v>1166.9000000000001</v>
      </c>
      <c r="F9" s="44">
        <v>382.90828499999998</v>
      </c>
      <c r="G9" s="44">
        <f t="shared" ref="G9" si="0">(C9*E9)/100000</f>
        <v>2135.4270000000001</v>
      </c>
      <c r="H9" s="45"/>
      <c r="I9" s="46"/>
    </row>
    <row r="10" spans="1:9" x14ac:dyDescent="0.35">
      <c r="A10" s="41"/>
      <c r="B10" s="41"/>
      <c r="C10" s="47">
        <f>SUM(C9:C9)</f>
        <v>183000</v>
      </c>
      <c r="D10" s="47">
        <f>SUM(D9:D9)</f>
        <v>1158.3978</v>
      </c>
      <c r="E10" s="47">
        <f>SUM(E9:E9)</f>
        <v>1166.9000000000001</v>
      </c>
      <c r="F10" s="47">
        <f>SUM(F9:F9)</f>
        <v>382.90828499999998</v>
      </c>
      <c r="G10" s="47">
        <f>SUM(G9:G9)</f>
        <v>2135.4270000000001</v>
      </c>
      <c r="H10" s="48"/>
    </row>
    <row r="12" spans="1:9" x14ac:dyDescent="0.35">
      <c r="A12" s="38" t="s">
        <v>261</v>
      </c>
      <c r="B12" s="38"/>
      <c r="C12" s="38"/>
      <c r="D12" s="38"/>
      <c r="E12" s="38"/>
      <c r="F12" s="38"/>
    </row>
    <row r="14" spans="1:9" x14ac:dyDescent="0.35">
      <c r="A14" s="38" t="s">
        <v>262</v>
      </c>
      <c r="B14" s="38"/>
      <c r="C14" s="38"/>
      <c r="D14" s="38"/>
      <c r="E14" s="38"/>
      <c r="F14" s="38"/>
    </row>
    <row r="16" spans="1:9" x14ac:dyDescent="0.35">
      <c r="A16" s="38" t="s">
        <v>263</v>
      </c>
      <c r="B16" s="38"/>
      <c r="C16" s="38"/>
      <c r="D16" s="38"/>
      <c r="E16" s="38"/>
      <c r="F16" s="38"/>
    </row>
    <row r="17" spans="6:6" x14ac:dyDescent="0.35">
      <c r="F17" s="49"/>
    </row>
  </sheetData>
  <mergeCells count="5">
    <mergeCell ref="A3:G3"/>
    <mergeCell ref="A7:F7"/>
    <mergeCell ref="A12:F12"/>
    <mergeCell ref="A14:F14"/>
    <mergeCell ref="A16:F16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HDFCSMALLF</vt:lpstr>
      <vt:lpstr>DerivativeHDFCSMALLF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2025-10-07T08:45:58Z</dcterms:created>
  <dcterms:modified xsi:type="dcterms:W3CDTF">2025-10-07T08:53:14Z</dcterms:modified>
</cp:coreProperties>
</file>