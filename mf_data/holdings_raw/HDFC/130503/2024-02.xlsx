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SMALLF" sheetId="1" r:id="rId1"/>
    <sheet name="DerivativeHDFC Small Cap Fund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A7" i="2"/>
</calcChain>
</file>

<file path=xl/sharedStrings.xml><?xml version="1.0" encoding="utf-8"?>
<sst xmlns="http://schemas.openxmlformats.org/spreadsheetml/2006/main" count="697" uniqueCount="249">
  <si>
    <t>HDFC Small Cap Fund (An open ended equity scheme predominantly investing in small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</si>
  <si>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</si>
  <si>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</si>
  <si>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</si>
  <si>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</si>
  <si>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</si>
  <si>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</si>
  <si>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</si>
  <si>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</si>
  <si>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</si>
  <si>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</si>
  <si>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</si>
  <si>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</si>
  <si>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</si>
  <si>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</si>
  <si>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</si>
  <si>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</si>
  <si>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</si>
  <si>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</si>
  <si>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INE269A01021</t>
  </si>
  <si>
    <t/>
  </si>
  <si>
    <t>Sonata Software Ltd.</t>
  </si>
  <si>
    <t>IT - Software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</si>
  <si>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</si>
  <si>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</si>
  <si>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</si>
  <si>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</si>
  <si>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</si>
  <si>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</si>
  <si>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</si>
  <si>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</si>
  <si>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INE914M01019</t>
  </si>
  <si>
    <t>Aster DM Healthcare Limited</t>
  </si>
  <si>
    <t>Healthcare Services</t>
  </si>
  <si>
    <t>INE017A01032</t>
  </si>
  <si>
    <t>Great Eastern Shipping Company Ltd.</t>
  </si>
  <si>
    <t>Transport Services</t>
  </si>
  <si>
    <t>INE063P01018</t>
  </si>
  <si>
    <t>Equitas Small Finance Bank Ltd</t>
  </si>
  <si>
    <t>INE211R01019</t>
  </si>
  <si>
    <t>Power Mech Projects Ltd.</t>
  </si>
  <si>
    <t>Construction</t>
  </si>
  <si>
    <t>INE193E01025</t>
  </si>
  <si>
    <t>Bajaj Electricals Ltd.</t>
  </si>
  <si>
    <t>Consumer Durables</t>
  </si>
  <si>
    <t>INE043D01016</t>
  </si>
  <si>
    <t>IDFC Ltd.</t>
  </si>
  <si>
    <t>Finance</t>
  </si>
  <si>
    <t>INE195J01029</t>
  </si>
  <si>
    <t>PNC Infratech Ltd.</t>
  </si>
  <si>
    <t>INE061F01013</t>
  </si>
  <si>
    <t>Fortis Healthcare Limited</t>
  </si>
  <si>
    <t>INE562A01011</t>
  </si>
  <si>
    <t>Indian Bank</t>
  </si>
  <si>
    <t>INE640A01023</t>
  </si>
  <si>
    <t>SKF India Ltd.</t>
  </si>
  <si>
    <t>Industrial Products</t>
  </si>
  <si>
    <t>INE967H01017</t>
  </si>
  <si>
    <t>Krishna Institute Of Medical Sciences Limited</t>
  </si>
  <si>
    <t>INE191H01014</t>
  </si>
  <si>
    <t>PVR LIMITED</t>
  </si>
  <si>
    <t>Entertainment</t>
  </si>
  <si>
    <t>INE406M01024</t>
  </si>
  <si>
    <t>Eris Lifesciences Ltd</t>
  </si>
  <si>
    <t>Pharmaceuticals &amp; Biotechnology</t>
  </si>
  <si>
    <t>INE884B01025</t>
  </si>
  <si>
    <t>Kirloskar Ferrous Industries Ltd.</t>
  </si>
  <si>
    <t>Ferrous Metals</t>
  </si>
  <si>
    <t>INE474Q01031</t>
  </si>
  <si>
    <t>Global Health Limited</t>
  </si>
  <si>
    <t>INE429E01023</t>
  </si>
  <si>
    <t>Safari Industries (India) Ltd.</t>
  </si>
  <si>
    <t>INE524A01029</t>
  </si>
  <si>
    <t>Gabriel India Ltd.</t>
  </si>
  <si>
    <t>Auto Components</t>
  </si>
  <si>
    <t>INE220B01022</t>
  </si>
  <si>
    <t>Kalpataru Projects International Ltd</t>
  </si>
  <si>
    <t>INE540H01012</t>
  </si>
  <si>
    <t>Voltamp Transformers Ltd.</t>
  </si>
  <si>
    <t>Electrical Equipment</t>
  </si>
  <si>
    <t>INE825A01020</t>
  </si>
  <si>
    <t>Vardhman Textiles Ltd.</t>
  </si>
  <si>
    <t>Textiles &amp; Apparels</t>
  </si>
  <si>
    <t>INE399C01030</t>
  </si>
  <si>
    <t>Suprajit Engineering Ltd.</t>
  </si>
  <si>
    <t>INE427F01016</t>
  </si>
  <si>
    <t>Chalet Hotels Ltd.</t>
  </si>
  <si>
    <t>Leisure Services</t>
  </si>
  <si>
    <t>INE878B01027</t>
  </si>
  <si>
    <t>KEI Industries Ltd.</t>
  </si>
  <si>
    <t>INE372A01015</t>
  </si>
  <si>
    <t>Apar Industries Limited</t>
  </si>
  <si>
    <t>INE079J01017</t>
  </si>
  <si>
    <t>Gateway Distriparks Limited</t>
  </si>
  <si>
    <t>INE389H01022</t>
  </si>
  <si>
    <t>KEC International Ltd.</t>
  </si>
  <si>
    <t>INE688A01022</t>
  </si>
  <si>
    <t>Transport Corporation of India Ltd.</t>
  </si>
  <si>
    <t>INE0LXT01019</t>
  </si>
  <si>
    <t>Redtape Limited</t>
  </si>
  <si>
    <t>INE171A01029</t>
  </si>
  <si>
    <t>The Federal Bank Ltd.</t>
  </si>
  <si>
    <t>INE337A01034</t>
  </si>
  <si>
    <t>LG Balakrishnan &amp; Bros Ltd.</t>
  </si>
  <si>
    <t>INE142Q01026</t>
  </si>
  <si>
    <t>SULA VINEYARDS LIMITED</t>
  </si>
  <si>
    <t>Beverages</t>
  </si>
  <si>
    <t>INE085A01013</t>
  </si>
  <si>
    <t>Chambal Fertilizers &amp; Chemicals Ltd.</t>
  </si>
  <si>
    <t>Fertilizers &amp; Agrochemicals</t>
  </si>
  <si>
    <t>INE498B01024</t>
  </si>
  <si>
    <t>Shoppers Stop Ltd.</t>
  </si>
  <si>
    <t>Retailing</t>
  </si>
  <si>
    <t>INE366I01010</t>
  </si>
  <si>
    <t>VRL Logistics Ltd.</t>
  </si>
  <si>
    <t>INE351A01035</t>
  </si>
  <si>
    <t>Unichem Laboratories Ltd.</t>
  </si>
  <si>
    <t>INE891D01026</t>
  </si>
  <si>
    <t>Redington Ltd.</t>
  </si>
  <si>
    <t>INE349A01021</t>
  </si>
  <si>
    <t>NRB Bearing Ltd.</t>
  </si>
  <si>
    <t>INE059D01020</t>
  </si>
  <si>
    <t>La Opala RG Limited</t>
  </si>
  <si>
    <t>INE258A01016</t>
  </si>
  <si>
    <t>BEML Limited</t>
  </si>
  <si>
    <t>Agricultural, Commercial &amp; Construction Vehicles</t>
  </si>
  <si>
    <t>INE679V01019</t>
  </si>
  <si>
    <t>Aditya Vision Limited</t>
  </si>
  <si>
    <t>INE933K01021</t>
  </si>
  <si>
    <t>Bajaj Consumer Care Ltd.</t>
  </si>
  <si>
    <t>Personal Products</t>
  </si>
  <si>
    <t>INE081A01020</t>
  </si>
  <si>
    <t>Tata Steel Ltd.</t>
  </si>
  <si>
    <t>INE517F01014</t>
  </si>
  <si>
    <t>Gujarat Pipavav Port Ltd.</t>
  </si>
  <si>
    <t>Transport Infrastructure</t>
  </si>
  <si>
    <t>INE221J01015</t>
  </si>
  <si>
    <t>Sharda Cropchem Ltd.</t>
  </si>
  <si>
    <t>INE944F01028</t>
  </si>
  <si>
    <t>Radico Khaitan Limited</t>
  </si>
  <si>
    <t>INE745G01035</t>
  </si>
  <si>
    <t>Multi Commodity Exchange of India L</t>
  </si>
  <si>
    <t>Capital Markets</t>
  </si>
  <si>
    <t>INE503A01015</t>
  </si>
  <si>
    <t>DCB Bank Limited</t>
  </si>
  <si>
    <t>INE133Y01011</t>
  </si>
  <si>
    <t>IFGL Refractories Limited (Erst IFGL Exports Ltd)</t>
  </si>
  <si>
    <t>INE120A01034</t>
  </si>
  <si>
    <t>Carborundum Universal Ltd.</t>
  </si>
  <si>
    <t>INE570A01022</t>
  </si>
  <si>
    <t>ION EXCHANGE (INDIA) LIMITED</t>
  </si>
  <si>
    <t>INE199A01012</t>
  </si>
  <si>
    <t>Procter &amp; Gamble Health Ltd.</t>
  </si>
  <si>
    <t>INE612J01015</t>
  </si>
  <si>
    <t>Repco Home Finance Ltd.</t>
  </si>
  <si>
    <t>INE548C01032</t>
  </si>
  <si>
    <t>Emami Ltd.</t>
  </si>
  <si>
    <t>INE950I01011</t>
  </si>
  <si>
    <t>D B Corp Limited</t>
  </si>
  <si>
    <t>Media</t>
  </si>
  <si>
    <t>INE070I01018</t>
  </si>
  <si>
    <t>Insecticides (India) Ltd.</t>
  </si>
  <si>
    <t>INE124G01033</t>
  </si>
  <si>
    <t>Delta Corp Ltd.</t>
  </si>
  <si>
    <t>INE934S01014</t>
  </si>
  <si>
    <t>GNA Axles Ltd.</t>
  </si>
  <si>
    <t>INE533A01012</t>
  </si>
  <si>
    <t>Goodyear India Ltd.</t>
  </si>
  <si>
    <t>INE183A01024</t>
  </si>
  <si>
    <t>Finolex Industries Ltd.</t>
  </si>
  <si>
    <t>INE038F01029</t>
  </si>
  <si>
    <t>T. V. Today Network Ltd.</t>
  </si>
  <si>
    <t>INE386A01015</t>
  </si>
  <si>
    <t>Vesuvius India Ltd.</t>
  </si>
  <si>
    <t>INE837H01020</t>
  </si>
  <si>
    <t>Advanced Enzyme Technologies Ltd.</t>
  </si>
  <si>
    <t>INE0KQN01018</t>
  </si>
  <si>
    <t>Bajel Projects Limited</t>
  </si>
  <si>
    <t>Power</t>
  </si>
  <si>
    <t>INE310A01015</t>
  </si>
  <si>
    <t>Nilkamal Ltd.</t>
  </si>
  <si>
    <t>INE659A01023</t>
  </si>
  <si>
    <t>Sudarshan Chemical Industries Limited</t>
  </si>
  <si>
    <t>Chemicals &amp; Petrochemicals</t>
  </si>
  <si>
    <t>INE544R01021</t>
  </si>
  <si>
    <t>Greenlam Industries Ltd.</t>
  </si>
  <si>
    <t>INE151G01028</t>
  </si>
  <si>
    <t>Shaily Engineering Plastics Ltd.</t>
  </si>
  <si>
    <t>INE230A01023</t>
  </si>
  <si>
    <t>EIH Ltd.</t>
  </si>
  <si>
    <t>INE321D01016</t>
  </si>
  <si>
    <t>Oriental Carbon &amp; Chemicals Ltd.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</si>
  <si>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</si>
  <si>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</si>
  <si>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</si>
  <si>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</si>
  <si>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</si>
  <si>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</si>
  <si>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</si>
  <si>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</si>
  <si>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</si>
  <si>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</si>
  <si>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</si>
  <si>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</si>
  <si>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</si>
  <si>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</si>
  <si>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</si>
  <si>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</si>
  <si>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</si>
  <si>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</si>
  <si>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</si>
  <si>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</si>
  <si>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</si>
  <si>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</si>
  <si>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</si>
  <si>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</si>
  <si>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</si>
  <si>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</si>
  <si>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</si>
  <si>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</si>
  <si>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</si>
  <si>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</si>
  <si>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</si>
  <si>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</si>
  <si>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</si>
  <si>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</si>
  <si>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</si>
  <si>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</si>
  <si>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Rs. 110802.5 Lacs</t>
  </si>
  <si>
    <t>6) Portfolio Turnover Ratio : 8.72%</t>
  </si>
  <si>
    <t>7) Total value and percentage of Illiquid Equity Shares : Nil</t>
  </si>
  <si>
    <t>8) Total outstanding exposure in Derivative Instruments in Nifty Index is Rs. 110802.5 Lacs which is 3.87% of NAV as on 29-Feb-2024</t>
  </si>
  <si>
    <t>9) IDCW stands for Income Distribution cum Capital Withdrawal</t>
  </si>
  <si>
    <t>10) Riskometer based on Scheme Portfolio and Portfolio Benchmark "S&amp;P BSE 250 SmallCap Index (TRI)" as on Feb 29, 2024</t>
  </si>
  <si>
    <t>Scheme Riskometer:</t>
  </si>
  <si>
    <t>Benchmark Riskometer:</t>
  </si>
  <si>
    <t>DERIVATIVE DISCLOSURE - HDFC Small Cap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</si>
  <si>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</si>
  <si>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</si>
  <si>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</si>
  <si>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</si>
  <si>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</si>
  <si>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</si>
  <si>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</si>
  <si>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</si>
  <si>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</si>
  <si>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Small Cap Fund</t>
  </si>
  <si>
    <t>Nifty28-03-2024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</si>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</sst>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7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86279-D276-4985-AA87-8EFF01F93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11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1D031-0B8A-4C16-9C54-031AF74B4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6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Feb%202024/Monthly/Portfolios/equity%20derivative%20disclosure%20FEB%2024%20Final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>
        <row r="7">
          <cell r="A7" t="str">
            <v>A.  Hedging Positions through Futures as on  February 29, 2024</v>
          </cell>
        </row>
      </sheetData>
      <sheetData sheetId="1">
        <row r="7">
          <cell r="A7" t="str">
            <v>A.  Hedging Positions through Futures as on  February 29, 2024</v>
          </cell>
        </row>
      </sheetData>
      <sheetData sheetId="2">
        <row r="7">
          <cell r="A7" t="str">
            <v>A.  Hedging Positions through Futures as on  February 29, 2024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54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18629810</v>
      </c>
      <c r="G9" s="13">
        <v>151078.44</v>
      </c>
      <c r="H9" s="13">
        <v>5.28</v>
      </c>
      <c r="I9" s="14" t="s">
        <v>20</v>
      </c>
      <c r="J9" s="14" t="s">
        <v>20</v>
      </c>
      <c r="K9" s="15">
        <v>0</v>
      </c>
      <c r="L9" s="16">
        <v>5.28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56870459</v>
      </c>
      <c r="G10" s="13">
        <v>116982.53</v>
      </c>
      <c r="H10" s="13">
        <v>4.09</v>
      </c>
      <c r="I10" s="14" t="s">
        <v>20</v>
      </c>
      <c r="J10" s="14" t="s">
        <v>20</v>
      </c>
      <c r="K10" s="15">
        <v>0</v>
      </c>
      <c r="L10" s="16">
        <v>4.09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42828792</v>
      </c>
      <c r="G11" s="13">
        <v>113689.03</v>
      </c>
      <c r="H11" s="13">
        <v>3.98</v>
      </c>
      <c r="I11" s="14" t="s">
        <v>20</v>
      </c>
      <c r="J11" s="14" t="s">
        <v>20</v>
      </c>
      <c r="K11" s="15">
        <v>0</v>
      </c>
      <c r="L11" s="16">
        <v>3.98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25</v>
      </c>
      <c r="F12" s="12">
        <v>3528878</v>
      </c>
      <c r="G12" s="13">
        <v>88994.77</v>
      </c>
      <c r="H12" s="13">
        <v>3.11</v>
      </c>
      <c r="I12" s="14" t="s">
        <v>20</v>
      </c>
      <c r="J12" s="14" t="s">
        <v>20</v>
      </c>
      <c r="K12" s="15">
        <v>0</v>
      </c>
      <c r="L12" s="16">
        <v>3.11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17639352</v>
      </c>
      <c r="G13" s="13">
        <v>83151.91</v>
      </c>
      <c r="H13" s="13">
        <v>2.91</v>
      </c>
      <c r="I13" s="14" t="s">
        <v>20</v>
      </c>
      <c r="J13" s="14" t="s">
        <v>20</v>
      </c>
      <c r="K13" s="15">
        <v>0</v>
      </c>
      <c r="L13" s="16">
        <v>2.91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6404655</v>
      </c>
      <c r="G14" s="13">
        <v>64424.42</v>
      </c>
      <c r="H14" s="13">
        <v>2.25</v>
      </c>
      <c r="I14" s="14" t="s">
        <v>20</v>
      </c>
      <c r="J14" s="14" t="s">
        <v>20</v>
      </c>
      <c r="K14" s="15">
        <v>0</v>
      </c>
      <c r="L14" s="16">
        <v>2.25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28</v>
      </c>
      <c r="F15" s="12">
        <v>60564526</v>
      </c>
      <c r="G15" s="13">
        <v>60352.55</v>
      </c>
      <c r="H15" s="13">
        <v>2.11</v>
      </c>
      <c r="I15" s="14" t="s">
        <v>20</v>
      </c>
      <c r="J15" s="14" t="s">
        <v>20</v>
      </c>
      <c r="K15" s="15">
        <v>0</v>
      </c>
      <c r="L15" s="16">
        <v>2.11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1162932</v>
      </c>
      <c r="G16" s="13">
        <v>59501.42</v>
      </c>
      <c r="H16" s="13">
        <v>2.08</v>
      </c>
      <c r="I16" s="14" t="s">
        <v>20</v>
      </c>
      <c r="J16" s="14" t="s">
        <v>20</v>
      </c>
      <c r="K16" s="15">
        <v>0</v>
      </c>
      <c r="L16" s="16">
        <v>2.08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5882744</v>
      </c>
      <c r="G17" s="13">
        <v>58580.36</v>
      </c>
      <c r="H17" s="13">
        <v>2.0499999999999998</v>
      </c>
      <c r="I17" s="14" t="s">
        <v>20</v>
      </c>
      <c r="J17" s="14" t="s">
        <v>20</v>
      </c>
      <c r="K17" s="15">
        <v>0</v>
      </c>
      <c r="L17" s="16">
        <v>2.0499999999999998</v>
      </c>
    </row>
    <row r="18" spans="1:12" x14ac:dyDescent="0.25">
      <c r="A18" s="10" t="s">
        <v>18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48500000</v>
      </c>
      <c r="G18" s="13">
        <v>56478.25</v>
      </c>
      <c r="H18" s="13">
        <v>1.97</v>
      </c>
      <c r="I18" s="14" t="s">
        <v>20</v>
      </c>
      <c r="J18" s="14" t="s">
        <v>20</v>
      </c>
      <c r="K18" s="15">
        <v>0</v>
      </c>
      <c r="L18" s="16">
        <v>1.97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41</v>
      </c>
      <c r="F19" s="12">
        <v>12986529</v>
      </c>
      <c r="G19" s="13">
        <v>55497.93</v>
      </c>
      <c r="H19" s="13">
        <v>1.94</v>
      </c>
      <c r="I19" s="14" t="s">
        <v>20</v>
      </c>
      <c r="J19" s="14" t="s">
        <v>20</v>
      </c>
      <c r="K19" s="15">
        <v>0</v>
      </c>
      <c r="L19" s="16">
        <v>1.94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33</v>
      </c>
      <c r="F20" s="12">
        <v>12453275</v>
      </c>
      <c r="G20" s="13">
        <v>50809.36</v>
      </c>
      <c r="H20" s="13">
        <v>1.78</v>
      </c>
      <c r="I20" s="14" t="s">
        <v>20</v>
      </c>
      <c r="J20" s="14" t="s">
        <v>20</v>
      </c>
      <c r="K20" s="15">
        <v>0</v>
      </c>
      <c r="L20" s="16">
        <v>1.78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28</v>
      </c>
      <c r="F21" s="12">
        <v>9688128</v>
      </c>
      <c r="G21" s="13">
        <v>50877.2</v>
      </c>
      <c r="H21" s="13">
        <v>1.78</v>
      </c>
      <c r="I21" s="14" t="s">
        <v>20</v>
      </c>
      <c r="J21" s="14" t="s">
        <v>20</v>
      </c>
      <c r="K21" s="15">
        <v>0</v>
      </c>
      <c r="L21" s="16">
        <v>1.78</v>
      </c>
    </row>
    <row r="22" spans="1:12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56</v>
      </c>
      <c r="F22" s="12">
        <v>1049491</v>
      </c>
      <c r="G22" s="13">
        <v>49566.94</v>
      </c>
      <c r="H22" s="13">
        <v>1.73</v>
      </c>
      <c r="I22" s="14" t="s">
        <v>20</v>
      </c>
      <c r="J22" s="14" t="s">
        <v>20</v>
      </c>
      <c r="K22" s="15">
        <v>0</v>
      </c>
      <c r="L22" s="16">
        <v>1.73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33</v>
      </c>
      <c r="F23" s="12">
        <v>2162215</v>
      </c>
      <c r="G23" s="13">
        <v>48805.52</v>
      </c>
      <c r="H23" s="13">
        <v>1.71</v>
      </c>
      <c r="I23" s="14" t="s">
        <v>20</v>
      </c>
      <c r="J23" s="14" t="s">
        <v>20</v>
      </c>
      <c r="K23" s="15">
        <v>0</v>
      </c>
      <c r="L23" s="16">
        <v>1.71</v>
      </c>
    </row>
    <row r="24" spans="1:12" x14ac:dyDescent="0.25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61</v>
      </c>
      <c r="F24" s="12">
        <v>3577141</v>
      </c>
      <c r="G24" s="13">
        <v>49044.39</v>
      </c>
      <c r="H24" s="13">
        <v>1.71</v>
      </c>
      <c r="I24" s="14" t="s">
        <v>20</v>
      </c>
      <c r="J24" s="14" t="s">
        <v>20</v>
      </c>
      <c r="K24" s="15">
        <v>0</v>
      </c>
      <c r="L24" s="16">
        <v>1.71</v>
      </c>
    </row>
    <row r="25" spans="1:12" x14ac:dyDescent="0.2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5521391</v>
      </c>
      <c r="G25" s="13">
        <v>48756.639999999999</v>
      </c>
      <c r="H25" s="13">
        <v>1.7</v>
      </c>
      <c r="I25" s="14" t="s">
        <v>20</v>
      </c>
      <c r="J25" s="14" t="s">
        <v>20</v>
      </c>
      <c r="K25" s="15">
        <v>0</v>
      </c>
      <c r="L25" s="16">
        <v>1.7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8993701</v>
      </c>
      <c r="G26" s="13">
        <v>47716.08</v>
      </c>
      <c r="H26" s="13">
        <v>1.67</v>
      </c>
      <c r="I26" s="14" t="s">
        <v>20</v>
      </c>
      <c r="J26" s="14" t="s">
        <v>20</v>
      </c>
      <c r="K26" s="15">
        <v>0</v>
      </c>
      <c r="L26" s="16">
        <v>1.67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33</v>
      </c>
      <c r="F27" s="12">
        <v>3451023</v>
      </c>
      <c r="G27" s="13">
        <v>47078.86</v>
      </c>
      <c r="H27" s="13">
        <v>1.65</v>
      </c>
      <c r="I27" s="14" t="s">
        <v>20</v>
      </c>
      <c r="J27" s="14" t="s">
        <v>20</v>
      </c>
      <c r="K27" s="15">
        <v>0</v>
      </c>
      <c r="L27" s="16">
        <v>1.65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44</v>
      </c>
      <c r="F28" s="12">
        <v>2146130</v>
      </c>
      <c r="G28" s="13">
        <v>43699.5</v>
      </c>
      <c r="H28" s="13">
        <v>1.53</v>
      </c>
      <c r="I28" s="14" t="s">
        <v>20</v>
      </c>
      <c r="J28" s="14" t="s">
        <v>20</v>
      </c>
      <c r="K28" s="15">
        <v>0</v>
      </c>
      <c r="L28" s="16">
        <v>1.53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12036000</v>
      </c>
      <c r="G29" s="13">
        <v>41518.18</v>
      </c>
      <c r="H29" s="13">
        <v>1.45</v>
      </c>
      <c r="I29" s="14" t="s">
        <v>20</v>
      </c>
      <c r="J29" s="14" t="s">
        <v>20</v>
      </c>
      <c r="K29" s="15">
        <v>0</v>
      </c>
      <c r="L29" s="16">
        <v>1.45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41</v>
      </c>
      <c r="F30" s="12">
        <v>4214750</v>
      </c>
      <c r="G30" s="13">
        <v>40722.910000000003</v>
      </c>
      <c r="H30" s="13">
        <v>1.42</v>
      </c>
      <c r="I30" s="14" t="s">
        <v>20</v>
      </c>
      <c r="J30" s="14" t="s">
        <v>20</v>
      </c>
      <c r="K30" s="15">
        <v>0</v>
      </c>
      <c r="L30" s="16">
        <v>1.42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79</v>
      </c>
      <c r="F31" s="12">
        <v>460704</v>
      </c>
      <c r="G31" s="13">
        <v>40573.97</v>
      </c>
      <c r="H31" s="13">
        <v>1.42</v>
      </c>
      <c r="I31" s="14" t="s">
        <v>20</v>
      </c>
      <c r="J31" s="14" t="s">
        <v>20</v>
      </c>
      <c r="K31" s="15">
        <v>0</v>
      </c>
      <c r="L31" s="16">
        <v>1.42</v>
      </c>
    </row>
    <row r="32" spans="1:12" x14ac:dyDescent="0.25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9261551</v>
      </c>
      <c r="G32" s="13">
        <v>39704.269999999997</v>
      </c>
      <c r="H32" s="13">
        <v>1.39</v>
      </c>
      <c r="I32" s="14" t="s">
        <v>20</v>
      </c>
      <c r="J32" s="14" t="s">
        <v>20</v>
      </c>
      <c r="K32" s="15">
        <v>0</v>
      </c>
      <c r="L32" s="16">
        <v>1.39</v>
      </c>
    </row>
    <row r="33" spans="1:12" x14ac:dyDescent="0.25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74</v>
      </c>
      <c r="F33" s="12">
        <v>9113793</v>
      </c>
      <c r="G33" s="13">
        <v>38756.400000000001</v>
      </c>
      <c r="H33" s="13">
        <v>1.36</v>
      </c>
      <c r="I33" s="14" t="s">
        <v>20</v>
      </c>
      <c r="J33" s="14" t="s">
        <v>20</v>
      </c>
      <c r="K33" s="15">
        <v>0</v>
      </c>
      <c r="L33" s="16">
        <v>1.36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87</v>
      </c>
      <c r="F34" s="12">
        <v>4568724</v>
      </c>
      <c r="G34" s="13">
        <v>37029.51</v>
      </c>
      <c r="H34" s="13">
        <v>1.29</v>
      </c>
      <c r="I34" s="14" t="s">
        <v>20</v>
      </c>
      <c r="J34" s="14" t="s">
        <v>20</v>
      </c>
      <c r="K34" s="15">
        <v>0</v>
      </c>
      <c r="L34" s="16">
        <v>1.29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56</v>
      </c>
      <c r="F35" s="12">
        <v>1144034</v>
      </c>
      <c r="G35" s="13">
        <v>36732.07</v>
      </c>
      <c r="H35" s="13">
        <v>1.28</v>
      </c>
      <c r="I35" s="14" t="s">
        <v>20</v>
      </c>
      <c r="J35" s="14" t="s">
        <v>20</v>
      </c>
      <c r="K35" s="15">
        <v>0</v>
      </c>
      <c r="L35" s="16">
        <v>1.28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79</v>
      </c>
      <c r="F36" s="12">
        <v>575371</v>
      </c>
      <c r="G36" s="13">
        <v>35981.69</v>
      </c>
      <c r="H36" s="13">
        <v>1.26</v>
      </c>
      <c r="I36" s="14" t="s">
        <v>20</v>
      </c>
      <c r="J36" s="14" t="s">
        <v>20</v>
      </c>
      <c r="K36" s="15">
        <v>0</v>
      </c>
      <c r="L36" s="16">
        <v>1.26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36</v>
      </c>
      <c r="F37" s="12">
        <v>33458557</v>
      </c>
      <c r="G37" s="13">
        <v>36168.699999999997</v>
      </c>
      <c r="H37" s="13">
        <v>1.26</v>
      </c>
      <c r="I37" s="14" t="s">
        <v>20</v>
      </c>
      <c r="J37" s="14" t="s">
        <v>20</v>
      </c>
      <c r="K37" s="15">
        <v>0</v>
      </c>
      <c r="L37" s="16">
        <v>1.26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79</v>
      </c>
      <c r="F38" s="12">
        <v>4689839</v>
      </c>
      <c r="G38" s="13">
        <v>34078.720000000001</v>
      </c>
      <c r="H38" s="13">
        <v>1.19</v>
      </c>
      <c r="I38" s="14" t="s">
        <v>20</v>
      </c>
      <c r="J38" s="14" t="s">
        <v>20</v>
      </c>
      <c r="K38" s="15">
        <v>0</v>
      </c>
      <c r="L38" s="16">
        <v>1.19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36</v>
      </c>
      <c r="F39" s="12">
        <v>4086659</v>
      </c>
      <c r="G39" s="13">
        <v>33933.57</v>
      </c>
      <c r="H39" s="13">
        <v>1.19</v>
      </c>
      <c r="I39" s="14" t="s">
        <v>20</v>
      </c>
      <c r="J39" s="14" t="s">
        <v>20</v>
      </c>
      <c r="K39" s="15">
        <v>0</v>
      </c>
      <c r="L39" s="16">
        <v>1.19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44</v>
      </c>
      <c r="F40" s="12">
        <v>5583886</v>
      </c>
      <c r="G40" s="13">
        <v>33654.080000000002</v>
      </c>
      <c r="H40" s="13">
        <v>1.18</v>
      </c>
      <c r="I40" s="14" t="s">
        <v>20</v>
      </c>
      <c r="J40" s="14" t="s">
        <v>20</v>
      </c>
      <c r="K40" s="15">
        <v>0</v>
      </c>
      <c r="L40" s="16">
        <v>1.18</v>
      </c>
    </row>
    <row r="41" spans="1:12" x14ac:dyDescent="0.25">
      <c r="A41" s="10" t="s">
        <v>20</v>
      </c>
      <c r="B41" s="11" t="s">
        <v>100</v>
      </c>
      <c r="C41" s="11" t="s">
        <v>20</v>
      </c>
      <c r="D41" s="11" t="s">
        <v>101</v>
      </c>
      <c r="E41" s="11" t="s">
        <v>28</v>
      </c>
      <c r="F41" s="12">
        <v>20959451</v>
      </c>
      <c r="G41" s="13">
        <v>31523.01</v>
      </c>
      <c r="H41" s="13">
        <v>1.1000000000000001</v>
      </c>
      <c r="I41" s="14" t="s">
        <v>20</v>
      </c>
      <c r="J41" s="14" t="s">
        <v>20</v>
      </c>
      <c r="K41" s="15">
        <v>0</v>
      </c>
      <c r="L41" s="16">
        <v>1.1000000000000001</v>
      </c>
    </row>
    <row r="42" spans="1:12" x14ac:dyDescent="0.25">
      <c r="A42" s="10" t="s">
        <v>20</v>
      </c>
      <c r="B42" s="11" t="s">
        <v>102</v>
      </c>
      <c r="C42" s="11" t="s">
        <v>20</v>
      </c>
      <c r="D42" s="11" t="s">
        <v>103</v>
      </c>
      <c r="E42" s="11" t="s">
        <v>74</v>
      </c>
      <c r="F42" s="12">
        <v>2723849</v>
      </c>
      <c r="G42" s="13">
        <v>31077.759999999998</v>
      </c>
      <c r="H42" s="13">
        <v>1.0900000000000001</v>
      </c>
      <c r="I42" s="14" t="s">
        <v>20</v>
      </c>
      <c r="J42" s="14" t="s">
        <v>20</v>
      </c>
      <c r="K42" s="15">
        <v>0</v>
      </c>
      <c r="L42" s="16">
        <v>1.0900000000000001</v>
      </c>
    </row>
    <row r="43" spans="1:12" x14ac:dyDescent="0.25">
      <c r="A43" s="10" t="s">
        <v>20</v>
      </c>
      <c r="B43" s="11" t="s">
        <v>104</v>
      </c>
      <c r="C43" s="11" t="s">
        <v>20</v>
      </c>
      <c r="D43" s="11" t="s">
        <v>105</v>
      </c>
      <c r="E43" s="11" t="s">
        <v>106</v>
      </c>
      <c r="F43" s="12">
        <v>5912609</v>
      </c>
      <c r="G43" s="13">
        <v>31106.240000000002</v>
      </c>
      <c r="H43" s="13">
        <v>1.0900000000000001</v>
      </c>
      <c r="I43" s="14" t="s">
        <v>20</v>
      </c>
      <c r="J43" s="14" t="s">
        <v>20</v>
      </c>
      <c r="K43" s="15">
        <v>0</v>
      </c>
      <c r="L43" s="16">
        <v>1.0900000000000001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8577755</v>
      </c>
      <c r="G44" s="13">
        <v>30112.21</v>
      </c>
      <c r="H44" s="13">
        <v>1.05</v>
      </c>
      <c r="I44" s="14" t="s">
        <v>20</v>
      </c>
      <c r="J44" s="14" t="s">
        <v>20</v>
      </c>
      <c r="K44" s="15">
        <v>0</v>
      </c>
      <c r="L44" s="16">
        <v>1.05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3993888</v>
      </c>
      <c r="G45" s="13">
        <v>29618.67</v>
      </c>
      <c r="H45" s="13">
        <v>1.04</v>
      </c>
      <c r="I45" s="14" t="s">
        <v>20</v>
      </c>
      <c r="J45" s="14" t="s">
        <v>20</v>
      </c>
      <c r="K45" s="15">
        <v>0</v>
      </c>
      <c r="L45" s="16">
        <v>1.04</v>
      </c>
    </row>
    <row r="46" spans="1:12" x14ac:dyDescent="0.25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36</v>
      </c>
      <c r="F46" s="12">
        <v>4999476</v>
      </c>
      <c r="G46" s="13">
        <v>29151.94</v>
      </c>
      <c r="H46" s="13">
        <v>1.02</v>
      </c>
      <c r="I46" s="14" t="s">
        <v>20</v>
      </c>
      <c r="J46" s="14" t="s">
        <v>20</v>
      </c>
      <c r="K46" s="15">
        <v>0</v>
      </c>
      <c r="L46" s="16">
        <v>1.02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64</v>
      </c>
      <c r="F47" s="12">
        <v>5473134</v>
      </c>
      <c r="G47" s="13">
        <v>28391.88</v>
      </c>
      <c r="H47" s="13">
        <v>0.99</v>
      </c>
      <c r="I47" s="14" t="s">
        <v>20</v>
      </c>
      <c r="J47" s="14" t="s">
        <v>20</v>
      </c>
      <c r="K47" s="15">
        <v>0</v>
      </c>
      <c r="L47" s="16">
        <v>0.99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25</v>
      </c>
      <c r="F48" s="12">
        <v>13566331</v>
      </c>
      <c r="G48" s="13">
        <v>28048.39</v>
      </c>
      <c r="H48" s="13">
        <v>0.98</v>
      </c>
      <c r="I48" s="14" t="s">
        <v>20</v>
      </c>
      <c r="J48" s="14" t="s">
        <v>20</v>
      </c>
      <c r="K48" s="15">
        <v>0</v>
      </c>
      <c r="L48" s="16">
        <v>0.98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74</v>
      </c>
      <c r="F49" s="12">
        <v>8748982</v>
      </c>
      <c r="G49" s="13">
        <v>27064.98</v>
      </c>
      <c r="H49" s="13">
        <v>0.95</v>
      </c>
      <c r="I49" s="14" t="s">
        <v>20</v>
      </c>
      <c r="J49" s="14" t="s">
        <v>20</v>
      </c>
      <c r="K49" s="15">
        <v>0</v>
      </c>
      <c r="L49" s="16">
        <v>0.95</v>
      </c>
    </row>
    <row r="50" spans="1:12" x14ac:dyDescent="0.25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44</v>
      </c>
      <c r="F50" s="12">
        <v>7719001</v>
      </c>
      <c r="G50" s="13">
        <v>26094.080000000002</v>
      </c>
      <c r="H50" s="13">
        <v>0.91</v>
      </c>
      <c r="I50" s="14" t="s">
        <v>20</v>
      </c>
      <c r="J50" s="14" t="s">
        <v>20</v>
      </c>
      <c r="K50" s="15">
        <v>0</v>
      </c>
      <c r="L50" s="16">
        <v>0.91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125</v>
      </c>
      <c r="F51" s="12">
        <v>791879</v>
      </c>
      <c r="G51" s="13">
        <v>24707.81</v>
      </c>
      <c r="H51" s="13">
        <v>0.86</v>
      </c>
      <c r="I51" s="14" t="s">
        <v>20</v>
      </c>
      <c r="J51" s="14" t="s">
        <v>20</v>
      </c>
      <c r="K51" s="15">
        <v>0</v>
      </c>
      <c r="L51" s="16">
        <v>0.86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112</v>
      </c>
      <c r="F52" s="12">
        <v>665206</v>
      </c>
      <c r="G52" s="13">
        <v>23109.26</v>
      </c>
      <c r="H52" s="13">
        <v>0.81</v>
      </c>
      <c r="I52" s="14" t="s">
        <v>20</v>
      </c>
      <c r="J52" s="14" t="s">
        <v>20</v>
      </c>
      <c r="K52" s="15">
        <v>0</v>
      </c>
      <c r="L52" s="16">
        <v>0.81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9432635</v>
      </c>
      <c r="G53" s="13">
        <v>22133.68</v>
      </c>
      <c r="H53" s="13">
        <v>0.77</v>
      </c>
      <c r="I53" s="14" t="s">
        <v>20</v>
      </c>
      <c r="J53" s="14" t="s">
        <v>20</v>
      </c>
      <c r="K53" s="15">
        <v>0</v>
      </c>
      <c r="L53" s="16">
        <v>0.77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67</v>
      </c>
      <c r="F54" s="12">
        <v>15443425</v>
      </c>
      <c r="G54" s="13">
        <v>21752.06</v>
      </c>
      <c r="H54" s="13">
        <v>0.76</v>
      </c>
      <c r="I54" s="14" t="s">
        <v>20</v>
      </c>
      <c r="J54" s="14" t="s">
        <v>20</v>
      </c>
      <c r="K54" s="15">
        <v>0</v>
      </c>
      <c r="L54" s="16">
        <v>0.76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135</v>
      </c>
      <c r="F55" s="12">
        <v>9250000</v>
      </c>
      <c r="G55" s="13">
        <v>19351</v>
      </c>
      <c r="H55" s="13">
        <v>0.68</v>
      </c>
      <c r="I55" s="14" t="s">
        <v>20</v>
      </c>
      <c r="J55" s="14" t="s">
        <v>20</v>
      </c>
      <c r="K55" s="15">
        <v>0</v>
      </c>
      <c r="L55" s="16">
        <v>0.68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109</v>
      </c>
      <c r="F56" s="12">
        <v>5406610</v>
      </c>
      <c r="G56" s="13">
        <v>19385.400000000001</v>
      </c>
      <c r="H56" s="13">
        <v>0.68</v>
      </c>
      <c r="I56" s="14" t="s">
        <v>20</v>
      </c>
      <c r="J56" s="14" t="s">
        <v>20</v>
      </c>
      <c r="K56" s="15">
        <v>0</v>
      </c>
      <c r="L56" s="16">
        <v>0.68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106</v>
      </c>
      <c r="F57" s="12">
        <v>1181663</v>
      </c>
      <c r="G57" s="13">
        <v>18549.75</v>
      </c>
      <c r="H57" s="13">
        <v>0.65</v>
      </c>
      <c r="I57" s="14" t="s">
        <v>20</v>
      </c>
      <c r="J57" s="14" t="s">
        <v>20</v>
      </c>
      <c r="K57" s="15">
        <v>0</v>
      </c>
      <c r="L57" s="16">
        <v>0.65</v>
      </c>
    </row>
    <row r="58" spans="1:12" x14ac:dyDescent="0.25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142</v>
      </c>
      <c r="F58" s="12">
        <v>478227</v>
      </c>
      <c r="G58" s="13">
        <v>17999.509999999998</v>
      </c>
      <c r="H58" s="13">
        <v>0.63</v>
      </c>
      <c r="I58" s="14" t="s">
        <v>20</v>
      </c>
      <c r="J58" s="14" t="s">
        <v>20</v>
      </c>
      <c r="K58" s="15">
        <v>0</v>
      </c>
      <c r="L58" s="16">
        <v>0.63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28</v>
      </c>
      <c r="F59" s="12">
        <v>13948722</v>
      </c>
      <c r="G59" s="13">
        <v>17847.39</v>
      </c>
      <c r="H59" s="13">
        <v>0.62</v>
      </c>
      <c r="I59" s="14" t="s">
        <v>20</v>
      </c>
      <c r="J59" s="14" t="s">
        <v>20</v>
      </c>
      <c r="K59" s="15">
        <v>0</v>
      </c>
      <c r="L59" s="16">
        <v>0.62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56</v>
      </c>
      <c r="F60" s="12">
        <v>3094024</v>
      </c>
      <c r="G60" s="13">
        <v>17430.18</v>
      </c>
      <c r="H60" s="13">
        <v>0.61</v>
      </c>
      <c r="I60" s="14" t="s">
        <v>20</v>
      </c>
      <c r="J60" s="14" t="s">
        <v>20</v>
      </c>
      <c r="K60" s="15">
        <v>0</v>
      </c>
      <c r="L60" s="16">
        <v>0.61</v>
      </c>
    </row>
    <row r="61" spans="1:12" x14ac:dyDescent="0.25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56</v>
      </c>
      <c r="F61" s="12">
        <v>1603000</v>
      </c>
      <c r="G61" s="13">
        <v>17140.88</v>
      </c>
      <c r="H61" s="13">
        <v>0.6</v>
      </c>
      <c r="I61" s="14" t="s">
        <v>20</v>
      </c>
      <c r="J61" s="14" t="s">
        <v>20</v>
      </c>
      <c r="K61" s="15">
        <v>0</v>
      </c>
      <c r="L61" s="16">
        <v>0.6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41</v>
      </c>
      <c r="F62" s="12">
        <v>3544914</v>
      </c>
      <c r="G62" s="13">
        <v>17175.11</v>
      </c>
      <c r="H62" s="13">
        <v>0.6</v>
      </c>
      <c r="I62" s="14" t="s">
        <v>20</v>
      </c>
      <c r="J62" s="14" t="s">
        <v>20</v>
      </c>
      <c r="K62" s="15">
        <v>0</v>
      </c>
      <c r="L62" s="16">
        <v>0.6</v>
      </c>
    </row>
    <row r="63" spans="1:12" x14ac:dyDescent="0.25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64</v>
      </c>
      <c r="F63" s="12">
        <v>326834</v>
      </c>
      <c r="G63" s="13">
        <v>16639.28</v>
      </c>
      <c r="H63" s="13">
        <v>0.57999999999999996</v>
      </c>
      <c r="I63" s="14" t="s">
        <v>20</v>
      </c>
      <c r="J63" s="14" t="s">
        <v>20</v>
      </c>
      <c r="K63" s="15">
        <v>0</v>
      </c>
      <c r="L63" s="16">
        <v>0.57999999999999996</v>
      </c>
    </row>
    <row r="64" spans="1:12" x14ac:dyDescent="0.25">
      <c r="A64" s="10" t="s">
        <v>20</v>
      </c>
      <c r="B64" s="11" t="s">
        <v>153</v>
      </c>
      <c r="C64" s="11" t="s">
        <v>20</v>
      </c>
      <c r="D64" s="11" t="s">
        <v>154</v>
      </c>
      <c r="E64" s="11" t="s">
        <v>47</v>
      </c>
      <c r="F64" s="12">
        <v>3733750</v>
      </c>
      <c r="G64" s="13">
        <v>16309.02</v>
      </c>
      <c r="H64" s="13">
        <v>0.56999999999999995</v>
      </c>
      <c r="I64" s="14" t="s">
        <v>20</v>
      </c>
      <c r="J64" s="14" t="s">
        <v>20</v>
      </c>
      <c r="K64" s="15">
        <v>0</v>
      </c>
      <c r="L64" s="16">
        <v>0.56999999999999995</v>
      </c>
    </row>
    <row r="65" spans="1:12" x14ac:dyDescent="0.25">
      <c r="A65" s="10" t="s">
        <v>20</v>
      </c>
      <c r="B65" s="11" t="s">
        <v>155</v>
      </c>
      <c r="C65" s="11" t="s">
        <v>20</v>
      </c>
      <c r="D65" s="11" t="s">
        <v>156</v>
      </c>
      <c r="E65" s="11" t="s">
        <v>130</v>
      </c>
      <c r="F65" s="12">
        <v>3365892</v>
      </c>
      <c r="G65" s="13">
        <v>15685.06</v>
      </c>
      <c r="H65" s="13">
        <v>0.55000000000000004</v>
      </c>
      <c r="I65" s="14" t="s">
        <v>20</v>
      </c>
      <c r="J65" s="14" t="s">
        <v>20</v>
      </c>
      <c r="K65" s="15">
        <v>0</v>
      </c>
      <c r="L65" s="16">
        <v>0.55000000000000004</v>
      </c>
    </row>
    <row r="66" spans="1:12" x14ac:dyDescent="0.25">
      <c r="A66" s="10" t="s">
        <v>20</v>
      </c>
      <c r="B66" s="11" t="s">
        <v>157</v>
      </c>
      <c r="C66" s="11" t="s">
        <v>20</v>
      </c>
      <c r="D66" s="11" t="s">
        <v>158</v>
      </c>
      <c r="E66" s="11" t="s">
        <v>159</v>
      </c>
      <c r="F66" s="12">
        <v>4922150</v>
      </c>
      <c r="G66" s="13">
        <v>14503.11</v>
      </c>
      <c r="H66" s="13">
        <v>0.51</v>
      </c>
      <c r="I66" s="14" t="s">
        <v>20</v>
      </c>
      <c r="J66" s="14" t="s">
        <v>20</v>
      </c>
      <c r="K66" s="15">
        <v>0</v>
      </c>
      <c r="L66" s="16">
        <v>0.51</v>
      </c>
    </row>
    <row r="67" spans="1:12" x14ac:dyDescent="0.25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109</v>
      </c>
      <c r="F67" s="12">
        <v>2596800</v>
      </c>
      <c r="G67" s="13">
        <v>13947.41</v>
      </c>
      <c r="H67" s="13">
        <v>0.49</v>
      </c>
      <c r="I67" s="14" t="s">
        <v>20</v>
      </c>
      <c r="J67" s="14" t="s">
        <v>20</v>
      </c>
      <c r="K67" s="15">
        <v>0</v>
      </c>
      <c r="L67" s="16">
        <v>0.49</v>
      </c>
    </row>
    <row r="68" spans="1:12" x14ac:dyDescent="0.25">
      <c r="A68" s="10" t="s">
        <v>20</v>
      </c>
      <c r="B68" s="11" t="s">
        <v>162</v>
      </c>
      <c r="C68" s="11" t="s">
        <v>20</v>
      </c>
      <c r="D68" s="11" t="s">
        <v>163</v>
      </c>
      <c r="E68" s="11" t="s">
        <v>87</v>
      </c>
      <c r="F68" s="12">
        <v>10190330</v>
      </c>
      <c r="G68" s="13">
        <v>13818.09</v>
      </c>
      <c r="H68" s="13">
        <v>0.48</v>
      </c>
      <c r="I68" s="14" t="s">
        <v>20</v>
      </c>
      <c r="J68" s="14" t="s">
        <v>20</v>
      </c>
      <c r="K68" s="15">
        <v>0</v>
      </c>
      <c r="L68" s="16">
        <v>0.48</v>
      </c>
    </row>
    <row r="69" spans="1:12" x14ac:dyDescent="0.25">
      <c r="A69" s="10" t="s">
        <v>20</v>
      </c>
      <c r="B69" s="11" t="s">
        <v>164</v>
      </c>
      <c r="C69" s="11" t="s">
        <v>20</v>
      </c>
      <c r="D69" s="11" t="s">
        <v>165</v>
      </c>
      <c r="E69" s="11" t="s">
        <v>74</v>
      </c>
      <c r="F69" s="12">
        <v>3202102</v>
      </c>
      <c r="G69" s="13">
        <v>13637.75</v>
      </c>
      <c r="H69" s="13">
        <v>0.48</v>
      </c>
      <c r="I69" s="14" t="s">
        <v>20</v>
      </c>
      <c r="J69" s="14" t="s">
        <v>20</v>
      </c>
      <c r="K69" s="15">
        <v>0</v>
      </c>
      <c r="L69" s="16">
        <v>0.48</v>
      </c>
    </row>
    <row r="70" spans="1:12" x14ac:dyDescent="0.25">
      <c r="A70" s="10" t="s">
        <v>20</v>
      </c>
      <c r="B70" s="11" t="s">
        <v>166</v>
      </c>
      <c r="C70" s="11" t="s">
        <v>20</v>
      </c>
      <c r="D70" s="11" t="s">
        <v>167</v>
      </c>
      <c r="E70" s="11" t="s">
        <v>74</v>
      </c>
      <c r="F70" s="12">
        <v>1047638</v>
      </c>
      <c r="G70" s="13">
        <v>13349</v>
      </c>
      <c r="H70" s="13">
        <v>0.47</v>
      </c>
      <c r="I70" s="14" t="s">
        <v>20</v>
      </c>
      <c r="J70" s="14" t="s">
        <v>20</v>
      </c>
      <c r="K70" s="15">
        <v>0</v>
      </c>
      <c r="L70" s="16">
        <v>0.47</v>
      </c>
    </row>
    <row r="71" spans="1:12" x14ac:dyDescent="0.25">
      <c r="A71" s="10" t="s">
        <v>20</v>
      </c>
      <c r="B71" s="11" t="s">
        <v>168</v>
      </c>
      <c r="C71" s="11" t="s">
        <v>20</v>
      </c>
      <c r="D71" s="11" t="s">
        <v>169</v>
      </c>
      <c r="E71" s="11" t="s">
        <v>56</v>
      </c>
      <c r="F71" s="12">
        <v>6091817</v>
      </c>
      <c r="G71" s="13">
        <v>13298.44</v>
      </c>
      <c r="H71" s="13">
        <v>0.46</v>
      </c>
      <c r="I71" s="14" t="s">
        <v>20</v>
      </c>
      <c r="J71" s="14" t="s">
        <v>20</v>
      </c>
      <c r="K71" s="15">
        <v>0</v>
      </c>
      <c r="L71" s="16">
        <v>0.46</v>
      </c>
    </row>
    <row r="72" spans="1:12" x14ac:dyDescent="0.25">
      <c r="A72" s="10" t="s">
        <v>20</v>
      </c>
      <c r="B72" s="11" t="s">
        <v>170</v>
      </c>
      <c r="C72" s="11" t="s">
        <v>20</v>
      </c>
      <c r="D72" s="11" t="s">
        <v>171</v>
      </c>
      <c r="E72" s="11" t="s">
        <v>61</v>
      </c>
      <c r="F72" s="12">
        <v>5236466</v>
      </c>
      <c r="G72" s="13">
        <v>12523.01</v>
      </c>
      <c r="H72" s="13">
        <v>0.44</v>
      </c>
      <c r="I72" s="14" t="s">
        <v>20</v>
      </c>
      <c r="J72" s="14" t="s">
        <v>20</v>
      </c>
      <c r="K72" s="15">
        <v>0</v>
      </c>
      <c r="L72" s="16">
        <v>0.44</v>
      </c>
    </row>
    <row r="73" spans="1:12" x14ac:dyDescent="0.25">
      <c r="A73" s="10" t="s">
        <v>20</v>
      </c>
      <c r="B73" s="11" t="s">
        <v>172</v>
      </c>
      <c r="C73" s="11" t="s">
        <v>20</v>
      </c>
      <c r="D73" s="11" t="s">
        <v>173</v>
      </c>
      <c r="E73" s="11" t="s">
        <v>56</v>
      </c>
      <c r="F73" s="12">
        <v>389784</v>
      </c>
      <c r="G73" s="13">
        <v>12654.34</v>
      </c>
      <c r="H73" s="13">
        <v>0.44</v>
      </c>
      <c r="I73" s="14" t="s">
        <v>20</v>
      </c>
      <c r="J73" s="14" t="s">
        <v>20</v>
      </c>
      <c r="K73" s="15">
        <v>0</v>
      </c>
      <c r="L73" s="16">
        <v>0.44</v>
      </c>
    </row>
    <row r="74" spans="1:12" x14ac:dyDescent="0.25">
      <c r="A74" s="10" t="s">
        <v>20</v>
      </c>
      <c r="B74" s="11" t="s">
        <v>174</v>
      </c>
      <c r="C74" s="11" t="s">
        <v>20</v>
      </c>
      <c r="D74" s="11" t="s">
        <v>175</v>
      </c>
      <c r="E74" s="11" t="s">
        <v>64</v>
      </c>
      <c r="F74" s="12">
        <v>3217468</v>
      </c>
      <c r="G74" s="13">
        <v>12388.86</v>
      </c>
      <c r="H74" s="13">
        <v>0.43</v>
      </c>
      <c r="I74" s="14" t="s">
        <v>20</v>
      </c>
      <c r="J74" s="14" t="s">
        <v>20</v>
      </c>
      <c r="K74" s="15">
        <v>0</v>
      </c>
      <c r="L74" s="16">
        <v>0.43</v>
      </c>
    </row>
    <row r="75" spans="1:12" x14ac:dyDescent="0.25">
      <c r="A75" s="10" t="s">
        <v>20</v>
      </c>
      <c r="B75" s="11" t="s">
        <v>176</v>
      </c>
      <c r="C75" s="11" t="s">
        <v>20</v>
      </c>
      <c r="D75" s="11" t="s">
        <v>177</v>
      </c>
      <c r="E75" s="11" t="s">
        <v>178</v>
      </c>
      <c r="F75" s="12">
        <v>5545822</v>
      </c>
      <c r="G75" s="13">
        <v>12048.3</v>
      </c>
      <c r="H75" s="13">
        <v>0.42</v>
      </c>
      <c r="I75" s="14" t="s">
        <v>20</v>
      </c>
      <c r="J75" s="14" t="s">
        <v>20</v>
      </c>
      <c r="K75" s="15">
        <v>0</v>
      </c>
      <c r="L75" s="16">
        <v>0.42</v>
      </c>
    </row>
    <row r="76" spans="1:12" x14ac:dyDescent="0.25">
      <c r="A76" s="10" t="s">
        <v>20</v>
      </c>
      <c r="B76" s="11" t="s">
        <v>179</v>
      </c>
      <c r="C76" s="11" t="s">
        <v>20</v>
      </c>
      <c r="D76" s="11" t="s">
        <v>180</v>
      </c>
      <c r="E76" s="11" t="s">
        <v>44</v>
      </c>
      <c r="F76" s="12">
        <v>591272</v>
      </c>
      <c r="G76" s="13">
        <v>11528.03</v>
      </c>
      <c r="H76" s="13">
        <v>0.4</v>
      </c>
      <c r="I76" s="14" t="s">
        <v>20</v>
      </c>
      <c r="J76" s="14" t="s">
        <v>20</v>
      </c>
      <c r="K76" s="15">
        <v>0</v>
      </c>
      <c r="L76" s="16">
        <v>0.4</v>
      </c>
    </row>
    <row r="77" spans="1:12" x14ac:dyDescent="0.25">
      <c r="A77" s="10" t="s">
        <v>20</v>
      </c>
      <c r="B77" s="11" t="s">
        <v>181</v>
      </c>
      <c r="C77" s="11" t="s">
        <v>20</v>
      </c>
      <c r="D77" s="11" t="s">
        <v>182</v>
      </c>
      <c r="E77" s="11" t="s">
        <v>183</v>
      </c>
      <c r="F77" s="12">
        <v>1798531</v>
      </c>
      <c r="G77" s="13">
        <v>10574.46</v>
      </c>
      <c r="H77" s="13">
        <v>0.37</v>
      </c>
      <c r="I77" s="14" t="s">
        <v>20</v>
      </c>
      <c r="J77" s="14" t="s">
        <v>20</v>
      </c>
      <c r="K77" s="15">
        <v>0</v>
      </c>
      <c r="L77" s="16">
        <v>0.37</v>
      </c>
    </row>
    <row r="78" spans="1:12" x14ac:dyDescent="0.25">
      <c r="A78" s="10" t="s">
        <v>20</v>
      </c>
      <c r="B78" s="11" t="s">
        <v>184</v>
      </c>
      <c r="C78" s="11" t="s">
        <v>20</v>
      </c>
      <c r="D78" s="11" t="s">
        <v>185</v>
      </c>
      <c r="E78" s="11" t="s">
        <v>44</v>
      </c>
      <c r="F78" s="12">
        <v>1777521</v>
      </c>
      <c r="G78" s="13">
        <v>9602.17</v>
      </c>
      <c r="H78" s="13">
        <v>0.34</v>
      </c>
      <c r="I78" s="14" t="s">
        <v>20</v>
      </c>
      <c r="J78" s="14" t="s">
        <v>20</v>
      </c>
      <c r="K78" s="15">
        <v>0</v>
      </c>
      <c r="L78" s="16">
        <v>0.34</v>
      </c>
    </row>
    <row r="79" spans="1:12" x14ac:dyDescent="0.25">
      <c r="A79" s="10" t="s">
        <v>20</v>
      </c>
      <c r="B79" s="11" t="s">
        <v>186</v>
      </c>
      <c r="C79" s="11" t="s">
        <v>20</v>
      </c>
      <c r="D79" s="11" t="s">
        <v>187</v>
      </c>
      <c r="E79" s="11" t="s">
        <v>56</v>
      </c>
      <c r="F79" s="12">
        <v>1357336</v>
      </c>
      <c r="G79" s="13">
        <v>7329.61</v>
      </c>
      <c r="H79" s="13">
        <v>0.26</v>
      </c>
      <c r="I79" s="14" t="s">
        <v>20</v>
      </c>
      <c r="J79" s="14" t="s">
        <v>20</v>
      </c>
      <c r="K79" s="15">
        <v>0</v>
      </c>
      <c r="L79" s="16">
        <v>0.26</v>
      </c>
    </row>
    <row r="80" spans="1:12" x14ac:dyDescent="0.25">
      <c r="A80" s="10" t="s">
        <v>20</v>
      </c>
      <c r="B80" s="11" t="s">
        <v>188</v>
      </c>
      <c r="C80" s="11" t="s">
        <v>20</v>
      </c>
      <c r="D80" s="11" t="s">
        <v>189</v>
      </c>
      <c r="E80" s="11" t="s">
        <v>87</v>
      </c>
      <c r="F80" s="12">
        <v>1145091</v>
      </c>
      <c r="G80" s="13">
        <v>4625.6000000000004</v>
      </c>
      <c r="H80" s="13">
        <v>0.16</v>
      </c>
      <c r="I80" s="14" t="s">
        <v>20</v>
      </c>
      <c r="J80" s="14" t="s">
        <v>20</v>
      </c>
      <c r="K80" s="15">
        <v>0</v>
      </c>
      <c r="L80" s="16">
        <v>0.16</v>
      </c>
    </row>
    <row r="81" spans="1:12" x14ac:dyDescent="0.25">
      <c r="A81" s="10" t="s">
        <v>20</v>
      </c>
      <c r="B81" s="11" t="s">
        <v>190</v>
      </c>
      <c r="C81" s="11" t="s">
        <v>20</v>
      </c>
      <c r="D81" s="11" t="s">
        <v>191</v>
      </c>
      <c r="E81" s="11" t="s">
        <v>183</v>
      </c>
      <c r="F81" s="12">
        <v>545790</v>
      </c>
      <c r="G81" s="13">
        <v>4071.59</v>
      </c>
      <c r="H81" s="13">
        <v>0.14000000000000001</v>
      </c>
      <c r="I81" s="14" t="s">
        <v>20</v>
      </c>
      <c r="J81" s="14" t="s">
        <v>20</v>
      </c>
      <c r="K81" s="15">
        <v>0</v>
      </c>
      <c r="L81" s="16">
        <v>0.14000000000000001</v>
      </c>
    </row>
    <row r="82" spans="1:12" x14ac:dyDescent="0.25">
      <c r="A82" s="10" t="s">
        <v>20</v>
      </c>
      <c r="B82" s="11" t="s">
        <v>192</v>
      </c>
      <c r="C82" s="11" t="s">
        <v>20</v>
      </c>
      <c r="D82" s="11" t="s">
        <v>193</v>
      </c>
      <c r="E82" s="11" t="s">
        <v>159</v>
      </c>
      <c r="F82" s="12">
        <v>3185742</v>
      </c>
      <c r="G82" s="13">
        <v>3752.8</v>
      </c>
      <c r="H82" s="13">
        <v>0.13</v>
      </c>
      <c r="I82" s="14" t="s">
        <v>20</v>
      </c>
      <c r="J82" s="14" t="s">
        <v>20</v>
      </c>
      <c r="K82" s="15">
        <v>0</v>
      </c>
      <c r="L82" s="16">
        <v>0.13</v>
      </c>
    </row>
    <row r="83" spans="1:12" x14ac:dyDescent="0.25">
      <c r="A83" s="10" t="s">
        <v>20</v>
      </c>
      <c r="B83" s="11" t="s">
        <v>194</v>
      </c>
      <c r="C83" s="11" t="s">
        <v>20</v>
      </c>
      <c r="D83" s="11" t="s">
        <v>195</v>
      </c>
      <c r="E83" s="11" t="s">
        <v>41</v>
      </c>
      <c r="F83" s="12">
        <v>9392742</v>
      </c>
      <c r="G83" s="13">
        <v>2902.36</v>
      </c>
      <c r="H83" s="13">
        <v>0.1</v>
      </c>
      <c r="I83" s="14" t="s">
        <v>20</v>
      </c>
      <c r="J83" s="14" t="s">
        <v>20</v>
      </c>
      <c r="K83" s="15">
        <v>0</v>
      </c>
      <c r="L83" s="16">
        <v>0.1</v>
      </c>
    </row>
    <row r="84" spans="1:12" x14ac:dyDescent="0.25">
      <c r="A84" s="17"/>
      <c r="B84" s="9" t="s">
        <v>196</v>
      </c>
      <c r="C84" s="17"/>
      <c r="D84" s="17"/>
      <c r="E84" s="17"/>
      <c r="F84" s="17"/>
      <c r="G84" s="18">
        <v>2557899.6499999976</v>
      </c>
      <c r="H84" s="18">
        <v>89.430000000000021</v>
      </c>
      <c r="I84" s="17"/>
      <c r="J84" s="17"/>
      <c r="K84" s="17"/>
      <c r="L84" s="17"/>
    </row>
    <row r="85" spans="1:12" x14ac:dyDescent="0.25">
      <c r="A85" s="8"/>
      <c r="B85" s="9" t="s">
        <v>197</v>
      </c>
      <c r="C85" s="8"/>
      <c r="D85" s="8"/>
      <c r="E85" s="8"/>
      <c r="F85" s="8"/>
      <c r="G85" s="19">
        <v>2557899.6499999976</v>
      </c>
      <c r="H85" s="19">
        <v>89.430000000000021</v>
      </c>
      <c r="I85" s="8"/>
      <c r="J85" s="8"/>
      <c r="K85" s="8"/>
      <c r="L85" s="8"/>
    </row>
    <row r="86" spans="1:12" x14ac:dyDescent="0.25">
      <c r="A86" s="8"/>
      <c r="B86" s="9" t="s">
        <v>198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25">
      <c r="A87" s="8"/>
      <c r="B87" s="9" t="s">
        <v>199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25">
      <c r="A88" s="10" t="s">
        <v>20</v>
      </c>
      <c r="B88" s="11" t="s">
        <v>20</v>
      </c>
      <c r="C88" s="11" t="s">
        <v>20</v>
      </c>
      <c r="D88" s="11" t="s">
        <v>199</v>
      </c>
      <c r="E88" s="11" t="s">
        <v>20</v>
      </c>
      <c r="F88" s="12" t="s">
        <v>20</v>
      </c>
      <c r="G88" s="13">
        <v>280289.14</v>
      </c>
      <c r="H88" s="13">
        <v>9.8000000000000007</v>
      </c>
      <c r="I88" s="14">
        <v>6.6791999999999998</v>
      </c>
      <c r="J88" s="14" t="s">
        <v>20</v>
      </c>
      <c r="K88" s="15" t="s">
        <v>20</v>
      </c>
      <c r="L88" s="16" t="s">
        <v>20</v>
      </c>
    </row>
    <row r="89" spans="1:12" x14ac:dyDescent="0.25">
      <c r="A89" s="17"/>
      <c r="B89" s="9" t="s">
        <v>196</v>
      </c>
      <c r="C89" s="17"/>
      <c r="D89" s="17"/>
      <c r="E89" s="17"/>
      <c r="F89" s="17"/>
      <c r="G89" s="18">
        <v>280289.14</v>
      </c>
      <c r="H89" s="18">
        <v>9.8000000000000007</v>
      </c>
      <c r="I89" s="17"/>
      <c r="J89" s="17"/>
      <c r="K89" s="17"/>
      <c r="L89" s="17"/>
    </row>
    <row r="90" spans="1:12" x14ac:dyDescent="0.25">
      <c r="A90" s="8"/>
      <c r="B90" s="9" t="s">
        <v>197</v>
      </c>
      <c r="C90" s="8"/>
      <c r="D90" s="8"/>
      <c r="E90" s="8"/>
      <c r="F90" s="8"/>
      <c r="G90" s="19">
        <v>280289.14</v>
      </c>
      <c r="H90" s="19">
        <v>9.8000000000000007</v>
      </c>
      <c r="I90" s="8"/>
      <c r="J90" s="8"/>
      <c r="K90" s="8"/>
      <c r="L90" s="8"/>
    </row>
    <row r="91" spans="1:12" x14ac:dyDescent="0.25">
      <c r="A91" s="8"/>
      <c r="B91" s="9" t="s">
        <v>200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25">
      <c r="A92" s="8"/>
      <c r="B92" s="9" t="s">
        <v>201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10" t="s">
        <v>20</v>
      </c>
      <c r="B93" s="11" t="s">
        <v>20</v>
      </c>
      <c r="C93" s="11" t="s">
        <v>20</v>
      </c>
      <c r="D93" s="11" t="s">
        <v>201</v>
      </c>
      <c r="E93" s="11" t="s">
        <v>20</v>
      </c>
      <c r="F93" s="12" t="s">
        <v>20</v>
      </c>
      <c r="G93" s="13">
        <v>21703.07</v>
      </c>
      <c r="H93" s="13">
        <v>0.77</v>
      </c>
      <c r="I93" s="14" t="s">
        <v>20</v>
      </c>
      <c r="J93" s="14" t="s">
        <v>20</v>
      </c>
      <c r="K93" s="15" t="s">
        <v>20</v>
      </c>
      <c r="L93" s="16" t="s">
        <v>20</v>
      </c>
    </row>
    <row r="94" spans="1:12" x14ac:dyDescent="0.25">
      <c r="A94" s="17"/>
      <c r="B94" s="9" t="s">
        <v>196</v>
      </c>
      <c r="C94" s="17"/>
      <c r="D94" s="17"/>
      <c r="E94" s="17"/>
      <c r="F94" s="17"/>
      <c r="G94" s="18">
        <v>21703.07</v>
      </c>
      <c r="H94" s="18">
        <v>0.77</v>
      </c>
      <c r="I94" s="17"/>
      <c r="J94" s="17"/>
      <c r="K94" s="17"/>
      <c r="L94" s="17"/>
    </row>
    <row r="95" spans="1:12" x14ac:dyDescent="0.25">
      <c r="A95" s="8"/>
      <c r="B95" s="9" t="s">
        <v>197</v>
      </c>
      <c r="C95" s="8"/>
      <c r="D95" s="8"/>
      <c r="E95" s="8"/>
      <c r="F95" s="8"/>
      <c r="G95" s="19">
        <v>21703.07</v>
      </c>
      <c r="H95" s="19">
        <v>0.77</v>
      </c>
      <c r="I95" s="8"/>
      <c r="J95" s="8"/>
      <c r="K95" s="8"/>
      <c r="L95" s="8"/>
    </row>
    <row r="96" spans="1:1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25">
      <c r="A97" s="4"/>
      <c r="B97" s="20" t="s">
        <v>202</v>
      </c>
      <c r="C97" s="4"/>
      <c r="D97" s="4"/>
      <c r="E97" s="4"/>
      <c r="F97" s="4"/>
      <c r="G97" s="21">
        <v>2859891.8599999975</v>
      </c>
      <c r="H97" s="21">
        <v>100.00000000000001</v>
      </c>
      <c r="I97" s="4"/>
      <c r="J97" s="4"/>
      <c r="K97" s="4"/>
      <c r="L97" s="4"/>
    </row>
    <row r="98" spans="1:12" x14ac:dyDescent="0.25">
      <c r="A98" s="10" t="s">
        <v>18</v>
      </c>
      <c r="B98" s="35" t="s">
        <v>203</v>
      </c>
      <c r="C98" s="35" t="s">
        <v>203</v>
      </c>
      <c r="D98" s="35" t="s">
        <v>203</v>
      </c>
      <c r="E98" s="35" t="s">
        <v>203</v>
      </c>
      <c r="F98" s="35" t="s">
        <v>203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32" t="s">
        <v>204</v>
      </c>
      <c r="C99" s="32" t="s">
        <v>204</v>
      </c>
      <c r="D99" s="32" t="s">
        <v>204</v>
      </c>
      <c r="E99" s="32" t="s">
        <v>204</v>
      </c>
      <c r="F99" s="32" t="s">
        <v>204</v>
      </c>
      <c r="G99" s="11"/>
      <c r="H99" s="11"/>
      <c r="I99" s="11"/>
      <c r="J99" s="11"/>
      <c r="K99" s="11"/>
      <c r="L99" s="11"/>
    </row>
    <row r="100" spans="1:12" x14ac:dyDescent="0.25">
      <c r="A100" s="11"/>
      <c r="B100" s="32" t="s">
        <v>205</v>
      </c>
      <c r="C100" s="32" t="s">
        <v>205</v>
      </c>
      <c r="D100" s="32" t="s">
        <v>205</v>
      </c>
      <c r="E100" s="32" t="s">
        <v>205</v>
      </c>
      <c r="F100" s="32" t="s">
        <v>205</v>
      </c>
      <c r="G100" s="11"/>
      <c r="H100" s="11"/>
      <c r="I100" s="11"/>
      <c r="J100" s="11"/>
      <c r="K100" s="11"/>
      <c r="L100" s="11"/>
    </row>
    <row r="101" spans="1:12" x14ac:dyDescent="0.25">
      <c r="A101" s="11"/>
      <c r="B101" s="32" t="s">
        <v>206</v>
      </c>
      <c r="C101" s="32" t="s">
        <v>206</v>
      </c>
      <c r="D101" s="32" t="s">
        <v>206</v>
      </c>
      <c r="E101" s="32" t="s">
        <v>206</v>
      </c>
      <c r="F101" s="32" t="s">
        <v>206</v>
      </c>
      <c r="G101" s="11"/>
      <c r="H101" s="11"/>
      <c r="I101" s="11"/>
      <c r="J101" s="11"/>
      <c r="K101" s="11"/>
      <c r="L101" s="11"/>
    </row>
    <row r="102" spans="1:12" x14ac:dyDescent="0.25">
      <c r="A102" s="11"/>
      <c r="B102" s="32" t="s">
        <v>207</v>
      </c>
      <c r="C102" s="32" t="s">
        <v>207</v>
      </c>
      <c r="D102" s="32" t="s">
        <v>207</v>
      </c>
      <c r="E102" s="32" t="s">
        <v>207</v>
      </c>
      <c r="F102" s="32" t="s">
        <v>207</v>
      </c>
      <c r="G102" s="11"/>
      <c r="H102" s="11"/>
      <c r="I102" s="11"/>
      <c r="J102" s="11"/>
      <c r="K102" s="11"/>
      <c r="L102" s="11"/>
    </row>
    <row r="103" spans="1:12" x14ac:dyDescent="0.25">
      <c r="A103" s="11"/>
      <c r="B103" s="32" t="s">
        <v>208</v>
      </c>
      <c r="C103" s="32" t="s">
        <v>208</v>
      </c>
      <c r="D103" s="32" t="s">
        <v>208</v>
      </c>
      <c r="E103" s="32" t="s">
        <v>208</v>
      </c>
      <c r="F103" s="32" t="s">
        <v>208</v>
      </c>
      <c r="G103" s="11"/>
      <c r="H103" s="11"/>
      <c r="I103" s="11"/>
      <c r="J103" s="11"/>
      <c r="K103" s="11"/>
      <c r="L103" s="11"/>
    </row>
    <row r="104" spans="1:12" x14ac:dyDescent="0.25">
      <c r="A104" s="11"/>
      <c r="B104" s="32" t="s">
        <v>209</v>
      </c>
      <c r="C104" s="32" t="s">
        <v>209</v>
      </c>
      <c r="D104" s="32" t="s">
        <v>209</v>
      </c>
      <c r="E104" s="32" t="s">
        <v>209</v>
      </c>
      <c r="F104" s="32" t="s">
        <v>209</v>
      </c>
      <c r="G104" s="11"/>
      <c r="H104" s="11"/>
      <c r="I104" s="11"/>
      <c r="J104" s="11"/>
      <c r="K104" s="11"/>
      <c r="L104" s="11"/>
    </row>
    <row r="105" spans="1:12" x14ac:dyDescent="0.25">
      <c r="A105" s="11"/>
      <c r="B105" s="32" t="s">
        <v>210</v>
      </c>
      <c r="C105" s="32" t="s">
        <v>210</v>
      </c>
      <c r="D105" s="32" t="s">
        <v>210</v>
      </c>
      <c r="E105" s="32" t="s">
        <v>210</v>
      </c>
      <c r="F105" s="32" t="s">
        <v>210</v>
      </c>
      <c r="G105" s="11"/>
      <c r="H105" s="11"/>
      <c r="I105" s="11"/>
      <c r="J105" s="11"/>
      <c r="K105" s="11"/>
      <c r="L105" s="11"/>
    </row>
    <row r="106" spans="1:12" x14ac:dyDescent="0.25">
      <c r="A106" s="11"/>
      <c r="B106" s="11"/>
      <c r="C106" s="11"/>
      <c r="D106" s="11"/>
      <c r="E106" s="11"/>
      <c r="F106" s="11"/>
      <c r="G106" s="11"/>
      <c r="H106" s="11"/>
    </row>
    <row r="107" spans="1:12" x14ac:dyDescent="0.25">
      <c r="A107" s="22"/>
      <c r="B107" s="23" t="s">
        <v>211</v>
      </c>
      <c r="C107" s="22"/>
      <c r="D107" s="22"/>
      <c r="E107" s="11"/>
      <c r="F107" s="11"/>
      <c r="G107" s="11"/>
      <c r="H107" s="11"/>
    </row>
    <row r="108" spans="1:12" x14ac:dyDescent="0.25">
      <c r="A108" s="22"/>
      <c r="B108" s="24" t="s">
        <v>28</v>
      </c>
      <c r="C108" s="25"/>
      <c r="D108" s="26">
        <v>9.5899999999999981</v>
      </c>
      <c r="E108" s="11"/>
      <c r="F108" s="11"/>
      <c r="G108" s="11"/>
      <c r="H108" s="11"/>
    </row>
    <row r="109" spans="1:12" x14ac:dyDescent="0.25">
      <c r="A109" s="22"/>
      <c r="B109" s="24" t="s">
        <v>25</v>
      </c>
      <c r="C109" s="25"/>
      <c r="D109" s="26">
        <v>8.18</v>
      </c>
      <c r="E109" s="11"/>
      <c r="F109" s="11"/>
      <c r="G109" s="11"/>
      <c r="H109" s="11"/>
    </row>
    <row r="110" spans="1:12" x14ac:dyDescent="0.25">
      <c r="A110" s="22"/>
      <c r="B110" s="24" t="s">
        <v>33</v>
      </c>
      <c r="C110" s="25"/>
      <c r="D110" s="26">
        <v>8.0500000000000007</v>
      </c>
      <c r="E110" s="11"/>
      <c r="F110" s="11"/>
      <c r="G110" s="11"/>
      <c r="H110" s="11"/>
    </row>
    <row r="111" spans="1:12" x14ac:dyDescent="0.25">
      <c r="A111" s="22"/>
      <c r="B111" s="24" t="s">
        <v>44</v>
      </c>
      <c r="C111" s="25"/>
      <c r="D111" s="26">
        <v>6.41</v>
      </c>
      <c r="E111" s="11"/>
      <c r="F111" s="11"/>
      <c r="G111" s="11"/>
      <c r="H111" s="11"/>
    </row>
    <row r="112" spans="1:12" x14ac:dyDescent="0.25">
      <c r="A112" s="22"/>
      <c r="B112" s="24" t="s">
        <v>41</v>
      </c>
      <c r="C112" s="25"/>
      <c r="D112" s="26">
        <v>6.14</v>
      </c>
      <c r="E112" s="11"/>
      <c r="F112" s="11"/>
      <c r="G112" s="11"/>
      <c r="H112" s="11"/>
    </row>
    <row r="113" spans="1:8" x14ac:dyDescent="0.25">
      <c r="A113" s="22"/>
      <c r="B113" s="24" t="s">
        <v>74</v>
      </c>
      <c r="C113" s="25"/>
      <c r="D113" s="26">
        <v>5.8000000000000007</v>
      </c>
      <c r="E113" s="11"/>
      <c r="F113" s="11"/>
      <c r="G113" s="11"/>
      <c r="H113" s="11"/>
    </row>
    <row r="114" spans="1:8" x14ac:dyDescent="0.25">
      <c r="A114" s="22"/>
      <c r="B114" s="24" t="s">
        <v>36</v>
      </c>
      <c r="C114" s="25"/>
      <c r="D114" s="26">
        <v>5.7199999999999989</v>
      </c>
      <c r="E114" s="11"/>
      <c r="F114" s="11"/>
      <c r="G114" s="11"/>
      <c r="H114" s="11"/>
    </row>
    <row r="115" spans="1:8" x14ac:dyDescent="0.25">
      <c r="A115" s="22"/>
      <c r="B115" s="24" t="s">
        <v>56</v>
      </c>
      <c r="C115" s="25"/>
      <c r="D115" s="26">
        <v>5.38</v>
      </c>
      <c r="E115" s="11"/>
      <c r="F115" s="11"/>
      <c r="G115" s="11"/>
      <c r="H115" s="11"/>
    </row>
    <row r="116" spans="1:8" x14ac:dyDescent="0.25">
      <c r="A116" s="22"/>
      <c r="B116" s="24" t="s">
        <v>22</v>
      </c>
      <c r="C116" s="25"/>
      <c r="D116" s="26">
        <v>5.28</v>
      </c>
      <c r="E116" s="11"/>
      <c r="F116" s="11"/>
      <c r="G116" s="11"/>
      <c r="H116" s="11"/>
    </row>
    <row r="117" spans="1:8" x14ac:dyDescent="0.25">
      <c r="A117" s="22"/>
      <c r="B117" s="24" t="s">
        <v>79</v>
      </c>
      <c r="C117" s="25"/>
      <c r="D117" s="26">
        <v>3.87</v>
      </c>
      <c r="E117" s="11"/>
      <c r="F117" s="11"/>
      <c r="G117" s="11"/>
      <c r="H117" s="11"/>
    </row>
    <row r="118" spans="1:8" x14ac:dyDescent="0.25">
      <c r="A118" s="22"/>
      <c r="B118" s="24" t="s">
        <v>64</v>
      </c>
      <c r="C118" s="25"/>
      <c r="D118" s="26">
        <v>3.7</v>
      </c>
      <c r="E118" s="11"/>
      <c r="F118" s="11"/>
      <c r="G118" s="11"/>
      <c r="H118" s="11"/>
    </row>
    <row r="119" spans="1:8" x14ac:dyDescent="0.25">
      <c r="A119" s="22"/>
      <c r="B119" s="24" t="s">
        <v>47</v>
      </c>
      <c r="C119" s="25"/>
      <c r="D119" s="26">
        <v>2.54</v>
      </c>
      <c r="E119" s="11"/>
      <c r="F119" s="11"/>
      <c r="G119" s="11"/>
      <c r="H119" s="11"/>
    </row>
    <row r="120" spans="1:8" x14ac:dyDescent="0.25">
      <c r="A120" s="22"/>
      <c r="B120" s="24" t="s">
        <v>67</v>
      </c>
      <c r="C120" s="25"/>
      <c r="D120" s="26">
        <v>2.4299999999999997</v>
      </c>
      <c r="E120" s="11"/>
      <c r="F120" s="11"/>
      <c r="G120" s="11"/>
      <c r="H120" s="11"/>
    </row>
    <row r="121" spans="1:8" x14ac:dyDescent="0.25">
      <c r="A121" s="22"/>
      <c r="B121" s="24" t="s">
        <v>109</v>
      </c>
      <c r="C121" s="25"/>
      <c r="D121" s="26">
        <v>2.2200000000000002</v>
      </c>
      <c r="E121" s="11"/>
      <c r="F121" s="11"/>
      <c r="G121" s="11"/>
      <c r="H121" s="11"/>
    </row>
    <row r="122" spans="1:8" x14ac:dyDescent="0.25">
      <c r="A122" s="22"/>
      <c r="B122" s="24" t="s">
        <v>61</v>
      </c>
      <c r="C122" s="25"/>
      <c r="D122" s="26">
        <v>2.15</v>
      </c>
      <c r="E122" s="11"/>
      <c r="F122" s="11"/>
      <c r="G122" s="11"/>
      <c r="H122" s="11"/>
    </row>
    <row r="123" spans="1:8" x14ac:dyDescent="0.25">
      <c r="A123" s="22"/>
      <c r="B123" s="24" t="s">
        <v>87</v>
      </c>
      <c r="C123" s="25"/>
      <c r="D123" s="26">
        <v>1.93</v>
      </c>
      <c r="E123" s="11"/>
      <c r="F123" s="11"/>
      <c r="G123" s="11"/>
      <c r="H123" s="11"/>
    </row>
    <row r="124" spans="1:8" x14ac:dyDescent="0.25">
      <c r="A124" s="22"/>
      <c r="B124" s="24" t="s">
        <v>112</v>
      </c>
      <c r="C124" s="25"/>
      <c r="D124" s="26">
        <v>1.85</v>
      </c>
      <c r="E124" s="11"/>
      <c r="F124" s="11"/>
      <c r="G124" s="11"/>
      <c r="H124" s="11"/>
    </row>
    <row r="125" spans="1:8" x14ac:dyDescent="0.25">
      <c r="A125" s="22"/>
      <c r="B125" s="24" t="s">
        <v>106</v>
      </c>
      <c r="C125" s="25"/>
      <c r="D125" s="26">
        <v>1.7400000000000002</v>
      </c>
      <c r="E125" s="11"/>
      <c r="F125" s="11"/>
      <c r="G125" s="11"/>
      <c r="H125" s="11"/>
    </row>
    <row r="126" spans="1:8" x14ac:dyDescent="0.25">
      <c r="A126" s="22"/>
      <c r="B126" s="24" t="s">
        <v>82</v>
      </c>
      <c r="C126" s="25"/>
      <c r="D126" s="26">
        <v>1.39</v>
      </c>
      <c r="E126" s="11"/>
      <c r="F126" s="11"/>
      <c r="G126" s="11"/>
      <c r="H126" s="11"/>
    </row>
    <row r="127" spans="1:8" x14ac:dyDescent="0.25">
      <c r="A127" s="22"/>
      <c r="B127" s="24" t="s">
        <v>130</v>
      </c>
      <c r="C127" s="25"/>
      <c r="D127" s="26">
        <v>1.32</v>
      </c>
      <c r="E127" s="11"/>
      <c r="F127" s="11"/>
      <c r="G127" s="11"/>
      <c r="H127" s="11"/>
    </row>
    <row r="128" spans="1:8" x14ac:dyDescent="0.25">
      <c r="A128" s="22"/>
      <c r="B128" s="24" t="s">
        <v>125</v>
      </c>
      <c r="C128" s="25"/>
      <c r="D128" s="26">
        <v>0.86</v>
      </c>
      <c r="E128" s="11"/>
      <c r="F128" s="11"/>
      <c r="G128" s="11"/>
      <c r="H128" s="11"/>
    </row>
    <row r="129" spans="1:8" x14ac:dyDescent="0.25">
      <c r="A129" s="22"/>
      <c r="B129" s="24" t="s">
        <v>135</v>
      </c>
      <c r="C129" s="25"/>
      <c r="D129" s="26">
        <v>0.68</v>
      </c>
      <c r="E129" s="11"/>
      <c r="F129" s="11"/>
      <c r="G129" s="11"/>
      <c r="H129" s="11"/>
    </row>
    <row r="130" spans="1:8" x14ac:dyDescent="0.25">
      <c r="A130" s="22"/>
      <c r="B130" s="24" t="s">
        <v>159</v>
      </c>
      <c r="C130" s="25"/>
      <c r="D130" s="26">
        <v>0.64</v>
      </c>
      <c r="E130" s="11"/>
      <c r="F130" s="11"/>
      <c r="G130" s="11"/>
      <c r="H130" s="11"/>
    </row>
    <row r="131" spans="1:8" x14ac:dyDescent="0.25">
      <c r="A131" s="22"/>
      <c r="B131" s="24" t="s">
        <v>142</v>
      </c>
      <c r="C131" s="25"/>
      <c r="D131" s="26">
        <v>0.63</v>
      </c>
      <c r="E131" s="11"/>
      <c r="F131" s="11"/>
      <c r="G131" s="11"/>
      <c r="H131" s="11"/>
    </row>
    <row r="132" spans="1:8" x14ac:dyDescent="0.25">
      <c r="A132" s="22"/>
      <c r="B132" s="24" t="s">
        <v>183</v>
      </c>
      <c r="C132" s="25"/>
      <c r="D132" s="26">
        <v>0.51</v>
      </c>
      <c r="E132" s="11"/>
      <c r="F132" s="11"/>
      <c r="G132" s="11"/>
      <c r="H132" s="11"/>
    </row>
    <row r="133" spans="1:8" x14ac:dyDescent="0.25">
      <c r="A133" s="22"/>
      <c r="B133" s="24" t="s">
        <v>178</v>
      </c>
      <c r="C133" s="25"/>
      <c r="D133" s="26">
        <v>0.42</v>
      </c>
      <c r="E133" s="11"/>
      <c r="F133" s="11"/>
      <c r="G133" s="11"/>
      <c r="H133" s="11"/>
    </row>
    <row r="134" spans="1:8" x14ac:dyDescent="0.25">
      <c r="A134" s="22"/>
      <c r="B134" s="24" t="s">
        <v>212</v>
      </c>
      <c r="C134" s="25"/>
      <c r="D134" s="26">
        <v>0</v>
      </c>
      <c r="E134" s="11"/>
      <c r="F134" s="11"/>
      <c r="G134" s="11"/>
      <c r="H134" s="11"/>
    </row>
    <row r="135" spans="1:8" x14ac:dyDescent="0.25">
      <c r="A135" s="22"/>
      <c r="B135" s="24" t="s">
        <v>213</v>
      </c>
      <c r="C135" s="25"/>
      <c r="D135" s="26">
        <v>10.57</v>
      </c>
      <c r="E135" s="11"/>
      <c r="F135" s="11"/>
      <c r="G135" s="11"/>
      <c r="H135" s="11"/>
    </row>
    <row r="136" spans="1:8" x14ac:dyDescent="0.25">
      <c r="A136" s="27"/>
      <c r="B136" s="27"/>
      <c r="C136" s="27"/>
      <c r="D136" s="27"/>
      <c r="E136" s="27"/>
      <c r="F136" s="27"/>
      <c r="G136" s="27"/>
      <c r="H136" s="27"/>
    </row>
    <row r="137" spans="1:8" x14ac:dyDescent="0.25">
      <c r="A137" s="27"/>
      <c r="B137" s="8" t="s">
        <v>214</v>
      </c>
      <c r="C137" s="27"/>
      <c r="D137" s="27"/>
      <c r="E137" s="27"/>
      <c r="F137" s="27"/>
      <c r="G137" s="27"/>
      <c r="H137" s="27"/>
    </row>
    <row r="138" spans="1:8" x14ac:dyDescent="0.25">
      <c r="A138" s="11"/>
      <c r="B138" s="11" t="s">
        <v>215</v>
      </c>
      <c r="C138" s="11"/>
      <c r="D138" s="11"/>
      <c r="E138" s="11"/>
      <c r="F138" s="11"/>
      <c r="G138" s="11"/>
      <c r="H138" s="27"/>
    </row>
    <row r="139" spans="1:8" x14ac:dyDescent="0.25">
      <c r="A139" s="11"/>
      <c r="B139" s="28" t="s">
        <v>216</v>
      </c>
      <c r="C139" s="29" t="s">
        <v>217</v>
      </c>
      <c r="D139" s="28" t="s">
        <v>218</v>
      </c>
      <c r="E139" s="11"/>
      <c r="F139" s="11"/>
      <c r="G139" s="11"/>
      <c r="H139" s="27"/>
    </row>
    <row r="140" spans="1:8" x14ac:dyDescent="0.25">
      <c r="A140" s="11"/>
      <c r="B140" s="8" t="s">
        <v>219</v>
      </c>
      <c r="C140" s="30">
        <v>47.234000000000002</v>
      </c>
      <c r="D140" s="30">
        <v>47.741999999999997</v>
      </c>
      <c r="E140" s="11"/>
      <c r="F140" s="11"/>
      <c r="G140" s="11"/>
      <c r="H140" s="27"/>
    </row>
    <row r="141" spans="1:8" x14ac:dyDescent="0.25">
      <c r="A141" s="11"/>
      <c r="B141" s="8" t="s">
        <v>220</v>
      </c>
      <c r="C141" s="30">
        <v>66.983999999999995</v>
      </c>
      <c r="D141" s="30">
        <v>67.650999999999996</v>
      </c>
      <c r="E141" s="11"/>
      <c r="F141" s="11"/>
      <c r="G141" s="11"/>
      <c r="H141" s="27"/>
    </row>
    <row r="142" spans="1:8" x14ac:dyDescent="0.25">
      <c r="A142" s="11"/>
      <c r="B142" s="8" t="s">
        <v>221</v>
      </c>
      <c r="C142" s="30">
        <v>120.687</v>
      </c>
      <c r="D142" s="30">
        <v>121.98399999999999</v>
      </c>
      <c r="E142" s="11"/>
      <c r="F142" s="11"/>
      <c r="G142" s="11"/>
      <c r="H142" s="27"/>
    </row>
    <row r="143" spans="1:8" x14ac:dyDescent="0.25">
      <c r="A143" s="11"/>
      <c r="B143" s="8" t="s">
        <v>222</v>
      </c>
      <c r="C143" s="30">
        <v>135.56299999999999</v>
      </c>
      <c r="D143" s="30">
        <v>136.91200000000001</v>
      </c>
      <c r="E143" s="11"/>
      <c r="F143" s="11"/>
      <c r="G143" s="11"/>
      <c r="H143" s="27"/>
    </row>
    <row r="144" spans="1:8" x14ac:dyDescent="0.25">
      <c r="A144" s="11"/>
      <c r="B144" s="8" t="s">
        <v>20</v>
      </c>
      <c r="C144" s="11"/>
      <c r="D144" s="11"/>
      <c r="E144" s="11"/>
      <c r="F144" s="11"/>
      <c r="G144" s="11"/>
      <c r="H144" s="27"/>
    </row>
    <row r="145" spans="1:8" x14ac:dyDescent="0.25">
      <c r="A145" s="11"/>
      <c r="B145" s="11"/>
      <c r="C145" s="11"/>
      <c r="D145" s="11"/>
      <c r="E145" s="11"/>
      <c r="F145" s="11"/>
      <c r="G145" s="11"/>
      <c r="H145" s="27"/>
    </row>
    <row r="146" spans="1:8" x14ac:dyDescent="0.25">
      <c r="A146" s="11"/>
      <c r="B146" s="11" t="s">
        <v>223</v>
      </c>
      <c r="C146" s="11"/>
      <c r="D146" s="11"/>
      <c r="E146" s="11"/>
      <c r="F146" s="11"/>
      <c r="G146" s="11"/>
      <c r="H146" s="27"/>
    </row>
    <row r="147" spans="1:8" x14ac:dyDescent="0.25">
      <c r="A147" s="11"/>
      <c r="B147" s="11"/>
      <c r="C147" s="11"/>
      <c r="D147" s="11"/>
      <c r="E147" s="11"/>
      <c r="F147" s="11"/>
      <c r="G147" s="11"/>
      <c r="H147" s="27"/>
    </row>
    <row r="148" spans="1:8" x14ac:dyDescent="0.25">
      <c r="A148" s="11"/>
      <c r="B148" s="11" t="s">
        <v>224</v>
      </c>
      <c r="C148" s="11"/>
      <c r="D148" s="11"/>
      <c r="E148" s="11"/>
      <c r="F148" s="11"/>
      <c r="G148" s="11"/>
      <c r="H148" s="27"/>
    </row>
    <row r="149" spans="1:8" x14ac:dyDescent="0.25">
      <c r="A149" s="27"/>
      <c r="B149" s="27"/>
      <c r="C149" s="27"/>
      <c r="D149" s="27"/>
      <c r="E149" s="27"/>
      <c r="F149" s="27"/>
      <c r="G149" s="27"/>
      <c r="H149" s="27"/>
    </row>
    <row r="150" spans="1:8" x14ac:dyDescent="0.25">
      <c r="A150" s="11"/>
      <c r="B150" s="11" t="s">
        <v>225</v>
      </c>
      <c r="C150" s="11"/>
      <c r="D150" s="11"/>
      <c r="E150" s="11"/>
      <c r="F150" s="11"/>
      <c r="G150" s="11"/>
      <c r="H150" s="11"/>
    </row>
    <row r="151" spans="1:8" x14ac:dyDescent="0.25">
      <c r="A151" s="11"/>
      <c r="B151" s="11" t="s">
        <v>226</v>
      </c>
      <c r="C151" s="11"/>
      <c r="D151" s="11"/>
      <c r="E151" s="11"/>
      <c r="F151" s="11"/>
      <c r="G151" s="11"/>
      <c r="H151" s="27"/>
    </row>
    <row r="152" spans="1:8" x14ac:dyDescent="0.25">
      <c r="A152" s="11"/>
      <c r="B152" s="11" t="s">
        <v>227</v>
      </c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228</v>
      </c>
      <c r="C153" s="11"/>
      <c r="D153" s="11"/>
      <c r="E153" s="11"/>
      <c r="F153" s="11"/>
      <c r="G153" s="11"/>
      <c r="H153" s="27"/>
    </row>
    <row r="154" spans="1:8" x14ac:dyDescent="0.25">
      <c r="A154" s="11"/>
      <c r="B154" s="11" t="s">
        <v>229</v>
      </c>
      <c r="C154" s="11"/>
      <c r="D154" s="11"/>
      <c r="E154" s="11"/>
      <c r="F154" s="11"/>
      <c r="G154" s="11"/>
      <c r="H154" s="27"/>
    </row>
    <row r="155" spans="1:8" x14ac:dyDescent="0.25">
      <c r="A155" s="11"/>
      <c r="B155" s="11" t="s">
        <v>230</v>
      </c>
      <c r="C155" s="11"/>
      <c r="D155" s="11"/>
      <c r="E155" s="11"/>
      <c r="F155" s="11"/>
      <c r="G155" s="11"/>
      <c r="H155" s="27"/>
    </row>
    <row r="156" spans="1:8" x14ac:dyDescent="0.25">
      <c r="A156" s="11"/>
      <c r="B156" s="11" t="s">
        <v>231</v>
      </c>
      <c r="C156" s="11"/>
      <c r="D156" s="11"/>
      <c r="E156" s="11"/>
      <c r="F156" s="11"/>
      <c r="G156" s="11"/>
      <c r="H156" s="27"/>
    </row>
    <row r="157" spans="1:8" x14ac:dyDescent="0.25">
      <c r="A157" s="11"/>
      <c r="B157" s="11" t="s">
        <v>232</v>
      </c>
      <c r="C157" s="11"/>
      <c r="D157" s="11"/>
      <c r="E157" s="11"/>
      <c r="F157" s="11"/>
      <c r="G157" s="11"/>
      <c r="H157" s="27"/>
    </row>
    <row r="158" spans="1:8" x14ac:dyDescent="0.25">
      <c r="A158" s="11"/>
      <c r="B158" s="11" t="s">
        <v>233</v>
      </c>
      <c r="C158" s="11"/>
      <c r="D158" s="11"/>
      <c r="E158" s="11"/>
      <c r="F158" s="11"/>
      <c r="G158" s="11"/>
      <c r="H158" s="27"/>
    </row>
    <row r="160" spans="1:8" x14ac:dyDescent="0.25">
      <c r="B160" s="31" t="s">
        <v>234</v>
      </c>
    </row>
    <row r="176" spans="2:2" x14ac:dyDescent="0.25">
      <c r="B176" s="31" t="s">
        <v>235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2:I12"/>
  <sheetViews>
    <sheetView workbookViewId="0"/>
  </sheetViews>
  <sheetFormatPr defaultColWidth="9.140625" defaultRowHeight="12.75" x14ac:dyDescent="0.2"/>
  <cols>
    <col min="1" max="1" width="56.140625" style="36" customWidth="1"/>
    <col min="2" max="2" width="41.28515625" style="36" bestFit="1" customWidth="1"/>
    <col min="3" max="3" width="32.42578125" style="36" customWidth="1"/>
    <col min="4" max="4" width="22.7109375" style="36" customWidth="1"/>
    <col min="5" max="5" width="18.7109375" style="36" customWidth="1"/>
    <col min="6" max="6" width="16.140625" style="36" customWidth="1"/>
    <col min="7" max="7" width="13.7109375" style="36" customWidth="1"/>
    <col min="8" max="8" width="38.5703125" style="36" customWidth="1"/>
    <col min="9" max="9" width="9.140625" style="36" customWidth="1"/>
    <col min="10" max="10" width="11.7109375" style="36" customWidth="1"/>
    <col min="11" max="11" width="12.7109375" style="36" customWidth="1"/>
    <col min="12" max="12" width="27.28515625" style="36" customWidth="1"/>
    <col min="13" max="14" width="9.140625" style="36" customWidth="1"/>
    <col min="15" max="15" width="10.7109375" style="36" customWidth="1"/>
    <col min="16" max="16384" width="9.140625" style="36"/>
  </cols>
  <sheetData>
    <row r="2" spans="1:9" x14ac:dyDescent="0.2">
      <c r="G2" s="37"/>
    </row>
    <row r="3" spans="1:9" x14ac:dyDescent="0.2">
      <c r="A3" s="38" t="s">
        <v>236</v>
      </c>
      <c r="B3" s="38"/>
      <c r="C3" s="38"/>
      <c r="D3" s="38"/>
      <c r="E3" s="38"/>
      <c r="F3" s="38"/>
      <c r="G3" s="38"/>
    </row>
    <row r="5" spans="1:9" x14ac:dyDescent="0.2">
      <c r="A5" s="36" t="s">
        <v>237</v>
      </c>
    </row>
    <row r="7" spans="1:9" ht="12.75" customHeight="1" x14ac:dyDescent="0.2">
      <c r="A7" s="39" t="str">
        <f>+[34]DerivativeHDFCMY.!A7</f>
        <v>A.  Hedging Positions through Futures as on  February 29, 2024</v>
      </c>
      <c r="B7" s="39"/>
      <c r="C7" s="39"/>
      <c r="D7" s="39"/>
      <c r="E7" s="39"/>
      <c r="F7" s="39"/>
    </row>
    <row r="8" spans="1:9" ht="38.25" x14ac:dyDescent="0.2">
      <c r="A8" s="40" t="s">
        <v>238</v>
      </c>
      <c r="B8" s="41" t="s">
        <v>239</v>
      </c>
      <c r="C8" s="41" t="s">
        <v>240</v>
      </c>
      <c r="D8" s="41" t="s">
        <v>241</v>
      </c>
      <c r="E8" s="41" t="s">
        <v>242</v>
      </c>
      <c r="F8" s="41" t="s">
        <v>243</v>
      </c>
      <c r="G8" s="41" t="s">
        <v>244</v>
      </c>
      <c r="H8" s="42" t="s">
        <v>245</v>
      </c>
    </row>
    <row r="9" spans="1:9" x14ac:dyDescent="0.2">
      <c r="A9" s="43" t="s">
        <v>246</v>
      </c>
      <c r="B9" s="44" t="s">
        <v>247</v>
      </c>
      <c r="C9" s="44" t="s">
        <v>248</v>
      </c>
      <c r="D9" s="45">
        <v>500000</v>
      </c>
      <c r="E9" s="46">
        <v>22303.418900000001</v>
      </c>
      <c r="F9" s="47">
        <v>22160.5</v>
      </c>
      <c r="G9" s="47">
        <v>12538.3</v>
      </c>
      <c r="H9" s="48">
        <f>(D9*F9)/100000</f>
        <v>110802.5</v>
      </c>
      <c r="I9" s="49"/>
    </row>
    <row r="12" spans="1:9" x14ac:dyDescent="0.2">
      <c r="H12" s="50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HDFCSMALLF</vt:lpstr>
      <vt:lpstr>DerivativeHDFC Small Cap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2024-03-07T12:36:46Z</dcterms:created>
  <dcterms:modified xsi:type="dcterms:W3CDTF">2024-03-07T12:43:47Z</dcterms:modified>
</cp:coreProperties>
</file>