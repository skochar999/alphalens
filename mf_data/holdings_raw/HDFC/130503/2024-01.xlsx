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13_ncr:1_{FC08F1D8-650E-424D-9C2D-A1CB5147AF52}" xr6:coauthVersionLast="36" xr6:coauthVersionMax="36" xr10:uidLastSave="{00000000-0000-0000-0000-000000000000}"/>
  <bookViews>
    <workbookView xWindow="0" yWindow="0" windowWidth="28800" windowHeight="12225" xr2:uid="{C86951E1-290F-44A7-9747-AB09A1A68FAC}"/>
  </bookViews>
  <sheets>
    <sheet name="HDFCSMALLF" sheetId="1" r:id="rId1"/>
    <sheet name="DerivativeHDFCSMAL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localSheetId="1" hidden="1">_xll.Formula.SK(#REF!,1)</definedName>
    <definedName name="SheetKraftFormula117" hidden="1">_xll.Formula.SK(#REF!,1)</definedName>
    <definedName name="SheetKraftFormula118" localSheetId="1" hidden="1">_xll.Formula.SK(#REF!,)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localSheetId="1" hidden="1">_xll.Formula.SK(#REF!,1)</definedName>
    <definedName name="SheetKraftFormula193" hidden="1">_xll.Formula.SK(#REF!,1)</definedName>
    <definedName name="SheetKraftFormula194" localSheetId="1" hidden="1">_xll.Formula.SK(#REF!,1)</definedName>
    <definedName name="SheetKraftFormula194" hidden="1">_xll.Formula.SK(#REF!,1)</definedName>
    <definedName name="SheetKraftFormula195" localSheetId="1" hidden="1">_xll.Formula.SK('[10]Scheme Master'!#REF!,1)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localSheetId="1" hidden="1">_xll.Formula.SK(#REF!,1)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7" hidden="1">_xll.Formula.SK('[18]Pre Working'!$K$5,1)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2" l="1"/>
  <c r="H9" i="2"/>
  <c r="A7" i="2"/>
</calcChain>
</file>

<file path=xl/sharedStrings.xml><?xml version="1.0" encoding="utf-8"?>
<sst xmlns="http://schemas.openxmlformats.org/spreadsheetml/2006/main" count="690" uniqueCount="247">
  <si>
    <t>HDFC Small Cap Fund (An open ended equity scheme predominantly investing in small cap stocks)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</si>
  <si>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</si>
  <si>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</si>
  <si>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</si>
  <si>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</si>
  <si>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</si>
  <si>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</si>
  <si>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</si>
  <si>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</si>
  <si>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</si>
  <si>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</si>
  <si>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</si>
  <si>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</si>
  <si>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</si>
  <si>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</si>
  <si>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</si>
  <si>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</si>
  <si>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</si>
  <si>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|</t>
  </si>
  <si>
    <t>INE269A01021</t>
  </si>
  <si>
    <t/>
  </si>
  <si>
    <t>Sonata Software Ltd.</t>
  </si>
  <si>
    <t>IT - Software</t>
  </si>
  <si>
    <t>INE684F01012</t>
  </si>
  <si>
    <t>Firstsource Solutions Ltd.</t>
  </si>
  <si>
    <t>Commercial Services &amp; Supplies</t>
  </si>
  <si>
    <t>INE028A01039</t>
  </si>
  <si>
    <t>Bank of Baroda</t>
  </si>
  <si>
    <t>Banks</t>
  </si>
  <si>
    <t>INE738I01010</t>
  </si>
  <si>
    <t>eClerx Services Limited</t>
  </si>
  <si>
    <t>INE914M01019</t>
  </si>
  <si>
    <t>Aster DM Healthcare Limited</t>
  </si>
  <si>
    <t>Healthcare Services</t>
  </si>
  <si>
    <t>INE211R01019</t>
  </si>
  <si>
    <t>Power Mech Projects Ltd.</t>
  </si>
  <si>
    <t>Construction</t>
  </si>
  <si>
    <t>INE017A01032</t>
  </si>
  <si>
    <t>Great Eastern Shipping Company Ltd.</t>
  </si>
  <si>
    <t>Transport Services</t>
  </si>
  <si>
    <t>INE193E01025</t>
  </si>
  <si>
    <t>Bajaj Electricals Ltd.</t>
  </si>
  <si>
    <t>Consumer Durables</t>
  </si>
  <si>
    <t>INE043D01016</t>
  </si>
  <si>
    <t>IDFC Ltd.</t>
  </si>
  <si>
    <t>Finance</t>
  </si>
  <si>
    <t>INE063P01018</t>
  </si>
  <si>
    <t>Equitas Small Finance Bank Ltd</t>
  </si>
  <si>
    <t>INE195J01029</t>
  </si>
  <si>
    <t>PNC Infratech Ltd.</t>
  </si>
  <si>
    <t>INE884B01025</t>
  </si>
  <si>
    <t>Kirloskar Ferrous Industries Ltd.</t>
  </si>
  <si>
    <t>Ferrous Metals</t>
  </si>
  <si>
    <t>INE061F01013</t>
  </si>
  <si>
    <t>Fortis Healthcare Limited</t>
  </si>
  <si>
    <t>INE191H01014</t>
  </si>
  <si>
    <t>PVR LIMITED</t>
  </si>
  <si>
    <t>Entertainment</t>
  </si>
  <si>
    <t>INE406M01024</t>
  </si>
  <si>
    <t>Eris Lifesciences Ltd</t>
  </si>
  <si>
    <t>Pharmaceuticals &amp; Biotechnology</t>
  </si>
  <si>
    <t>INE640A01023</t>
  </si>
  <si>
    <t>SKF India Ltd.</t>
  </si>
  <si>
    <t>Industrial Products</t>
  </si>
  <si>
    <t>INE562A01011</t>
  </si>
  <si>
    <t>Indian Bank</t>
  </si>
  <si>
    <t>INE524A01029</t>
  </si>
  <si>
    <t>Gabriel India Ltd.</t>
  </si>
  <si>
    <t>Auto Components</t>
  </si>
  <si>
    <t>INE967H01017</t>
  </si>
  <si>
    <t>Krishna Institute Of Medical Sciences Limited</t>
  </si>
  <si>
    <t>INE429E01023</t>
  </si>
  <si>
    <t>Safari Industries (India) Ltd.</t>
  </si>
  <si>
    <t>INE474Q01031</t>
  </si>
  <si>
    <t>Global Health Limited</t>
  </si>
  <si>
    <t>INE825A01020</t>
  </si>
  <si>
    <t>Vardhman Textiles Ltd.</t>
  </si>
  <si>
    <t>Textiles &amp; Apparels</t>
  </si>
  <si>
    <t>INE142Q01026</t>
  </si>
  <si>
    <t>SULA VINEYARDS LIMITED</t>
  </si>
  <si>
    <t>Beverages</t>
  </si>
  <si>
    <t>INE540H01012</t>
  </si>
  <si>
    <t>Voltamp Transformers Ltd.</t>
  </si>
  <si>
    <t>Electrical Equipment</t>
  </si>
  <si>
    <t>INE688A01022</t>
  </si>
  <si>
    <t>Transport Corporation of India Ltd.</t>
  </si>
  <si>
    <t>INE079J01017</t>
  </si>
  <si>
    <t>Gateway Distriparks Limited</t>
  </si>
  <si>
    <t>INE878B01027</t>
  </si>
  <si>
    <t>KEI Industries Ltd.</t>
  </si>
  <si>
    <t>INE366I01010</t>
  </si>
  <si>
    <t>VRL Logistics Ltd.</t>
  </si>
  <si>
    <t>INE0LXT01019</t>
  </si>
  <si>
    <t>Redtape Limited</t>
  </si>
  <si>
    <t>INE372A01015</t>
  </si>
  <si>
    <t>Apar Industries Limited</t>
  </si>
  <si>
    <t>INE427F01016</t>
  </si>
  <si>
    <t>Chalet Hotels Ltd.</t>
  </si>
  <si>
    <t>Leisure Services</t>
  </si>
  <si>
    <t>INE337A01034</t>
  </si>
  <si>
    <t>LG Balakrishnan &amp; Bros Ltd.</t>
  </si>
  <si>
    <t>INE399C01030</t>
  </si>
  <si>
    <t>Suprajit Engineering Ltd.</t>
  </si>
  <si>
    <t>INE220B01022</t>
  </si>
  <si>
    <t>Kalpataru Projects International Ltd</t>
  </si>
  <si>
    <t>INE085A01013</t>
  </si>
  <si>
    <t>Chambal Fertilizers &amp; Chemicals Ltd.</t>
  </si>
  <si>
    <t>Fertilizers &amp; Agrochemicals</t>
  </si>
  <si>
    <t>INE389H01022</t>
  </si>
  <si>
    <t>KEC International Ltd.</t>
  </si>
  <si>
    <t>INE171A01029</t>
  </si>
  <si>
    <t>The Federal Bank Ltd.</t>
  </si>
  <si>
    <t>INE349A01021</t>
  </si>
  <si>
    <t>NRB Bearing Ltd.</t>
  </si>
  <si>
    <t>INE498B01024</t>
  </si>
  <si>
    <t>Shoppers Stop Ltd.</t>
  </si>
  <si>
    <t>Retailing</t>
  </si>
  <si>
    <t>INE258A01016</t>
  </si>
  <si>
    <t>BEML Limited</t>
  </si>
  <si>
    <t>Agricultural, Commercial &amp; Construction Vehicles</t>
  </si>
  <si>
    <t>INE059D01020</t>
  </si>
  <si>
    <t>La Opala RG Limited</t>
  </si>
  <si>
    <t>INE679V01019</t>
  </si>
  <si>
    <t>Aditya Vision Limited</t>
  </si>
  <si>
    <t>INE351A01035</t>
  </si>
  <si>
    <t>Unichem Laboratories Ltd.</t>
  </si>
  <si>
    <t>INE891D01026</t>
  </si>
  <si>
    <t>Redington Ltd.</t>
  </si>
  <si>
    <t>INE133Y01011</t>
  </si>
  <si>
    <t>IFGL Refractories Limited (Erst IFGL Exports Ltd)</t>
  </si>
  <si>
    <t>INE221J01015</t>
  </si>
  <si>
    <t>Sharda Cropchem Ltd.</t>
  </si>
  <si>
    <t>INE056C01010</t>
  </si>
  <si>
    <t>Tata Metaliks Ltd.</t>
  </si>
  <si>
    <t>INE933K01021</t>
  </si>
  <si>
    <t>Bajaj Consumer Care Ltd.</t>
  </si>
  <si>
    <t>Personal Products</t>
  </si>
  <si>
    <t>INE944F01028</t>
  </si>
  <si>
    <t>Radico Khaitan Limited</t>
  </si>
  <si>
    <t>INE503A01015</t>
  </si>
  <si>
    <t>DCB Bank Limited</t>
  </si>
  <si>
    <t>INE120A01034</t>
  </si>
  <si>
    <t>Carborundum Universal Ltd.</t>
  </si>
  <si>
    <t>INE570A01022</t>
  </si>
  <si>
    <t>ION EXCHANGE (INDIA) LIMITED</t>
  </si>
  <si>
    <t>INE548C01032</t>
  </si>
  <si>
    <t>Emami Ltd.</t>
  </si>
  <si>
    <t>INE199A01012</t>
  </si>
  <si>
    <t>Procter &amp; Gamble Health Ltd.</t>
  </si>
  <si>
    <t>INE517F01014</t>
  </si>
  <si>
    <t>Gujarat Pipavav Port Ltd.</t>
  </si>
  <si>
    <t>Transport Infrastructure</t>
  </si>
  <si>
    <t>INE070I01018</t>
  </si>
  <si>
    <t>Insecticides (India) Ltd.</t>
  </si>
  <si>
    <t>INE745G01035</t>
  </si>
  <si>
    <t>Multi Commodity Exchange of India L</t>
  </si>
  <si>
    <t>Capital Markets</t>
  </si>
  <si>
    <t>INE950I01011</t>
  </si>
  <si>
    <t>D B Corp Limited</t>
  </si>
  <si>
    <t>Media</t>
  </si>
  <si>
    <t>INE934S01014</t>
  </si>
  <si>
    <t>GNA Axles Ltd.</t>
  </si>
  <si>
    <t>INE612J01015</t>
  </si>
  <si>
    <t>Repco Home Finance Ltd.</t>
  </si>
  <si>
    <t>INE533A01012</t>
  </si>
  <si>
    <t>Goodyear India Ltd.</t>
  </si>
  <si>
    <t>INE124G01033</t>
  </si>
  <si>
    <t>Delta Corp Ltd.</t>
  </si>
  <si>
    <t>INE386A01015</t>
  </si>
  <si>
    <t>Vesuvius India Ltd.</t>
  </si>
  <si>
    <t>INE183A01024</t>
  </si>
  <si>
    <t>Finolex Industries Ltd.</t>
  </si>
  <si>
    <t>INE310A01015</t>
  </si>
  <si>
    <t>Nilkamal Ltd.</t>
  </si>
  <si>
    <t>INE038F01029</t>
  </si>
  <si>
    <t>T. V. Today Network Ltd.</t>
  </si>
  <si>
    <t>INE837H01020</t>
  </si>
  <si>
    <t>Advanced Enzyme Technologies Ltd.</t>
  </si>
  <si>
    <t>INE0KQN01018</t>
  </si>
  <si>
    <t>Bajel Projects Limited</t>
  </si>
  <si>
    <t>Power</t>
  </si>
  <si>
    <t>INE544R01021</t>
  </si>
  <si>
    <t>Greenlam Industries Ltd.</t>
  </si>
  <si>
    <t>INE230A01023</t>
  </si>
  <si>
    <t>EIH Ltd.</t>
  </si>
  <si>
    <t>INE151G01028</t>
  </si>
  <si>
    <t>Shaily Engineering Plastics Ltd.</t>
  </si>
  <si>
    <t>INE321D01016</t>
  </si>
  <si>
    <t>Oriental Carbon &amp; Chemicals Ltd.</t>
  </si>
  <si>
    <t>Chemicals &amp; Petrochemicals</t>
  </si>
  <si>
    <t>INE199G01027</t>
  </si>
  <si>
    <t>Jagran Prakashan Ltd.</t>
  </si>
  <si>
    <t>INE226H01026</t>
  </si>
  <si>
    <t>Sadbhav Engineering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</si>
  <si>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</si>
  <si>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</si>
  <si>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</si>
  <si>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</si>
  <si>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</si>
  <si>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</si>
  <si>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</si>
  <si>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</si>
  <si>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</si>
  <si>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</si>
  <si>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</si>
  <si>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</si>
  <si>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</si>
  <si>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</si>
  <si>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</si>
  <si>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</si>
  <si>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Total Hedged Exposure</t>
  </si>
  <si>
    <t>Cash, Cash Equivalents and Net Current Assets</t>
  </si>
  <si>
    <t>Notes :</t>
  </si>
  <si>
    <t>1) NAV History</t>
  </si>
  <si>
    <t>NAVs per unit (Rs.)</t>
  </si>
  <si>
    <t>January 31, 2024</t>
  </si>
  <si>
    <t>December 29, 2023</t>
  </si>
  <si>
    <t>IDCW Option</t>
  </si>
  <si>
    <t>IDCW Option - Direct Plan</t>
  </si>
  <si>
    <t>Growth Option</t>
  </si>
  <si>
    <t>Growth Option -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</si>
  <si>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</si>
  <si>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</si>
  <si>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</si>
  <si>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</si>
  <si>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</si>
  <si>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Rs. 109043 Lacs</t>
  </si>
  <si>
    <t>6) Portfolio Turnover Ratio : 8.83%</t>
  </si>
  <si>
    <t>7) Total value and percentage of Illiquid Equity Shares : Nil</t>
  </si>
  <si>
    <t>8) Total outstanding exposure in Derivative Instruments in Nifty Index is Rs. 109043 Lacs which is 3.81% of NAV as on 31-Jan-2024</t>
  </si>
  <si>
    <t>9) IDCW stands for Income Distribution cum Capital Withdrawal</t>
  </si>
  <si>
    <t>10) Riskometer based on Scheme Portfolio and Portfolio Benchmark "S&amp;P BSE 250 SmallCap Index (TRI)" as on Jan 31, 2024</t>
  </si>
  <si>
    <t>Scheme Riskometer:</t>
  </si>
  <si>
    <t>Benchmark Riskometer:</t>
  </si>
  <si>
    <t>DERIVATIVE DISCLOSURE - HDFC Small Cap Fund</t>
  </si>
  <si>
    <t>Disclosure regarding Derivative positions pursuant to SEBI Circular no. CIR/IMD/DF/11/2010 dated August 18, 2010.</t>
  </si>
  <si>
    <t>Scheme Name</t>
  </si>
  <si>
    <t>Underlying</t>
  </si>
  <si>
    <t>Industry</t>
  </si>
  <si>
    <t xml:space="preserve">Long / (Short) </t>
  </si>
  <si>
    <t>Futures Price when purchased (Rs.) Per Unit</t>
  </si>
  <si>
    <t>Current price of the contract (Rs.) Per Unit</t>
  </si>
  <si>
    <t>Margin maintained in (Rs. In Lacs)</t>
  </si>
  <si>
    <t>Market value 
(Rs. in Lakhs)</t>
  </si>
  <si>
    <t>HDFC Small Cap Fund</t>
  </si>
  <si>
    <t>NIFTY</t>
  </si>
  <si>
    <t>NIFTY29-02-2024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</si>
</sst>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#,##0.0000"/>
    <numFmt numFmtId="165" formatCode="#,##0.000"/>
    <numFmt numFmtId="166" formatCode="_(* #,##0.00_);_(* \(#,##0.00\);_(* &quot;-&quot;??_);_(@_)"/>
    <numFmt numFmtId="167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b/>
      <sz val="10"/>
      <color theme="1"/>
      <name val="Franklin Gothic Book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166" fontId="12" fillId="0" borderId="0" applyFont="0" applyFill="0" applyBorder="0" applyAlignment="0" applyProtection="0"/>
    <xf numFmtId="166" fontId="13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right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4" fontId="7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0" fontId="13" fillId="0" borderId="0" xfId="1" applyFont="1" applyFill="1" applyBorder="1" applyAlignment="1"/>
    <xf numFmtId="0" fontId="13" fillId="0" borderId="0" xfId="1" applyFont="1" applyFill="1" applyBorder="1" applyAlignment="1">
      <alignment horizontal="right"/>
    </xf>
    <xf numFmtId="0" fontId="14" fillId="0" borderId="0" xfId="1" applyFont="1" applyFill="1" applyBorder="1" applyAlignment="1">
      <alignment horizontal="left"/>
    </xf>
    <xf numFmtId="0" fontId="15" fillId="0" borderId="0" xfId="1" applyFont="1" applyFill="1" applyBorder="1" applyAlignment="1">
      <alignment horizontal="left" vertical="justify"/>
    </xf>
    <xf numFmtId="0" fontId="14" fillId="0" borderId="1" xfId="1" applyFont="1" applyFill="1" applyBorder="1" applyAlignment="1"/>
    <xf numFmtId="0" fontId="14" fillId="0" borderId="1" xfId="1" applyFont="1" applyFill="1" applyBorder="1" applyAlignment="1">
      <alignment wrapText="1"/>
    </xf>
    <xf numFmtId="166" fontId="16" fillId="0" borderId="1" xfId="2" applyFont="1" applyBorder="1" applyAlignment="1">
      <alignment vertical="center" wrapText="1"/>
    </xf>
    <xf numFmtId="0" fontId="13" fillId="0" borderId="2" xfId="1" applyFont="1" applyFill="1" applyBorder="1" applyAlignment="1">
      <alignment vertical="top"/>
    </xf>
    <xf numFmtId="0" fontId="13" fillId="0" borderId="1" xfId="1" applyFont="1" applyFill="1" applyBorder="1" applyAlignment="1"/>
    <xf numFmtId="167" fontId="17" fillId="0" borderId="1" xfId="3" applyNumberFormat="1" applyFont="1" applyFill="1" applyBorder="1" applyAlignment="1">
      <alignment horizontal="right" vertical="center"/>
    </xf>
    <xf numFmtId="4" fontId="17" fillId="0" borderId="1" xfId="1" applyNumberFormat="1" applyFont="1" applyFill="1" applyBorder="1" applyAlignment="1">
      <alignment horizontal="right" vertical="top"/>
    </xf>
    <xf numFmtId="4" fontId="13" fillId="0" borderId="1" xfId="1" applyNumberFormat="1" applyFont="1" applyFill="1" applyBorder="1" applyAlignment="1"/>
    <xf numFmtId="166" fontId="13" fillId="0" borderId="1" xfId="2" applyFont="1" applyFill="1" applyBorder="1" applyAlignment="1"/>
    <xf numFmtId="15" fontId="13" fillId="0" borderId="0" xfId="1" quotePrefix="1" applyNumberFormat="1" applyFont="1" applyFill="1" applyBorder="1" applyAlignment="1"/>
    <xf numFmtId="0" fontId="13" fillId="0" borderId="3" xfId="1" applyFont="1" applyFill="1" applyBorder="1" applyAlignment="1">
      <alignment vertical="top"/>
    </xf>
    <xf numFmtId="43" fontId="13" fillId="0" borderId="0" xfId="1" applyNumberFormat="1" applyFont="1" applyFill="1" applyBorder="1" applyAlignment="1"/>
  </cellXfs>
  <cellStyles count="4">
    <cellStyle name="Comma 2" xfId="3" xr:uid="{945E67E0-F60F-4ACE-92AC-51E307147F7A}"/>
    <cellStyle name="Comma 3" xfId="2" xr:uid="{E97FDE16-E85D-4ED0-99C5-278A8EBE7736}"/>
    <cellStyle name="Normal" xfId="0" builtinId="0"/>
    <cellStyle name="Normal 2" xfId="1" xr:uid="{154FD35B-F035-4CE0-8211-36FCDE81D4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4E584B-D6BC-4796-A3F5-FA9B689246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61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2</xdr:col>
      <xdr:colOff>1492250</xdr:colOff>
      <xdr:row>188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678937-3F98-430C-93CC-48F32AF18C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909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7">
          <cell r="A7" t="str">
            <v>A.  Hedging Positions through Futures as on  January 31, 2023</v>
          </cell>
        </row>
      </sheetData>
      <sheetData sheetId="63"/>
      <sheetData sheetId="64"/>
      <sheetData sheetId="65"/>
      <sheetData sheetId="6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60F63-E9B1-42EE-A67F-E2C51B0304E8}">
  <sheetPr codeName="Sheet42"/>
  <dimension ref="A1:L17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48.75" customHeight="1" x14ac:dyDescent="0.3">
      <c r="A1" s="33" t="s">
        <v>0</v>
      </c>
      <c r="B1" s="33" t="s">
        <v>0</v>
      </c>
      <c r="C1" s="33" t="s">
        <v>0</v>
      </c>
      <c r="D1" s="33" t="s">
        <v>0</v>
      </c>
      <c r="E1" s="33" t="s">
        <v>0</v>
      </c>
      <c r="F1" s="33" t="s">
        <v>0</v>
      </c>
      <c r="G1" s="33" t="s">
        <v>0</v>
      </c>
      <c r="H1" s="33" t="s">
        <v>0</v>
      </c>
      <c r="I1" s="33" t="s">
        <v>0</v>
      </c>
      <c r="J1" s="33" t="s">
        <v>0</v>
      </c>
      <c r="K1" s="1" t="s">
        <v>1</v>
      </c>
      <c r="L1" s="2" t="s">
        <v>2</v>
      </c>
    </row>
    <row r="2" spans="1:12" x14ac:dyDescent="0.25">
      <c r="A2" s="34" t="s">
        <v>3</v>
      </c>
      <c r="B2" s="34" t="s">
        <v>3</v>
      </c>
      <c r="C2" s="34" t="s">
        <v>3</v>
      </c>
      <c r="D2" s="34" t="s">
        <v>3</v>
      </c>
      <c r="E2" s="34" t="s">
        <v>3</v>
      </c>
      <c r="F2" s="34" t="s">
        <v>3</v>
      </c>
      <c r="G2" s="34" t="s">
        <v>3</v>
      </c>
      <c r="H2" s="34" t="s">
        <v>3</v>
      </c>
      <c r="I2" s="34" t="s">
        <v>3</v>
      </c>
      <c r="J2" s="34" t="s">
        <v>3</v>
      </c>
      <c r="K2" s="4"/>
      <c r="L2" s="4"/>
    </row>
    <row r="3" spans="1:12" x14ac:dyDescent="0.2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.25" x14ac:dyDescent="0.2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5" t="s">
        <v>14</v>
      </c>
    </row>
    <row r="6" spans="1:12" x14ac:dyDescent="0.25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5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5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5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18629810</v>
      </c>
      <c r="G9" s="13">
        <v>143076.94</v>
      </c>
      <c r="H9" s="13">
        <v>5</v>
      </c>
      <c r="I9" s="14" t="s">
        <v>20</v>
      </c>
      <c r="J9" s="14" t="s">
        <v>20</v>
      </c>
      <c r="K9" s="15">
        <v>0</v>
      </c>
      <c r="L9" s="16">
        <v>5</v>
      </c>
    </row>
    <row r="10" spans="1:12" x14ac:dyDescent="0.25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25</v>
      </c>
      <c r="F10" s="12">
        <v>53352304</v>
      </c>
      <c r="G10" s="13">
        <v>109158.81</v>
      </c>
      <c r="H10" s="13">
        <v>3.82</v>
      </c>
      <c r="I10" s="14" t="s">
        <v>20</v>
      </c>
      <c r="J10" s="14" t="s">
        <v>20</v>
      </c>
      <c r="K10" s="15">
        <v>0</v>
      </c>
      <c r="L10" s="16">
        <v>3.82</v>
      </c>
    </row>
    <row r="11" spans="1:12" x14ac:dyDescent="0.25">
      <c r="A11" s="10" t="s">
        <v>18</v>
      </c>
      <c r="B11" s="11" t="s">
        <v>26</v>
      </c>
      <c r="C11" s="11" t="s">
        <v>20</v>
      </c>
      <c r="D11" s="11" t="s">
        <v>27</v>
      </c>
      <c r="E11" s="11" t="s">
        <v>28</v>
      </c>
      <c r="F11" s="12">
        <v>42828792</v>
      </c>
      <c r="G11" s="13">
        <v>106044.09</v>
      </c>
      <c r="H11" s="13">
        <v>3.71</v>
      </c>
      <c r="I11" s="14" t="s">
        <v>20</v>
      </c>
      <c r="J11" s="14" t="s">
        <v>20</v>
      </c>
      <c r="K11" s="15">
        <v>0</v>
      </c>
      <c r="L11" s="16">
        <v>3.71</v>
      </c>
    </row>
    <row r="12" spans="1:12" x14ac:dyDescent="0.25">
      <c r="A12" s="10" t="s">
        <v>18</v>
      </c>
      <c r="B12" s="11" t="s">
        <v>29</v>
      </c>
      <c r="C12" s="11" t="s">
        <v>20</v>
      </c>
      <c r="D12" s="11" t="s">
        <v>30</v>
      </c>
      <c r="E12" s="11" t="s">
        <v>25</v>
      </c>
      <c r="F12" s="12">
        <v>3494879</v>
      </c>
      <c r="G12" s="13">
        <v>95310.59</v>
      </c>
      <c r="H12" s="13">
        <v>3.33</v>
      </c>
      <c r="I12" s="14" t="s">
        <v>20</v>
      </c>
      <c r="J12" s="14" t="s">
        <v>20</v>
      </c>
      <c r="K12" s="15">
        <v>0</v>
      </c>
      <c r="L12" s="16">
        <v>3.33</v>
      </c>
    </row>
    <row r="13" spans="1:12" x14ac:dyDescent="0.25">
      <c r="A13" s="10" t="s">
        <v>18</v>
      </c>
      <c r="B13" s="11" t="s">
        <v>31</v>
      </c>
      <c r="C13" s="11" t="s">
        <v>20</v>
      </c>
      <c r="D13" s="11" t="s">
        <v>32</v>
      </c>
      <c r="E13" s="11" t="s">
        <v>33</v>
      </c>
      <c r="F13" s="12">
        <v>16630886</v>
      </c>
      <c r="G13" s="13">
        <v>73616.62</v>
      </c>
      <c r="H13" s="13">
        <v>2.57</v>
      </c>
      <c r="I13" s="14" t="s">
        <v>20</v>
      </c>
      <c r="J13" s="14" t="s">
        <v>20</v>
      </c>
      <c r="K13" s="15">
        <v>0</v>
      </c>
      <c r="L13" s="16">
        <v>2.57</v>
      </c>
    </row>
    <row r="14" spans="1:12" x14ac:dyDescent="0.25">
      <c r="A14" s="10" t="s">
        <v>18</v>
      </c>
      <c r="B14" s="11" t="s">
        <v>34</v>
      </c>
      <c r="C14" s="11" t="s">
        <v>20</v>
      </c>
      <c r="D14" s="11" t="s">
        <v>35</v>
      </c>
      <c r="E14" s="11" t="s">
        <v>36</v>
      </c>
      <c r="F14" s="12">
        <v>1197932</v>
      </c>
      <c r="G14" s="13">
        <v>63855.77</v>
      </c>
      <c r="H14" s="13">
        <v>2.23</v>
      </c>
      <c r="I14" s="14" t="s">
        <v>20</v>
      </c>
      <c r="J14" s="14" t="s">
        <v>20</v>
      </c>
      <c r="K14" s="15">
        <v>0</v>
      </c>
      <c r="L14" s="16">
        <v>2.23</v>
      </c>
    </row>
    <row r="15" spans="1:12" x14ac:dyDescent="0.25">
      <c r="A15" s="10" t="s">
        <v>18</v>
      </c>
      <c r="B15" s="11" t="s">
        <v>37</v>
      </c>
      <c r="C15" s="11" t="s">
        <v>20</v>
      </c>
      <c r="D15" s="11" t="s">
        <v>38</v>
      </c>
      <c r="E15" s="11" t="s">
        <v>39</v>
      </c>
      <c r="F15" s="12">
        <v>6404655</v>
      </c>
      <c r="G15" s="13">
        <v>63441.31</v>
      </c>
      <c r="H15" s="13">
        <v>2.2200000000000002</v>
      </c>
      <c r="I15" s="14" t="s">
        <v>20</v>
      </c>
      <c r="J15" s="14" t="s">
        <v>20</v>
      </c>
      <c r="K15" s="15">
        <v>0</v>
      </c>
      <c r="L15" s="16">
        <v>2.2200000000000002</v>
      </c>
    </row>
    <row r="16" spans="1:12" x14ac:dyDescent="0.25">
      <c r="A16" s="10" t="s">
        <v>18</v>
      </c>
      <c r="B16" s="11" t="s">
        <v>40</v>
      </c>
      <c r="C16" s="11" t="s">
        <v>20</v>
      </c>
      <c r="D16" s="11" t="s">
        <v>41</v>
      </c>
      <c r="E16" s="11" t="s">
        <v>42</v>
      </c>
      <c r="F16" s="12">
        <v>5882744</v>
      </c>
      <c r="G16" s="13">
        <v>61642.33</v>
      </c>
      <c r="H16" s="13">
        <v>2.15</v>
      </c>
      <c r="I16" s="14" t="s">
        <v>20</v>
      </c>
      <c r="J16" s="14" t="s">
        <v>20</v>
      </c>
      <c r="K16" s="15">
        <v>0</v>
      </c>
      <c r="L16" s="16">
        <v>2.15</v>
      </c>
    </row>
    <row r="17" spans="1:12" x14ac:dyDescent="0.25">
      <c r="A17" s="10" t="s">
        <v>18</v>
      </c>
      <c r="B17" s="11" t="s">
        <v>43</v>
      </c>
      <c r="C17" s="11" t="s">
        <v>20</v>
      </c>
      <c r="D17" s="11" t="s">
        <v>44</v>
      </c>
      <c r="E17" s="11" t="s">
        <v>45</v>
      </c>
      <c r="F17" s="12">
        <v>51071544</v>
      </c>
      <c r="G17" s="13">
        <v>61004.959999999999</v>
      </c>
      <c r="H17" s="13">
        <v>2.13</v>
      </c>
      <c r="I17" s="14" t="s">
        <v>20</v>
      </c>
      <c r="J17" s="14" t="s">
        <v>20</v>
      </c>
      <c r="K17" s="15">
        <v>0</v>
      </c>
      <c r="L17" s="16">
        <v>2.13</v>
      </c>
    </row>
    <row r="18" spans="1:12" x14ac:dyDescent="0.25">
      <c r="A18" s="10" t="s">
        <v>18</v>
      </c>
      <c r="B18" s="11" t="s">
        <v>46</v>
      </c>
      <c r="C18" s="11" t="s">
        <v>20</v>
      </c>
      <c r="D18" s="11" t="s">
        <v>47</v>
      </c>
      <c r="E18" s="11" t="s">
        <v>28</v>
      </c>
      <c r="F18" s="12">
        <v>57326840</v>
      </c>
      <c r="G18" s="13">
        <v>59476.6</v>
      </c>
      <c r="H18" s="13">
        <v>2.08</v>
      </c>
      <c r="I18" s="14" t="s">
        <v>20</v>
      </c>
      <c r="J18" s="14" t="s">
        <v>20</v>
      </c>
      <c r="K18" s="15">
        <v>0</v>
      </c>
      <c r="L18" s="16">
        <v>2.08</v>
      </c>
    </row>
    <row r="19" spans="1:12" x14ac:dyDescent="0.25">
      <c r="A19" s="10" t="s">
        <v>20</v>
      </c>
      <c r="B19" s="11" t="s">
        <v>48</v>
      </c>
      <c r="C19" s="11" t="s">
        <v>20</v>
      </c>
      <c r="D19" s="11" t="s">
        <v>49</v>
      </c>
      <c r="E19" s="11" t="s">
        <v>36</v>
      </c>
      <c r="F19" s="12">
        <v>12886529</v>
      </c>
      <c r="G19" s="13">
        <v>58968.76</v>
      </c>
      <c r="H19" s="13">
        <v>2.06</v>
      </c>
      <c r="I19" s="14" t="s">
        <v>20</v>
      </c>
      <c r="J19" s="14" t="s">
        <v>20</v>
      </c>
      <c r="K19" s="15">
        <v>0</v>
      </c>
      <c r="L19" s="16">
        <v>2.06</v>
      </c>
    </row>
    <row r="20" spans="1:12" x14ac:dyDescent="0.25">
      <c r="A20" s="10" t="s">
        <v>20</v>
      </c>
      <c r="B20" s="11" t="s">
        <v>50</v>
      </c>
      <c r="C20" s="11" t="s">
        <v>20</v>
      </c>
      <c r="D20" s="11" t="s">
        <v>51</v>
      </c>
      <c r="E20" s="11" t="s">
        <v>52</v>
      </c>
      <c r="F20" s="12">
        <v>8993701</v>
      </c>
      <c r="G20" s="13">
        <v>57411.29</v>
      </c>
      <c r="H20" s="13">
        <v>2.0099999999999998</v>
      </c>
      <c r="I20" s="14" t="s">
        <v>20</v>
      </c>
      <c r="J20" s="14" t="s">
        <v>20</v>
      </c>
      <c r="K20" s="15">
        <v>0</v>
      </c>
      <c r="L20" s="16">
        <v>2.0099999999999998</v>
      </c>
    </row>
    <row r="21" spans="1:12" x14ac:dyDescent="0.25">
      <c r="A21" s="10" t="s">
        <v>20</v>
      </c>
      <c r="B21" s="11" t="s">
        <v>53</v>
      </c>
      <c r="C21" s="11" t="s">
        <v>20</v>
      </c>
      <c r="D21" s="11" t="s">
        <v>54</v>
      </c>
      <c r="E21" s="11" t="s">
        <v>33</v>
      </c>
      <c r="F21" s="12">
        <v>12453275</v>
      </c>
      <c r="G21" s="13">
        <v>53785.69</v>
      </c>
      <c r="H21" s="13">
        <v>1.88</v>
      </c>
      <c r="I21" s="14" t="s">
        <v>20</v>
      </c>
      <c r="J21" s="14" t="s">
        <v>20</v>
      </c>
      <c r="K21" s="15">
        <v>0</v>
      </c>
      <c r="L21" s="16">
        <v>1.88</v>
      </c>
    </row>
    <row r="22" spans="1:12" x14ac:dyDescent="0.25">
      <c r="A22" s="10" t="s">
        <v>20</v>
      </c>
      <c r="B22" s="11" t="s">
        <v>55</v>
      </c>
      <c r="C22" s="11" t="s">
        <v>20</v>
      </c>
      <c r="D22" s="11" t="s">
        <v>56</v>
      </c>
      <c r="E22" s="11" t="s">
        <v>57</v>
      </c>
      <c r="F22" s="12">
        <v>3515141</v>
      </c>
      <c r="G22" s="13">
        <v>51145.3</v>
      </c>
      <c r="H22" s="13">
        <v>1.79</v>
      </c>
      <c r="I22" s="14" t="s">
        <v>20</v>
      </c>
      <c r="J22" s="14" t="s">
        <v>20</v>
      </c>
      <c r="K22" s="15">
        <v>0</v>
      </c>
      <c r="L22" s="16">
        <v>1.79</v>
      </c>
    </row>
    <row r="23" spans="1:12" x14ac:dyDescent="0.25">
      <c r="A23" s="10" t="s">
        <v>20</v>
      </c>
      <c r="B23" s="11" t="s">
        <v>58</v>
      </c>
      <c r="C23" s="11" t="s">
        <v>20</v>
      </c>
      <c r="D23" s="11" t="s">
        <v>59</v>
      </c>
      <c r="E23" s="11" t="s">
        <v>60</v>
      </c>
      <c r="F23" s="12">
        <v>5521391</v>
      </c>
      <c r="G23" s="13">
        <v>50589.75</v>
      </c>
      <c r="H23" s="13">
        <v>1.77</v>
      </c>
      <c r="I23" s="14" t="s">
        <v>20</v>
      </c>
      <c r="J23" s="14" t="s">
        <v>20</v>
      </c>
      <c r="K23" s="15">
        <v>0</v>
      </c>
      <c r="L23" s="16">
        <v>1.77</v>
      </c>
    </row>
    <row r="24" spans="1:12" x14ac:dyDescent="0.25">
      <c r="A24" s="10" t="s">
        <v>20</v>
      </c>
      <c r="B24" s="11" t="s">
        <v>61</v>
      </c>
      <c r="C24" s="11" t="s">
        <v>20</v>
      </c>
      <c r="D24" s="11" t="s">
        <v>62</v>
      </c>
      <c r="E24" s="11" t="s">
        <v>63</v>
      </c>
      <c r="F24" s="12">
        <v>1049491</v>
      </c>
      <c r="G24" s="13">
        <v>49240.54</v>
      </c>
      <c r="H24" s="13">
        <v>1.72</v>
      </c>
      <c r="I24" s="14" t="s">
        <v>20</v>
      </c>
      <c r="J24" s="14" t="s">
        <v>20</v>
      </c>
      <c r="K24" s="15">
        <v>0</v>
      </c>
      <c r="L24" s="16">
        <v>1.72</v>
      </c>
    </row>
    <row r="25" spans="1:12" x14ac:dyDescent="0.25">
      <c r="A25" s="10" t="s">
        <v>20</v>
      </c>
      <c r="B25" s="11" t="s">
        <v>64</v>
      </c>
      <c r="C25" s="11" t="s">
        <v>20</v>
      </c>
      <c r="D25" s="11" t="s">
        <v>65</v>
      </c>
      <c r="E25" s="11" t="s">
        <v>28</v>
      </c>
      <c r="F25" s="12">
        <v>9723910</v>
      </c>
      <c r="G25" s="13">
        <v>48507.73</v>
      </c>
      <c r="H25" s="13">
        <v>1.7</v>
      </c>
      <c r="I25" s="14" t="s">
        <v>20</v>
      </c>
      <c r="J25" s="14" t="s">
        <v>20</v>
      </c>
      <c r="K25" s="15">
        <v>0</v>
      </c>
      <c r="L25" s="16">
        <v>1.7</v>
      </c>
    </row>
    <row r="26" spans="1:12" x14ac:dyDescent="0.25">
      <c r="A26" s="10" t="s">
        <v>20</v>
      </c>
      <c r="B26" s="11" t="s">
        <v>66</v>
      </c>
      <c r="C26" s="11" t="s">
        <v>20</v>
      </c>
      <c r="D26" s="11" t="s">
        <v>67</v>
      </c>
      <c r="E26" s="11" t="s">
        <v>68</v>
      </c>
      <c r="F26" s="12">
        <v>12036000</v>
      </c>
      <c r="G26" s="13">
        <v>46182.13</v>
      </c>
      <c r="H26" s="13">
        <v>1.61</v>
      </c>
      <c r="I26" s="14" t="s">
        <v>20</v>
      </c>
      <c r="J26" s="14" t="s">
        <v>20</v>
      </c>
      <c r="K26" s="15">
        <v>0</v>
      </c>
      <c r="L26" s="16">
        <v>1.61</v>
      </c>
    </row>
    <row r="27" spans="1:12" x14ac:dyDescent="0.25">
      <c r="A27" s="10" t="s">
        <v>20</v>
      </c>
      <c r="B27" s="11" t="s">
        <v>69</v>
      </c>
      <c r="C27" s="11" t="s">
        <v>20</v>
      </c>
      <c r="D27" s="11" t="s">
        <v>70</v>
      </c>
      <c r="E27" s="11" t="s">
        <v>33</v>
      </c>
      <c r="F27" s="12">
        <v>2162215</v>
      </c>
      <c r="G27" s="13">
        <v>46187.07</v>
      </c>
      <c r="H27" s="13">
        <v>1.61</v>
      </c>
      <c r="I27" s="14" t="s">
        <v>20</v>
      </c>
      <c r="J27" s="14" t="s">
        <v>20</v>
      </c>
      <c r="K27" s="15">
        <v>0</v>
      </c>
      <c r="L27" s="16">
        <v>1.61</v>
      </c>
    </row>
    <row r="28" spans="1:12" x14ac:dyDescent="0.25">
      <c r="A28" s="10" t="s">
        <v>20</v>
      </c>
      <c r="B28" s="11" t="s">
        <v>71</v>
      </c>
      <c r="C28" s="11" t="s">
        <v>20</v>
      </c>
      <c r="D28" s="11" t="s">
        <v>72</v>
      </c>
      <c r="E28" s="11" t="s">
        <v>42</v>
      </c>
      <c r="F28" s="12">
        <v>2130797</v>
      </c>
      <c r="G28" s="13">
        <v>43295.66</v>
      </c>
      <c r="H28" s="13">
        <v>1.51</v>
      </c>
      <c r="I28" s="14" t="s">
        <v>20</v>
      </c>
      <c r="J28" s="14" t="s">
        <v>20</v>
      </c>
      <c r="K28" s="15">
        <v>0</v>
      </c>
      <c r="L28" s="16">
        <v>1.51</v>
      </c>
    </row>
    <row r="29" spans="1:12" x14ac:dyDescent="0.25">
      <c r="A29" s="10" t="s">
        <v>20</v>
      </c>
      <c r="B29" s="11" t="s">
        <v>73</v>
      </c>
      <c r="C29" s="11" t="s">
        <v>20</v>
      </c>
      <c r="D29" s="11" t="s">
        <v>74</v>
      </c>
      <c r="E29" s="11" t="s">
        <v>33</v>
      </c>
      <c r="F29" s="12">
        <v>3577841</v>
      </c>
      <c r="G29" s="13">
        <v>41084.35</v>
      </c>
      <c r="H29" s="13">
        <v>1.44</v>
      </c>
      <c r="I29" s="14" t="s">
        <v>20</v>
      </c>
      <c r="J29" s="14" t="s">
        <v>20</v>
      </c>
      <c r="K29" s="15">
        <v>0</v>
      </c>
      <c r="L29" s="16">
        <v>1.44</v>
      </c>
    </row>
    <row r="30" spans="1:12" x14ac:dyDescent="0.25">
      <c r="A30" s="10" t="s">
        <v>20</v>
      </c>
      <c r="B30" s="11" t="s">
        <v>75</v>
      </c>
      <c r="C30" s="11" t="s">
        <v>20</v>
      </c>
      <c r="D30" s="11" t="s">
        <v>76</v>
      </c>
      <c r="E30" s="11" t="s">
        <v>77</v>
      </c>
      <c r="F30" s="12">
        <v>9261551</v>
      </c>
      <c r="G30" s="13">
        <v>39620.92</v>
      </c>
      <c r="H30" s="13">
        <v>1.39</v>
      </c>
      <c r="I30" s="14" t="s">
        <v>20</v>
      </c>
      <c r="J30" s="14" t="s">
        <v>20</v>
      </c>
      <c r="K30" s="15">
        <v>0</v>
      </c>
      <c r="L30" s="16">
        <v>1.39</v>
      </c>
    </row>
    <row r="31" spans="1:12" x14ac:dyDescent="0.25">
      <c r="A31" s="10" t="s">
        <v>20</v>
      </c>
      <c r="B31" s="11" t="s">
        <v>78</v>
      </c>
      <c r="C31" s="11" t="s">
        <v>20</v>
      </c>
      <c r="D31" s="11" t="s">
        <v>79</v>
      </c>
      <c r="E31" s="11" t="s">
        <v>80</v>
      </c>
      <c r="F31" s="12">
        <v>5912609</v>
      </c>
      <c r="G31" s="13">
        <v>39218.339999999997</v>
      </c>
      <c r="H31" s="13">
        <v>1.37</v>
      </c>
      <c r="I31" s="14" t="s">
        <v>20</v>
      </c>
      <c r="J31" s="14" t="s">
        <v>20</v>
      </c>
      <c r="K31" s="15">
        <v>0</v>
      </c>
      <c r="L31" s="16">
        <v>1.37</v>
      </c>
    </row>
    <row r="32" spans="1:12" x14ac:dyDescent="0.25">
      <c r="A32" s="10" t="s">
        <v>20</v>
      </c>
      <c r="B32" s="11" t="s">
        <v>81</v>
      </c>
      <c r="C32" s="11" t="s">
        <v>20</v>
      </c>
      <c r="D32" s="11" t="s">
        <v>82</v>
      </c>
      <c r="E32" s="11" t="s">
        <v>83</v>
      </c>
      <c r="F32" s="12">
        <v>484675</v>
      </c>
      <c r="G32" s="13">
        <v>39037.18</v>
      </c>
      <c r="H32" s="13">
        <v>1.36</v>
      </c>
      <c r="I32" s="14" t="s">
        <v>20</v>
      </c>
      <c r="J32" s="14" t="s">
        <v>20</v>
      </c>
      <c r="K32" s="15">
        <v>0</v>
      </c>
      <c r="L32" s="16">
        <v>1.36</v>
      </c>
    </row>
    <row r="33" spans="1:12" x14ac:dyDescent="0.25">
      <c r="A33" s="10" t="s">
        <v>20</v>
      </c>
      <c r="B33" s="11" t="s">
        <v>84</v>
      </c>
      <c r="C33" s="11" t="s">
        <v>20</v>
      </c>
      <c r="D33" s="11" t="s">
        <v>85</v>
      </c>
      <c r="E33" s="11" t="s">
        <v>39</v>
      </c>
      <c r="F33" s="12">
        <v>4125478</v>
      </c>
      <c r="G33" s="13">
        <v>38725.86</v>
      </c>
      <c r="H33" s="13">
        <v>1.35</v>
      </c>
      <c r="I33" s="14" t="s">
        <v>20</v>
      </c>
      <c r="J33" s="14" t="s">
        <v>20</v>
      </c>
      <c r="K33" s="15">
        <v>0</v>
      </c>
      <c r="L33" s="16">
        <v>1.35</v>
      </c>
    </row>
    <row r="34" spans="1:12" x14ac:dyDescent="0.25">
      <c r="A34" s="10" t="s">
        <v>20</v>
      </c>
      <c r="B34" s="11" t="s">
        <v>86</v>
      </c>
      <c r="C34" s="11" t="s">
        <v>20</v>
      </c>
      <c r="D34" s="11" t="s">
        <v>87</v>
      </c>
      <c r="E34" s="11" t="s">
        <v>39</v>
      </c>
      <c r="F34" s="12">
        <v>33458557</v>
      </c>
      <c r="G34" s="13">
        <v>37557.230000000003</v>
      </c>
      <c r="H34" s="13">
        <v>1.31</v>
      </c>
      <c r="I34" s="14" t="s">
        <v>20</v>
      </c>
      <c r="J34" s="14" t="s">
        <v>20</v>
      </c>
      <c r="K34" s="15">
        <v>0</v>
      </c>
      <c r="L34" s="16">
        <v>1.31</v>
      </c>
    </row>
    <row r="35" spans="1:12" x14ac:dyDescent="0.25">
      <c r="A35" s="10" t="s">
        <v>20</v>
      </c>
      <c r="B35" s="11" t="s">
        <v>88</v>
      </c>
      <c r="C35" s="11" t="s">
        <v>20</v>
      </c>
      <c r="D35" s="11" t="s">
        <v>89</v>
      </c>
      <c r="E35" s="11" t="s">
        <v>63</v>
      </c>
      <c r="F35" s="12">
        <v>1169333</v>
      </c>
      <c r="G35" s="13">
        <v>37337.97</v>
      </c>
      <c r="H35" s="13">
        <v>1.31</v>
      </c>
      <c r="I35" s="14" t="s">
        <v>20</v>
      </c>
      <c r="J35" s="14" t="s">
        <v>20</v>
      </c>
      <c r="K35" s="15">
        <v>0</v>
      </c>
      <c r="L35" s="16">
        <v>1.31</v>
      </c>
    </row>
    <row r="36" spans="1:12" x14ac:dyDescent="0.25">
      <c r="A36" s="10" t="s">
        <v>20</v>
      </c>
      <c r="B36" s="11" t="s">
        <v>90</v>
      </c>
      <c r="C36" s="11" t="s">
        <v>20</v>
      </c>
      <c r="D36" s="11" t="s">
        <v>91</v>
      </c>
      <c r="E36" s="11" t="s">
        <v>39</v>
      </c>
      <c r="F36" s="12">
        <v>4999476</v>
      </c>
      <c r="G36" s="13">
        <v>37226.1</v>
      </c>
      <c r="H36" s="13">
        <v>1.3</v>
      </c>
      <c r="I36" s="14" t="s">
        <v>20</v>
      </c>
      <c r="J36" s="14" t="s">
        <v>20</v>
      </c>
      <c r="K36" s="15">
        <v>0</v>
      </c>
      <c r="L36" s="16">
        <v>1.3</v>
      </c>
    </row>
    <row r="37" spans="1:12" x14ac:dyDescent="0.25">
      <c r="A37" s="10" t="s">
        <v>20</v>
      </c>
      <c r="B37" s="11" t="s">
        <v>92</v>
      </c>
      <c r="C37" s="11" t="s">
        <v>20</v>
      </c>
      <c r="D37" s="11" t="s">
        <v>93</v>
      </c>
      <c r="E37" s="11" t="s">
        <v>42</v>
      </c>
      <c r="F37" s="12">
        <v>5583886</v>
      </c>
      <c r="G37" s="13">
        <v>36909.49</v>
      </c>
      <c r="H37" s="13">
        <v>1.29</v>
      </c>
      <c r="I37" s="14" t="s">
        <v>20</v>
      </c>
      <c r="J37" s="14" t="s">
        <v>20</v>
      </c>
      <c r="K37" s="15">
        <v>0</v>
      </c>
      <c r="L37" s="16">
        <v>1.29</v>
      </c>
    </row>
    <row r="38" spans="1:12" x14ac:dyDescent="0.25">
      <c r="A38" s="10" t="s">
        <v>20</v>
      </c>
      <c r="B38" s="11" t="s">
        <v>94</v>
      </c>
      <c r="C38" s="11" t="s">
        <v>20</v>
      </c>
      <c r="D38" s="11" t="s">
        <v>95</v>
      </c>
      <c r="E38" s="11" t="s">
        <v>83</v>
      </c>
      <c r="F38" s="12">
        <v>575371</v>
      </c>
      <c r="G38" s="13">
        <v>36370.93</v>
      </c>
      <c r="H38" s="13">
        <v>1.27</v>
      </c>
      <c r="I38" s="14" t="s">
        <v>20</v>
      </c>
      <c r="J38" s="14" t="s">
        <v>20</v>
      </c>
      <c r="K38" s="15">
        <v>0</v>
      </c>
      <c r="L38" s="16">
        <v>1.27</v>
      </c>
    </row>
    <row r="39" spans="1:12" x14ac:dyDescent="0.25">
      <c r="A39" s="10" t="s">
        <v>20</v>
      </c>
      <c r="B39" s="11" t="s">
        <v>96</v>
      </c>
      <c r="C39" s="11" t="s">
        <v>20</v>
      </c>
      <c r="D39" s="11" t="s">
        <v>97</v>
      </c>
      <c r="E39" s="11" t="s">
        <v>98</v>
      </c>
      <c r="F39" s="12">
        <v>4568724</v>
      </c>
      <c r="G39" s="13">
        <v>35503.550000000003</v>
      </c>
      <c r="H39" s="13">
        <v>1.24</v>
      </c>
      <c r="I39" s="14" t="s">
        <v>20</v>
      </c>
      <c r="J39" s="14" t="s">
        <v>20</v>
      </c>
      <c r="K39" s="15">
        <v>0</v>
      </c>
      <c r="L39" s="16">
        <v>1.24</v>
      </c>
    </row>
    <row r="40" spans="1:12" x14ac:dyDescent="0.25">
      <c r="A40" s="10" t="s">
        <v>20</v>
      </c>
      <c r="B40" s="11" t="s">
        <v>99</v>
      </c>
      <c r="C40" s="11" t="s">
        <v>20</v>
      </c>
      <c r="D40" s="11" t="s">
        <v>100</v>
      </c>
      <c r="E40" s="11" t="s">
        <v>68</v>
      </c>
      <c r="F40" s="12">
        <v>2719467</v>
      </c>
      <c r="G40" s="13">
        <v>34893.480000000003</v>
      </c>
      <c r="H40" s="13">
        <v>1.22</v>
      </c>
      <c r="I40" s="14" t="s">
        <v>20</v>
      </c>
      <c r="J40" s="14" t="s">
        <v>20</v>
      </c>
      <c r="K40" s="15">
        <v>0</v>
      </c>
      <c r="L40" s="16">
        <v>1.22</v>
      </c>
    </row>
    <row r="41" spans="1:12" x14ac:dyDescent="0.25">
      <c r="A41" s="10" t="s">
        <v>20</v>
      </c>
      <c r="B41" s="11" t="s">
        <v>101</v>
      </c>
      <c r="C41" s="11" t="s">
        <v>20</v>
      </c>
      <c r="D41" s="11" t="s">
        <v>102</v>
      </c>
      <c r="E41" s="11" t="s">
        <v>68</v>
      </c>
      <c r="F41" s="12">
        <v>8894017</v>
      </c>
      <c r="G41" s="13">
        <v>34904.57</v>
      </c>
      <c r="H41" s="13">
        <v>1.22</v>
      </c>
      <c r="I41" s="14" t="s">
        <v>20</v>
      </c>
      <c r="J41" s="14" t="s">
        <v>20</v>
      </c>
      <c r="K41" s="15">
        <v>0</v>
      </c>
      <c r="L41" s="16">
        <v>1.22</v>
      </c>
    </row>
    <row r="42" spans="1:12" x14ac:dyDescent="0.25">
      <c r="A42" s="10" t="s">
        <v>20</v>
      </c>
      <c r="B42" s="11" t="s">
        <v>103</v>
      </c>
      <c r="C42" s="11" t="s">
        <v>20</v>
      </c>
      <c r="D42" s="11" t="s">
        <v>104</v>
      </c>
      <c r="E42" s="11" t="s">
        <v>36</v>
      </c>
      <c r="F42" s="12">
        <v>4214750</v>
      </c>
      <c r="G42" s="13">
        <v>33519.910000000003</v>
      </c>
      <c r="H42" s="13">
        <v>1.17</v>
      </c>
      <c r="I42" s="14" t="s">
        <v>20</v>
      </c>
      <c r="J42" s="14" t="s">
        <v>20</v>
      </c>
      <c r="K42" s="15">
        <v>0</v>
      </c>
      <c r="L42" s="16">
        <v>1.17</v>
      </c>
    </row>
    <row r="43" spans="1:12" x14ac:dyDescent="0.25">
      <c r="A43" s="10" t="s">
        <v>20</v>
      </c>
      <c r="B43" s="11" t="s">
        <v>105</v>
      </c>
      <c r="C43" s="11" t="s">
        <v>20</v>
      </c>
      <c r="D43" s="11" t="s">
        <v>106</v>
      </c>
      <c r="E43" s="11" t="s">
        <v>107</v>
      </c>
      <c r="F43" s="12">
        <v>8900000</v>
      </c>
      <c r="G43" s="13">
        <v>32649.65</v>
      </c>
      <c r="H43" s="13">
        <v>1.1399999999999999</v>
      </c>
      <c r="I43" s="14" t="s">
        <v>20</v>
      </c>
      <c r="J43" s="14" t="s">
        <v>20</v>
      </c>
      <c r="K43" s="15">
        <v>0</v>
      </c>
      <c r="L43" s="16">
        <v>1.1399999999999999</v>
      </c>
    </row>
    <row r="44" spans="1:12" x14ac:dyDescent="0.25">
      <c r="A44" s="10" t="s">
        <v>20</v>
      </c>
      <c r="B44" s="11" t="s">
        <v>108</v>
      </c>
      <c r="C44" s="11" t="s">
        <v>20</v>
      </c>
      <c r="D44" s="11" t="s">
        <v>109</v>
      </c>
      <c r="E44" s="11" t="s">
        <v>83</v>
      </c>
      <c r="F44" s="12">
        <v>4689839</v>
      </c>
      <c r="G44" s="13">
        <v>30842.73</v>
      </c>
      <c r="H44" s="13">
        <v>1.08</v>
      </c>
      <c r="I44" s="14" t="s">
        <v>20</v>
      </c>
      <c r="J44" s="14" t="s">
        <v>20</v>
      </c>
      <c r="K44" s="15">
        <v>0</v>
      </c>
      <c r="L44" s="16">
        <v>1.08</v>
      </c>
    </row>
    <row r="45" spans="1:12" x14ac:dyDescent="0.25">
      <c r="A45" s="10" t="s">
        <v>20</v>
      </c>
      <c r="B45" s="11" t="s">
        <v>110</v>
      </c>
      <c r="C45" s="11" t="s">
        <v>20</v>
      </c>
      <c r="D45" s="11" t="s">
        <v>111</v>
      </c>
      <c r="E45" s="11" t="s">
        <v>28</v>
      </c>
      <c r="F45" s="12">
        <v>20959451</v>
      </c>
      <c r="G45" s="13">
        <v>30873.27</v>
      </c>
      <c r="H45" s="13">
        <v>1.08</v>
      </c>
      <c r="I45" s="14" t="s">
        <v>20</v>
      </c>
      <c r="J45" s="14" t="s">
        <v>20</v>
      </c>
      <c r="K45" s="15">
        <v>0</v>
      </c>
      <c r="L45" s="16">
        <v>1.08</v>
      </c>
    </row>
    <row r="46" spans="1:12" x14ac:dyDescent="0.25">
      <c r="A46" s="10" t="s">
        <v>20</v>
      </c>
      <c r="B46" s="11" t="s">
        <v>112</v>
      </c>
      <c r="C46" s="11" t="s">
        <v>20</v>
      </c>
      <c r="D46" s="11" t="s">
        <v>113</v>
      </c>
      <c r="E46" s="11" t="s">
        <v>68</v>
      </c>
      <c r="F46" s="12">
        <v>8748982</v>
      </c>
      <c r="G46" s="13">
        <v>30109.62</v>
      </c>
      <c r="H46" s="13">
        <v>1.05</v>
      </c>
      <c r="I46" s="14" t="s">
        <v>20</v>
      </c>
      <c r="J46" s="14" t="s">
        <v>20</v>
      </c>
      <c r="K46" s="15">
        <v>0</v>
      </c>
      <c r="L46" s="16">
        <v>1.05</v>
      </c>
    </row>
    <row r="47" spans="1:12" x14ac:dyDescent="0.25">
      <c r="A47" s="10" t="s">
        <v>20</v>
      </c>
      <c r="B47" s="11" t="s">
        <v>114</v>
      </c>
      <c r="C47" s="11" t="s">
        <v>20</v>
      </c>
      <c r="D47" s="11" t="s">
        <v>115</v>
      </c>
      <c r="E47" s="11" t="s">
        <v>116</v>
      </c>
      <c r="F47" s="12">
        <v>3987554</v>
      </c>
      <c r="G47" s="13">
        <v>30070.14</v>
      </c>
      <c r="H47" s="13">
        <v>1.05</v>
      </c>
      <c r="I47" s="14" t="s">
        <v>20</v>
      </c>
      <c r="J47" s="14" t="s">
        <v>20</v>
      </c>
      <c r="K47" s="15">
        <v>0</v>
      </c>
      <c r="L47" s="16">
        <v>1.05</v>
      </c>
    </row>
    <row r="48" spans="1:12" x14ac:dyDescent="0.25">
      <c r="A48" s="10" t="s">
        <v>20</v>
      </c>
      <c r="B48" s="11" t="s">
        <v>117</v>
      </c>
      <c r="C48" s="11" t="s">
        <v>20</v>
      </c>
      <c r="D48" s="11" t="s">
        <v>118</v>
      </c>
      <c r="E48" s="11" t="s">
        <v>119</v>
      </c>
      <c r="F48" s="12">
        <v>800000</v>
      </c>
      <c r="G48" s="13">
        <v>28042.400000000001</v>
      </c>
      <c r="H48" s="13">
        <v>0.98</v>
      </c>
      <c r="I48" s="14" t="s">
        <v>20</v>
      </c>
      <c r="J48" s="14" t="s">
        <v>20</v>
      </c>
      <c r="K48" s="15">
        <v>0</v>
      </c>
      <c r="L48" s="16">
        <v>0.98</v>
      </c>
    </row>
    <row r="49" spans="1:12" x14ac:dyDescent="0.25">
      <c r="A49" s="10" t="s">
        <v>20</v>
      </c>
      <c r="B49" s="11" t="s">
        <v>120</v>
      </c>
      <c r="C49" s="11" t="s">
        <v>20</v>
      </c>
      <c r="D49" s="11" t="s">
        <v>121</v>
      </c>
      <c r="E49" s="11" t="s">
        <v>42</v>
      </c>
      <c r="F49" s="12">
        <v>7623701</v>
      </c>
      <c r="G49" s="13">
        <v>28017.1</v>
      </c>
      <c r="H49" s="13">
        <v>0.98</v>
      </c>
      <c r="I49" s="14" t="s">
        <v>20</v>
      </c>
      <c r="J49" s="14" t="s">
        <v>20</v>
      </c>
      <c r="K49" s="15">
        <v>0</v>
      </c>
      <c r="L49" s="16">
        <v>0.98</v>
      </c>
    </row>
    <row r="50" spans="1:12" x14ac:dyDescent="0.25">
      <c r="A50" s="10" t="s">
        <v>20</v>
      </c>
      <c r="B50" s="11" t="s">
        <v>122</v>
      </c>
      <c r="C50" s="11" t="s">
        <v>20</v>
      </c>
      <c r="D50" s="11" t="s">
        <v>123</v>
      </c>
      <c r="E50" s="11" t="s">
        <v>116</v>
      </c>
      <c r="F50" s="12">
        <v>660917</v>
      </c>
      <c r="G50" s="13">
        <v>25852.43</v>
      </c>
      <c r="H50" s="13">
        <v>0.9</v>
      </c>
      <c r="I50" s="14" t="s">
        <v>20</v>
      </c>
      <c r="J50" s="14" t="s">
        <v>20</v>
      </c>
      <c r="K50" s="15">
        <v>0</v>
      </c>
      <c r="L50" s="16">
        <v>0.9</v>
      </c>
    </row>
    <row r="51" spans="1:12" x14ac:dyDescent="0.25">
      <c r="A51" s="10" t="s">
        <v>20</v>
      </c>
      <c r="B51" s="11" t="s">
        <v>124</v>
      </c>
      <c r="C51" s="11" t="s">
        <v>20</v>
      </c>
      <c r="D51" s="11" t="s">
        <v>125</v>
      </c>
      <c r="E51" s="11" t="s">
        <v>60</v>
      </c>
      <c r="F51" s="12">
        <v>5473134</v>
      </c>
      <c r="G51" s="13">
        <v>25611.53</v>
      </c>
      <c r="H51" s="13">
        <v>0.9</v>
      </c>
      <c r="I51" s="14" t="s">
        <v>20</v>
      </c>
      <c r="J51" s="14" t="s">
        <v>20</v>
      </c>
      <c r="K51" s="15">
        <v>0</v>
      </c>
      <c r="L51" s="16">
        <v>0.9</v>
      </c>
    </row>
    <row r="52" spans="1:12" x14ac:dyDescent="0.25">
      <c r="A52" s="10" t="s">
        <v>20</v>
      </c>
      <c r="B52" s="11" t="s">
        <v>126</v>
      </c>
      <c r="C52" s="11" t="s">
        <v>20</v>
      </c>
      <c r="D52" s="11" t="s">
        <v>127</v>
      </c>
      <c r="E52" s="11" t="s">
        <v>25</v>
      </c>
      <c r="F52" s="12">
        <v>13566331</v>
      </c>
      <c r="G52" s="13">
        <v>24399.05</v>
      </c>
      <c r="H52" s="13">
        <v>0.85</v>
      </c>
      <c r="I52" s="14" t="s">
        <v>20</v>
      </c>
      <c r="J52" s="14" t="s">
        <v>20</v>
      </c>
      <c r="K52" s="15">
        <v>0</v>
      </c>
      <c r="L52" s="16">
        <v>0.85</v>
      </c>
    </row>
    <row r="53" spans="1:12" x14ac:dyDescent="0.25">
      <c r="A53" s="10" t="s">
        <v>20</v>
      </c>
      <c r="B53" s="11" t="s">
        <v>128</v>
      </c>
      <c r="C53" s="11" t="s">
        <v>20</v>
      </c>
      <c r="D53" s="11" t="s">
        <v>129</v>
      </c>
      <c r="E53" s="11" t="s">
        <v>63</v>
      </c>
      <c r="F53" s="12">
        <v>2799058</v>
      </c>
      <c r="G53" s="13">
        <v>23090.83</v>
      </c>
      <c r="H53" s="13">
        <v>0.81</v>
      </c>
      <c r="I53" s="14" t="s">
        <v>20</v>
      </c>
      <c r="J53" s="14" t="s">
        <v>20</v>
      </c>
      <c r="K53" s="15">
        <v>0</v>
      </c>
      <c r="L53" s="16">
        <v>0.81</v>
      </c>
    </row>
    <row r="54" spans="1:12" x14ac:dyDescent="0.25">
      <c r="A54" s="10" t="s">
        <v>20</v>
      </c>
      <c r="B54" s="11" t="s">
        <v>130</v>
      </c>
      <c r="C54" s="11" t="s">
        <v>20</v>
      </c>
      <c r="D54" s="11" t="s">
        <v>131</v>
      </c>
      <c r="E54" s="11" t="s">
        <v>107</v>
      </c>
      <c r="F54" s="12">
        <v>5406610</v>
      </c>
      <c r="G54" s="13">
        <v>21483.16</v>
      </c>
      <c r="H54" s="13">
        <v>0.75</v>
      </c>
      <c r="I54" s="14" t="s">
        <v>20</v>
      </c>
      <c r="J54" s="14" t="s">
        <v>20</v>
      </c>
      <c r="K54" s="15">
        <v>0</v>
      </c>
      <c r="L54" s="16">
        <v>0.75</v>
      </c>
    </row>
    <row r="55" spans="1:12" x14ac:dyDescent="0.25">
      <c r="A55" s="10" t="s">
        <v>20</v>
      </c>
      <c r="B55" s="11" t="s">
        <v>132</v>
      </c>
      <c r="C55" s="11" t="s">
        <v>20</v>
      </c>
      <c r="D55" s="11" t="s">
        <v>133</v>
      </c>
      <c r="E55" s="11" t="s">
        <v>52</v>
      </c>
      <c r="F55" s="12">
        <v>1954864</v>
      </c>
      <c r="G55" s="13">
        <v>20845.689999999999</v>
      </c>
      <c r="H55" s="13">
        <v>0.73</v>
      </c>
      <c r="I55" s="14" t="s">
        <v>20</v>
      </c>
      <c r="J55" s="14" t="s">
        <v>20</v>
      </c>
      <c r="K55" s="15">
        <v>0</v>
      </c>
      <c r="L55" s="16">
        <v>0.73</v>
      </c>
    </row>
    <row r="56" spans="1:12" x14ac:dyDescent="0.25">
      <c r="A56" s="10" t="s">
        <v>20</v>
      </c>
      <c r="B56" s="11" t="s">
        <v>134</v>
      </c>
      <c r="C56" s="11" t="s">
        <v>20</v>
      </c>
      <c r="D56" s="11" t="s">
        <v>135</v>
      </c>
      <c r="E56" s="11" t="s">
        <v>136</v>
      </c>
      <c r="F56" s="12">
        <v>9432635</v>
      </c>
      <c r="G56" s="13">
        <v>20676.34</v>
      </c>
      <c r="H56" s="13">
        <v>0.72</v>
      </c>
      <c r="I56" s="14" t="s">
        <v>20</v>
      </c>
      <c r="J56" s="14" t="s">
        <v>20</v>
      </c>
      <c r="K56" s="15">
        <v>0</v>
      </c>
      <c r="L56" s="16">
        <v>0.72</v>
      </c>
    </row>
    <row r="57" spans="1:12" x14ac:dyDescent="0.25">
      <c r="A57" s="10" t="s">
        <v>20</v>
      </c>
      <c r="B57" s="11" t="s">
        <v>137</v>
      </c>
      <c r="C57" s="11" t="s">
        <v>20</v>
      </c>
      <c r="D57" s="11" t="s">
        <v>138</v>
      </c>
      <c r="E57" s="11" t="s">
        <v>80</v>
      </c>
      <c r="F57" s="12">
        <v>1181663</v>
      </c>
      <c r="G57" s="13">
        <v>19661.689999999999</v>
      </c>
      <c r="H57" s="13">
        <v>0.69</v>
      </c>
      <c r="I57" s="14" t="s">
        <v>20</v>
      </c>
      <c r="J57" s="14" t="s">
        <v>20</v>
      </c>
      <c r="K57" s="15">
        <v>0</v>
      </c>
      <c r="L57" s="16">
        <v>0.69</v>
      </c>
    </row>
    <row r="58" spans="1:12" x14ac:dyDescent="0.25">
      <c r="A58" s="10" t="s">
        <v>20</v>
      </c>
      <c r="B58" s="11" t="s">
        <v>139</v>
      </c>
      <c r="C58" s="11" t="s">
        <v>20</v>
      </c>
      <c r="D58" s="11" t="s">
        <v>140</v>
      </c>
      <c r="E58" s="11" t="s">
        <v>28</v>
      </c>
      <c r="F58" s="12">
        <v>13948722</v>
      </c>
      <c r="G58" s="13">
        <v>19298.060000000001</v>
      </c>
      <c r="H58" s="13">
        <v>0.67</v>
      </c>
      <c r="I58" s="14" t="s">
        <v>20</v>
      </c>
      <c r="J58" s="14" t="s">
        <v>20</v>
      </c>
      <c r="K58" s="15">
        <v>0</v>
      </c>
      <c r="L58" s="16">
        <v>0.67</v>
      </c>
    </row>
    <row r="59" spans="1:12" x14ac:dyDescent="0.25">
      <c r="A59" s="10" t="s">
        <v>20</v>
      </c>
      <c r="B59" s="11" t="s">
        <v>141</v>
      </c>
      <c r="C59" s="11" t="s">
        <v>20</v>
      </c>
      <c r="D59" s="11" t="s">
        <v>142</v>
      </c>
      <c r="E59" s="11" t="s">
        <v>63</v>
      </c>
      <c r="F59" s="12">
        <v>1603000</v>
      </c>
      <c r="G59" s="13">
        <v>18028.14</v>
      </c>
      <c r="H59" s="13">
        <v>0.63</v>
      </c>
      <c r="I59" s="14" t="s">
        <v>20</v>
      </c>
      <c r="J59" s="14" t="s">
        <v>20</v>
      </c>
      <c r="K59" s="15">
        <v>0</v>
      </c>
      <c r="L59" s="16">
        <v>0.63</v>
      </c>
    </row>
    <row r="60" spans="1:12" x14ac:dyDescent="0.25">
      <c r="A60" s="10" t="s">
        <v>20</v>
      </c>
      <c r="B60" s="11" t="s">
        <v>143</v>
      </c>
      <c r="C60" s="11" t="s">
        <v>20</v>
      </c>
      <c r="D60" s="11" t="s">
        <v>144</v>
      </c>
      <c r="E60" s="11" t="s">
        <v>36</v>
      </c>
      <c r="F60" s="12">
        <v>3344914</v>
      </c>
      <c r="G60" s="13">
        <v>17065.75</v>
      </c>
      <c r="H60" s="13">
        <v>0.6</v>
      </c>
      <c r="I60" s="14" t="s">
        <v>20</v>
      </c>
      <c r="J60" s="14" t="s">
        <v>20</v>
      </c>
      <c r="K60" s="15">
        <v>0</v>
      </c>
      <c r="L60" s="16">
        <v>0.6</v>
      </c>
    </row>
    <row r="61" spans="1:12" x14ac:dyDescent="0.25">
      <c r="A61" s="10" t="s">
        <v>20</v>
      </c>
      <c r="B61" s="11" t="s">
        <v>145</v>
      </c>
      <c r="C61" s="11" t="s">
        <v>20</v>
      </c>
      <c r="D61" s="11" t="s">
        <v>146</v>
      </c>
      <c r="E61" s="11" t="s">
        <v>136</v>
      </c>
      <c r="F61" s="12">
        <v>3365892</v>
      </c>
      <c r="G61" s="13">
        <v>16824.41</v>
      </c>
      <c r="H61" s="13">
        <v>0.59</v>
      </c>
      <c r="I61" s="14" t="s">
        <v>20</v>
      </c>
      <c r="J61" s="14" t="s">
        <v>20</v>
      </c>
      <c r="K61" s="15">
        <v>0</v>
      </c>
      <c r="L61" s="16">
        <v>0.59</v>
      </c>
    </row>
    <row r="62" spans="1:12" x14ac:dyDescent="0.25">
      <c r="A62" s="10" t="s">
        <v>20</v>
      </c>
      <c r="B62" s="11" t="s">
        <v>147</v>
      </c>
      <c r="C62" s="11" t="s">
        <v>20</v>
      </c>
      <c r="D62" s="11" t="s">
        <v>148</v>
      </c>
      <c r="E62" s="11" t="s">
        <v>60</v>
      </c>
      <c r="F62" s="12">
        <v>326834</v>
      </c>
      <c r="G62" s="13">
        <v>16774.759999999998</v>
      </c>
      <c r="H62" s="13">
        <v>0.59</v>
      </c>
      <c r="I62" s="14" t="s">
        <v>20</v>
      </c>
      <c r="J62" s="14" t="s">
        <v>20</v>
      </c>
      <c r="K62" s="15">
        <v>0</v>
      </c>
      <c r="L62" s="16">
        <v>0.59</v>
      </c>
    </row>
    <row r="63" spans="1:12" x14ac:dyDescent="0.25">
      <c r="A63" s="10" t="s">
        <v>20</v>
      </c>
      <c r="B63" s="11" t="s">
        <v>149</v>
      </c>
      <c r="C63" s="11" t="s">
        <v>20</v>
      </c>
      <c r="D63" s="11" t="s">
        <v>150</v>
      </c>
      <c r="E63" s="11" t="s">
        <v>151</v>
      </c>
      <c r="F63" s="12">
        <v>9250000</v>
      </c>
      <c r="G63" s="13">
        <v>16298.5</v>
      </c>
      <c r="H63" s="13">
        <v>0.56999999999999995</v>
      </c>
      <c r="I63" s="14" t="s">
        <v>20</v>
      </c>
      <c r="J63" s="14" t="s">
        <v>20</v>
      </c>
      <c r="K63" s="15">
        <v>0</v>
      </c>
      <c r="L63" s="16">
        <v>0.56999999999999995</v>
      </c>
    </row>
    <row r="64" spans="1:12" x14ac:dyDescent="0.25">
      <c r="A64" s="10" t="s">
        <v>20</v>
      </c>
      <c r="B64" s="11" t="s">
        <v>152</v>
      </c>
      <c r="C64" s="11" t="s">
        <v>20</v>
      </c>
      <c r="D64" s="11" t="s">
        <v>153</v>
      </c>
      <c r="E64" s="11" t="s">
        <v>107</v>
      </c>
      <c r="F64" s="12">
        <v>2596800</v>
      </c>
      <c r="G64" s="13">
        <v>16394.900000000001</v>
      </c>
      <c r="H64" s="13">
        <v>0.56999999999999995</v>
      </c>
      <c r="I64" s="14" t="s">
        <v>20</v>
      </c>
      <c r="J64" s="14" t="s">
        <v>20</v>
      </c>
      <c r="K64" s="15">
        <v>0</v>
      </c>
      <c r="L64" s="16">
        <v>0.56999999999999995</v>
      </c>
    </row>
    <row r="65" spans="1:12" x14ac:dyDescent="0.25">
      <c r="A65" s="10" t="s">
        <v>20</v>
      </c>
      <c r="B65" s="11" t="s">
        <v>154</v>
      </c>
      <c r="C65" s="11" t="s">
        <v>20</v>
      </c>
      <c r="D65" s="11" t="s">
        <v>155</v>
      </c>
      <c r="E65" s="11" t="s">
        <v>156</v>
      </c>
      <c r="F65" s="12">
        <v>478227</v>
      </c>
      <c r="G65" s="13">
        <v>16326.91</v>
      </c>
      <c r="H65" s="13">
        <v>0.56999999999999995</v>
      </c>
      <c r="I65" s="14" t="s">
        <v>20</v>
      </c>
      <c r="J65" s="14" t="s">
        <v>20</v>
      </c>
      <c r="K65" s="15">
        <v>0</v>
      </c>
      <c r="L65" s="16">
        <v>0.56999999999999995</v>
      </c>
    </row>
    <row r="66" spans="1:12" x14ac:dyDescent="0.25">
      <c r="A66" s="10" t="s">
        <v>20</v>
      </c>
      <c r="B66" s="11" t="s">
        <v>157</v>
      </c>
      <c r="C66" s="11" t="s">
        <v>20</v>
      </c>
      <c r="D66" s="11" t="s">
        <v>158</v>
      </c>
      <c r="E66" s="11" t="s">
        <v>159</v>
      </c>
      <c r="F66" s="12">
        <v>4922150</v>
      </c>
      <c r="G66" s="13">
        <v>15812.41</v>
      </c>
      <c r="H66" s="13">
        <v>0.55000000000000004</v>
      </c>
      <c r="I66" s="14" t="s">
        <v>20</v>
      </c>
      <c r="J66" s="14" t="s">
        <v>20</v>
      </c>
      <c r="K66" s="15">
        <v>0</v>
      </c>
      <c r="L66" s="16">
        <v>0.55000000000000004</v>
      </c>
    </row>
    <row r="67" spans="1:12" x14ac:dyDescent="0.25">
      <c r="A67" s="10" t="s">
        <v>20</v>
      </c>
      <c r="B67" s="11" t="s">
        <v>160</v>
      </c>
      <c r="C67" s="11" t="s">
        <v>20</v>
      </c>
      <c r="D67" s="11" t="s">
        <v>161</v>
      </c>
      <c r="E67" s="11" t="s">
        <v>68</v>
      </c>
      <c r="F67" s="12">
        <v>3202102</v>
      </c>
      <c r="G67" s="13">
        <v>15629.46</v>
      </c>
      <c r="H67" s="13">
        <v>0.55000000000000004</v>
      </c>
      <c r="I67" s="14" t="s">
        <v>20</v>
      </c>
      <c r="J67" s="14" t="s">
        <v>20</v>
      </c>
      <c r="K67" s="15">
        <v>0</v>
      </c>
      <c r="L67" s="16">
        <v>0.55000000000000004</v>
      </c>
    </row>
    <row r="68" spans="1:12" x14ac:dyDescent="0.25">
      <c r="A68" s="10" t="s">
        <v>20</v>
      </c>
      <c r="B68" s="11" t="s">
        <v>162</v>
      </c>
      <c r="C68" s="11" t="s">
        <v>20</v>
      </c>
      <c r="D68" s="11" t="s">
        <v>163</v>
      </c>
      <c r="E68" s="11" t="s">
        <v>45</v>
      </c>
      <c r="F68" s="12">
        <v>3733750</v>
      </c>
      <c r="G68" s="13">
        <v>15200.1</v>
      </c>
      <c r="H68" s="13">
        <v>0.53</v>
      </c>
      <c r="I68" s="14" t="s">
        <v>20</v>
      </c>
      <c r="J68" s="14" t="s">
        <v>20</v>
      </c>
      <c r="K68" s="15">
        <v>0</v>
      </c>
      <c r="L68" s="16">
        <v>0.53</v>
      </c>
    </row>
    <row r="69" spans="1:12" x14ac:dyDescent="0.25">
      <c r="A69" s="10" t="s">
        <v>20</v>
      </c>
      <c r="B69" s="11" t="s">
        <v>164</v>
      </c>
      <c r="C69" s="11" t="s">
        <v>20</v>
      </c>
      <c r="D69" s="11" t="s">
        <v>165</v>
      </c>
      <c r="E69" s="11" t="s">
        <v>68</v>
      </c>
      <c r="F69" s="12">
        <v>1047638</v>
      </c>
      <c r="G69" s="13">
        <v>14592.03</v>
      </c>
      <c r="H69" s="13">
        <v>0.51</v>
      </c>
      <c r="I69" s="14" t="s">
        <v>20</v>
      </c>
      <c r="J69" s="14" t="s">
        <v>20</v>
      </c>
      <c r="K69" s="15">
        <v>0</v>
      </c>
      <c r="L69" s="16">
        <v>0.51</v>
      </c>
    </row>
    <row r="70" spans="1:12" x14ac:dyDescent="0.25">
      <c r="A70" s="10" t="s">
        <v>20</v>
      </c>
      <c r="B70" s="11" t="s">
        <v>166</v>
      </c>
      <c r="C70" s="11" t="s">
        <v>20</v>
      </c>
      <c r="D70" s="11" t="s">
        <v>167</v>
      </c>
      <c r="E70" s="11" t="s">
        <v>98</v>
      </c>
      <c r="F70" s="12">
        <v>10190330</v>
      </c>
      <c r="G70" s="13">
        <v>14317.41</v>
      </c>
      <c r="H70" s="13">
        <v>0.5</v>
      </c>
      <c r="I70" s="14" t="s">
        <v>20</v>
      </c>
      <c r="J70" s="14" t="s">
        <v>20</v>
      </c>
      <c r="K70" s="15">
        <v>0</v>
      </c>
      <c r="L70" s="16">
        <v>0.5</v>
      </c>
    </row>
    <row r="71" spans="1:12" x14ac:dyDescent="0.25">
      <c r="A71" s="10" t="s">
        <v>20</v>
      </c>
      <c r="B71" s="11" t="s">
        <v>168</v>
      </c>
      <c r="C71" s="11" t="s">
        <v>20</v>
      </c>
      <c r="D71" s="11" t="s">
        <v>169</v>
      </c>
      <c r="E71" s="11" t="s">
        <v>63</v>
      </c>
      <c r="F71" s="12">
        <v>389784</v>
      </c>
      <c r="G71" s="13">
        <v>13836.55</v>
      </c>
      <c r="H71" s="13">
        <v>0.48</v>
      </c>
      <c r="I71" s="14" t="s">
        <v>20</v>
      </c>
      <c r="J71" s="14" t="s">
        <v>20</v>
      </c>
      <c r="K71" s="15">
        <v>0</v>
      </c>
      <c r="L71" s="16">
        <v>0.48</v>
      </c>
    </row>
    <row r="72" spans="1:12" x14ac:dyDescent="0.25">
      <c r="A72" s="10" t="s">
        <v>20</v>
      </c>
      <c r="B72" s="11" t="s">
        <v>170</v>
      </c>
      <c r="C72" s="11" t="s">
        <v>20</v>
      </c>
      <c r="D72" s="11" t="s">
        <v>171</v>
      </c>
      <c r="E72" s="11" t="s">
        <v>63</v>
      </c>
      <c r="F72" s="12">
        <v>6091817</v>
      </c>
      <c r="G72" s="13">
        <v>13545.16</v>
      </c>
      <c r="H72" s="13">
        <v>0.47</v>
      </c>
      <c r="I72" s="14" t="s">
        <v>20</v>
      </c>
      <c r="J72" s="14" t="s">
        <v>20</v>
      </c>
      <c r="K72" s="15">
        <v>0</v>
      </c>
      <c r="L72" s="16">
        <v>0.47</v>
      </c>
    </row>
    <row r="73" spans="1:12" x14ac:dyDescent="0.25">
      <c r="A73" s="10" t="s">
        <v>20</v>
      </c>
      <c r="B73" s="11" t="s">
        <v>172</v>
      </c>
      <c r="C73" s="11" t="s">
        <v>20</v>
      </c>
      <c r="D73" s="11" t="s">
        <v>173</v>
      </c>
      <c r="E73" s="11" t="s">
        <v>42</v>
      </c>
      <c r="F73" s="12">
        <v>606161</v>
      </c>
      <c r="G73" s="13">
        <v>13106.72</v>
      </c>
      <c r="H73" s="13">
        <v>0.46</v>
      </c>
      <c r="I73" s="14" t="s">
        <v>20</v>
      </c>
      <c r="J73" s="14" t="s">
        <v>20</v>
      </c>
      <c r="K73" s="15">
        <v>0</v>
      </c>
      <c r="L73" s="16">
        <v>0.46</v>
      </c>
    </row>
    <row r="74" spans="1:12" x14ac:dyDescent="0.25">
      <c r="A74" s="10" t="s">
        <v>20</v>
      </c>
      <c r="B74" s="11" t="s">
        <v>174</v>
      </c>
      <c r="C74" s="11" t="s">
        <v>20</v>
      </c>
      <c r="D74" s="11" t="s">
        <v>175</v>
      </c>
      <c r="E74" s="11" t="s">
        <v>57</v>
      </c>
      <c r="F74" s="12">
        <v>5236466</v>
      </c>
      <c r="G74" s="13">
        <v>13096.4</v>
      </c>
      <c r="H74" s="13">
        <v>0.46</v>
      </c>
      <c r="I74" s="14" t="s">
        <v>20</v>
      </c>
      <c r="J74" s="14" t="s">
        <v>20</v>
      </c>
      <c r="K74" s="15">
        <v>0</v>
      </c>
      <c r="L74" s="16">
        <v>0.46</v>
      </c>
    </row>
    <row r="75" spans="1:12" x14ac:dyDescent="0.25">
      <c r="A75" s="10" t="s">
        <v>20</v>
      </c>
      <c r="B75" s="11" t="s">
        <v>176</v>
      </c>
      <c r="C75" s="11" t="s">
        <v>20</v>
      </c>
      <c r="D75" s="11" t="s">
        <v>177</v>
      </c>
      <c r="E75" s="11" t="s">
        <v>60</v>
      </c>
      <c r="F75" s="12">
        <v>3217468</v>
      </c>
      <c r="G75" s="13">
        <v>12248.9</v>
      </c>
      <c r="H75" s="13">
        <v>0.43</v>
      </c>
      <c r="I75" s="14" t="s">
        <v>20</v>
      </c>
      <c r="J75" s="14" t="s">
        <v>20</v>
      </c>
      <c r="K75" s="15">
        <v>0</v>
      </c>
      <c r="L75" s="16">
        <v>0.43</v>
      </c>
    </row>
    <row r="76" spans="1:12" x14ac:dyDescent="0.25">
      <c r="A76" s="10" t="s">
        <v>20</v>
      </c>
      <c r="B76" s="11" t="s">
        <v>178</v>
      </c>
      <c r="C76" s="11" t="s">
        <v>20</v>
      </c>
      <c r="D76" s="11" t="s">
        <v>179</v>
      </c>
      <c r="E76" s="11" t="s">
        <v>180</v>
      </c>
      <c r="F76" s="12">
        <v>5545822</v>
      </c>
      <c r="G76" s="13">
        <v>10107.26</v>
      </c>
      <c r="H76" s="13">
        <v>0.35</v>
      </c>
      <c r="I76" s="14" t="s">
        <v>20</v>
      </c>
      <c r="J76" s="14" t="s">
        <v>20</v>
      </c>
      <c r="K76" s="15">
        <v>0</v>
      </c>
      <c r="L76" s="16">
        <v>0.35</v>
      </c>
    </row>
    <row r="77" spans="1:12" x14ac:dyDescent="0.25">
      <c r="A77" s="10" t="s">
        <v>20</v>
      </c>
      <c r="B77" s="11" t="s">
        <v>181</v>
      </c>
      <c r="C77" s="11" t="s">
        <v>20</v>
      </c>
      <c r="D77" s="11" t="s">
        <v>182</v>
      </c>
      <c r="E77" s="11" t="s">
        <v>42</v>
      </c>
      <c r="F77" s="12">
        <v>1777521</v>
      </c>
      <c r="G77" s="13">
        <v>9565.73</v>
      </c>
      <c r="H77" s="13">
        <v>0.33</v>
      </c>
      <c r="I77" s="14" t="s">
        <v>20</v>
      </c>
      <c r="J77" s="14" t="s">
        <v>20</v>
      </c>
      <c r="K77" s="15">
        <v>0</v>
      </c>
      <c r="L77" s="16">
        <v>0.33</v>
      </c>
    </row>
    <row r="78" spans="1:12" x14ac:dyDescent="0.25">
      <c r="A78" s="10" t="s">
        <v>20</v>
      </c>
      <c r="B78" s="11" t="s">
        <v>183</v>
      </c>
      <c r="C78" s="11" t="s">
        <v>20</v>
      </c>
      <c r="D78" s="11" t="s">
        <v>184</v>
      </c>
      <c r="E78" s="11" t="s">
        <v>98</v>
      </c>
      <c r="F78" s="12">
        <v>2000000</v>
      </c>
      <c r="G78" s="13">
        <v>6557</v>
      </c>
      <c r="H78" s="13">
        <v>0.23</v>
      </c>
      <c r="I78" s="14" t="s">
        <v>20</v>
      </c>
      <c r="J78" s="14" t="s">
        <v>20</v>
      </c>
      <c r="K78" s="15">
        <v>0</v>
      </c>
      <c r="L78" s="16">
        <v>0.23</v>
      </c>
    </row>
    <row r="79" spans="1:12" x14ac:dyDescent="0.25">
      <c r="A79" s="10" t="s">
        <v>20</v>
      </c>
      <c r="B79" s="11" t="s">
        <v>185</v>
      </c>
      <c r="C79" s="11" t="s">
        <v>20</v>
      </c>
      <c r="D79" s="11" t="s">
        <v>186</v>
      </c>
      <c r="E79" s="11" t="s">
        <v>63</v>
      </c>
      <c r="F79" s="12">
        <v>1692247</v>
      </c>
      <c r="G79" s="13">
        <v>6695.38</v>
      </c>
      <c r="H79" s="13">
        <v>0.23</v>
      </c>
      <c r="I79" s="14" t="s">
        <v>20</v>
      </c>
      <c r="J79" s="14" t="s">
        <v>20</v>
      </c>
      <c r="K79" s="15">
        <v>0</v>
      </c>
      <c r="L79" s="16">
        <v>0.23</v>
      </c>
    </row>
    <row r="80" spans="1:12" x14ac:dyDescent="0.25">
      <c r="A80" s="10" t="s">
        <v>20</v>
      </c>
      <c r="B80" s="11" t="s">
        <v>187</v>
      </c>
      <c r="C80" s="11" t="s">
        <v>20</v>
      </c>
      <c r="D80" s="11" t="s">
        <v>188</v>
      </c>
      <c r="E80" s="11" t="s">
        <v>189</v>
      </c>
      <c r="F80" s="12">
        <v>545790</v>
      </c>
      <c r="G80" s="13">
        <v>4745.92</v>
      </c>
      <c r="H80" s="13">
        <v>0.17</v>
      </c>
      <c r="I80" s="14" t="s">
        <v>20</v>
      </c>
      <c r="J80" s="14" t="s">
        <v>20</v>
      </c>
      <c r="K80" s="15">
        <v>0</v>
      </c>
      <c r="L80" s="16">
        <v>0.17</v>
      </c>
    </row>
    <row r="81" spans="1:12" x14ac:dyDescent="0.25">
      <c r="A81" s="10" t="s">
        <v>20</v>
      </c>
      <c r="B81" s="11" t="s">
        <v>190</v>
      </c>
      <c r="C81" s="11" t="s">
        <v>20</v>
      </c>
      <c r="D81" s="11" t="s">
        <v>191</v>
      </c>
      <c r="E81" s="11" t="s">
        <v>159</v>
      </c>
      <c r="F81" s="12">
        <v>3185742</v>
      </c>
      <c r="G81" s="13">
        <v>3195.3</v>
      </c>
      <c r="H81" s="13">
        <v>0.11</v>
      </c>
      <c r="I81" s="14" t="s">
        <v>20</v>
      </c>
      <c r="J81" s="14" t="s">
        <v>20</v>
      </c>
      <c r="K81" s="15">
        <v>0</v>
      </c>
      <c r="L81" s="16">
        <v>0.11</v>
      </c>
    </row>
    <row r="82" spans="1:12" x14ac:dyDescent="0.25">
      <c r="A82" s="10" t="s">
        <v>20</v>
      </c>
      <c r="B82" s="11" t="s">
        <v>192</v>
      </c>
      <c r="C82" s="11" t="s">
        <v>20</v>
      </c>
      <c r="D82" s="11" t="s">
        <v>193</v>
      </c>
      <c r="E82" s="11" t="s">
        <v>36</v>
      </c>
      <c r="F82" s="12">
        <v>9392742</v>
      </c>
      <c r="G82" s="13">
        <v>2071.1</v>
      </c>
      <c r="H82" s="13">
        <v>7.0000000000000007E-2</v>
      </c>
      <c r="I82" s="14" t="s">
        <v>20</v>
      </c>
      <c r="J82" s="14" t="s">
        <v>20</v>
      </c>
      <c r="K82" s="15">
        <v>0</v>
      </c>
      <c r="L82" s="16">
        <v>7.0000000000000007E-2</v>
      </c>
    </row>
    <row r="83" spans="1:12" x14ac:dyDescent="0.25">
      <c r="A83" s="17"/>
      <c r="B83" s="9" t="s">
        <v>194</v>
      </c>
      <c r="C83" s="17"/>
      <c r="D83" s="17"/>
      <c r="E83" s="17"/>
      <c r="F83" s="17"/>
      <c r="G83" s="18">
        <v>2577411.709999999</v>
      </c>
      <c r="H83" s="18">
        <v>90.069999999999979</v>
      </c>
      <c r="I83" s="17"/>
      <c r="J83" s="17"/>
      <c r="K83" s="17"/>
      <c r="L83" s="17"/>
    </row>
    <row r="84" spans="1:12" x14ac:dyDescent="0.25">
      <c r="A84" s="8"/>
      <c r="B84" s="9" t="s">
        <v>195</v>
      </c>
      <c r="C84" s="8"/>
      <c r="D84" s="8"/>
      <c r="E84" s="8"/>
      <c r="F84" s="8"/>
      <c r="G84" s="19">
        <v>2577411.709999999</v>
      </c>
      <c r="H84" s="19">
        <v>90.069999999999979</v>
      </c>
      <c r="I84" s="8"/>
      <c r="J84" s="8"/>
      <c r="K84" s="8"/>
      <c r="L84" s="8"/>
    </row>
    <row r="85" spans="1:12" x14ac:dyDescent="0.25">
      <c r="A85" s="8"/>
      <c r="B85" s="9" t="s">
        <v>196</v>
      </c>
      <c r="C85" s="8"/>
      <c r="D85" s="8"/>
      <c r="E85" s="8"/>
      <c r="F85" s="8"/>
      <c r="G85" s="8"/>
      <c r="H85" s="8"/>
      <c r="I85" s="8"/>
      <c r="J85" s="8"/>
      <c r="K85" s="8"/>
      <c r="L85" s="8"/>
    </row>
    <row r="86" spans="1:12" x14ac:dyDescent="0.25">
      <c r="A86" s="8"/>
      <c r="B86" s="9" t="s">
        <v>197</v>
      </c>
      <c r="C86" s="8"/>
      <c r="D86" s="8"/>
      <c r="E86" s="8"/>
      <c r="F86" s="8"/>
      <c r="G86" s="8"/>
      <c r="H86" s="8"/>
      <c r="I86" s="8"/>
      <c r="J86" s="8"/>
      <c r="K86" s="8"/>
      <c r="L86" s="8"/>
    </row>
    <row r="87" spans="1:12" x14ac:dyDescent="0.25">
      <c r="A87" s="10" t="s">
        <v>20</v>
      </c>
      <c r="B87" s="11" t="s">
        <v>20</v>
      </c>
      <c r="C87" s="11" t="s">
        <v>20</v>
      </c>
      <c r="D87" s="11" t="s">
        <v>197</v>
      </c>
      <c r="E87" s="11" t="s">
        <v>20</v>
      </c>
      <c r="F87" s="12" t="s">
        <v>20</v>
      </c>
      <c r="G87" s="13">
        <v>259336.87</v>
      </c>
      <c r="H87" s="13">
        <v>9.07</v>
      </c>
      <c r="I87" s="14">
        <v>6.6988000000000003</v>
      </c>
      <c r="J87" s="14" t="s">
        <v>20</v>
      </c>
      <c r="K87" s="15" t="s">
        <v>20</v>
      </c>
      <c r="L87" s="16" t="s">
        <v>20</v>
      </c>
    </row>
    <row r="88" spans="1:12" x14ac:dyDescent="0.25">
      <c r="A88" s="17"/>
      <c r="B88" s="9" t="s">
        <v>194</v>
      </c>
      <c r="C88" s="17"/>
      <c r="D88" s="17"/>
      <c r="E88" s="17"/>
      <c r="F88" s="17"/>
      <c r="G88" s="18">
        <v>259336.87</v>
      </c>
      <c r="H88" s="18">
        <v>9.07</v>
      </c>
      <c r="I88" s="17"/>
      <c r="J88" s="17"/>
      <c r="K88" s="17"/>
      <c r="L88" s="17"/>
    </row>
    <row r="89" spans="1:12" x14ac:dyDescent="0.25">
      <c r="A89" s="8"/>
      <c r="B89" s="9" t="s">
        <v>195</v>
      </c>
      <c r="C89" s="8"/>
      <c r="D89" s="8"/>
      <c r="E89" s="8"/>
      <c r="F89" s="8"/>
      <c r="G89" s="19">
        <v>259336.87</v>
      </c>
      <c r="H89" s="19">
        <v>9.07</v>
      </c>
      <c r="I89" s="8"/>
      <c r="J89" s="8"/>
      <c r="K89" s="8"/>
      <c r="L89" s="8"/>
    </row>
    <row r="90" spans="1:12" x14ac:dyDescent="0.25">
      <c r="A90" s="8"/>
      <c r="B90" s="9" t="s">
        <v>198</v>
      </c>
      <c r="C90" s="8"/>
      <c r="D90" s="8"/>
      <c r="E90" s="8"/>
      <c r="F90" s="8"/>
      <c r="G90" s="8"/>
      <c r="H90" s="8"/>
      <c r="I90" s="8"/>
      <c r="J90" s="8"/>
      <c r="K90" s="8"/>
      <c r="L90" s="8"/>
    </row>
    <row r="91" spans="1:12" x14ac:dyDescent="0.25">
      <c r="A91" s="8"/>
      <c r="B91" s="9" t="s">
        <v>199</v>
      </c>
      <c r="C91" s="8"/>
      <c r="D91" s="8"/>
      <c r="E91" s="8"/>
      <c r="F91" s="8"/>
      <c r="G91" s="8"/>
      <c r="H91" s="8"/>
      <c r="I91" s="8"/>
      <c r="J91" s="8"/>
      <c r="K91" s="8"/>
      <c r="L91" s="8"/>
    </row>
    <row r="92" spans="1:12" x14ac:dyDescent="0.25">
      <c r="A92" s="10" t="s">
        <v>20</v>
      </c>
      <c r="B92" s="11" t="s">
        <v>20</v>
      </c>
      <c r="C92" s="11" t="s">
        <v>20</v>
      </c>
      <c r="D92" s="11" t="s">
        <v>199</v>
      </c>
      <c r="E92" s="11" t="s">
        <v>20</v>
      </c>
      <c r="F92" s="12" t="s">
        <v>20</v>
      </c>
      <c r="G92" s="13">
        <v>23913.46</v>
      </c>
      <c r="H92" s="13">
        <v>0.86</v>
      </c>
      <c r="I92" s="14" t="s">
        <v>20</v>
      </c>
      <c r="J92" s="14" t="s">
        <v>20</v>
      </c>
      <c r="K92" s="15" t="s">
        <v>20</v>
      </c>
      <c r="L92" s="16" t="s">
        <v>20</v>
      </c>
    </row>
    <row r="93" spans="1:12" x14ac:dyDescent="0.25">
      <c r="A93" s="17"/>
      <c r="B93" s="9" t="s">
        <v>194</v>
      </c>
      <c r="C93" s="17"/>
      <c r="D93" s="17"/>
      <c r="E93" s="17"/>
      <c r="F93" s="17"/>
      <c r="G93" s="18">
        <v>23913.46</v>
      </c>
      <c r="H93" s="18">
        <v>0.86</v>
      </c>
      <c r="I93" s="17"/>
      <c r="J93" s="17"/>
      <c r="K93" s="17"/>
      <c r="L93" s="17"/>
    </row>
    <row r="94" spans="1:12" x14ac:dyDescent="0.25">
      <c r="A94" s="8"/>
      <c r="B94" s="9" t="s">
        <v>195</v>
      </c>
      <c r="C94" s="8"/>
      <c r="D94" s="8"/>
      <c r="E94" s="8"/>
      <c r="F94" s="8"/>
      <c r="G94" s="19">
        <v>23913.46</v>
      </c>
      <c r="H94" s="19">
        <v>0.86</v>
      </c>
      <c r="I94" s="8"/>
      <c r="J94" s="8"/>
      <c r="K94" s="8"/>
      <c r="L94" s="8"/>
    </row>
    <row r="95" spans="1:12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x14ac:dyDescent="0.25">
      <c r="A96" s="4"/>
      <c r="B96" s="20" t="s">
        <v>200</v>
      </c>
      <c r="C96" s="4"/>
      <c r="D96" s="4"/>
      <c r="E96" s="4"/>
      <c r="F96" s="4"/>
      <c r="G96" s="21">
        <v>2860662.0399999991</v>
      </c>
      <c r="H96" s="21">
        <v>99.999999999999986</v>
      </c>
      <c r="I96" s="4"/>
      <c r="J96" s="4"/>
      <c r="K96" s="4"/>
      <c r="L96" s="4"/>
    </row>
    <row r="97" spans="1:12" x14ac:dyDescent="0.25">
      <c r="A97" s="10" t="s">
        <v>18</v>
      </c>
      <c r="B97" s="35" t="s">
        <v>201</v>
      </c>
      <c r="C97" s="35" t="s">
        <v>201</v>
      </c>
      <c r="D97" s="35" t="s">
        <v>201</v>
      </c>
      <c r="E97" s="35" t="s">
        <v>201</v>
      </c>
      <c r="F97" s="35" t="s">
        <v>201</v>
      </c>
      <c r="G97" s="11"/>
      <c r="H97" s="11"/>
      <c r="I97" s="11"/>
      <c r="J97" s="11"/>
      <c r="K97" s="11"/>
      <c r="L97" s="11"/>
    </row>
    <row r="98" spans="1:12" x14ac:dyDescent="0.25">
      <c r="A98" s="11"/>
      <c r="B98" s="32" t="s">
        <v>202</v>
      </c>
      <c r="C98" s="32" t="s">
        <v>202</v>
      </c>
      <c r="D98" s="32" t="s">
        <v>202</v>
      </c>
      <c r="E98" s="32" t="s">
        <v>202</v>
      </c>
      <c r="F98" s="32" t="s">
        <v>202</v>
      </c>
      <c r="G98" s="11"/>
      <c r="H98" s="11"/>
      <c r="I98" s="11"/>
      <c r="J98" s="11"/>
      <c r="K98" s="11"/>
      <c r="L98" s="11"/>
    </row>
    <row r="99" spans="1:12" x14ac:dyDescent="0.25">
      <c r="A99" s="11"/>
      <c r="B99" s="32" t="s">
        <v>203</v>
      </c>
      <c r="C99" s="32" t="s">
        <v>203</v>
      </c>
      <c r="D99" s="32" t="s">
        <v>203</v>
      </c>
      <c r="E99" s="32" t="s">
        <v>203</v>
      </c>
      <c r="F99" s="32" t="s">
        <v>203</v>
      </c>
      <c r="G99" s="11"/>
      <c r="H99" s="11"/>
      <c r="I99" s="11"/>
      <c r="J99" s="11"/>
      <c r="K99" s="11"/>
      <c r="L99" s="11"/>
    </row>
    <row r="100" spans="1:12" x14ac:dyDescent="0.25">
      <c r="A100" s="11"/>
      <c r="B100" s="32" t="s">
        <v>204</v>
      </c>
      <c r="C100" s="32" t="s">
        <v>204</v>
      </c>
      <c r="D100" s="32" t="s">
        <v>204</v>
      </c>
      <c r="E100" s="32" t="s">
        <v>204</v>
      </c>
      <c r="F100" s="32" t="s">
        <v>204</v>
      </c>
      <c r="G100" s="11"/>
      <c r="H100" s="11"/>
      <c r="I100" s="11"/>
      <c r="J100" s="11"/>
      <c r="K100" s="11"/>
      <c r="L100" s="11"/>
    </row>
    <row r="101" spans="1:12" x14ac:dyDescent="0.25">
      <c r="A101" s="11"/>
      <c r="B101" s="32" t="s">
        <v>205</v>
      </c>
      <c r="C101" s="32" t="s">
        <v>205</v>
      </c>
      <c r="D101" s="32" t="s">
        <v>205</v>
      </c>
      <c r="E101" s="32" t="s">
        <v>205</v>
      </c>
      <c r="F101" s="32" t="s">
        <v>205</v>
      </c>
      <c r="G101" s="11"/>
      <c r="H101" s="11"/>
      <c r="I101" s="11"/>
      <c r="J101" s="11"/>
      <c r="K101" s="11"/>
      <c r="L101" s="11"/>
    </row>
    <row r="102" spans="1:12" x14ac:dyDescent="0.25">
      <c r="A102" s="11"/>
      <c r="B102" s="32" t="s">
        <v>206</v>
      </c>
      <c r="C102" s="32" t="s">
        <v>206</v>
      </c>
      <c r="D102" s="32" t="s">
        <v>206</v>
      </c>
      <c r="E102" s="32" t="s">
        <v>206</v>
      </c>
      <c r="F102" s="32" t="s">
        <v>206</v>
      </c>
      <c r="G102" s="11"/>
      <c r="H102" s="11"/>
      <c r="I102" s="11"/>
      <c r="J102" s="11"/>
      <c r="K102" s="11"/>
      <c r="L102" s="11"/>
    </row>
    <row r="103" spans="1:12" x14ac:dyDescent="0.25">
      <c r="A103" s="11"/>
      <c r="B103" s="32" t="s">
        <v>207</v>
      </c>
      <c r="C103" s="32" t="s">
        <v>207</v>
      </c>
      <c r="D103" s="32" t="s">
        <v>207</v>
      </c>
      <c r="E103" s="32" t="s">
        <v>207</v>
      </c>
      <c r="F103" s="32" t="s">
        <v>207</v>
      </c>
      <c r="G103" s="11"/>
      <c r="H103" s="11"/>
      <c r="I103" s="11"/>
      <c r="J103" s="11"/>
      <c r="K103" s="11"/>
      <c r="L103" s="11"/>
    </row>
    <row r="104" spans="1:12" x14ac:dyDescent="0.25">
      <c r="A104" s="11"/>
      <c r="B104" s="32" t="s">
        <v>208</v>
      </c>
      <c r="C104" s="32" t="s">
        <v>208</v>
      </c>
      <c r="D104" s="32" t="s">
        <v>208</v>
      </c>
      <c r="E104" s="32" t="s">
        <v>208</v>
      </c>
      <c r="F104" s="32" t="s">
        <v>208</v>
      </c>
      <c r="G104" s="11"/>
      <c r="H104" s="11"/>
      <c r="I104" s="11"/>
      <c r="J104" s="11"/>
      <c r="K104" s="11"/>
      <c r="L104" s="11"/>
    </row>
    <row r="105" spans="1:12" x14ac:dyDescent="0.25">
      <c r="A105" s="11"/>
      <c r="B105" s="11"/>
      <c r="C105" s="11"/>
      <c r="D105" s="11"/>
      <c r="E105" s="11"/>
      <c r="F105" s="11"/>
      <c r="G105" s="11"/>
      <c r="H105" s="11"/>
    </row>
    <row r="106" spans="1:12" x14ac:dyDescent="0.25">
      <c r="A106" s="22"/>
      <c r="B106" s="23" t="s">
        <v>209</v>
      </c>
      <c r="C106" s="22"/>
      <c r="D106" s="22"/>
      <c r="E106" s="11"/>
      <c r="F106" s="11"/>
      <c r="G106" s="11"/>
      <c r="H106" s="11"/>
    </row>
    <row r="107" spans="1:12" x14ac:dyDescent="0.25">
      <c r="A107" s="22"/>
      <c r="B107" s="24" t="s">
        <v>28</v>
      </c>
      <c r="C107" s="25"/>
      <c r="D107" s="26">
        <v>9.24</v>
      </c>
      <c r="E107" s="11"/>
      <c r="F107" s="11"/>
      <c r="G107" s="11"/>
      <c r="H107" s="11"/>
    </row>
    <row r="108" spans="1:12" x14ac:dyDescent="0.25">
      <c r="A108" s="22"/>
      <c r="B108" s="24" t="s">
        <v>25</v>
      </c>
      <c r="C108" s="25"/>
      <c r="D108" s="26">
        <v>8</v>
      </c>
      <c r="E108" s="11"/>
      <c r="F108" s="11"/>
      <c r="G108" s="11"/>
      <c r="H108" s="11"/>
    </row>
    <row r="109" spans="1:12" x14ac:dyDescent="0.25">
      <c r="A109" s="22"/>
      <c r="B109" s="24" t="s">
        <v>33</v>
      </c>
      <c r="C109" s="25"/>
      <c r="D109" s="26">
        <v>7.4999999999999991</v>
      </c>
      <c r="E109" s="11"/>
      <c r="F109" s="11"/>
      <c r="G109" s="11"/>
      <c r="H109" s="11"/>
    </row>
    <row r="110" spans="1:12" x14ac:dyDescent="0.25">
      <c r="A110" s="22"/>
      <c r="B110" s="24" t="s">
        <v>42</v>
      </c>
      <c r="C110" s="25"/>
      <c r="D110" s="26">
        <v>6.72</v>
      </c>
      <c r="E110" s="11"/>
      <c r="F110" s="11"/>
      <c r="G110" s="11"/>
      <c r="H110" s="11"/>
    </row>
    <row r="111" spans="1:12" x14ac:dyDescent="0.25">
      <c r="A111" s="22"/>
      <c r="B111" s="24" t="s">
        <v>39</v>
      </c>
      <c r="C111" s="25"/>
      <c r="D111" s="26">
        <v>6.1800000000000006</v>
      </c>
      <c r="E111" s="11"/>
      <c r="F111" s="11"/>
      <c r="G111" s="11"/>
      <c r="H111" s="11"/>
    </row>
    <row r="112" spans="1:12" x14ac:dyDescent="0.25">
      <c r="A112" s="22"/>
      <c r="B112" s="24" t="s">
        <v>68</v>
      </c>
      <c r="C112" s="25"/>
      <c r="D112" s="26">
        <v>6.1599999999999993</v>
      </c>
      <c r="E112" s="11"/>
      <c r="F112" s="11"/>
      <c r="G112" s="11"/>
      <c r="H112" s="11"/>
    </row>
    <row r="113" spans="1:8" x14ac:dyDescent="0.25">
      <c r="A113" s="22"/>
      <c r="B113" s="24" t="s">
        <v>36</v>
      </c>
      <c r="C113" s="25"/>
      <c r="D113" s="26">
        <v>6.1300000000000008</v>
      </c>
      <c r="E113" s="11"/>
      <c r="F113" s="11"/>
      <c r="G113" s="11"/>
      <c r="H113" s="11"/>
    </row>
    <row r="114" spans="1:8" x14ac:dyDescent="0.25">
      <c r="A114" s="22"/>
      <c r="B114" s="24" t="s">
        <v>63</v>
      </c>
      <c r="C114" s="25"/>
      <c r="D114" s="26">
        <v>5.65</v>
      </c>
      <c r="E114" s="11"/>
      <c r="F114" s="11"/>
      <c r="G114" s="11"/>
      <c r="H114" s="11"/>
    </row>
    <row r="115" spans="1:8" x14ac:dyDescent="0.25">
      <c r="A115" s="22"/>
      <c r="B115" s="24" t="s">
        <v>22</v>
      </c>
      <c r="C115" s="25"/>
      <c r="D115" s="26">
        <v>5</v>
      </c>
      <c r="E115" s="11"/>
      <c r="F115" s="11"/>
      <c r="G115" s="11"/>
      <c r="H115" s="11"/>
    </row>
    <row r="116" spans="1:8" x14ac:dyDescent="0.25">
      <c r="A116" s="22"/>
      <c r="B116" s="24" t="s">
        <v>83</v>
      </c>
      <c r="C116" s="25"/>
      <c r="D116" s="26">
        <v>3.71</v>
      </c>
      <c r="E116" s="11"/>
      <c r="F116" s="11"/>
      <c r="G116" s="11"/>
      <c r="H116" s="11"/>
    </row>
    <row r="117" spans="1:8" x14ac:dyDescent="0.25">
      <c r="A117" s="22"/>
      <c r="B117" s="24" t="s">
        <v>60</v>
      </c>
      <c r="C117" s="25"/>
      <c r="D117" s="26">
        <v>3.69</v>
      </c>
      <c r="E117" s="11"/>
      <c r="F117" s="11"/>
      <c r="G117" s="11"/>
      <c r="H117" s="11"/>
    </row>
    <row r="118" spans="1:8" x14ac:dyDescent="0.25">
      <c r="A118" s="22"/>
      <c r="B118" s="24" t="s">
        <v>52</v>
      </c>
      <c r="C118" s="25"/>
      <c r="D118" s="26">
        <v>2.7399999999999998</v>
      </c>
      <c r="E118" s="11"/>
      <c r="F118" s="11"/>
      <c r="G118" s="11"/>
      <c r="H118" s="11"/>
    </row>
    <row r="119" spans="1:8" x14ac:dyDescent="0.25">
      <c r="A119" s="22"/>
      <c r="B119" s="24" t="s">
        <v>45</v>
      </c>
      <c r="C119" s="25"/>
      <c r="D119" s="26">
        <v>2.66</v>
      </c>
      <c r="E119" s="11"/>
      <c r="F119" s="11"/>
      <c r="G119" s="11"/>
      <c r="H119" s="11"/>
    </row>
    <row r="120" spans="1:8" x14ac:dyDescent="0.25">
      <c r="A120" s="22"/>
      <c r="B120" s="24" t="s">
        <v>107</v>
      </c>
      <c r="C120" s="25"/>
      <c r="D120" s="26">
        <v>2.46</v>
      </c>
      <c r="E120" s="11"/>
      <c r="F120" s="11"/>
      <c r="G120" s="11"/>
      <c r="H120" s="11"/>
    </row>
    <row r="121" spans="1:8" x14ac:dyDescent="0.25">
      <c r="A121" s="22"/>
      <c r="B121" s="24" t="s">
        <v>57</v>
      </c>
      <c r="C121" s="25"/>
      <c r="D121" s="26">
        <v>2.25</v>
      </c>
      <c r="E121" s="11"/>
      <c r="F121" s="11"/>
      <c r="G121" s="11"/>
      <c r="H121" s="11"/>
    </row>
    <row r="122" spans="1:8" x14ac:dyDescent="0.25">
      <c r="A122" s="22"/>
      <c r="B122" s="24" t="s">
        <v>80</v>
      </c>
      <c r="C122" s="25"/>
      <c r="D122" s="26">
        <v>2.06</v>
      </c>
      <c r="E122" s="11"/>
      <c r="F122" s="11"/>
      <c r="G122" s="11"/>
      <c r="H122" s="11"/>
    </row>
    <row r="123" spans="1:8" x14ac:dyDescent="0.25">
      <c r="A123" s="22"/>
      <c r="B123" s="24" t="s">
        <v>98</v>
      </c>
      <c r="C123" s="25"/>
      <c r="D123" s="26">
        <v>1.97</v>
      </c>
      <c r="E123" s="11"/>
      <c r="F123" s="11"/>
      <c r="G123" s="11"/>
      <c r="H123" s="11"/>
    </row>
    <row r="124" spans="1:8" x14ac:dyDescent="0.25">
      <c r="A124" s="22"/>
      <c r="B124" s="24" t="s">
        <v>116</v>
      </c>
      <c r="C124" s="25"/>
      <c r="D124" s="26">
        <v>1.9500000000000002</v>
      </c>
      <c r="E124" s="11"/>
      <c r="F124" s="11"/>
      <c r="G124" s="11"/>
      <c r="H124" s="11"/>
    </row>
    <row r="125" spans="1:8" x14ac:dyDescent="0.25">
      <c r="A125" s="22"/>
      <c r="B125" s="24" t="s">
        <v>77</v>
      </c>
      <c r="C125" s="25"/>
      <c r="D125" s="26">
        <v>1.39</v>
      </c>
      <c r="E125" s="11"/>
      <c r="F125" s="11"/>
      <c r="G125" s="11"/>
      <c r="H125" s="11"/>
    </row>
    <row r="126" spans="1:8" x14ac:dyDescent="0.25">
      <c r="A126" s="22"/>
      <c r="B126" s="24" t="s">
        <v>136</v>
      </c>
      <c r="C126" s="25"/>
      <c r="D126" s="26">
        <v>1.31</v>
      </c>
      <c r="E126" s="11"/>
      <c r="F126" s="11"/>
      <c r="G126" s="11"/>
      <c r="H126" s="11"/>
    </row>
    <row r="127" spans="1:8" x14ac:dyDescent="0.25">
      <c r="A127" s="22"/>
      <c r="B127" s="24" t="s">
        <v>119</v>
      </c>
      <c r="C127" s="25"/>
      <c r="D127" s="26">
        <v>0.98</v>
      </c>
      <c r="E127" s="11"/>
      <c r="F127" s="11"/>
      <c r="G127" s="11"/>
      <c r="H127" s="11"/>
    </row>
    <row r="128" spans="1:8" x14ac:dyDescent="0.25">
      <c r="A128" s="22"/>
      <c r="B128" s="24" t="s">
        <v>159</v>
      </c>
      <c r="C128" s="25"/>
      <c r="D128" s="26">
        <v>0.66</v>
      </c>
      <c r="E128" s="11"/>
      <c r="F128" s="11"/>
      <c r="G128" s="11"/>
      <c r="H128" s="11"/>
    </row>
    <row r="129" spans="1:8" x14ac:dyDescent="0.25">
      <c r="A129" s="22"/>
      <c r="B129" s="24" t="s">
        <v>156</v>
      </c>
      <c r="C129" s="25"/>
      <c r="D129" s="26">
        <v>0.56999999999999995</v>
      </c>
      <c r="E129" s="11"/>
      <c r="F129" s="11"/>
      <c r="G129" s="11"/>
      <c r="H129" s="11"/>
    </row>
    <row r="130" spans="1:8" x14ac:dyDescent="0.25">
      <c r="A130" s="22"/>
      <c r="B130" s="24" t="s">
        <v>151</v>
      </c>
      <c r="C130" s="25"/>
      <c r="D130" s="26">
        <v>0.56999999999999995</v>
      </c>
      <c r="E130" s="11"/>
      <c r="F130" s="11"/>
      <c r="G130" s="11"/>
      <c r="H130" s="11"/>
    </row>
    <row r="131" spans="1:8" x14ac:dyDescent="0.25">
      <c r="A131" s="22"/>
      <c r="B131" s="24" t="s">
        <v>180</v>
      </c>
      <c r="C131" s="25"/>
      <c r="D131" s="26">
        <v>0.35</v>
      </c>
      <c r="E131" s="11"/>
      <c r="F131" s="11"/>
      <c r="G131" s="11"/>
      <c r="H131" s="11"/>
    </row>
    <row r="132" spans="1:8" x14ac:dyDescent="0.25">
      <c r="A132" s="22"/>
      <c r="B132" s="24" t="s">
        <v>189</v>
      </c>
      <c r="C132" s="25"/>
      <c r="D132" s="26">
        <v>0.17</v>
      </c>
      <c r="E132" s="11"/>
      <c r="F132" s="11"/>
      <c r="G132" s="11"/>
      <c r="H132" s="11"/>
    </row>
    <row r="133" spans="1:8" x14ac:dyDescent="0.25">
      <c r="A133" s="22"/>
      <c r="B133" s="24" t="s">
        <v>210</v>
      </c>
      <c r="C133" s="25"/>
      <c r="D133" s="26">
        <v>0</v>
      </c>
      <c r="E133" s="11"/>
      <c r="F133" s="11"/>
      <c r="G133" s="11"/>
      <c r="H133" s="11"/>
    </row>
    <row r="134" spans="1:8" x14ac:dyDescent="0.25">
      <c r="A134" s="22"/>
      <c r="B134" s="24" t="s">
        <v>211</v>
      </c>
      <c r="C134" s="25"/>
      <c r="D134" s="26">
        <v>9.93</v>
      </c>
      <c r="E134" s="11"/>
      <c r="F134" s="11"/>
      <c r="G134" s="11"/>
      <c r="H134" s="11"/>
    </row>
    <row r="135" spans="1:8" x14ac:dyDescent="0.25">
      <c r="A135" s="27"/>
      <c r="B135" s="27"/>
      <c r="C135" s="27"/>
      <c r="D135" s="27"/>
      <c r="E135" s="27"/>
      <c r="F135" s="27"/>
      <c r="G135" s="27"/>
      <c r="H135" s="27"/>
    </row>
    <row r="136" spans="1:8" x14ac:dyDescent="0.25">
      <c r="A136" s="27"/>
      <c r="B136" s="8" t="s">
        <v>212</v>
      </c>
      <c r="C136" s="27"/>
      <c r="D136" s="27"/>
      <c r="E136" s="27"/>
      <c r="F136" s="27"/>
      <c r="G136" s="27"/>
      <c r="H136" s="27"/>
    </row>
    <row r="137" spans="1:8" x14ac:dyDescent="0.25">
      <c r="A137" s="11"/>
      <c r="B137" s="11" t="s">
        <v>213</v>
      </c>
      <c r="C137" s="11"/>
      <c r="D137" s="11"/>
      <c r="E137" s="11"/>
      <c r="F137" s="11"/>
      <c r="G137" s="11"/>
      <c r="H137" s="27"/>
    </row>
    <row r="138" spans="1:8" x14ac:dyDescent="0.25">
      <c r="A138" s="11"/>
      <c r="B138" s="28" t="s">
        <v>214</v>
      </c>
      <c r="C138" s="29" t="s">
        <v>215</v>
      </c>
      <c r="D138" s="28" t="s">
        <v>216</v>
      </c>
      <c r="E138" s="11"/>
      <c r="F138" s="11"/>
      <c r="G138" s="11"/>
      <c r="H138" s="27"/>
    </row>
    <row r="139" spans="1:8" x14ac:dyDescent="0.25">
      <c r="A139" s="11"/>
      <c r="B139" s="8" t="s">
        <v>217</v>
      </c>
      <c r="C139" s="30">
        <v>47.741999999999997</v>
      </c>
      <c r="D139" s="30">
        <v>45.225000000000001</v>
      </c>
      <c r="E139" s="11"/>
      <c r="F139" s="11"/>
      <c r="G139" s="11"/>
      <c r="H139" s="27"/>
    </row>
    <row r="140" spans="1:8" x14ac:dyDescent="0.25">
      <c r="A140" s="11"/>
      <c r="B140" s="8" t="s">
        <v>218</v>
      </c>
      <c r="C140" s="30">
        <v>67.650999999999996</v>
      </c>
      <c r="D140" s="30">
        <v>64.033000000000001</v>
      </c>
      <c r="E140" s="11"/>
      <c r="F140" s="11"/>
      <c r="G140" s="11"/>
      <c r="H140" s="27"/>
    </row>
    <row r="141" spans="1:8" x14ac:dyDescent="0.25">
      <c r="A141" s="11"/>
      <c r="B141" s="8" t="s">
        <v>219</v>
      </c>
      <c r="C141" s="30">
        <v>121.98399999999999</v>
      </c>
      <c r="D141" s="30">
        <v>115.55500000000001</v>
      </c>
      <c r="E141" s="11"/>
      <c r="F141" s="11"/>
      <c r="G141" s="11"/>
      <c r="H141" s="27"/>
    </row>
    <row r="142" spans="1:8" x14ac:dyDescent="0.25">
      <c r="A142" s="11"/>
      <c r="B142" s="8" t="s">
        <v>220</v>
      </c>
      <c r="C142" s="30">
        <v>136.91200000000001</v>
      </c>
      <c r="D142" s="30">
        <v>129.59</v>
      </c>
      <c r="E142" s="11"/>
      <c r="F142" s="11"/>
      <c r="G142" s="11"/>
      <c r="H142" s="27"/>
    </row>
    <row r="143" spans="1:8" x14ac:dyDescent="0.25">
      <c r="A143" s="11"/>
      <c r="B143" s="8" t="s">
        <v>20</v>
      </c>
      <c r="C143" s="11"/>
      <c r="D143" s="11"/>
      <c r="E143" s="11"/>
      <c r="F143" s="11"/>
      <c r="G143" s="11"/>
      <c r="H143" s="27"/>
    </row>
    <row r="144" spans="1:8" x14ac:dyDescent="0.25">
      <c r="A144" s="11"/>
      <c r="B144" s="11"/>
      <c r="C144" s="11"/>
      <c r="D144" s="11"/>
      <c r="E144" s="11"/>
      <c r="F144" s="11"/>
      <c r="G144" s="11"/>
      <c r="H144" s="27"/>
    </row>
    <row r="145" spans="1:8" x14ac:dyDescent="0.25">
      <c r="A145" s="11"/>
      <c r="B145" s="11" t="s">
        <v>221</v>
      </c>
      <c r="C145" s="11"/>
      <c r="D145" s="11"/>
      <c r="E145" s="11"/>
      <c r="F145" s="11"/>
      <c r="G145" s="11"/>
      <c r="H145" s="27"/>
    </row>
    <row r="146" spans="1:8" x14ac:dyDescent="0.25">
      <c r="A146" s="11"/>
      <c r="B146" s="11"/>
      <c r="C146" s="11"/>
      <c r="D146" s="11"/>
      <c r="E146" s="11"/>
      <c r="F146" s="11"/>
      <c r="G146" s="11"/>
      <c r="H146" s="27"/>
    </row>
    <row r="147" spans="1:8" x14ac:dyDescent="0.25">
      <c r="A147" s="11"/>
      <c r="B147" s="11" t="s">
        <v>222</v>
      </c>
      <c r="C147" s="11"/>
      <c r="D147" s="11"/>
      <c r="E147" s="11"/>
      <c r="F147" s="11"/>
      <c r="G147" s="11"/>
      <c r="H147" s="27"/>
    </row>
    <row r="148" spans="1:8" x14ac:dyDescent="0.25">
      <c r="A148" s="27"/>
      <c r="B148" s="27"/>
      <c r="C148" s="27"/>
      <c r="D148" s="27"/>
      <c r="E148" s="27"/>
      <c r="F148" s="27"/>
      <c r="G148" s="27"/>
      <c r="H148" s="27"/>
    </row>
    <row r="149" spans="1:8" x14ac:dyDescent="0.25">
      <c r="A149" s="11"/>
      <c r="B149" s="11" t="s">
        <v>223</v>
      </c>
      <c r="C149" s="11"/>
      <c r="D149" s="11"/>
      <c r="E149" s="11"/>
      <c r="F149" s="11"/>
      <c r="G149" s="11"/>
      <c r="H149" s="11"/>
    </row>
    <row r="150" spans="1:8" x14ac:dyDescent="0.25">
      <c r="A150" s="11"/>
      <c r="B150" s="11" t="s">
        <v>224</v>
      </c>
      <c r="C150" s="11"/>
      <c r="D150" s="11"/>
      <c r="E150" s="11"/>
      <c r="F150" s="11"/>
      <c r="G150" s="11"/>
      <c r="H150" s="27"/>
    </row>
    <row r="151" spans="1:8" x14ac:dyDescent="0.25">
      <c r="A151" s="11"/>
      <c r="B151" s="11" t="s">
        <v>225</v>
      </c>
      <c r="C151" s="11"/>
      <c r="D151" s="11"/>
      <c r="E151" s="11"/>
      <c r="F151" s="11"/>
      <c r="G151" s="11"/>
      <c r="H151" s="27"/>
    </row>
    <row r="152" spans="1:8" x14ac:dyDescent="0.25">
      <c r="A152" s="11"/>
      <c r="B152" s="11" t="s">
        <v>226</v>
      </c>
      <c r="C152" s="11"/>
      <c r="D152" s="11"/>
      <c r="E152" s="11"/>
      <c r="F152" s="11"/>
      <c r="G152" s="11"/>
      <c r="H152" s="27"/>
    </row>
    <row r="153" spans="1:8" x14ac:dyDescent="0.25">
      <c r="A153" s="11"/>
      <c r="B153" s="11" t="s">
        <v>227</v>
      </c>
      <c r="C153" s="11"/>
      <c r="D153" s="11"/>
      <c r="E153" s="11"/>
      <c r="F153" s="11"/>
      <c r="G153" s="11"/>
      <c r="H153" s="27"/>
    </row>
    <row r="154" spans="1:8" x14ac:dyDescent="0.25">
      <c r="A154" s="11"/>
      <c r="B154" s="11" t="s">
        <v>228</v>
      </c>
      <c r="C154" s="11"/>
      <c r="D154" s="11"/>
      <c r="E154" s="11"/>
      <c r="F154" s="11"/>
      <c r="G154" s="11"/>
      <c r="H154" s="27"/>
    </row>
    <row r="155" spans="1:8" x14ac:dyDescent="0.25">
      <c r="A155" s="11"/>
      <c r="B155" s="11" t="s">
        <v>229</v>
      </c>
      <c r="C155" s="11"/>
      <c r="D155" s="11"/>
      <c r="E155" s="11"/>
      <c r="F155" s="11"/>
      <c r="G155" s="11"/>
      <c r="H155" s="27"/>
    </row>
    <row r="156" spans="1:8" x14ac:dyDescent="0.25">
      <c r="A156" s="11"/>
      <c r="B156" s="11" t="s">
        <v>230</v>
      </c>
      <c r="C156" s="11"/>
      <c r="D156" s="11"/>
      <c r="E156" s="11"/>
      <c r="F156" s="11"/>
      <c r="G156" s="11"/>
      <c r="H156" s="27"/>
    </row>
    <row r="157" spans="1:8" x14ac:dyDescent="0.25">
      <c r="A157" s="11"/>
      <c r="B157" s="11" t="s">
        <v>231</v>
      </c>
      <c r="C157" s="11"/>
      <c r="D157" s="11"/>
      <c r="E157" s="11"/>
      <c r="F157" s="11"/>
      <c r="G157" s="11"/>
      <c r="H157" s="27"/>
    </row>
    <row r="159" spans="1:8" x14ac:dyDescent="0.25">
      <c r="B159" s="31" t="s">
        <v>232</v>
      </c>
    </row>
    <row r="175" spans="2:2" x14ac:dyDescent="0.25">
      <c r="B175" s="31" t="s">
        <v>233</v>
      </c>
    </row>
  </sheetData>
  <mergeCells count="10">
    <mergeCell ref="B101:F101"/>
    <mergeCell ref="B102:F102"/>
    <mergeCell ref="B103:F103"/>
    <mergeCell ref="B104:F104"/>
    <mergeCell ref="A1:J1"/>
    <mergeCell ref="A2:J2"/>
    <mergeCell ref="B97:F97"/>
    <mergeCell ref="B98:F98"/>
    <mergeCell ref="B99:F99"/>
    <mergeCell ref="B100:F10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B8200-8394-48BC-9B6B-588B83A6D32B}">
  <sheetPr codeName="Sheet67"/>
  <dimension ref="A2:I13"/>
  <sheetViews>
    <sheetView workbookViewId="0">
      <selection activeCell="B8" sqref="B8"/>
    </sheetView>
  </sheetViews>
  <sheetFormatPr defaultColWidth="9.140625" defaultRowHeight="12.75" x14ac:dyDescent="0.2"/>
  <cols>
    <col min="1" max="1" width="56.140625" style="36" customWidth="1"/>
    <col min="2" max="2" width="41.28515625" style="36" bestFit="1" customWidth="1"/>
    <col min="3" max="3" width="32.42578125" style="36" customWidth="1"/>
    <col min="4" max="4" width="22.7109375" style="36" customWidth="1"/>
    <col min="5" max="5" width="18.7109375" style="36" customWidth="1"/>
    <col min="6" max="6" width="16.140625" style="36" customWidth="1"/>
    <col min="7" max="7" width="13.7109375" style="36" customWidth="1"/>
    <col min="8" max="8" width="38.5703125" style="36" customWidth="1"/>
    <col min="9" max="9" width="9.140625" style="36" customWidth="1"/>
    <col min="10" max="10" width="11.7109375" style="36" customWidth="1"/>
    <col min="11" max="11" width="12.7109375" style="36" customWidth="1"/>
    <col min="12" max="12" width="27.28515625" style="36" customWidth="1"/>
    <col min="13" max="14" width="9.140625" style="36" customWidth="1"/>
    <col min="15" max="15" width="10.7109375" style="36" customWidth="1"/>
    <col min="16" max="16384" width="9.140625" style="36"/>
  </cols>
  <sheetData>
    <row r="2" spans="1:9" x14ac:dyDescent="0.2">
      <c r="G2" s="37"/>
    </row>
    <row r="3" spans="1:9" x14ac:dyDescent="0.2">
      <c r="A3" s="38" t="s">
        <v>234</v>
      </c>
      <c r="B3" s="38"/>
      <c r="C3" s="38"/>
      <c r="D3" s="38"/>
      <c r="E3" s="38"/>
      <c r="F3" s="38"/>
      <c r="G3" s="38"/>
    </row>
    <row r="5" spans="1:9" x14ac:dyDescent="0.2">
      <c r="A5" s="36" t="s">
        <v>235</v>
      </c>
    </row>
    <row r="7" spans="1:9" ht="12.75" customHeight="1" x14ac:dyDescent="0.2">
      <c r="A7" s="39" t="str">
        <f>+[34]DerivativeHDFCMY.!A7</f>
        <v>A.  Hedging Positions through Futures as on  January 31, 2023</v>
      </c>
      <c r="B7" s="39"/>
      <c r="C7" s="39"/>
      <c r="D7" s="39"/>
      <c r="E7" s="39"/>
      <c r="F7" s="39"/>
    </row>
    <row r="8" spans="1:9" ht="38.25" x14ac:dyDescent="0.2">
      <c r="A8" s="40" t="s">
        <v>236</v>
      </c>
      <c r="B8" s="41" t="s">
        <v>237</v>
      </c>
      <c r="C8" s="41" t="s">
        <v>238</v>
      </c>
      <c r="D8" s="41" t="s">
        <v>239</v>
      </c>
      <c r="E8" s="41" t="s">
        <v>240</v>
      </c>
      <c r="F8" s="41" t="s">
        <v>241</v>
      </c>
      <c r="G8" s="41" t="s">
        <v>242</v>
      </c>
      <c r="H8" s="42" t="s">
        <v>243</v>
      </c>
    </row>
    <row r="9" spans="1:9" x14ac:dyDescent="0.2">
      <c r="A9" s="43" t="s">
        <v>244</v>
      </c>
      <c r="B9" s="44" t="s">
        <v>245</v>
      </c>
      <c r="C9" s="44" t="s">
        <v>246</v>
      </c>
      <c r="D9" s="45">
        <v>500000</v>
      </c>
      <c r="E9" s="46">
        <v>21698.55</v>
      </c>
      <c r="F9" s="47">
        <v>21808.6</v>
      </c>
      <c r="G9" s="47">
        <v>12380.295</v>
      </c>
      <c r="H9" s="48">
        <f>(D9*F9)/100000</f>
        <v>109043</v>
      </c>
      <c r="I9" s="49"/>
    </row>
    <row r="10" spans="1:9" x14ac:dyDescent="0.2">
      <c r="A10" s="50"/>
      <c r="B10" s="44"/>
      <c r="C10" s="44"/>
      <c r="D10" s="45"/>
      <c r="E10" s="46"/>
      <c r="F10" s="47"/>
      <c r="G10" s="47"/>
      <c r="H10" s="48">
        <f t="shared" ref="H10" si="0">(D10*F10)/100000</f>
        <v>0</v>
      </c>
    </row>
    <row r="13" spans="1:9" x14ac:dyDescent="0.2">
      <c r="H13" s="51"/>
    </row>
  </sheetData>
  <mergeCells count="2">
    <mergeCell ref="A3:G3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HDFCSMALLF</vt:lpstr>
      <vt:lpstr>DerivativeHDFCSMALLF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2024-02-08T13:29:41Z</dcterms:created>
  <dcterms:modified xsi:type="dcterms:W3CDTF">2024-02-08T13:48:32Z</dcterms:modified>
</cp:coreProperties>
</file>