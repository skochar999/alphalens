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1" i="1" l="1"/>
</calcChain>
</file>

<file path=xl/sharedStrings.xml><?xml version="1.0" encoding="utf-8"?>
<sst xmlns="http://schemas.openxmlformats.org/spreadsheetml/2006/main" count="1134" uniqueCount="326">
  <si>
    <t>HDFC Hybrid Equity Fund (An open ended hybrid scheme investing predominantly in equity and equity related instruments)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</si>
  <si>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</si>
  <si>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</si>
  <si>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</si>
  <si>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</si>
  <si>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</si>
  <si>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</si>
  <si>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</si>
  <si>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</si>
  <si>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</si>
  <si>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</si>
  <si>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</si>
  <si>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</si>
  <si>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</si>
  <si>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</si>
  <si>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</si>
  <si>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</si>
  <si>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</si>
  <si>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</si>
  <si>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</si>
  <si>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</si>
  <si>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</si>
  <si>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</si>
  <si>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</si>
  <si>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</si>
  <si>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</si>
  <si>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</si>
  <si>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</si>
  <si>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</si>
  <si>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</si>
  <si>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</si>
  <si>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</si>
  <si>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INE062A01020</t>
  </si>
  <si>
    <t>State Bank of India</t>
  </si>
  <si>
    <t>INE154A01025</t>
  </si>
  <si>
    <t>ITC LIMITED</t>
  </si>
  <si>
    <t>Diversified FMCG</t>
  </si>
  <si>
    <t>INE018A01030</t>
  </si>
  <si>
    <t>Larsen and Toubro Ltd.</t>
  </si>
  <si>
    <t>Construction</t>
  </si>
  <si>
    <t>INE238A01034</t>
  </si>
  <si>
    <t>Axis Bank Ltd.</t>
  </si>
  <si>
    <t>INE237A01028</t>
  </si>
  <si>
    <t>Kotak Mahindra Bank Limited</t>
  </si>
  <si>
    <t>INE520A01027</t>
  </si>
  <si>
    <t>Zensar Technologies Ltd.</t>
  </si>
  <si>
    <t>INE640A01023</t>
  </si>
  <si>
    <t>SKF India Ltd.</t>
  </si>
  <si>
    <t>Industrial Products</t>
  </si>
  <si>
    <t>INE094A01015</t>
  </si>
  <si>
    <t>Hindustan Petroleum Corp. Ltd.</t>
  </si>
  <si>
    <t>INE891D01026</t>
  </si>
  <si>
    <t>Redington Ltd.</t>
  </si>
  <si>
    <t>Commercial Services &amp; Supplies</t>
  </si>
  <si>
    <t>INE854D01024</t>
  </si>
  <si>
    <t>United Spirits Limited</t>
  </si>
  <si>
    <t>Beverages</t>
  </si>
  <si>
    <t>INE406M01024</t>
  </si>
  <si>
    <t>Eris Lifesciences Ltd</t>
  </si>
  <si>
    <t>Pharmaceuticals &amp; Biotechnology</t>
  </si>
  <si>
    <t>INE389H01022</t>
  </si>
  <si>
    <t>KEC International Ltd.</t>
  </si>
  <si>
    <t>INE752E01010</t>
  </si>
  <si>
    <t>Power Grid Corporation of India Ltd.</t>
  </si>
  <si>
    <t>Power</t>
  </si>
  <si>
    <t>INE967H01025</t>
  </si>
  <si>
    <t>Krishna Institute Of Medical Sciences Limited</t>
  </si>
  <si>
    <t>Healthcare Services</t>
  </si>
  <si>
    <t>INE467B01029</t>
  </si>
  <si>
    <t>Tata Consultancy Services Ltd.</t>
  </si>
  <si>
    <t>INE998I01010</t>
  </si>
  <si>
    <t>Mahindra Holidays &amp; Resorts Ind Ltd.</t>
  </si>
  <si>
    <t>Leisure Services</t>
  </si>
  <si>
    <t>INE406A01037</t>
  </si>
  <si>
    <t>Aurobindo Pharma Ltd.</t>
  </si>
  <si>
    <t>INE195J01029</t>
  </si>
  <si>
    <t>PNC Infratech Ltd.</t>
  </si>
  <si>
    <t>INE102D01028</t>
  </si>
  <si>
    <t>Godrej Consumer Products Ltd.</t>
  </si>
  <si>
    <t>Personal Products</t>
  </si>
  <si>
    <t>INE016A01026</t>
  </si>
  <si>
    <t>Dabur India Ltd.</t>
  </si>
  <si>
    <t>INE825A01020</t>
  </si>
  <si>
    <t>Vardhman Textiles Ltd.</t>
  </si>
  <si>
    <t>Textiles &amp; Apparels</t>
  </si>
  <si>
    <t>INE541A01023</t>
  </si>
  <si>
    <t>GMM Pfaudler Limited</t>
  </si>
  <si>
    <t>Industrial Manufacturing</t>
  </si>
  <si>
    <t>INE758T01015</t>
  </si>
  <si>
    <t>Zomato Ltd</t>
  </si>
  <si>
    <t>Retailing</t>
  </si>
  <si>
    <t>INE233B01017</t>
  </si>
  <si>
    <t>Blue Dart Express Ltd.</t>
  </si>
  <si>
    <t>Transport Services</t>
  </si>
  <si>
    <t>INE573A01042</t>
  </si>
  <si>
    <t>JK Tyre &amp; Industries Limited</t>
  </si>
  <si>
    <t>Auto Components</t>
  </si>
  <si>
    <t>INE112L01020</t>
  </si>
  <si>
    <t>Metropolis Healthcare Ltd.</t>
  </si>
  <si>
    <t>INE220B01022</t>
  </si>
  <si>
    <t>Kalpataru Projects International Ltd</t>
  </si>
  <si>
    <t>INE068V01023</t>
  </si>
  <si>
    <t>Gland Pharma Ltd.</t>
  </si>
  <si>
    <t>INE536H01010</t>
  </si>
  <si>
    <t>CIE Automotive India Ltd</t>
  </si>
  <si>
    <t>INE221J01015</t>
  </si>
  <si>
    <t>Sharda Cropchem Ltd.</t>
  </si>
  <si>
    <t>Fertilizers &amp; Agrochemicals</t>
  </si>
  <si>
    <t>INE133A01011</t>
  </si>
  <si>
    <t>AkzoNobel India Ltd.</t>
  </si>
  <si>
    <t>Consumer Durables</t>
  </si>
  <si>
    <t>INE0V6F01027</t>
  </si>
  <si>
    <t>Hyundai Motor India Limited</t>
  </si>
  <si>
    <t>Automobiles</t>
  </si>
  <si>
    <t>INE227C01017</t>
  </si>
  <si>
    <t>MM Forgings Ltd.</t>
  </si>
  <si>
    <t>INE199G01027</t>
  </si>
  <si>
    <t>Jagran Prakashan Ltd.</t>
  </si>
  <si>
    <t>Media</t>
  </si>
  <si>
    <t>Sub Total</t>
  </si>
  <si>
    <t>(b) Compulsorily Convertible Debentures</t>
  </si>
  <si>
    <t>Compulsorily Convertible Debenture</t>
  </si>
  <si>
    <t>INE121A08PJ0</t>
  </si>
  <si>
    <t>Cholamandalam Investment &amp; Finance Co. Ltd.</t>
  </si>
  <si>
    <t>Finance</t>
  </si>
  <si>
    <t>Total</t>
  </si>
  <si>
    <t>DEBT INSTRUMENTS</t>
  </si>
  <si>
    <t>Government Securities (Central/State)</t>
  </si>
  <si>
    <t>IN0020240035</t>
  </si>
  <si>
    <t>7.34% GOI MAT 220464</t>
  </si>
  <si>
    <t>Sovereign</t>
  </si>
  <si>
    <t>IN0020240118</t>
  </si>
  <si>
    <t>7.09% GOI MAT 050854</t>
  </si>
  <si>
    <t>IN3320230136</t>
  </si>
  <si>
    <t>7.73% Uttar Pradesh SDL Mat 081133^</t>
  </si>
  <si>
    <t>IN0020240175</t>
  </si>
  <si>
    <t>6.98% GOI MAT 161254</t>
  </si>
  <si>
    <t>IN2920230405</t>
  </si>
  <si>
    <t>7.66% RAJASTHAN SDL Mat 310133^</t>
  </si>
  <si>
    <t>IN1520230203</t>
  </si>
  <si>
    <t>7.64% Gujarat SDL ISD 170124 MAT 170133^</t>
  </si>
  <si>
    <t>IN1520230211</t>
  </si>
  <si>
    <t>7.64% % Gujarat SDL ISD 170124 Mat 170134^</t>
  </si>
  <si>
    <t>IN3720230017</t>
  </si>
  <si>
    <t>7.68% Jharkhand SDL ISD 240124 Mat 240132^</t>
  </si>
  <si>
    <t>IN2920230413</t>
  </si>
  <si>
    <t>7.66% RAJASTHAN SDL Mat 310134^</t>
  </si>
  <si>
    <t>IN1520230237</t>
  </si>
  <si>
    <t>7.63% Gujarat SDL ISD 240124 Mat 240134^</t>
  </si>
  <si>
    <t>IN3520230118</t>
  </si>
  <si>
    <t>7.67% Chhattisgarh SDL ISD 240124 Mat 240131^</t>
  </si>
  <si>
    <t>IN3520230092</t>
  </si>
  <si>
    <t>7.68% Chattisgarh SDL ISD 170124 MAT 170132^</t>
  </si>
  <si>
    <t>IN2920230397</t>
  </si>
  <si>
    <t>7.67% Rajasthan ISD 24012024 Mat 240134^</t>
  </si>
  <si>
    <t>IN3620230059</t>
  </si>
  <si>
    <t>7.67% Uttarakhand SDL ISD 271223 MAT 271233^</t>
  </si>
  <si>
    <t>IN3620230075</t>
  </si>
  <si>
    <t>7.47% Uttarakhand SDL ISD 200324 MAT 200334^</t>
  </si>
  <si>
    <t>IN3520230100</t>
  </si>
  <si>
    <t>7.67% Chattisgarh SDL ISD 170124 MAT 170133^</t>
  </si>
  <si>
    <t>IN2920230298</t>
  </si>
  <si>
    <t>7.72% Rajasthan SDL - Mat 081133^</t>
  </si>
  <si>
    <t>IN3320230144</t>
  </si>
  <si>
    <t>7.72% Uttar Pradesh SDL Mat 081134^</t>
  </si>
  <si>
    <t>IN2920230389</t>
  </si>
  <si>
    <t>7.66% RAJASTHAN SDL ISD 240124 Mat 240131^</t>
  </si>
  <si>
    <t>IN0020150044</t>
  </si>
  <si>
    <t>8.13% GOI MAT 220645</t>
  </si>
  <si>
    <t>IN0020220136</t>
  </si>
  <si>
    <t>7.1% GOI MAT 270128^</t>
  </si>
  <si>
    <t>IN3520230274</t>
  </si>
  <si>
    <t>7.47% Chhattisgarh SDL ISD 200324 MAT 200333^</t>
  </si>
  <si>
    <t>IN3120240012</t>
  </si>
  <si>
    <t>7.42% Tamil Nadu SDL ISD 030424 MAT 030434^</t>
  </si>
  <si>
    <t>IN1520230229</t>
  </si>
  <si>
    <t>7.63% Gujarat SDL ISD 240124 Mat 240133^</t>
  </si>
  <si>
    <t>Non-Convertible debentures / Bonds</t>
  </si>
  <si>
    <t>INE261F08DX0</t>
  </si>
  <si>
    <t>National Bank for Agri &amp; Rural Dev.^</t>
  </si>
  <si>
    <t>CRISIL - AAA</t>
  </si>
  <si>
    <t>INE040A08AF2</t>
  </si>
  <si>
    <t>HDFC Bank Ltd.£^</t>
  </si>
  <si>
    <t>INE115A07QJ2</t>
  </si>
  <si>
    <t>LIC Housing Finance Ltd.^</t>
  </si>
  <si>
    <t>INE040A08914</t>
  </si>
  <si>
    <t>INE0KUG08019</t>
  </si>
  <si>
    <t>National Bank for Financing Infrastructure and Development^</t>
  </si>
  <si>
    <t>INE062A08454</t>
  </si>
  <si>
    <t>State Bank of India (Tier 2 - Basel III)^</t>
  </si>
  <si>
    <t>INE295J08022</t>
  </si>
  <si>
    <t>The Tata Power Company Ltd.^</t>
  </si>
  <si>
    <t>CARE - AA+</t>
  </si>
  <si>
    <t>INE0J7Q07249</t>
  </si>
  <si>
    <t>DME Development Ltd^</t>
  </si>
  <si>
    <t>INE756I07EU9</t>
  </si>
  <si>
    <t>HDB Financial Services Ltd.^</t>
  </si>
  <si>
    <t>INE414G07IR6</t>
  </si>
  <si>
    <t>Muthoot Finance Ltd.</t>
  </si>
  <si>
    <t>CRISIL - AA+</t>
  </si>
  <si>
    <t>INE752E08718</t>
  </si>
  <si>
    <t>Power Grid Corporation of India Ltd.^</t>
  </si>
  <si>
    <t>INE040A08666</t>
  </si>
  <si>
    <t>INE556F08KL3</t>
  </si>
  <si>
    <t>Small Industries Development Bank^</t>
  </si>
  <si>
    <t>INE121A08PP7</t>
  </si>
  <si>
    <t>ICRA - AA+</t>
  </si>
  <si>
    <t>INE975F07IO5</t>
  </si>
  <si>
    <t>Kotak Mahindra Investments Ltd.^</t>
  </si>
  <si>
    <t>INE975F07IE6</t>
  </si>
  <si>
    <t>INE115A07QM6</t>
  </si>
  <si>
    <t>INE153A08105</t>
  </si>
  <si>
    <t>Mahanagar Telephone Nigam  Ltd. (Corporate guarantee from Govt of India)^</t>
  </si>
  <si>
    <t>CARE - AAA(CE)</t>
  </si>
  <si>
    <t>INE261F08DV4</t>
  </si>
  <si>
    <t>INE556F08KF5</t>
  </si>
  <si>
    <t>CARE - AAA</t>
  </si>
  <si>
    <t>INE062A08447</t>
  </si>
  <si>
    <t>ICRA - AAA</t>
  </si>
  <si>
    <t>INE261F08DY8</t>
  </si>
  <si>
    <t>INE752E08676</t>
  </si>
  <si>
    <t>INE261F08DW2</t>
  </si>
  <si>
    <t>INE053F08213</t>
  </si>
  <si>
    <t>Indian Railways Finance Corp. Ltd.^</t>
  </si>
  <si>
    <t>INE134E08IP7</t>
  </si>
  <si>
    <t>Power Finance Corporation Ltd.^</t>
  </si>
  <si>
    <t>INE296A07TE5</t>
  </si>
  <si>
    <t>Bajaj Finance Ltd.^</t>
  </si>
  <si>
    <t>INE040A08369</t>
  </si>
  <si>
    <t>INE053F08320</t>
  </si>
  <si>
    <t>INE053F08247</t>
  </si>
  <si>
    <t>INE916DA7SB4</t>
  </si>
  <si>
    <t>Kotak Mahindra Prime Ltd.^</t>
  </si>
  <si>
    <t>INE414G07JB8</t>
  </si>
  <si>
    <t>Muthoot Finance Ltd.^</t>
  </si>
  <si>
    <t>INE261F08EB4</t>
  </si>
  <si>
    <t>INE134E08MQ7</t>
  </si>
  <si>
    <t>INE020B08EF4</t>
  </si>
  <si>
    <t>REC Limited.</t>
  </si>
  <si>
    <t>INE020B08EK4</t>
  </si>
  <si>
    <t>REC Limited.^</t>
  </si>
  <si>
    <t>INE556F08KR0</t>
  </si>
  <si>
    <t>INE062A08389</t>
  </si>
  <si>
    <t>State Bank of India^</t>
  </si>
  <si>
    <t>INE115A07OB4</t>
  </si>
  <si>
    <t>INE031A08855</t>
  </si>
  <si>
    <t>Housing and Urban Development Corporation Ltd.^</t>
  </si>
  <si>
    <t>INE242A08569</t>
  </si>
  <si>
    <t>Indian Oil Corporation Ltd.^</t>
  </si>
  <si>
    <t>INE053F08353</t>
  </si>
  <si>
    <t>INE261F08EF5</t>
  </si>
  <si>
    <t>National Bank for Agri &amp; Rural Dev.</t>
  </si>
  <si>
    <t>INE261F08ED0</t>
  </si>
  <si>
    <t>INE261F08EJ7</t>
  </si>
  <si>
    <t>INE0KUG08050</t>
  </si>
  <si>
    <t>INE206D08493</t>
  </si>
  <si>
    <t>Nuclear Power Corporation of India Ltd.^</t>
  </si>
  <si>
    <t>INE020B08EL2</t>
  </si>
  <si>
    <t>INE556F08KI9</t>
  </si>
  <si>
    <t>Small Industries Development Bank</t>
  </si>
  <si>
    <t>INE556F08KM1</t>
  </si>
  <si>
    <t>INE020B08FA2</t>
  </si>
  <si>
    <t>INE062A08348</t>
  </si>
  <si>
    <t>INE134E08FQ1</t>
  </si>
  <si>
    <t>Zero Coupon Bonds / Deep Discount Bonds</t>
  </si>
  <si>
    <t>INE909H08451</t>
  </si>
  <si>
    <t>TMF Holdings Ltd. (Subsidiary of Tata Motors Ltd.)^</t>
  </si>
  <si>
    <t>INE134E08MS3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</si>
  <si>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</si>
  <si>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</si>
  <si>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</si>
  <si>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</si>
  <si>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</si>
  <si>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</si>
  <si>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</si>
  <si>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</si>
  <si>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</si>
  <si>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</si>
  <si>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OTHERS</t>
  </si>
  <si>
    <t>Mutual Fund Units</t>
  </si>
  <si>
    <t>INF179KC1965</t>
  </si>
  <si>
    <t>HDFC NIFTY 50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</si>
  <si>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</si>
  <si>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</si>
  <si>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</si>
  <si>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</si>
  <si>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</si>
  <si>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</si>
  <si>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</si>
  <si>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</si>
  <si>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</si>
  <si>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</si>
  <si>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</si>
  <si>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Compulsorily Convertible Debentures</t>
  </si>
  <si>
    <t>G-Sec, SDL</t>
  </si>
  <si>
    <t>Credit Exposure</t>
  </si>
  <si>
    <t>Cash, Cash Equivalents and Net Current Assets</t>
  </si>
  <si>
    <t>Portfolio Classification by Rating Class(%)</t>
  </si>
  <si>
    <t>Complusorily Convertible Debentures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</si>
  <si>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</si>
  <si>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</si>
  <si>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</si>
  <si>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</si>
  <si>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</si>
  <si>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</si>
  <si>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</si>
  <si>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</si>
  <si>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</si>
  <si>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</si>
  <si>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</si>
  <si>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</si>
  <si>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</si>
  <si>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</si>
  <si>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</si>
  <si>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</si>
  <si>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</si>
  <si>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</si>
  <si>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27.43%</t>
  </si>
  <si>
    <t>7) Annualised Portfolio YTM : 7.53%</t>
  </si>
  <si>
    <t>8) Macaulay Duration : 2174.93 Days</t>
  </si>
  <si>
    <t>9) Residual Maturity (Average Portfolio Maturity-other than equity investments) : 4054.4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</si>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</sst>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244</xdr:row>
      <xdr:rowOff>0</xdr:rowOff>
    </xdr:from>
    <xdr:to>
      <xdr:col>2</xdr:col>
      <xdr:colOff>1384300</xdr:colOff>
      <xdr:row>257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C205EC-FD6D-4E5D-973D-17A4BAE0B3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04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2</xdr:col>
      <xdr:colOff>1384300</xdr:colOff>
      <xdr:row>273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7701E1-B7F9-454B-AF72-2698F6D428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09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26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14600000</v>
      </c>
      <c r="G9" s="15">
        <v>175798.6</v>
      </c>
      <c r="H9" s="15">
        <v>7.94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9440000</v>
      </c>
      <c r="G10" s="15">
        <v>163538.56</v>
      </c>
      <c r="H10" s="15">
        <v>7.39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6000000</v>
      </c>
      <c r="G11" s="15">
        <v>94212</v>
      </c>
      <c r="H11" s="15">
        <v>4.26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5351604</v>
      </c>
      <c r="G12" s="15">
        <v>90319.02</v>
      </c>
      <c r="H12" s="15">
        <v>4.08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7350000</v>
      </c>
      <c r="G13" s="15">
        <v>88207.35</v>
      </c>
      <c r="H13" s="15">
        <v>3.99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11208071</v>
      </c>
      <c r="G14" s="15">
        <v>77201.19</v>
      </c>
      <c r="H14" s="15">
        <v>3.49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18714400</v>
      </c>
      <c r="G15" s="15">
        <v>73921.88</v>
      </c>
      <c r="H15" s="15">
        <v>3.34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2237093</v>
      </c>
      <c r="G16" s="15">
        <v>70778.27</v>
      </c>
      <c r="H16" s="15">
        <v>3.2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5025000</v>
      </c>
      <c r="G17" s="15">
        <v>51031.39</v>
      </c>
      <c r="H17" s="15">
        <v>2.31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2557510</v>
      </c>
      <c r="G18" s="15">
        <v>48668.14</v>
      </c>
      <c r="H18" s="15">
        <v>2.2000000000000002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28</v>
      </c>
      <c r="F19" s="14">
        <v>5550731</v>
      </c>
      <c r="G19" s="15">
        <v>40989.370000000003</v>
      </c>
      <c r="H19" s="15">
        <v>1.85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943108</v>
      </c>
      <c r="G20" s="15">
        <v>34803.51</v>
      </c>
      <c r="H20" s="15">
        <v>1.57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11250000</v>
      </c>
      <c r="G21" s="15">
        <v>33046.879999999997</v>
      </c>
      <c r="H21" s="15">
        <v>1.49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14735114</v>
      </c>
      <c r="G22" s="15">
        <v>33053.81</v>
      </c>
      <c r="H22" s="15">
        <v>1.49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2410676</v>
      </c>
      <c r="G23" s="15">
        <v>30963.93</v>
      </c>
      <c r="H23" s="15">
        <v>1.4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2459629</v>
      </c>
      <c r="G24" s="15">
        <v>29092.49</v>
      </c>
      <c r="H24" s="15">
        <v>1.31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39</v>
      </c>
      <c r="F25" s="14">
        <v>3650652</v>
      </c>
      <c r="G25" s="15">
        <v>25059.9</v>
      </c>
      <c r="H25" s="15">
        <v>1.1299999999999999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10000000</v>
      </c>
      <c r="G26" s="15">
        <v>25085</v>
      </c>
      <c r="H26" s="15">
        <v>1.1299999999999999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4368160</v>
      </c>
      <c r="G27" s="15">
        <v>22760.3</v>
      </c>
      <c r="H27" s="15">
        <v>1.03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28</v>
      </c>
      <c r="F28" s="14">
        <v>650000</v>
      </c>
      <c r="G28" s="15">
        <v>22641.13</v>
      </c>
      <c r="H28" s="15">
        <v>1.02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7022279</v>
      </c>
      <c r="G29" s="15">
        <v>20656.03</v>
      </c>
      <c r="H29" s="15">
        <v>0.93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59</v>
      </c>
      <c r="F30" s="14">
        <v>1886828</v>
      </c>
      <c r="G30" s="15">
        <v>19968.3</v>
      </c>
      <c r="H30" s="15">
        <v>0.9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39</v>
      </c>
      <c r="F31" s="14">
        <v>7357600</v>
      </c>
      <c r="G31" s="15">
        <v>19052.509999999998</v>
      </c>
      <c r="H31" s="15">
        <v>0.86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1877503</v>
      </c>
      <c r="G32" s="15">
        <v>18871.72</v>
      </c>
      <c r="H32" s="15">
        <v>0.85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79</v>
      </c>
      <c r="F33" s="14">
        <v>3670973</v>
      </c>
      <c r="G33" s="15">
        <v>18108.91</v>
      </c>
      <c r="H33" s="15">
        <v>0.82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3595404</v>
      </c>
      <c r="G34" s="15">
        <v>13651.75</v>
      </c>
      <c r="H34" s="15">
        <v>0.62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1217403</v>
      </c>
      <c r="G35" s="15">
        <v>13477.87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5000000</v>
      </c>
      <c r="G36" s="15">
        <v>11105</v>
      </c>
      <c r="H36" s="15">
        <v>0.5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175450</v>
      </c>
      <c r="G37" s="15">
        <v>10522.35</v>
      </c>
      <c r="H37" s="15">
        <v>0.48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3827700</v>
      </c>
      <c r="G38" s="15">
        <v>10137.66</v>
      </c>
      <c r="H38" s="15">
        <v>0.46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67</v>
      </c>
      <c r="F39" s="14">
        <v>612876</v>
      </c>
      <c r="G39" s="15">
        <v>9711.02</v>
      </c>
      <c r="H39" s="15">
        <v>0.44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39</v>
      </c>
      <c r="F40" s="14">
        <v>1061644</v>
      </c>
      <c r="G40" s="15">
        <v>9333.44</v>
      </c>
      <c r="H40" s="15">
        <v>0.42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59</v>
      </c>
      <c r="F41" s="14">
        <v>539567</v>
      </c>
      <c r="G41" s="15">
        <v>8378.4</v>
      </c>
      <c r="H41" s="15">
        <v>0.38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96</v>
      </c>
      <c r="F42" s="14">
        <v>1807588</v>
      </c>
      <c r="G42" s="15">
        <v>6797.43</v>
      </c>
      <c r="H42" s="15">
        <v>0.31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1146062</v>
      </c>
      <c r="G43" s="15">
        <v>5679.31</v>
      </c>
      <c r="H43" s="15">
        <v>0.26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177752</v>
      </c>
      <c r="G44" s="15">
        <v>5528.53</v>
      </c>
      <c r="H44" s="15">
        <v>0.25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307988</v>
      </c>
      <c r="G45" s="15">
        <v>5327.88</v>
      </c>
      <c r="H45" s="15">
        <v>0.24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96</v>
      </c>
      <c r="F46" s="14">
        <v>1214000</v>
      </c>
      <c r="G46" s="15">
        <v>4101.5</v>
      </c>
      <c r="H46" s="15">
        <v>0.19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2453094</v>
      </c>
      <c r="G47" s="15">
        <v>1650.93</v>
      </c>
      <c r="H47" s="15">
        <v>7.0000000000000007E-2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119</v>
      </c>
      <c r="C48" s="19"/>
      <c r="D48" s="19"/>
      <c r="E48" s="19"/>
      <c r="F48" s="19"/>
      <c r="G48" s="20">
        <v>1443233.2599999995</v>
      </c>
      <c r="H48" s="20">
        <v>65.210000000000022</v>
      </c>
      <c r="I48" s="19"/>
      <c r="J48" s="19"/>
      <c r="K48" s="19"/>
      <c r="L48" s="19"/>
    </row>
    <row r="49" spans="1:12" x14ac:dyDescent="0.25">
      <c r="A49" s="10"/>
      <c r="B49" s="11" t="s">
        <v>120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121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122</v>
      </c>
      <c r="C51" s="13">
        <v>7.5</v>
      </c>
      <c r="D51" s="13" t="s">
        <v>123</v>
      </c>
      <c r="E51" s="13" t="s">
        <v>124</v>
      </c>
      <c r="F51" s="14">
        <v>12500</v>
      </c>
      <c r="G51" s="15">
        <v>14139.82</v>
      </c>
      <c r="H51" s="15">
        <v>0.64</v>
      </c>
      <c r="I51" s="16">
        <f>0.08265*100</f>
        <v>8.2650000000000006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119</v>
      </c>
      <c r="C52" s="19"/>
      <c r="D52" s="19"/>
      <c r="E52" s="19"/>
      <c r="F52" s="19"/>
      <c r="G52" s="20">
        <v>14139.82</v>
      </c>
      <c r="H52" s="20">
        <v>0.64</v>
      </c>
      <c r="I52" s="19"/>
      <c r="J52" s="19"/>
      <c r="K52" s="19"/>
      <c r="L52" s="19"/>
    </row>
    <row r="53" spans="1:12" x14ac:dyDescent="0.25">
      <c r="A53" s="10"/>
      <c r="B53" s="11" t="s">
        <v>125</v>
      </c>
      <c r="C53" s="10"/>
      <c r="D53" s="10"/>
      <c r="E53" s="10"/>
      <c r="F53" s="10"/>
      <c r="G53" s="21">
        <v>1457373.0799999996</v>
      </c>
      <c r="H53" s="21">
        <v>65.850000000000023</v>
      </c>
      <c r="I53" s="10"/>
      <c r="J53" s="10"/>
      <c r="K53" s="10"/>
      <c r="L53" s="10"/>
    </row>
    <row r="54" spans="1:12" x14ac:dyDescent="0.25">
      <c r="A54" s="10"/>
      <c r="B54" s="11" t="s">
        <v>126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127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17</v>
      </c>
      <c r="B57" s="13" t="s">
        <v>128</v>
      </c>
      <c r="C57" s="13">
        <v>7.34</v>
      </c>
      <c r="D57" s="13" t="s">
        <v>129</v>
      </c>
      <c r="E57" s="13" t="s">
        <v>130</v>
      </c>
      <c r="F57" s="14">
        <v>60000000</v>
      </c>
      <c r="G57" s="15">
        <v>61468.56</v>
      </c>
      <c r="H57" s="15">
        <v>2.78</v>
      </c>
      <c r="I57" s="16">
        <v>7.2798999999999996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17</v>
      </c>
      <c r="B58" s="13" t="s">
        <v>131</v>
      </c>
      <c r="C58" s="13">
        <v>7.09</v>
      </c>
      <c r="D58" s="13" t="s">
        <v>132</v>
      </c>
      <c r="E58" s="13" t="s">
        <v>130</v>
      </c>
      <c r="F58" s="14">
        <v>55000000</v>
      </c>
      <c r="G58" s="15">
        <v>54688.98</v>
      </c>
      <c r="H58" s="15">
        <v>2.4700000000000002</v>
      </c>
      <c r="I58" s="16">
        <v>7.2629000000000001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133</v>
      </c>
      <c r="C59" s="13">
        <v>7.73</v>
      </c>
      <c r="D59" s="13" t="s">
        <v>134</v>
      </c>
      <c r="E59" s="13" t="s">
        <v>130</v>
      </c>
      <c r="F59" s="14">
        <v>10000000</v>
      </c>
      <c r="G59" s="15">
        <v>10351.459999999999</v>
      </c>
      <c r="H59" s="15">
        <v>0.47</v>
      </c>
      <c r="I59" s="16">
        <v>7.3056000000000001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135</v>
      </c>
      <c r="C60" s="13">
        <v>6.98</v>
      </c>
      <c r="D60" s="13" t="s">
        <v>136</v>
      </c>
      <c r="E60" s="13" t="s">
        <v>130</v>
      </c>
      <c r="F60" s="14">
        <v>10000000</v>
      </c>
      <c r="G60" s="15">
        <v>9830.9599999999991</v>
      </c>
      <c r="H60" s="15">
        <v>0.44</v>
      </c>
      <c r="I60" s="16">
        <v>7.2427999999999999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137</v>
      </c>
      <c r="C61" s="13">
        <v>7.66</v>
      </c>
      <c r="D61" s="13" t="s">
        <v>138</v>
      </c>
      <c r="E61" s="13" t="s">
        <v>130</v>
      </c>
      <c r="F61" s="14">
        <v>9000000</v>
      </c>
      <c r="G61" s="15">
        <v>9249.7900000000009</v>
      </c>
      <c r="H61" s="15">
        <v>0.42</v>
      </c>
      <c r="I61" s="16">
        <v>7.3217999999999996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139</v>
      </c>
      <c r="C62" s="13">
        <v>7.64</v>
      </c>
      <c r="D62" s="13" t="s">
        <v>140</v>
      </c>
      <c r="E62" s="13" t="s">
        <v>130</v>
      </c>
      <c r="F62" s="14">
        <v>8500000</v>
      </c>
      <c r="G62" s="15">
        <v>8728.85</v>
      </c>
      <c r="H62" s="15">
        <v>0.39</v>
      </c>
      <c r="I62" s="16">
        <v>7.3133999999999997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141</v>
      </c>
      <c r="C63" s="13">
        <v>7.64</v>
      </c>
      <c r="D63" s="13" t="s">
        <v>142</v>
      </c>
      <c r="E63" s="13" t="s">
        <v>130</v>
      </c>
      <c r="F63" s="14">
        <v>7000000</v>
      </c>
      <c r="G63" s="15">
        <v>7210.32</v>
      </c>
      <c r="H63" s="15">
        <v>0.33</v>
      </c>
      <c r="I63" s="16">
        <v>7.3033999999999999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143</v>
      </c>
      <c r="C64" s="13">
        <v>7.68</v>
      </c>
      <c r="D64" s="13" t="s">
        <v>144</v>
      </c>
      <c r="E64" s="13" t="s">
        <v>130</v>
      </c>
      <c r="F64" s="14">
        <v>6905800</v>
      </c>
      <c r="G64" s="15">
        <v>7092.57</v>
      </c>
      <c r="H64" s="15">
        <v>0.32</v>
      </c>
      <c r="I64" s="16">
        <v>7.3026999999999997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145</v>
      </c>
      <c r="C65" s="13">
        <v>7.66</v>
      </c>
      <c r="D65" s="13" t="s">
        <v>146</v>
      </c>
      <c r="E65" s="13" t="s">
        <v>130</v>
      </c>
      <c r="F65" s="14">
        <v>6500000</v>
      </c>
      <c r="G65" s="15">
        <v>6704.72</v>
      </c>
      <c r="H65" s="15">
        <v>0.3</v>
      </c>
      <c r="I65" s="16">
        <v>7.3030999999999997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147</v>
      </c>
      <c r="C66" s="13">
        <v>7.63</v>
      </c>
      <c r="D66" s="13" t="s">
        <v>148</v>
      </c>
      <c r="E66" s="13" t="s">
        <v>130</v>
      </c>
      <c r="F66" s="14">
        <v>5000000</v>
      </c>
      <c r="G66" s="15">
        <v>5147.29</v>
      </c>
      <c r="H66" s="15">
        <v>0.23</v>
      </c>
      <c r="I66" s="16">
        <v>7.3033999999999999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149</v>
      </c>
      <c r="C67" s="13">
        <v>7.67</v>
      </c>
      <c r="D67" s="13" t="s">
        <v>150</v>
      </c>
      <c r="E67" s="13" t="s">
        <v>130</v>
      </c>
      <c r="F67" s="14">
        <v>5000000</v>
      </c>
      <c r="G67" s="15">
        <v>5139.1000000000004</v>
      </c>
      <c r="H67" s="15">
        <v>0.23</v>
      </c>
      <c r="I67" s="16">
        <v>7.2079000000000004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151</v>
      </c>
      <c r="C68" s="13">
        <v>7.68</v>
      </c>
      <c r="D68" s="13" t="s">
        <v>152</v>
      </c>
      <c r="E68" s="13" t="s">
        <v>130</v>
      </c>
      <c r="F68" s="14">
        <v>5000000</v>
      </c>
      <c r="G68" s="15">
        <v>5140.3500000000004</v>
      </c>
      <c r="H68" s="15">
        <v>0.23</v>
      </c>
      <c r="I68" s="16">
        <v>7.2817999999999996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153</v>
      </c>
      <c r="C69" s="13">
        <v>7.67</v>
      </c>
      <c r="D69" s="13" t="s">
        <v>154</v>
      </c>
      <c r="E69" s="13" t="s">
        <v>130</v>
      </c>
      <c r="F69" s="14">
        <v>4000000</v>
      </c>
      <c r="G69" s="15">
        <v>4128.3500000000004</v>
      </c>
      <c r="H69" s="15">
        <v>0.19</v>
      </c>
      <c r="I69" s="16">
        <v>7.3030999999999997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155</v>
      </c>
      <c r="C70" s="13">
        <v>7.67</v>
      </c>
      <c r="D70" s="13" t="s">
        <v>156</v>
      </c>
      <c r="E70" s="13" t="s">
        <v>130</v>
      </c>
      <c r="F70" s="14">
        <v>3500000</v>
      </c>
      <c r="G70" s="15">
        <v>3610.96</v>
      </c>
      <c r="H70" s="15">
        <v>0.16</v>
      </c>
      <c r="I70" s="16">
        <v>7.3052000000000001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157</v>
      </c>
      <c r="C71" s="13">
        <v>7.47</v>
      </c>
      <c r="D71" s="13" t="s">
        <v>158</v>
      </c>
      <c r="E71" s="13" t="s">
        <v>130</v>
      </c>
      <c r="F71" s="14">
        <v>3072400</v>
      </c>
      <c r="G71" s="15">
        <v>3132.1</v>
      </c>
      <c r="H71" s="15">
        <v>0.14000000000000001</v>
      </c>
      <c r="I71" s="16">
        <v>7.3022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159</v>
      </c>
      <c r="C72" s="13">
        <v>7.67</v>
      </c>
      <c r="D72" s="13" t="s">
        <v>160</v>
      </c>
      <c r="E72" s="13" t="s">
        <v>130</v>
      </c>
      <c r="F72" s="14">
        <v>2622900</v>
      </c>
      <c r="G72" s="15">
        <v>2695.33</v>
      </c>
      <c r="H72" s="15">
        <v>0.12</v>
      </c>
      <c r="I72" s="16">
        <v>7.3320999999999996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161</v>
      </c>
      <c r="C73" s="13">
        <v>7.72</v>
      </c>
      <c r="D73" s="13" t="s">
        <v>162</v>
      </c>
      <c r="E73" s="13" t="s">
        <v>130</v>
      </c>
      <c r="F73" s="14">
        <v>2500000</v>
      </c>
      <c r="G73" s="15">
        <v>2583.73</v>
      </c>
      <c r="H73" s="15">
        <v>0.12</v>
      </c>
      <c r="I73" s="16">
        <v>7.3217999999999996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163</v>
      </c>
      <c r="C74" s="13">
        <v>7.72</v>
      </c>
      <c r="D74" s="13" t="s">
        <v>164</v>
      </c>
      <c r="E74" s="13" t="s">
        <v>130</v>
      </c>
      <c r="F74" s="14">
        <v>2660000</v>
      </c>
      <c r="G74" s="15">
        <v>2755.9</v>
      </c>
      <c r="H74" s="15">
        <v>0.12</v>
      </c>
      <c r="I74" s="16">
        <v>7.3239000000000001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165</v>
      </c>
      <c r="C75" s="13">
        <v>7.66</v>
      </c>
      <c r="D75" s="13" t="s">
        <v>166</v>
      </c>
      <c r="E75" s="13" t="s">
        <v>130</v>
      </c>
      <c r="F75" s="14">
        <v>2000000</v>
      </c>
      <c r="G75" s="15">
        <v>2055.11</v>
      </c>
      <c r="H75" s="15">
        <v>0.09</v>
      </c>
      <c r="I75" s="16">
        <v>7.2034000000000002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167</v>
      </c>
      <c r="C76" s="13">
        <v>8.1300000000000008</v>
      </c>
      <c r="D76" s="13" t="s">
        <v>168</v>
      </c>
      <c r="E76" s="13" t="s">
        <v>130</v>
      </c>
      <c r="F76" s="14">
        <v>1500000</v>
      </c>
      <c r="G76" s="15">
        <v>1686.36</v>
      </c>
      <c r="H76" s="15">
        <v>0.08</v>
      </c>
      <c r="I76" s="16">
        <v>7.0970000000000004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169</v>
      </c>
      <c r="C77" s="13">
        <v>7.1</v>
      </c>
      <c r="D77" s="13" t="s">
        <v>170</v>
      </c>
      <c r="E77" s="13" t="s">
        <v>130</v>
      </c>
      <c r="F77" s="14">
        <v>1500000</v>
      </c>
      <c r="G77" s="15">
        <v>1518.65</v>
      </c>
      <c r="H77" s="15">
        <v>7.0000000000000007E-2</v>
      </c>
      <c r="I77" s="16">
        <v>6.7286000000000001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171</v>
      </c>
      <c r="C78" s="13">
        <v>7.47</v>
      </c>
      <c r="D78" s="13" t="s">
        <v>172</v>
      </c>
      <c r="E78" s="13" t="s">
        <v>130</v>
      </c>
      <c r="F78" s="14">
        <v>1495200</v>
      </c>
      <c r="G78" s="15">
        <v>1520.6</v>
      </c>
      <c r="H78" s="15">
        <v>7.0000000000000007E-2</v>
      </c>
      <c r="I78" s="16">
        <v>7.3166000000000002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173</v>
      </c>
      <c r="C79" s="13">
        <v>7.42</v>
      </c>
      <c r="D79" s="13" t="s">
        <v>174</v>
      </c>
      <c r="E79" s="13" t="s">
        <v>130</v>
      </c>
      <c r="F79" s="14">
        <v>1270000</v>
      </c>
      <c r="G79" s="15">
        <v>1291.3</v>
      </c>
      <c r="H79" s="15">
        <v>0.06</v>
      </c>
      <c r="I79" s="16">
        <v>7.2927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175</v>
      </c>
      <c r="C80" s="13">
        <v>7.63</v>
      </c>
      <c r="D80" s="13" t="s">
        <v>176</v>
      </c>
      <c r="E80" s="13" t="s">
        <v>130</v>
      </c>
      <c r="F80" s="14">
        <v>1000000</v>
      </c>
      <c r="G80" s="15">
        <v>1026.3900000000001</v>
      </c>
      <c r="H80" s="15">
        <v>0.05</v>
      </c>
      <c r="I80" s="16">
        <v>7.3133999999999997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0"/>
      <c r="B81" s="11" t="s">
        <v>177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13</v>
      </c>
      <c r="B82" s="13" t="s">
        <v>178</v>
      </c>
      <c r="C82" s="13">
        <v>7.58</v>
      </c>
      <c r="D82" s="13" t="s">
        <v>179</v>
      </c>
      <c r="E82" s="13" t="s">
        <v>180</v>
      </c>
      <c r="F82" s="14">
        <v>26000</v>
      </c>
      <c r="G82" s="15">
        <v>25965.52</v>
      </c>
      <c r="H82" s="15">
        <v>1.17</v>
      </c>
      <c r="I82" s="16">
        <v>7.63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181</v>
      </c>
      <c r="C83" s="13">
        <v>7.75</v>
      </c>
      <c r="D83" s="13" t="s">
        <v>182</v>
      </c>
      <c r="E83" s="13" t="s">
        <v>180</v>
      </c>
      <c r="F83" s="14">
        <v>25000</v>
      </c>
      <c r="G83" s="15">
        <v>25380.3</v>
      </c>
      <c r="H83" s="15">
        <v>1.1499999999999999</v>
      </c>
      <c r="I83" s="16">
        <v>7.49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183</v>
      </c>
      <c r="C84" s="13">
        <v>7.7</v>
      </c>
      <c r="D84" s="13" t="s">
        <v>184</v>
      </c>
      <c r="E84" s="13" t="s">
        <v>180</v>
      </c>
      <c r="F84" s="14">
        <v>2500</v>
      </c>
      <c r="G84" s="15">
        <v>25008.83</v>
      </c>
      <c r="H84" s="15">
        <v>1.1299999999999999</v>
      </c>
      <c r="I84" s="16">
        <v>7.67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185</v>
      </c>
      <c r="C85" s="13">
        <v>7.97</v>
      </c>
      <c r="D85" s="13" t="s">
        <v>182</v>
      </c>
      <c r="E85" s="13" t="s">
        <v>180</v>
      </c>
      <c r="F85" s="14">
        <v>20000</v>
      </c>
      <c r="G85" s="15">
        <v>20559.759999999998</v>
      </c>
      <c r="H85" s="15">
        <v>0.93</v>
      </c>
      <c r="I85" s="16">
        <v>7.49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186</v>
      </c>
      <c r="C86" s="13">
        <v>7.43</v>
      </c>
      <c r="D86" s="13" t="s">
        <v>187</v>
      </c>
      <c r="E86" s="13" t="s">
        <v>180</v>
      </c>
      <c r="F86" s="14">
        <v>20000</v>
      </c>
      <c r="G86" s="15">
        <v>20013.099999999999</v>
      </c>
      <c r="H86" s="15">
        <v>0.9</v>
      </c>
      <c r="I86" s="16">
        <v>7.41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188</v>
      </c>
      <c r="C87" s="13">
        <v>7.33</v>
      </c>
      <c r="D87" s="13" t="s">
        <v>189</v>
      </c>
      <c r="E87" s="13" t="s">
        <v>180</v>
      </c>
      <c r="F87" s="14">
        <v>200</v>
      </c>
      <c r="G87" s="15">
        <v>19826.32</v>
      </c>
      <c r="H87" s="15">
        <v>0.9</v>
      </c>
      <c r="I87" s="16">
        <v>7.4249999999999998</v>
      </c>
      <c r="J87" s="16">
        <v>7.4511000000000003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190</v>
      </c>
      <c r="C88" s="13">
        <v>9.65</v>
      </c>
      <c r="D88" s="13" t="s">
        <v>191</v>
      </c>
      <c r="E88" s="13" t="s">
        <v>192</v>
      </c>
      <c r="F88" s="14">
        <v>1500</v>
      </c>
      <c r="G88" s="15">
        <v>15785.25</v>
      </c>
      <c r="H88" s="15">
        <v>0.71</v>
      </c>
      <c r="I88" s="16">
        <v>7.8449999999999998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193</v>
      </c>
      <c r="C89" s="13">
        <v>7.55</v>
      </c>
      <c r="D89" s="13" t="s">
        <v>194</v>
      </c>
      <c r="E89" s="13" t="s">
        <v>180</v>
      </c>
      <c r="F89" s="14">
        <v>15000</v>
      </c>
      <c r="G89" s="15">
        <v>15162.2</v>
      </c>
      <c r="H89" s="15">
        <v>0.69</v>
      </c>
      <c r="I89" s="16">
        <v>7.5650000000000004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195</v>
      </c>
      <c r="C90" s="13">
        <v>7.9880000000000004</v>
      </c>
      <c r="D90" s="13" t="s">
        <v>196</v>
      </c>
      <c r="E90" s="13" t="s">
        <v>180</v>
      </c>
      <c r="F90" s="14">
        <v>14500</v>
      </c>
      <c r="G90" s="15">
        <v>14511.79</v>
      </c>
      <c r="H90" s="15">
        <v>0.66</v>
      </c>
      <c r="I90" s="16">
        <v>7.93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197</v>
      </c>
      <c r="C91" s="13">
        <v>8.7799999999999994</v>
      </c>
      <c r="D91" s="13" t="s">
        <v>198</v>
      </c>
      <c r="E91" s="13" t="s">
        <v>199</v>
      </c>
      <c r="F91" s="14">
        <v>12000</v>
      </c>
      <c r="G91" s="15">
        <v>12034.52</v>
      </c>
      <c r="H91" s="15">
        <v>0.54</v>
      </c>
      <c r="I91" s="16">
        <v>8.6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200</v>
      </c>
      <c r="C92" s="13">
        <v>7.7</v>
      </c>
      <c r="D92" s="13" t="s">
        <v>201</v>
      </c>
      <c r="E92" s="13" t="s">
        <v>180</v>
      </c>
      <c r="F92" s="14">
        <v>12500</v>
      </c>
      <c r="G92" s="15">
        <v>11371.36</v>
      </c>
      <c r="H92" s="15">
        <v>0.51</v>
      </c>
      <c r="I92" s="16">
        <v>7.3849999999999998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202</v>
      </c>
      <c r="C93" s="13">
        <v>7.8</v>
      </c>
      <c r="D93" s="13" t="s">
        <v>182</v>
      </c>
      <c r="E93" s="13" t="s">
        <v>180</v>
      </c>
      <c r="F93" s="14">
        <v>10000</v>
      </c>
      <c r="G93" s="15">
        <v>10183.49</v>
      </c>
      <c r="H93" s="15">
        <v>0.46</v>
      </c>
      <c r="I93" s="16">
        <v>7.4850000000000003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203</v>
      </c>
      <c r="C94" s="13">
        <v>7.83</v>
      </c>
      <c r="D94" s="13" t="s">
        <v>204</v>
      </c>
      <c r="E94" s="13" t="s">
        <v>180</v>
      </c>
      <c r="F94" s="14">
        <v>10000</v>
      </c>
      <c r="G94" s="15">
        <v>10099.17</v>
      </c>
      <c r="H94" s="15">
        <v>0.46</v>
      </c>
      <c r="I94" s="16">
        <v>7.5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205</v>
      </c>
      <c r="C95" s="13">
        <v>9.1</v>
      </c>
      <c r="D95" s="13" t="s">
        <v>123</v>
      </c>
      <c r="E95" s="13" t="s">
        <v>206</v>
      </c>
      <c r="F95" s="14">
        <v>10000</v>
      </c>
      <c r="G95" s="15">
        <v>10001.629999999999</v>
      </c>
      <c r="H95" s="15">
        <v>0.45</v>
      </c>
      <c r="I95" s="16">
        <v>9.08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207</v>
      </c>
      <c r="C96" s="13">
        <v>8.2185000000000006</v>
      </c>
      <c r="D96" s="13" t="s">
        <v>208</v>
      </c>
      <c r="E96" s="13" t="s">
        <v>180</v>
      </c>
      <c r="F96" s="14">
        <v>10000</v>
      </c>
      <c r="G96" s="15">
        <v>10052.81</v>
      </c>
      <c r="H96" s="15">
        <v>0.45</v>
      </c>
      <c r="I96" s="16">
        <v>7.8449999999999998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209</v>
      </c>
      <c r="C97" s="13">
        <v>8.1379000000000001</v>
      </c>
      <c r="D97" s="13" t="s">
        <v>208</v>
      </c>
      <c r="E97" s="13" t="s">
        <v>180</v>
      </c>
      <c r="F97" s="14">
        <v>10000</v>
      </c>
      <c r="G97" s="15">
        <v>10038.459999999999</v>
      </c>
      <c r="H97" s="15">
        <v>0.45</v>
      </c>
      <c r="I97" s="16">
        <v>7.8650000000000002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210</v>
      </c>
      <c r="C98" s="13">
        <v>7.77</v>
      </c>
      <c r="D98" s="13" t="s">
        <v>184</v>
      </c>
      <c r="E98" s="13" t="s">
        <v>180</v>
      </c>
      <c r="F98" s="14">
        <v>1000</v>
      </c>
      <c r="G98" s="15">
        <v>10022.209999999999</v>
      </c>
      <c r="H98" s="15">
        <v>0.45</v>
      </c>
      <c r="I98" s="16">
        <v>7.67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211</v>
      </c>
      <c r="C99" s="13">
        <v>8</v>
      </c>
      <c r="D99" s="13" t="s">
        <v>212</v>
      </c>
      <c r="E99" s="13" t="s">
        <v>213</v>
      </c>
      <c r="F99" s="14">
        <v>1000</v>
      </c>
      <c r="G99" s="15">
        <v>9960.01</v>
      </c>
      <c r="H99" s="15">
        <v>0.45</v>
      </c>
      <c r="I99" s="16">
        <v>8.23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214</v>
      </c>
      <c r="C100" s="13">
        <v>7.62</v>
      </c>
      <c r="D100" s="13" t="s">
        <v>179</v>
      </c>
      <c r="E100" s="13" t="s">
        <v>180</v>
      </c>
      <c r="F100" s="14">
        <v>10000</v>
      </c>
      <c r="G100" s="15">
        <v>10029.19</v>
      </c>
      <c r="H100" s="15">
        <v>0.45</v>
      </c>
      <c r="I100" s="16">
        <v>7.49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215</v>
      </c>
      <c r="C101" s="13">
        <v>7.54</v>
      </c>
      <c r="D101" s="13" t="s">
        <v>204</v>
      </c>
      <c r="E101" s="13" t="s">
        <v>216</v>
      </c>
      <c r="F101" s="14">
        <v>1000</v>
      </c>
      <c r="G101" s="15">
        <v>9978.41</v>
      </c>
      <c r="H101" s="15">
        <v>0.45</v>
      </c>
      <c r="I101" s="16">
        <v>7.7750000000000004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217</v>
      </c>
      <c r="C102" s="13">
        <v>7.42</v>
      </c>
      <c r="D102" s="13" t="s">
        <v>189</v>
      </c>
      <c r="E102" s="13" t="s">
        <v>218</v>
      </c>
      <c r="F102" s="14">
        <v>100</v>
      </c>
      <c r="G102" s="15">
        <v>9939.1</v>
      </c>
      <c r="H102" s="15">
        <v>0.45</v>
      </c>
      <c r="I102" s="16">
        <v>7.4850000000000003</v>
      </c>
      <c r="J102" s="16">
        <v>7.5023999999999997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219</v>
      </c>
      <c r="C103" s="13">
        <v>7.7</v>
      </c>
      <c r="D103" s="13" t="s">
        <v>179</v>
      </c>
      <c r="E103" s="13" t="s">
        <v>180</v>
      </c>
      <c r="F103" s="14">
        <v>9500</v>
      </c>
      <c r="G103" s="15">
        <v>9775.2000000000007</v>
      </c>
      <c r="H103" s="15">
        <v>0.44</v>
      </c>
      <c r="I103" s="16">
        <v>7.3449999999999998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220</v>
      </c>
      <c r="C104" s="13">
        <v>7.4</v>
      </c>
      <c r="D104" s="13" t="s">
        <v>201</v>
      </c>
      <c r="E104" s="13" t="s">
        <v>180</v>
      </c>
      <c r="F104" s="14">
        <v>10000</v>
      </c>
      <c r="G104" s="15">
        <v>8056.87</v>
      </c>
      <c r="H104" s="15">
        <v>0.36</v>
      </c>
      <c r="I104" s="16">
        <v>7.3849999999999998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221</v>
      </c>
      <c r="C105" s="13">
        <v>7.57</v>
      </c>
      <c r="D105" s="13" t="s">
        <v>179</v>
      </c>
      <c r="E105" s="13" t="s">
        <v>180</v>
      </c>
      <c r="F105" s="14">
        <v>7500</v>
      </c>
      <c r="G105" s="15">
        <v>7489.52</v>
      </c>
      <c r="H105" s="15">
        <v>0.34</v>
      </c>
      <c r="I105" s="16">
        <v>7.7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222</v>
      </c>
      <c r="C106" s="13">
        <v>7.47</v>
      </c>
      <c r="D106" s="13" t="s">
        <v>223</v>
      </c>
      <c r="E106" s="13" t="s">
        <v>180</v>
      </c>
      <c r="F106" s="14">
        <v>611</v>
      </c>
      <c r="G106" s="15">
        <v>6163.18</v>
      </c>
      <c r="H106" s="15">
        <v>0.28000000000000003</v>
      </c>
      <c r="I106" s="16">
        <v>7.32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224</v>
      </c>
      <c r="C107" s="13">
        <v>7.1</v>
      </c>
      <c r="D107" s="13" t="s">
        <v>225</v>
      </c>
      <c r="E107" s="13" t="s">
        <v>180</v>
      </c>
      <c r="F107" s="14">
        <v>600</v>
      </c>
      <c r="G107" s="15">
        <v>5969.11</v>
      </c>
      <c r="H107" s="15">
        <v>0.27</v>
      </c>
      <c r="I107" s="16">
        <v>7.53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226</v>
      </c>
      <c r="C108" s="13">
        <v>7.7</v>
      </c>
      <c r="D108" s="13" t="s">
        <v>227</v>
      </c>
      <c r="E108" s="13" t="s">
        <v>180</v>
      </c>
      <c r="F108" s="14">
        <v>5000</v>
      </c>
      <c r="G108" s="15">
        <v>4981.71</v>
      </c>
      <c r="H108" s="15">
        <v>0.23</v>
      </c>
      <c r="I108" s="16">
        <v>7.7450000000000001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228</v>
      </c>
      <c r="C109" s="13">
        <v>7.95</v>
      </c>
      <c r="D109" s="13" t="s">
        <v>182</v>
      </c>
      <c r="E109" s="13" t="s">
        <v>180</v>
      </c>
      <c r="F109" s="14">
        <v>500</v>
      </c>
      <c r="G109" s="15">
        <v>5006.24</v>
      </c>
      <c r="H109" s="15">
        <v>0.23</v>
      </c>
      <c r="I109" s="16">
        <v>7.81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229</v>
      </c>
      <c r="C110" s="13">
        <v>7.45</v>
      </c>
      <c r="D110" s="13" t="s">
        <v>223</v>
      </c>
      <c r="E110" s="13" t="s">
        <v>180</v>
      </c>
      <c r="F110" s="14">
        <v>5000</v>
      </c>
      <c r="G110" s="15">
        <v>5012.66</v>
      </c>
      <c r="H110" s="15">
        <v>0.23</v>
      </c>
      <c r="I110" s="16">
        <v>7.375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230</v>
      </c>
      <c r="C111" s="13">
        <v>7.65</v>
      </c>
      <c r="D111" s="13" t="s">
        <v>223</v>
      </c>
      <c r="E111" s="13" t="s">
        <v>180</v>
      </c>
      <c r="F111" s="14">
        <v>5000</v>
      </c>
      <c r="G111" s="15">
        <v>5097.25</v>
      </c>
      <c r="H111" s="15">
        <v>0.23</v>
      </c>
      <c r="I111" s="16">
        <v>7.32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231</v>
      </c>
      <c r="C112" s="13">
        <v>7.9</v>
      </c>
      <c r="D112" s="13" t="s">
        <v>232</v>
      </c>
      <c r="E112" s="13" t="s">
        <v>180</v>
      </c>
      <c r="F112" s="14">
        <v>5000</v>
      </c>
      <c r="G112" s="15">
        <v>4997.76</v>
      </c>
      <c r="H112" s="15">
        <v>0.23</v>
      </c>
      <c r="I112" s="16">
        <v>7.875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233</v>
      </c>
      <c r="C113" s="13">
        <v>8.9</v>
      </c>
      <c r="D113" s="13" t="s">
        <v>234</v>
      </c>
      <c r="E113" s="13" t="s">
        <v>199</v>
      </c>
      <c r="F113" s="14">
        <v>5000</v>
      </c>
      <c r="G113" s="15">
        <v>5026.25</v>
      </c>
      <c r="H113" s="15">
        <v>0.23</v>
      </c>
      <c r="I113" s="16">
        <v>8.6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235</v>
      </c>
      <c r="C114" s="13">
        <v>7.49</v>
      </c>
      <c r="D114" s="13" t="s">
        <v>179</v>
      </c>
      <c r="E114" s="13" t="s">
        <v>180</v>
      </c>
      <c r="F114" s="14">
        <v>5000</v>
      </c>
      <c r="G114" s="15">
        <v>4986.46</v>
      </c>
      <c r="H114" s="15">
        <v>0.23</v>
      </c>
      <c r="I114" s="16">
        <v>7.63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236</v>
      </c>
      <c r="C115" s="13">
        <v>7.57</v>
      </c>
      <c r="D115" s="13" t="s">
        <v>225</v>
      </c>
      <c r="E115" s="13" t="s">
        <v>180</v>
      </c>
      <c r="F115" s="14">
        <v>5000</v>
      </c>
      <c r="G115" s="15">
        <v>5052.26</v>
      </c>
      <c r="H115" s="15">
        <v>0.23</v>
      </c>
      <c r="I115" s="16">
        <v>7.39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237</v>
      </c>
      <c r="C116" s="13">
        <v>7.6</v>
      </c>
      <c r="D116" s="13" t="s">
        <v>238</v>
      </c>
      <c r="E116" s="13" t="s">
        <v>180</v>
      </c>
      <c r="F116" s="14">
        <v>5000</v>
      </c>
      <c r="G116" s="15">
        <v>4995.3100000000004</v>
      </c>
      <c r="H116" s="15">
        <v>0.23</v>
      </c>
      <c r="I116" s="16">
        <v>7.7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239</v>
      </c>
      <c r="C117" s="13">
        <v>7.46</v>
      </c>
      <c r="D117" s="13" t="s">
        <v>240</v>
      </c>
      <c r="E117" s="13" t="s">
        <v>180</v>
      </c>
      <c r="F117" s="14">
        <v>5000</v>
      </c>
      <c r="G117" s="15">
        <v>4997.7299999999996</v>
      </c>
      <c r="H117" s="15">
        <v>0.23</v>
      </c>
      <c r="I117" s="16">
        <v>7.4550000000000001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241</v>
      </c>
      <c r="C118" s="13">
        <v>7.47</v>
      </c>
      <c r="D118" s="13" t="s">
        <v>204</v>
      </c>
      <c r="E118" s="13" t="s">
        <v>180</v>
      </c>
      <c r="F118" s="14">
        <v>5000</v>
      </c>
      <c r="G118" s="15">
        <v>4994.76</v>
      </c>
      <c r="H118" s="15">
        <v>0.23</v>
      </c>
      <c r="I118" s="16">
        <v>7.48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242</v>
      </c>
      <c r="C119" s="13">
        <v>7.54</v>
      </c>
      <c r="D119" s="13" t="s">
        <v>243</v>
      </c>
      <c r="E119" s="13" t="s">
        <v>218</v>
      </c>
      <c r="F119" s="14">
        <v>5000</v>
      </c>
      <c r="G119" s="15">
        <v>5082.8599999999997</v>
      </c>
      <c r="H119" s="15">
        <v>0.23</v>
      </c>
      <c r="I119" s="16">
        <v>7.335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244</v>
      </c>
      <c r="C120" s="13">
        <v>8.6999999999999993</v>
      </c>
      <c r="D120" s="13" t="s">
        <v>184</v>
      </c>
      <c r="E120" s="13" t="s">
        <v>180</v>
      </c>
      <c r="F120" s="14">
        <v>250</v>
      </c>
      <c r="G120" s="15">
        <v>2586.13</v>
      </c>
      <c r="H120" s="15">
        <v>0.12</v>
      </c>
      <c r="I120" s="16">
        <v>7.6749999999999998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245</v>
      </c>
      <c r="C121" s="13">
        <v>7.54</v>
      </c>
      <c r="D121" s="13" t="s">
        <v>246</v>
      </c>
      <c r="E121" s="13" t="s">
        <v>216</v>
      </c>
      <c r="F121" s="14">
        <v>250</v>
      </c>
      <c r="G121" s="15">
        <v>2500.27</v>
      </c>
      <c r="H121" s="15">
        <v>0.11</v>
      </c>
      <c r="I121" s="16">
        <v>7.5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247</v>
      </c>
      <c r="C122" s="13">
        <v>7.25</v>
      </c>
      <c r="D122" s="13" t="s">
        <v>248</v>
      </c>
      <c r="E122" s="13" t="s">
        <v>180</v>
      </c>
      <c r="F122" s="14">
        <v>2500</v>
      </c>
      <c r="G122" s="15">
        <v>2496.7399999999998</v>
      </c>
      <c r="H122" s="15">
        <v>0.11</v>
      </c>
      <c r="I122" s="16">
        <v>7.2750000000000004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249</v>
      </c>
      <c r="C123" s="13">
        <v>7.57</v>
      </c>
      <c r="D123" s="13" t="s">
        <v>223</v>
      </c>
      <c r="E123" s="13" t="s">
        <v>180</v>
      </c>
      <c r="F123" s="14">
        <v>2500</v>
      </c>
      <c r="G123" s="15">
        <v>2515.0500000000002</v>
      </c>
      <c r="H123" s="15">
        <v>0.11</v>
      </c>
      <c r="I123" s="16">
        <v>7.39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250</v>
      </c>
      <c r="C124" s="13">
        <v>7.8</v>
      </c>
      <c r="D124" s="13" t="s">
        <v>251</v>
      </c>
      <c r="E124" s="13" t="s">
        <v>218</v>
      </c>
      <c r="F124" s="14">
        <v>2500</v>
      </c>
      <c r="G124" s="15">
        <v>2509.7800000000002</v>
      </c>
      <c r="H124" s="15">
        <v>0.11</v>
      </c>
      <c r="I124" s="16">
        <v>7.58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252</v>
      </c>
      <c r="C125" s="13">
        <v>7.83</v>
      </c>
      <c r="D125" s="13" t="s">
        <v>179</v>
      </c>
      <c r="E125" s="13" t="s">
        <v>180</v>
      </c>
      <c r="F125" s="14">
        <v>2500</v>
      </c>
      <c r="G125" s="15">
        <v>2507.27</v>
      </c>
      <c r="H125" s="15">
        <v>0.11</v>
      </c>
      <c r="I125" s="16">
        <v>7.63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253</v>
      </c>
      <c r="C126" s="13">
        <v>7.64</v>
      </c>
      <c r="D126" s="13" t="s">
        <v>179</v>
      </c>
      <c r="E126" s="13" t="s">
        <v>218</v>
      </c>
      <c r="F126" s="14">
        <v>2500</v>
      </c>
      <c r="G126" s="15">
        <v>2513.85</v>
      </c>
      <c r="H126" s="15">
        <v>0.11</v>
      </c>
      <c r="I126" s="16">
        <v>7.4850000000000003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254</v>
      </c>
      <c r="C127" s="13">
        <v>7.25</v>
      </c>
      <c r="D127" s="13" t="s">
        <v>187</v>
      </c>
      <c r="E127" s="13" t="s">
        <v>180</v>
      </c>
      <c r="F127" s="14">
        <v>2500</v>
      </c>
      <c r="G127" s="15">
        <v>2476.33</v>
      </c>
      <c r="H127" s="15">
        <v>0.11</v>
      </c>
      <c r="I127" s="16">
        <v>7.3550000000000004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255</v>
      </c>
      <c r="C128" s="13">
        <v>7.55</v>
      </c>
      <c r="D128" s="13" t="s">
        <v>256</v>
      </c>
      <c r="E128" s="13" t="s">
        <v>218</v>
      </c>
      <c r="F128" s="14">
        <v>250</v>
      </c>
      <c r="G128" s="15">
        <v>2531.96</v>
      </c>
      <c r="H128" s="15">
        <v>0.11</v>
      </c>
      <c r="I128" s="16">
        <v>7.3250000000000002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257</v>
      </c>
      <c r="C129" s="13">
        <v>7.44</v>
      </c>
      <c r="D129" s="13" t="s">
        <v>240</v>
      </c>
      <c r="E129" s="13" t="s">
        <v>218</v>
      </c>
      <c r="F129" s="14">
        <v>2500</v>
      </c>
      <c r="G129" s="15">
        <v>2495.06</v>
      </c>
      <c r="H129" s="15">
        <v>0.11</v>
      </c>
      <c r="I129" s="16">
        <v>7.6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258</v>
      </c>
      <c r="C130" s="13">
        <v>7.44</v>
      </c>
      <c r="D130" s="13" t="s">
        <v>259</v>
      </c>
      <c r="E130" s="13" t="s">
        <v>180</v>
      </c>
      <c r="F130" s="14">
        <v>2500</v>
      </c>
      <c r="G130" s="15">
        <v>2491.7399999999998</v>
      </c>
      <c r="H130" s="15">
        <v>0.11</v>
      </c>
      <c r="I130" s="16">
        <v>7.63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260</v>
      </c>
      <c r="C131" s="13">
        <v>7.79</v>
      </c>
      <c r="D131" s="13" t="s">
        <v>204</v>
      </c>
      <c r="E131" s="13" t="s">
        <v>180</v>
      </c>
      <c r="F131" s="14">
        <v>2500</v>
      </c>
      <c r="G131" s="15">
        <v>2511.89</v>
      </c>
      <c r="H131" s="15">
        <v>0.11</v>
      </c>
      <c r="I131" s="16">
        <v>7.5549999999999997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261</v>
      </c>
      <c r="C132" s="13">
        <v>7.59</v>
      </c>
      <c r="D132" s="13" t="s">
        <v>240</v>
      </c>
      <c r="E132" s="13" t="s">
        <v>180</v>
      </c>
      <c r="F132" s="14">
        <v>1500</v>
      </c>
      <c r="G132" s="15">
        <v>1501.81</v>
      </c>
      <c r="H132" s="15">
        <v>7.0000000000000007E-2</v>
      </c>
      <c r="I132" s="16">
        <v>7.4950000000000001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262</v>
      </c>
      <c r="C133" s="13">
        <v>7.7</v>
      </c>
      <c r="D133" s="13" t="s">
        <v>243</v>
      </c>
      <c r="E133" s="13" t="s">
        <v>218</v>
      </c>
      <c r="F133" s="14">
        <v>1500</v>
      </c>
      <c r="G133" s="15">
        <v>1544.27</v>
      </c>
      <c r="H133" s="15">
        <v>7.0000000000000007E-2</v>
      </c>
      <c r="I133" s="16">
        <v>7.335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263</v>
      </c>
      <c r="C134" s="13">
        <v>8.94</v>
      </c>
      <c r="D134" s="13" t="s">
        <v>225</v>
      </c>
      <c r="E134" s="13" t="s">
        <v>180</v>
      </c>
      <c r="F134" s="14">
        <v>80</v>
      </c>
      <c r="G134" s="15">
        <v>831.83</v>
      </c>
      <c r="H134" s="15">
        <v>0.04</v>
      </c>
      <c r="I134" s="16">
        <v>7.4349999999999996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0"/>
      <c r="B135" s="11" t="s">
        <v>264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2" t="s">
        <v>13</v>
      </c>
      <c r="B136" s="13" t="s">
        <v>265</v>
      </c>
      <c r="C136" s="13" t="s">
        <v>13</v>
      </c>
      <c r="D136" s="13" t="s">
        <v>266</v>
      </c>
      <c r="E136" s="13" t="s">
        <v>199</v>
      </c>
      <c r="F136" s="14">
        <v>1000</v>
      </c>
      <c r="G136" s="15">
        <v>12400.81</v>
      </c>
      <c r="H136" s="15">
        <v>0.56000000000000005</v>
      </c>
      <c r="I136" s="16">
        <v>8.1199999999999992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267</v>
      </c>
      <c r="C137" s="13" t="s">
        <v>13</v>
      </c>
      <c r="D137" s="13" t="s">
        <v>225</v>
      </c>
      <c r="E137" s="13" t="s">
        <v>180</v>
      </c>
      <c r="F137" s="14">
        <v>5000</v>
      </c>
      <c r="G137" s="15">
        <v>4484.68</v>
      </c>
      <c r="H137" s="15">
        <v>0.2</v>
      </c>
      <c r="I137" s="16">
        <v>7.6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9"/>
      <c r="B138" s="11" t="s">
        <v>119</v>
      </c>
      <c r="C138" s="19"/>
      <c r="D138" s="19"/>
      <c r="E138" s="19"/>
      <c r="F138" s="19"/>
      <c r="G138" s="20">
        <v>673265.76000000024</v>
      </c>
      <c r="H138" s="20">
        <v>30.41</v>
      </c>
      <c r="I138" s="19"/>
      <c r="J138" s="19"/>
      <c r="K138" s="19"/>
      <c r="L138" s="19"/>
    </row>
    <row r="139" spans="1:12" x14ac:dyDescent="0.25">
      <c r="A139" s="10"/>
      <c r="B139" s="11" t="s">
        <v>125</v>
      </c>
      <c r="C139" s="10"/>
      <c r="D139" s="10"/>
      <c r="E139" s="10"/>
      <c r="F139" s="10"/>
      <c r="G139" s="21">
        <v>673265.76000000024</v>
      </c>
      <c r="H139" s="21">
        <v>30.41</v>
      </c>
      <c r="I139" s="10"/>
      <c r="J139" s="10"/>
      <c r="K139" s="10"/>
      <c r="L139" s="10"/>
    </row>
    <row r="140" spans="1:12" x14ac:dyDescent="0.25">
      <c r="A140" s="10"/>
      <c r="B140" s="11" t="s">
        <v>268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0"/>
      <c r="B141" s="11" t="s">
        <v>269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2" t="s">
        <v>13</v>
      </c>
      <c r="B142" s="13" t="s">
        <v>270</v>
      </c>
      <c r="C142" s="13" t="s">
        <v>13</v>
      </c>
      <c r="D142" s="13" t="s">
        <v>271</v>
      </c>
      <c r="E142" s="13" t="s">
        <v>64</v>
      </c>
      <c r="F142" s="14">
        <v>5936562</v>
      </c>
      <c r="G142" s="15">
        <v>4767.0600000000004</v>
      </c>
      <c r="H142" s="15">
        <v>0.22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0"/>
      <c r="B143" s="11" t="s">
        <v>272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2" t="s">
        <v>13</v>
      </c>
      <c r="B144" s="13" t="s">
        <v>273</v>
      </c>
      <c r="C144" s="13" t="s">
        <v>13</v>
      </c>
      <c r="D144" s="13" t="s">
        <v>274</v>
      </c>
      <c r="E144" s="13" t="s">
        <v>275</v>
      </c>
      <c r="F144" s="14">
        <v>6513196</v>
      </c>
      <c r="G144" s="15">
        <v>19485.53</v>
      </c>
      <c r="H144" s="15">
        <v>0.88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9"/>
      <c r="B145" s="11" t="s">
        <v>119</v>
      </c>
      <c r="C145" s="19"/>
      <c r="D145" s="19"/>
      <c r="E145" s="19"/>
      <c r="F145" s="19"/>
      <c r="G145" s="20">
        <v>24252.59</v>
      </c>
      <c r="H145" s="20">
        <v>1.1000000000000001</v>
      </c>
      <c r="I145" s="19"/>
      <c r="J145" s="19"/>
      <c r="K145" s="19"/>
      <c r="L145" s="19"/>
    </row>
    <row r="146" spans="1:12" x14ac:dyDescent="0.25">
      <c r="A146" s="10"/>
      <c r="B146" s="11" t="s">
        <v>125</v>
      </c>
      <c r="C146" s="10"/>
      <c r="D146" s="10"/>
      <c r="E146" s="10"/>
      <c r="F146" s="10"/>
      <c r="G146" s="21">
        <v>24252.59</v>
      </c>
      <c r="H146" s="21">
        <v>1.1000000000000001</v>
      </c>
      <c r="I146" s="10"/>
      <c r="J146" s="10"/>
      <c r="K146" s="10"/>
      <c r="L146" s="10"/>
    </row>
    <row r="147" spans="1:12" x14ac:dyDescent="0.25">
      <c r="A147" s="10"/>
      <c r="B147" s="11" t="s">
        <v>276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0"/>
      <c r="B148" s="11" t="s">
        <v>277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2" t="s">
        <v>13</v>
      </c>
      <c r="B149" s="13" t="s">
        <v>13</v>
      </c>
      <c r="C149" s="13" t="s">
        <v>13</v>
      </c>
      <c r="D149" s="13" t="s">
        <v>277</v>
      </c>
      <c r="E149" s="13" t="s">
        <v>13</v>
      </c>
      <c r="F149" s="14" t="s">
        <v>13</v>
      </c>
      <c r="G149" s="15">
        <v>7284.85</v>
      </c>
      <c r="H149" s="15">
        <v>0.33</v>
      </c>
      <c r="I149" s="16">
        <v>6.2675000000000001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9"/>
      <c r="B150" s="11" t="s">
        <v>119</v>
      </c>
      <c r="C150" s="19"/>
      <c r="D150" s="19"/>
      <c r="E150" s="19"/>
      <c r="F150" s="19"/>
      <c r="G150" s="20">
        <v>7284.85</v>
      </c>
      <c r="H150" s="20">
        <v>0.33</v>
      </c>
      <c r="I150" s="19"/>
      <c r="J150" s="19"/>
      <c r="K150" s="19"/>
      <c r="L150" s="19"/>
    </row>
    <row r="151" spans="1:12" x14ac:dyDescent="0.25">
      <c r="A151" s="10"/>
      <c r="B151" s="11" t="s">
        <v>125</v>
      </c>
      <c r="C151" s="10"/>
      <c r="D151" s="10"/>
      <c r="E151" s="10"/>
      <c r="F151" s="10"/>
      <c r="G151" s="21">
        <v>7284.85</v>
      </c>
      <c r="H151" s="21">
        <v>0.33</v>
      </c>
      <c r="I151" s="10"/>
      <c r="J151" s="10"/>
      <c r="K151" s="10"/>
      <c r="L151" s="10"/>
    </row>
    <row r="152" spans="1:12" x14ac:dyDescent="0.25">
      <c r="A152" s="10"/>
      <c r="B152" s="11" t="s">
        <v>278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0"/>
      <c r="B153" s="11" t="s">
        <v>279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2" t="s">
        <v>13</v>
      </c>
      <c r="B154" s="13" t="s">
        <v>280</v>
      </c>
      <c r="C154" s="13" t="s">
        <v>13</v>
      </c>
      <c r="D154" s="13" t="s">
        <v>281</v>
      </c>
      <c r="E154" s="13" t="s">
        <v>13</v>
      </c>
      <c r="F154" s="14">
        <v>12880000</v>
      </c>
      <c r="G154" s="15">
        <v>31688.66</v>
      </c>
      <c r="H154" s="15">
        <v>1.43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0"/>
      <c r="B155" s="11" t="s">
        <v>282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2" t="s">
        <v>13</v>
      </c>
      <c r="B156" s="13" t="s">
        <v>13</v>
      </c>
      <c r="C156" s="13" t="s">
        <v>13</v>
      </c>
      <c r="D156" s="13" t="s">
        <v>282</v>
      </c>
      <c r="E156" s="13" t="s">
        <v>13</v>
      </c>
      <c r="F156" s="14" t="s">
        <v>13</v>
      </c>
      <c r="G156" s="15">
        <v>19202.669999999998</v>
      </c>
      <c r="H156" s="15">
        <v>0.88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9"/>
      <c r="B157" s="11" t="s">
        <v>119</v>
      </c>
      <c r="C157" s="19"/>
      <c r="D157" s="19"/>
      <c r="E157" s="19"/>
      <c r="F157" s="19"/>
      <c r="G157" s="20">
        <v>50891.33</v>
      </c>
      <c r="H157" s="20">
        <v>2.31</v>
      </c>
      <c r="I157" s="19"/>
      <c r="J157" s="19"/>
      <c r="K157" s="19"/>
      <c r="L157" s="19"/>
    </row>
    <row r="158" spans="1:12" x14ac:dyDescent="0.25">
      <c r="A158" s="10"/>
      <c r="B158" s="11" t="s">
        <v>125</v>
      </c>
      <c r="C158" s="10"/>
      <c r="D158" s="10"/>
      <c r="E158" s="10"/>
      <c r="F158" s="10"/>
      <c r="G158" s="21">
        <v>50891.33</v>
      </c>
      <c r="H158" s="21">
        <v>2.31</v>
      </c>
      <c r="I158" s="10"/>
      <c r="J158" s="10"/>
      <c r="K158" s="10"/>
      <c r="L158" s="10"/>
    </row>
    <row r="159" spans="1:1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5">
      <c r="A160" s="6"/>
      <c r="B160" s="22" t="s">
        <v>283</v>
      </c>
      <c r="C160" s="6"/>
      <c r="D160" s="6"/>
      <c r="E160" s="6"/>
      <c r="F160" s="6"/>
      <c r="G160" s="23">
        <v>2213067.6100000013</v>
      </c>
      <c r="H160" s="23">
        <v>100.00000000000009</v>
      </c>
      <c r="I160" s="6"/>
      <c r="J160" s="6"/>
      <c r="K160" s="6"/>
      <c r="L160" s="6"/>
    </row>
    <row r="161" spans="1:12" x14ac:dyDescent="0.25">
      <c r="A161" s="12" t="s">
        <v>17</v>
      </c>
      <c r="B161" s="24" t="s">
        <v>284</v>
      </c>
      <c r="C161" s="24" t="s">
        <v>284</v>
      </c>
      <c r="D161" s="24" t="s">
        <v>284</v>
      </c>
      <c r="E161" s="24" t="s">
        <v>284</v>
      </c>
      <c r="F161" s="24" t="s">
        <v>284</v>
      </c>
      <c r="G161" s="13"/>
      <c r="H161" s="13"/>
      <c r="I161" s="13"/>
      <c r="J161" s="13"/>
      <c r="K161" s="13"/>
      <c r="L161" s="13"/>
    </row>
    <row r="162" spans="1:12" x14ac:dyDescent="0.25">
      <c r="A162" s="13"/>
      <c r="B162" s="25" t="s">
        <v>285</v>
      </c>
      <c r="C162" s="25" t="s">
        <v>285</v>
      </c>
      <c r="D162" s="25" t="s">
        <v>285</v>
      </c>
      <c r="E162" s="25" t="s">
        <v>285</v>
      </c>
      <c r="F162" s="25" t="s">
        <v>285</v>
      </c>
      <c r="G162" s="13"/>
      <c r="H162" s="13"/>
      <c r="I162" s="13"/>
      <c r="J162" s="13"/>
      <c r="K162" s="13"/>
      <c r="L162" s="13"/>
    </row>
    <row r="163" spans="1:12" x14ac:dyDescent="0.25">
      <c r="A163" s="13"/>
      <c r="B163" s="25" t="s">
        <v>286</v>
      </c>
      <c r="C163" s="25" t="s">
        <v>286</v>
      </c>
      <c r="D163" s="25" t="s">
        <v>286</v>
      </c>
      <c r="E163" s="25" t="s">
        <v>286</v>
      </c>
      <c r="F163" s="25" t="s">
        <v>286</v>
      </c>
      <c r="G163" s="13"/>
      <c r="H163" s="13"/>
      <c r="I163" s="13"/>
      <c r="J163" s="13"/>
      <c r="K163" s="13"/>
      <c r="L163" s="13"/>
    </row>
    <row r="164" spans="1:12" x14ac:dyDescent="0.25">
      <c r="A164" s="13"/>
      <c r="B164" s="25" t="s">
        <v>287</v>
      </c>
      <c r="C164" s="25" t="s">
        <v>287</v>
      </c>
      <c r="D164" s="25" t="s">
        <v>287</v>
      </c>
      <c r="E164" s="25" t="s">
        <v>287</v>
      </c>
      <c r="F164" s="25" t="s">
        <v>287</v>
      </c>
      <c r="G164" s="13"/>
      <c r="H164" s="13"/>
      <c r="I164" s="13"/>
      <c r="J164" s="13"/>
      <c r="K164" s="13"/>
      <c r="L164" s="13"/>
    </row>
    <row r="165" spans="1:12" x14ac:dyDescent="0.25">
      <c r="A165" s="13"/>
      <c r="B165" s="25" t="s">
        <v>288</v>
      </c>
      <c r="C165" s="25" t="s">
        <v>288</v>
      </c>
      <c r="D165" s="25" t="s">
        <v>288</v>
      </c>
      <c r="E165" s="25" t="s">
        <v>288</v>
      </c>
      <c r="F165" s="25" t="s">
        <v>288</v>
      </c>
      <c r="G165" s="13"/>
      <c r="H165" s="13"/>
      <c r="I165" s="13"/>
      <c r="J165" s="13"/>
      <c r="K165" s="13"/>
      <c r="L165" s="13"/>
    </row>
    <row r="166" spans="1:12" x14ac:dyDescent="0.25">
      <c r="A166" s="13"/>
      <c r="B166" s="25" t="s">
        <v>289</v>
      </c>
      <c r="C166" s="25" t="s">
        <v>289</v>
      </c>
      <c r="D166" s="25" t="s">
        <v>289</v>
      </c>
      <c r="E166" s="25" t="s">
        <v>289</v>
      </c>
      <c r="F166" s="25" t="s">
        <v>289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5" t="s">
        <v>290</v>
      </c>
      <c r="C167" s="25" t="s">
        <v>290</v>
      </c>
      <c r="D167" s="25" t="s">
        <v>290</v>
      </c>
      <c r="E167" s="25" t="s">
        <v>290</v>
      </c>
      <c r="F167" s="25" t="s">
        <v>290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25" t="s">
        <v>291</v>
      </c>
      <c r="C168" s="25" t="s">
        <v>291</v>
      </c>
      <c r="D168" s="25" t="s">
        <v>291</v>
      </c>
      <c r="E168" s="25" t="s">
        <v>291</v>
      </c>
      <c r="F168" s="25" t="s">
        <v>291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13"/>
      <c r="C169" s="13"/>
      <c r="D169" s="13"/>
      <c r="E169" s="13"/>
      <c r="F169" s="13"/>
      <c r="G169" s="13"/>
      <c r="H169" s="13"/>
    </row>
    <row r="170" spans="1:12" x14ac:dyDescent="0.25">
      <c r="A170" s="26"/>
      <c r="B170" s="26" t="s">
        <v>292</v>
      </c>
      <c r="C170" s="26"/>
      <c r="D170" s="26"/>
      <c r="E170" s="13"/>
      <c r="F170" s="13"/>
      <c r="G170" s="13"/>
      <c r="H170" s="13"/>
    </row>
    <row r="171" spans="1:12" x14ac:dyDescent="0.25">
      <c r="A171" s="26"/>
      <c r="B171" s="27" t="s">
        <v>16</v>
      </c>
      <c r="C171" s="27"/>
      <c r="D171" s="28">
        <v>65.209999999999994</v>
      </c>
      <c r="E171" s="13"/>
      <c r="F171" s="13"/>
      <c r="G171" s="13"/>
      <c r="H171" s="13"/>
    </row>
    <row r="172" spans="1:12" x14ac:dyDescent="0.25">
      <c r="A172" s="26"/>
      <c r="B172" s="27" t="s">
        <v>293</v>
      </c>
      <c r="C172" s="27"/>
      <c r="D172" s="28">
        <v>0.64</v>
      </c>
      <c r="E172" s="13"/>
      <c r="F172" s="13"/>
      <c r="G172" s="13"/>
      <c r="H172" s="13"/>
    </row>
    <row r="173" spans="1:12" x14ac:dyDescent="0.25">
      <c r="A173" s="26"/>
      <c r="B173" s="27" t="s">
        <v>269</v>
      </c>
      <c r="C173" s="27"/>
      <c r="D173" s="28">
        <v>0.22</v>
      </c>
      <c r="E173" s="13"/>
      <c r="F173" s="13"/>
      <c r="G173" s="13"/>
      <c r="H173" s="13"/>
    </row>
    <row r="174" spans="1:12" x14ac:dyDescent="0.25">
      <c r="A174" s="26"/>
      <c r="B174" s="27" t="s">
        <v>272</v>
      </c>
      <c r="C174" s="27"/>
      <c r="D174" s="28">
        <v>0.88</v>
      </c>
      <c r="E174" s="13"/>
      <c r="F174" s="13"/>
      <c r="G174" s="13"/>
      <c r="H174" s="13"/>
    </row>
    <row r="175" spans="1:12" x14ac:dyDescent="0.25">
      <c r="A175" s="26"/>
      <c r="B175" s="27" t="s">
        <v>294</v>
      </c>
      <c r="C175" s="27"/>
      <c r="D175" s="28">
        <v>9.879999999999999</v>
      </c>
      <c r="E175" s="13"/>
      <c r="F175" s="13"/>
      <c r="G175" s="13"/>
      <c r="H175" s="13"/>
    </row>
    <row r="176" spans="1:12" x14ac:dyDescent="0.25">
      <c r="A176" s="26"/>
      <c r="B176" s="27" t="s">
        <v>295</v>
      </c>
      <c r="C176" s="27"/>
      <c r="D176" s="28">
        <v>20.529999999999994</v>
      </c>
      <c r="E176" s="13"/>
      <c r="F176" s="13"/>
      <c r="G176" s="13"/>
      <c r="H176" s="13"/>
    </row>
    <row r="177" spans="1:8" x14ac:dyDescent="0.25">
      <c r="A177" s="26"/>
      <c r="B177" s="27" t="s">
        <v>279</v>
      </c>
      <c r="C177" s="27"/>
      <c r="D177" s="28">
        <v>1.43</v>
      </c>
      <c r="E177" s="13"/>
      <c r="F177" s="13"/>
      <c r="G177" s="13"/>
      <c r="H177" s="13"/>
    </row>
    <row r="178" spans="1:8" x14ac:dyDescent="0.25">
      <c r="A178" s="26"/>
      <c r="B178" s="27" t="s">
        <v>296</v>
      </c>
      <c r="C178" s="27"/>
      <c r="D178" s="28">
        <v>1.21</v>
      </c>
      <c r="E178" s="13"/>
      <c r="F178" s="13"/>
      <c r="G178" s="13"/>
      <c r="H178" s="13"/>
    </row>
    <row r="179" spans="1:8" x14ac:dyDescent="0.25">
      <c r="A179" s="26"/>
      <c r="B179" s="26" t="s">
        <v>297</v>
      </c>
      <c r="C179" s="26"/>
      <c r="D179" s="26"/>
      <c r="E179" s="13"/>
      <c r="F179" s="13"/>
      <c r="G179" s="13"/>
      <c r="H179" s="13"/>
    </row>
    <row r="180" spans="1:8" x14ac:dyDescent="0.25">
      <c r="A180" s="26"/>
      <c r="B180" s="27" t="s">
        <v>16</v>
      </c>
      <c r="C180" s="27"/>
      <c r="D180" s="28">
        <v>65.210000000000022</v>
      </c>
      <c r="E180" s="13"/>
      <c r="F180" s="13"/>
      <c r="G180" s="13"/>
      <c r="H180" s="13"/>
    </row>
    <row r="181" spans="1:8" x14ac:dyDescent="0.25">
      <c r="A181" s="26"/>
      <c r="B181" s="27" t="s">
        <v>298</v>
      </c>
      <c r="C181" s="27"/>
      <c r="D181" s="28">
        <v>0.64</v>
      </c>
      <c r="E181" s="13"/>
      <c r="F181" s="13"/>
      <c r="G181" s="13"/>
      <c r="H181" s="13"/>
    </row>
    <row r="182" spans="1:8" x14ac:dyDescent="0.25">
      <c r="A182" s="26"/>
      <c r="B182" s="27" t="s">
        <v>269</v>
      </c>
      <c r="C182" s="27"/>
      <c r="D182" s="28">
        <v>0.22</v>
      </c>
      <c r="E182" s="13"/>
      <c r="F182" s="13"/>
      <c r="G182" s="13"/>
      <c r="H182" s="13"/>
    </row>
    <row r="183" spans="1:8" x14ac:dyDescent="0.25">
      <c r="A183" s="26"/>
      <c r="B183" s="27" t="s">
        <v>272</v>
      </c>
      <c r="C183" s="27"/>
      <c r="D183" s="28">
        <v>0.88</v>
      </c>
      <c r="E183" s="13"/>
      <c r="F183" s="13"/>
      <c r="G183" s="13"/>
      <c r="H183" s="13"/>
    </row>
    <row r="184" spans="1:8" x14ac:dyDescent="0.25">
      <c r="A184" s="26"/>
      <c r="B184" s="27" t="s">
        <v>130</v>
      </c>
      <c r="C184" s="27"/>
      <c r="D184" s="28">
        <v>9.879999999999999</v>
      </c>
      <c r="E184" s="13"/>
      <c r="F184" s="13"/>
      <c r="G184" s="13"/>
      <c r="H184" s="13"/>
    </row>
    <row r="185" spans="1:8" x14ac:dyDescent="0.25">
      <c r="A185" s="26"/>
      <c r="B185" s="27" t="s">
        <v>299</v>
      </c>
      <c r="C185" s="27"/>
      <c r="D185" s="28">
        <v>18.039999999999996</v>
      </c>
      <c r="E185" s="13"/>
      <c r="F185" s="13"/>
      <c r="G185" s="13"/>
      <c r="H185" s="13"/>
    </row>
    <row r="186" spans="1:8" x14ac:dyDescent="0.25">
      <c r="A186" s="26"/>
      <c r="B186" s="27" t="s">
        <v>300</v>
      </c>
      <c r="C186" s="27"/>
      <c r="D186" s="28">
        <v>2.4900000000000002</v>
      </c>
      <c r="E186" s="13"/>
      <c r="F186" s="13"/>
      <c r="G186" s="13"/>
      <c r="H186" s="13"/>
    </row>
    <row r="187" spans="1:8" x14ac:dyDescent="0.25">
      <c r="A187" s="26"/>
      <c r="B187" s="27" t="s">
        <v>296</v>
      </c>
      <c r="C187" s="27"/>
      <c r="D187" s="28">
        <v>2.64</v>
      </c>
      <c r="E187" s="13"/>
      <c r="F187" s="13"/>
      <c r="G187" s="13"/>
      <c r="H187" s="13"/>
    </row>
    <row r="188" spans="1:8" x14ac:dyDescent="0.25">
      <c r="A188" s="29"/>
      <c r="B188" s="26" t="s">
        <v>301</v>
      </c>
      <c r="C188" s="29"/>
      <c r="D188" s="29"/>
      <c r="E188" s="13"/>
      <c r="F188" s="13"/>
      <c r="G188" s="13"/>
      <c r="H188" s="13"/>
    </row>
    <row r="189" spans="1:8" x14ac:dyDescent="0.25">
      <c r="A189" s="29"/>
      <c r="B189" s="30" t="s">
        <v>20</v>
      </c>
      <c r="C189" s="27"/>
      <c r="D189" s="31">
        <v>23.330000000000002</v>
      </c>
      <c r="E189" s="13"/>
      <c r="F189" s="13"/>
      <c r="G189" s="13"/>
      <c r="H189" s="13"/>
    </row>
    <row r="190" spans="1:8" x14ac:dyDescent="0.25">
      <c r="A190" s="29"/>
      <c r="B190" s="30" t="s">
        <v>28</v>
      </c>
      <c r="C190" s="27"/>
      <c r="D190" s="31">
        <v>6.9499999999999993</v>
      </c>
      <c r="E190" s="13"/>
      <c r="F190" s="13"/>
      <c r="G190" s="13"/>
      <c r="H190" s="13"/>
    </row>
    <row r="191" spans="1:8" x14ac:dyDescent="0.25">
      <c r="A191" s="29"/>
      <c r="B191" s="30" t="s">
        <v>39</v>
      </c>
      <c r="C191" s="27"/>
      <c r="D191" s="31">
        <v>5.61</v>
      </c>
      <c r="E191" s="13"/>
      <c r="F191" s="13"/>
      <c r="G191" s="13"/>
      <c r="H191" s="13"/>
    </row>
    <row r="192" spans="1:8" x14ac:dyDescent="0.25">
      <c r="A192" s="29"/>
      <c r="B192" s="30" t="s">
        <v>31</v>
      </c>
      <c r="C192" s="27"/>
      <c r="D192" s="31">
        <v>5.48</v>
      </c>
      <c r="E192" s="13"/>
      <c r="F192" s="13"/>
      <c r="G192" s="13"/>
      <c r="H192" s="13"/>
    </row>
    <row r="193" spans="1:8" x14ac:dyDescent="0.25">
      <c r="A193" s="29"/>
      <c r="B193" s="30" t="s">
        <v>25</v>
      </c>
      <c r="C193" s="27"/>
      <c r="D193" s="31">
        <v>4.26</v>
      </c>
      <c r="E193" s="13"/>
      <c r="F193" s="13"/>
      <c r="G193" s="13"/>
      <c r="H193" s="13"/>
    </row>
    <row r="194" spans="1:8" x14ac:dyDescent="0.25">
      <c r="A194" s="29"/>
      <c r="B194" s="30" t="s">
        <v>36</v>
      </c>
      <c r="C194" s="27"/>
      <c r="D194" s="31">
        <v>3.34</v>
      </c>
      <c r="E194" s="13"/>
      <c r="F194" s="13"/>
      <c r="G194" s="13"/>
      <c r="H194" s="13"/>
    </row>
    <row r="195" spans="1:8" x14ac:dyDescent="0.25">
      <c r="A195" s="29"/>
      <c r="B195" s="30" t="s">
        <v>59</v>
      </c>
      <c r="C195" s="27"/>
      <c r="D195" s="31">
        <v>2.59</v>
      </c>
      <c r="E195" s="13"/>
      <c r="F195" s="13"/>
      <c r="G195" s="13"/>
      <c r="H195" s="13"/>
    </row>
    <row r="196" spans="1:8" x14ac:dyDescent="0.25">
      <c r="A196" s="29"/>
      <c r="B196" s="30" t="s">
        <v>79</v>
      </c>
      <c r="C196" s="27"/>
      <c r="D196" s="31">
        <v>1.67</v>
      </c>
      <c r="E196" s="13"/>
      <c r="F196" s="13"/>
      <c r="G196" s="13"/>
      <c r="H196" s="13"/>
    </row>
    <row r="197" spans="1:8" x14ac:dyDescent="0.25">
      <c r="A197" s="29"/>
      <c r="B197" s="30" t="s">
        <v>48</v>
      </c>
      <c r="C197" s="27"/>
      <c r="D197" s="31">
        <v>1.57</v>
      </c>
      <c r="E197" s="13"/>
      <c r="F197" s="13"/>
      <c r="G197" s="13"/>
      <c r="H197" s="13"/>
    </row>
    <row r="198" spans="1:8" x14ac:dyDescent="0.25">
      <c r="A198" s="29"/>
      <c r="B198" s="30" t="s">
        <v>53</v>
      </c>
      <c r="C198" s="27"/>
      <c r="D198" s="31">
        <v>1.49</v>
      </c>
      <c r="E198" s="13"/>
      <c r="F198" s="13"/>
      <c r="G198" s="13"/>
      <c r="H198" s="13"/>
    </row>
    <row r="199" spans="1:8" x14ac:dyDescent="0.25">
      <c r="A199" s="29"/>
      <c r="B199" s="30" t="s">
        <v>67</v>
      </c>
      <c r="C199" s="27"/>
      <c r="D199" s="31">
        <v>1.47</v>
      </c>
      <c r="E199" s="13"/>
      <c r="F199" s="13"/>
      <c r="G199" s="13"/>
      <c r="H199" s="13"/>
    </row>
    <row r="200" spans="1:8" x14ac:dyDescent="0.25">
      <c r="A200" s="29"/>
      <c r="B200" s="30" t="s">
        <v>56</v>
      </c>
      <c r="C200" s="27"/>
      <c r="D200" s="31">
        <v>1.4</v>
      </c>
      <c r="E200" s="13"/>
      <c r="F200" s="13"/>
      <c r="G200" s="13"/>
      <c r="H200" s="13"/>
    </row>
    <row r="201" spans="1:8" x14ac:dyDescent="0.25">
      <c r="A201" s="29"/>
      <c r="B201" s="30" t="s">
        <v>64</v>
      </c>
      <c r="C201" s="27"/>
      <c r="D201" s="31">
        <v>1.3499999999999999</v>
      </c>
      <c r="E201" s="13"/>
      <c r="F201" s="13"/>
      <c r="G201" s="13"/>
      <c r="H201" s="13"/>
    </row>
    <row r="202" spans="1:8" x14ac:dyDescent="0.25">
      <c r="A202" s="29"/>
      <c r="B202" s="30" t="s">
        <v>96</v>
      </c>
      <c r="C202" s="27"/>
      <c r="D202" s="31">
        <v>0.96</v>
      </c>
      <c r="E202" s="13"/>
      <c r="F202" s="13"/>
      <c r="G202" s="13"/>
      <c r="H202" s="13"/>
    </row>
    <row r="203" spans="1:8" x14ac:dyDescent="0.25">
      <c r="A203" s="29"/>
      <c r="B203" s="30" t="s">
        <v>72</v>
      </c>
      <c r="C203" s="27"/>
      <c r="D203" s="31">
        <v>0.93</v>
      </c>
      <c r="E203" s="13"/>
      <c r="F203" s="13"/>
      <c r="G203" s="13"/>
      <c r="H203" s="13"/>
    </row>
    <row r="204" spans="1:8" x14ac:dyDescent="0.25">
      <c r="A204" s="29"/>
      <c r="B204" s="30" t="s">
        <v>84</v>
      </c>
      <c r="C204" s="27"/>
      <c r="D204" s="31">
        <v>0.62</v>
      </c>
      <c r="E204" s="13"/>
      <c r="F204" s="13"/>
      <c r="G204" s="13"/>
      <c r="H204" s="13"/>
    </row>
    <row r="205" spans="1:8" x14ac:dyDescent="0.25">
      <c r="A205" s="29"/>
      <c r="B205" s="30" t="s">
        <v>87</v>
      </c>
      <c r="C205" s="27"/>
      <c r="D205" s="31">
        <v>0.61</v>
      </c>
      <c r="E205" s="13"/>
      <c r="F205" s="13"/>
      <c r="G205" s="13"/>
      <c r="H205" s="13"/>
    </row>
    <row r="206" spans="1:8" x14ac:dyDescent="0.25">
      <c r="A206" s="29"/>
      <c r="B206" s="30" t="s">
        <v>90</v>
      </c>
      <c r="C206" s="27"/>
      <c r="D206" s="31">
        <v>0.5</v>
      </c>
      <c r="E206" s="13"/>
      <c r="F206" s="13"/>
      <c r="G206" s="13"/>
      <c r="H206" s="13"/>
    </row>
    <row r="207" spans="1:8" x14ac:dyDescent="0.25">
      <c r="A207" s="29"/>
      <c r="B207" s="30" t="s">
        <v>93</v>
      </c>
      <c r="C207" s="27"/>
      <c r="D207" s="31">
        <v>0.48</v>
      </c>
      <c r="E207" s="13"/>
      <c r="F207" s="13"/>
      <c r="G207" s="13"/>
      <c r="H207" s="13"/>
    </row>
    <row r="208" spans="1:8" x14ac:dyDescent="0.25">
      <c r="A208" s="29"/>
      <c r="B208" s="30" t="s">
        <v>107</v>
      </c>
      <c r="C208" s="27"/>
      <c r="D208" s="31">
        <v>0.26</v>
      </c>
      <c r="E208" s="13"/>
      <c r="F208" s="13"/>
      <c r="G208" s="13"/>
      <c r="H208" s="13"/>
    </row>
    <row r="209" spans="1:8" x14ac:dyDescent="0.25">
      <c r="A209" s="29"/>
      <c r="B209" s="30" t="s">
        <v>110</v>
      </c>
      <c r="C209" s="27"/>
      <c r="D209" s="31">
        <v>0.25</v>
      </c>
      <c r="E209" s="13"/>
      <c r="F209" s="13"/>
      <c r="G209" s="13"/>
      <c r="H209" s="13"/>
    </row>
    <row r="210" spans="1:8" x14ac:dyDescent="0.25">
      <c r="A210" s="29"/>
      <c r="B210" s="30" t="s">
        <v>113</v>
      </c>
      <c r="C210" s="27"/>
      <c r="D210" s="31">
        <v>0.24</v>
      </c>
      <c r="E210" s="13"/>
      <c r="F210" s="13"/>
      <c r="G210" s="13"/>
      <c r="H210" s="13"/>
    </row>
    <row r="211" spans="1:8" x14ac:dyDescent="0.25">
      <c r="A211" s="29"/>
      <c r="B211" s="30" t="s">
        <v>118</v>
      </c>
      <c r="C211" s="27"/>
      <c r="D211" s="31">
        <v>7.0000000000000007E-2</v>
      </c>
      <c r="E211" s="13"/>
      <c r="F211" s="13"/>
      <c r="G211" s="13"/>
      <c r="H211" s="13"/>
    </row>
    <row r="212" spans="1:8" x14ac:dyDescent="0.25">
      <c r="A212" s="29"/>
      <c r="B212" s="30" t="s">
        <v>124</v>
      </c>
      <c r="C212" s="27"/>
      <c r="D212" s="31">
        <v>0.64</v>
      </c>
      <c r="E212" s="13"/>
      <c r="F212" s="13"/>
      <c r="G212" s="13"/>
      <c r="H212" s="13"/>
    </row>
    <row r="213" spans="1:8" x14ac:dyDescent="0.25">
      <c r="A213" s="29"/>
      <c r="B213" s="30" t="s">
        <v>275</v>
      </c>
      <c r="C213" s="27"/>
      <c r="D213" s="31">
        <v>0.88</v>
      </c>
      <c r="E213" s="13"/>
      <c r="F213" s="13"/>
      <c r="G213" s="13"/>
      <c r="H213" s="13"/>
    </row>
    <row r="214" spans="1:8" x14ac:dyDescent="0.25">
      <c r="A214" s="29"/>
      <c r="B214" s="30" t="s">
        <v>294</v>
      </c>
      <c r="C214" s="27"/>
      <c r="D214" s="31">
        <v>9.879999999999999</v>
      </c>
      <c r="E214" s="13"/>
      <c r="F214" s="13"/>
      <c r="G214" s="13"/>
      <c r="H214" s="13"/>
    </row>
    <row r="215" spans="1:8" x14ac:dyDescent="0.25">
      <c r="A215" s="29"/>
      <c r="B215" s="30" t="s">
        <v>295</v>
      </c>
      <c r="C215" s="27"/>
      <c r="D215" s="31">
        <v>20.529999999999994</v>
      </c>
      <c r="E215" s="13"/>
      <c r="F215" s="13"/>
      <c r="G215" s="13"/>
      <c r="H215" s="13"/>
    </row>
    <row r="216" spans="1:8" x14ac:dyDescent="0.25">
      <c r="A216" s="29"/>
      <c r="B216" s="30" t="s">
        <v>279</v>
      </c>
      <c r="C216" s="27"/>
      <c r="D216" s="31">
        <v>1.43</v>
      </c>
      <c r="E216" s="13"/>
      <c r="F216" s="13"/>
      <c r="G216" s="13"/>
      <c r="H216" s="13"/>
    </row>
    <row r="217" spans="1:8" x14ac:dyDescent="0.25">
      <c r="A217" s="29"/>
      <c r="B217" s="30" t="s">
        <v>296</v>
      </c>
      <c r="C217" s="27"/>
      <c r="D217" s="31">
        <v>1.21</v>
      </c>
      <c r="E217" s="13"/>
      <c r="F217" s="13"/>
      <c r="G217" s="13"/>
      <c r="H217" s="13"/>
    </row>
    <row r="218" spans="1:8" x14ac:dyDescent="0.25">
      <c r="A218" s="32"/>
      <c r="B218" s="32"/>
      <c r="C218" s="32"/>
      <c r="D218" s="32"/>
      <c r="E218" s="32"/>
      <c r="F218" s="32"/>
      <c r="G218" s="32"/>
      <c r="H218" s="32"/>
    </row>
    <row r="219" spans="1:8" x14ac:dyDescent="0.25">
      <c r="A219" s="32"/>
      <c r="B219" s="10" t="s">
        <v>302</v>
      </c>
      <c r="C219" s="32"/>
      <c r="D219" s="32"/>
      <c r="E219" s="32"/>
      <c r="F219" s="32"/>
      <c r="G219" s="32"/>
      <c r="H219" s="32"/>
    </row>
    <row r="220" spans="1:8" x14ac:dyDescent="0.25">
      <c r="A220" s="13"/>
      <c r="B220" s="13" t="s">
        <v>303</v>
      </c>
      <c r="C220" s="13"/>
      <c r="D220" s="13"/>
      <c r="E220" s="13"/>
      <c r="F220" s="13"/>
      <c r="G220" s="13"/>
      <c r="H220" s="32"/>
    </row>
    <row r="221" spans="1:8" x14ac:dyDescent="0.25">
      <c r="A221" s="13"/>
      <c r="B221" s="33" t="s">
        <v>304</v>
      </c>
      <c r="C221" s="34" t="s">
        <v>305</v>
      </c>
      <c r="D221" s="33" t="s">
        <v>306</v>
      </c>
      <c r="E221" s="13"/>
      <c r="F221" s="13"/>
      <c r="G221" s="13"/>
      <c r="H221" s="32"/>
    </row>
    <row r="222" spans="1:8" x14ac:dyDescent="0.25">
      <c r="A222" s="13"/>
      <c r="B222" s="10" t="s">
        <v>307</v>
      </c>
      <c r="C222" s="35">
        <v>15.483000000000001</v>
      </c>
      <c r="D222" s="35">
        <v>16.3</v>
      </c>
      <c r="E222" s="13"/>
      <c r="F222" s="13"/>
      <c r="G222" s="13"/>
      <c r="H222" s="32"/>
    </row>
    <row r="223" spans="1:8" x14ac:dyDescent="0.25">
      <c r="A223" s="13"/>
      <c r="B223" s="10" t="s">
        <v>308</v>
      </c>
      <c r="C223" s="35">
        <v>17.652999999999999</v>
      </c>
      <c r="D223" s="35">
        <v>18.574999999999999</v>
      </c>
      <c r="E223" s="13"/>
      <c r="F223" s="13"/>
      <c r="G223" s="13"/>
      <c r="H223" s="32"/>
    </row>
    <row r="224" spans="1:8" x14ac:dyDescent="0.25">
      <c r="A224" s="13"/>
      <c r="B224" s="10" t="s">
        <v>309</v>
      </c>
      <c r="C224" s="35">
        <v>105.925</v>
      </c>
      <c r="D224" s="35">
        <v>111.51300000000001</v>
      </c>
      <c r="E224" s="13"/>
      <c r="F224" s="13"/>
      <c r="G224" s="13"/>
      <c r="H224" s="32"/>
    </row>
    <row r="225" spans="1:8" x14ac:dyDescent="0.25">
      <c r="A225" s="13"/>
      <c r="B225" s="10" t="s">
        <v>310</v>
      </c>
      <c r="C225" s="35">
        <v>114.544</v>
      </c>
      <c r="D225" s="35">
        <v>120.53</v>
      </c>
      <c r="E225" s="13"/>
      <c r="F225" s="13"/>
      <c r="G225" s="13"/>
      <c r="H225" s="32"/>
    </row>
    <row r="226" spans="1:8" x14ac:dyDescent="0.25">
      <c r="A226" s="13"/>
      <c r="B226" s="10" t="s">
        <v>13</v>
      </c>
      <c r="C226" s="13"/>
      <c r="D226" s="13"/>
      <c r="E226" s="13"/>
      <c r="F226" s="13"/>
      <c r="G226" s="13"/>
      <c r="H226" s="32"/>
    </row>
    <row r="227" spans="1:8" x14ac:dyDescent="0.25">
      <c r="A227" s="13"/>
      <c r="B227" s="13"/>
      <c r="C227" s="13"/>
      <c r="D227" s="13"/>
      <c r="E227" s="13"/>
      <c r="F227" s="13"/>
      <c r="G227" s="13"/>
      <c r="H227" s="32"/>
    </row>
    <row r="228" spans="1:8" x14ac:dyDescent="0.25">
      <c r="A228" s="13"/>
      <c r="B228" s="13" t="s">
        <v>311</v>
      </c>
      <c r="C228" s="13"/>
      <c r="D228" s="13"/>
      <c r="E228" s="13"/>
      <c r="F228" s="13"/>
      <c r="G228" s="13"/>
      <c r="H228" s="32"/>
    </row>
    <row r="229" spans="1:8" x14ac:dyDescent="0.25">
      <c r="A229" s="13"/>
      <c r="B229" s="13"/>
      <c r="C229" s="13"/>
      <c r="D229" s="13"/>
      <c r="E229" s="13"/>
      <c r="F229" s="13"/>
      <c r="G229" s="13"/>
      <c r="H229" s="32"/>
    </row>
    <row r="230" spans="1:8" x14ac:dyDescent="0.25">
      <c r="A230" s="13"/>
      <c r="B230" s="13" t="s">
        <v>312</v>
      </c>
      <c r="C230" s="13"/>
      <c r="D230" s="13"/>
      <c r="E230" s="13"/>
      <c r="F230" s="13"/>
      <c r="G230" s="13"/>
      <c r="H230" s="32"/>
    </row>
    <row r="231" spans="1:8" x14ac:dyDescent="0.25">
      <c r="A231" s="32"/>
      <c r="B231" s="32"/>
      <c r="C231" s="32"/>
      <c r="D231" s="32"/>
      <c r="E231" s="32"/>
      <c r="F231" s="32"/>
      <c r="G231" s="32"/>
      <c r="H231" s="32"/>
    </row>
    <row r="232" spans="1:8" x14ac:dyDescent="0.25">
      <c r="A232" s="13"/>
      <c r="B232" s="13" t="s">
        <v>313</v>
      </c>
      <c r="C232" s="13"/>
      <c r="D232" s="13"/>
      <c r="E232" s="13"/>
      <c r="F232" s="13"/>
      <c r="G232" s="13"/>
      <c r="H232" s="13"/>
    </row>
    <row r="233" spans="1:8" x14ac:dyDescent="0.25">
      <c r="A233" s="13"/>
      <c r="B233" s="13" t="s">
        <v>314</v>
      </c>
      <c r="C233" s="13"/>
      <c r="D233" s="13"/>
      <c r="E233" s="13"/>
      <c r="F233" s="13"/>
      <c r="G233" s="13"/>
      <c r="H233" s="32"/>
    </row>
    <row r="234" spans="1:8" x14ac:dyDescent="0.25">
      <c r="A234" s="13"/>
      <c r="B234" s="13" t="s">
        <v>315</v>
      </c>
      <c r="C234" s="13"/>
      <c r="D234" s="13"/>
      <c r="E234" s="13"/>
      <c r="F234" s="13"/>
      <c r="G234" s="13"/>
      <c r="H234" s="32"/>
    </row>
    <row r="235" spans="1:8" x14ac:dyDescent="0.25">
      <c r="A235" s="13"/>
      <c r="B235" s="13" t="s">
        <v>316</v>
      </c>
      <c r="C235" s="13"/>
      <c r="D235" s="13"/>
      <c r="E235" s="13"/>
      <c r="F235" s="13"/>
      <c r="G235" s="13"/>
      <c r="H235" s="32"/>
    </row>
    <row r="236" spans="1:8" x14ac:dyDescent="0.25">
      <c r="A236" s="13"/>
      <c r="B236" s="13" t="s">
        <v>317</v>
      </c>
      <c r="C236" s="13"/>
      <c r="D236" s="13"/>
      <c r="E236" s="13"/>
      <c r="F236" s="13"/>
      <c r="G236" s="13"/>
      <c r="H236" s="32"/>
    </row>
    <row r="237" spans="1:8" x14ac:dyDescent="0.25">
      <c r="A237" s="13"/>
      <c r="B237" s="13" t="s">
        <v>318</v>
      </c>
      <c r="C237" s="13"/>
      <c r="D237" s="13"/>
      <c r="E237" s="13"/>
      <c r="F237" s="13"/>
      <c r="G237" s="13"/>
      <c r="H237" s="32"/>
    </row>
    <row r="238" spans="1:8" x14ac:dyDescent="0.25">
      <c r="A238" s="13"/>
      <c r="B238" s="13" t="s">
        <v>319</v>
      </c>
      <c r="C238" s="13"/>
      <c r="D238" s="13"/>
      <c r="E238" s="13"/>
      <c r="F238" s="13"/>
      <c r="G238" s="13"/>
      <c r="H238" s="32"/>
    </row>
    <row r="239" spans="1:8" x14ac:dyDescent="0.25">
      <c r="A239" s="13"/>
      <c r="B239" s="13" t="s">
        <v>320</v>
      </c>
      <c r="C239" s="13"/>
      <c r="D239" s="13"/>
      <c r="E239" s="13"/>
      <c r="F239" s="13"/>
      <c r="G239" s="13"/>
      <c r="H239" s="32"/>
    </row>
    <row r="240" spans="1:8" x14ac:dyDescent="0.25">
      <c r="A240" s="13"/>
      <c r="B240" s="13" t="s">
        <v>321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13" t="s">
        <v>322</v>
      </c>
      <c r="C241" s="13"/>
      <c r="D241" s="13"/>
      <c r="E241" s="13"/>
      <c r="F241" s="13"/>
      <c r="G241" s="13"/>
      <c r="H241" s="32"/>
    </row>
    <row r="242" spans="1:8" x14ac:dyDescent="0.25">
      <c r="A242" s="13"/>
      <c r="B242" s="13" t="s">
        <v>323</v>
      </c>
      <c r="C242" s="13"/>
      <c r="D242" s="13"/>
      <c r="E242" s="13"/>
      <c r="F242" s="13"/>
      <c r="G242" s="13"/>
      <c r="H242" s="32"/>
    </row>
    <row r="244" spans="1:8" x14ac:dyDescent="0.25">
      <c r="B244" s="36" t="s">
        <v>324</v>
      </c>
    </row>
    <row r="260" spans="2:2" x14ac:dyDescent="0.25">
      <c r="B260" s="36" t="s">
        <v>325</v>
      </c>
    </row>
  </sheetData>
  <mergeCells count="10">
    <mergeCell ref="B165:F165"/>
    <mergeCell ref="B166:F166"/>
    <mergeCell ref="B167:F167"/>
    <mergeCell ref="B168:F168"/>
    <mergeCell ref="A1:J1"/>
    <mergeCell ref="A2:J2"/>
    <mergeCell ref="B161:F161"/>
    <mergeCell ref="B162:F162"/>
    <mergeCell ref="B163:F163"/>
    <mergeCell ref="B164:F1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2025-03-10T10:27:22Z</dcterms:created>
  <dcterms:modified xsi:type="dcterms:W3CDTF">2025-03-10T10:27:23Z</dcterms:modified>
</cp:coreProperties>
</file>