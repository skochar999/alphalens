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PM" sheetId="1" r:id="rId1"/>
    <sheet name="Derivative HDFCP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9" i="1" l="1"/>
</calcChain>
</file>

<file path=xl/sharedStrings.xml><?xml version="1.0" encoding="utf-8"?>
<sst xmlns="http://schemas.openxmlformats.org/spreadsheetml/2006/main" count="1244" uniqueCount="364">
  <si>
    <t>HDFC Hybrid Equity Fund (An open ended hybrid scheme investing predominantly in equity and equity related instruments)</t>
  </si>
  <si>
    <t>Income</t>
  </si>
  <si>
    <t>Hybrid</t>
  </si>
  <si>
    <t>Portfolio as on 30-Apr-2026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</si>
  <si>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</si>
  <si>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</si>
  <si>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</si>
  <si>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</si>
  <si>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</si>
  <si>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</si>
  <si>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</si>
  <si>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</si>
  <si>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</si>
  <si>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</si>
  <si>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</si>
  <si>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</si>
  <si>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</si>
  <si>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</si>
  <si>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</si>
  <si>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</si>
  <si>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</si>
  <si>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</si>
  <si>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</si>
  <si>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</si>
  <si>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</si>
  <si>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</si>
  <si>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INE062A01020</t>
  </si>
  <si>
    <t>State Bank of India</t>
  </si>
  <si>
    <t>INE238A01034</t>
  </si>
  <si>
    <t>Axis Bank Ltd.</t>
  </si>
  <si>
    <t>INE237A01036</t>
  </si>
  <si>
    <t>Kotak Mahindra Bank Limited</t>
  </si>
  <si>
    <t>INE009A01021</t>
  </si>
  <si>
    <t>Infosys Limited</t>
  </si>
  <si>
    <t>IT - Software</t>
  </si>
  <si>
    <t>INE018A01030</t>
  </si>
  <si>
    <t>Larsen and Toubro Ltd.</t>
  </si>
  <si>
    <t>Construction</t>
  </si>
  <si>
    <t>INE397D01024</t>
  </si>
  <si>
    <t>Bharti Airtel Ltd.</t>
  </si>
  <si>
    <t>Telecom - Services</t>
  </si>
  <si>
    <t>INE585B01010</t>
  </si>
  <si>
    <t>Maruti Suzuki India Limited</t>
  </si>
  <si>
    <t>Automobiles</t>
  </si>
  <si>
    <t>INE154A01025</t>
  </si>
  <si>
    <t>ITC LIMITED</t>
  </si>
  <si>
    <t>Diversified FMCG</t>
  </si>
  <si>
    <t>INE733E01010</t>
  </si>
  <si>
    <t>NTPC Limited</t>
  </si>
  <si>
    <t>Power</t>
  </si>
  <si>
    <t>INE361B01024</t>
  </si>
  <si>
    <t>Divis Laboratories Ltd.</t>
  </si>
  <si>
    <t>Pharmaceuticals &amp; Biotechnology</t>
  </si>
  <si>
    <t>INE406M01024</t>
  </si>
  <si>
    <t>Eris Lifesciences Ltd</t>
  </si>
  <si>
    <t>INE520A01027</t>
  </si>
  <si>
    <t>Zensar Technologies Ltd.</t>
  </si>
  <si>
    <t>INE967H01025</t>
  </si>
  <si>
    <t>Krishna Institute Of Medical Sciences Limited</t>
  </si>
  <si>
    <t>Healthcare Services</t>
  </si>
  <si>
    <t>INE467B01029</t>
  </si>
  <si>
    <t>Tata Consultancy Services Ltd.</t>
  </si>
  <si>
    <t>INE758T01015</t>
  </si>
  <si>
    <t>Eternal Limited</t>
  </si>
  <si>
    <t>Retailing</t>
  </si>
  <si>
    <t>INE0V6F01027</t>
  </si>
  <si>
    <t>Hyundai Motor India Limited</t>
  </si>
  <si>
    <t>INE891D01026</t>
  </si>
  <si>
    <t>Redington Ltd.</t>
  </si>
  <si>
    <t>Commercial Services &amp; Supplies</t>
  </si>
  <si>
    <t>INE540L01014</t>
  </si>
  <si>
    <t>Alkem Laboratories Ltd.</t>
  </si>
  <si>
    <t>INE176B01034</t>
  </si>
  <si>
    <t>Havells India Ltd.</t>
  </si>
  <si>
    <t>Consumer Durables</t>
  </si>
  <si>
    <t>INE102D01028</t>
  </si>
  <si>
    <t>Godrej Consumer Products Ltd.</t>
  </si>
  <si>
    <t>Personal Products</t>
  </si>
  <si>
    <t>INE646L01027</t>
  </si>
  <si>
    <t>InterGlobe Aviation Ltd.</t>
  </si>
  <si>
    <t>Transport Services</t>
  </si>
  <si>
    <t>INE2J8701016</t>
  </si>
  <si>
    <t>SKF India (Industrial) Limited</t>
  </si>
  <si>
    <t>Industrial Products</t>
  </si>
  <si>
    <t>INE795G01014</t>
  </si>
  <si>
    <t>HDFC Life Insurance Company Limited</t>
  </si>
  <si>
    <t>Insurance</t>
  </si>
  <si>
    <t>INE854D01024</t>
  </si>
  <si>
    <t>United Spirits Limited</t>
  </si>
  <si>
    <t>Beverages</t>
  </si>
  <si>
    <t>INE917I01010</t>
  </si>
  <si>
    <t>Bajaj Auto Limited</t>
  </si>
  <si>
    <t>INE389H01022</t>
  </si>
  <si>
    <t>KEC International Ltd.</t>
  </si>
  <si>
    <t>INE640A01023</t>
  </si>
  <si>
    <t>SKF India Ltd.</t>
  </si>
  <si>
    <t>Auto Components</t>
  </si>
  <si>
    <t>INE094A01015</t>
  </si>
  <si>
    <t>Hindustan Petroleum Corp. Ltd.</t>
  </si>
  <si>
    <t>INE573A01042</t>
  </si>
  <si>
    <t>JK Tyre &amp; Industries Limited</t>
  </si>
  <si>
    <t>INE195J01029</t>
  </si>
  <si>
    <t>PNC Infratech Ltd.</t>
  </si>
  <si>
    <t>INE331A01037</t>
  </si>
  <si>
    <t>The Ramco Cements Ltd.</t>
  </si>
  <si>
    <t>Cement &amp; Cement Products</t>
  </si>
  <si>
    <t>INE787D01026</t>
  </si>
  <si>
    <t>Balkrishna Industries Ltd.</t>
  </si>
  <si>
    <t>INE233B01017</t>
  </si>
  <si>
    <t>Blue Dart Express Ltd.</t>
  </si>
  <si>
    <t>INE016A01026</t>
  </si>
  <si>
    <t>Dabur India Ltd.</t>
  </si>
  <si>
    <t>INE220B01022</t>
  </si>
  <si>
    <t>Kalpataru Projects International Ltd</t>
  </si>
  <si>
    <t>INE427F01016</t>
  </si>
  <si>
    <t>Chalet Hotels Ltd.</t>
  </si>
  <si>
    <t>Leisure Services</t>
  </si>
  <si>
    <t>INE825A01020</t>
  </si>
  <si>
    <t>Vardhman Textiles Ltd.</t>
  </si>
  <si>
    <t>Textiles &amp; Apparels</t>
  </si>
  <si>
    <t>INE112L01020</t>
  </si>
  <si>
    <t>Metropolis Healthcare Ltd.</t>
  </si>
  <si>
    <t>INE998I01010</t>
  </si>
  <si>
    <t>Mahindra Holidays &amp; Resorts Ind Ltd.</t>
  </si>
  <si>
    <t>INE541A01023</t>
  </si>
  <si>
    <t>GMM Pfaudler Limited</t>
  </si>
  <si>
    <t>Industrial Manufacturing</t>
  </si>
  <si>
    <t>INE123W01016</t>
  </si>
  <si>
    <t>SBI Life Insurance Company Ltd.</t>
  </si>
  <si>
    <t>INE221J01015</t>
  </si>
  <si>
    <t>Sharda Cropchem Ltd.</t>
  </si>
  <si>
    <t>Fertilizers &amp; Agrochemicals</t>
  </si>
  <si>
    <t>INE133A01011</t>
  </si>
  <si>
    <t>JSW Dulux Limited</t>
  </si>
  <si>
    <t>INE227C01017</t>
  </si>
  <si>
    <t>MM Forgings Ltd.</t>
  </si>
  <si>
    <t>INE536H01010</t>
  </si>
  <si>
    <t>CIE Automotive India Ltd</t>
  </si>
  <si>
    <t>INE068V01023</t>
  </si>
  <si>
    <t>Gland Pharma Ltd.</t>
  </si>
  <si>
    <t>INE860A01027</t>
  </si>
  <si>
    <t>HCL Technologies Ltd.</t>
  </si>
  <si>
    <t>INE199G01027</t>
  </si>
  <si>
    <t>Jagran Prakashan Ltd.</t>
  </si>
  <si>
    <t>Media</t>
  </si>
  <si>
    <t>INE235A01022</t>
  </si>
  <si>
    <t>Finolex Cables Ltd.</t>
  </si>
  <si>
    <t>Sub Total</t>
  </si>
  <si>
    <t>(b) Units issued by ReIT</t>
  </si>
  <si>
    <t>INE0FDU25010</t>
  </si>
  <si>
    <t>BROOKFIELD INDIA REAL ESTATE TRUST</t>
  </si>
  <si>
    <t>Realty</t>
  </si>
  <si>
    <t>(c)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</si>
  <si>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</si>
  <si>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</si>
  <si>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</si>
  <si>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</si>
  <si>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</si>
  <si>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</si>
  <si>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</si>
  <si>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</si>
  <si>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</si>
  <si>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</si>
  <si>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</si>
  <si>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</si>
  <si>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</si>
  <si>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</si>
  <si>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</si>
  <si>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</si>
  <si>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</si>
  <si>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</si>
  <si>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</si>
  <si>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</si>
  <si>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IN3520230118</t>
  </si>
  <si>
    <t>7.67% Chhattisgarh SDL ISD 240124 Mat 240131^</t>
  </si>
  <si>
    <t>IN3520230092</t>
  </si>
  <si>
    <t>7.68% Chattisgarh SDL ISD 170124 MAT 170132^</t>
  </si>
  <si>
    <t>IN1520230237</t>
  </si>
  <si>
    <t>7.63% Gujarat SDL ISD 240124 Mat 240134^</t>
  </si>
  <si>
    <t>IN1320250211</t>
  </si>
  <si>
    <t>7.65% BIHAR SDL ISD 241225 Mat 241233^</t>
  </si>
  <si>
    <t>IN0020180041</t>
  </si>
  <si>
    <t>6.52% GOI MAT 071231</t>
  </si>
  <si>
    <t>IN2220250111</t>
  </si>
  <si>
    <t>7.08% Maharashtra SDL ISD 250625 MAT 250639^</t>
  </si>
  <si>
    <t>IN1020240785</t>
  </si>
  <si>
    <t>7.09% Andhra Pradesh SDL ISD 260325 MAT 260335^</t>
  </si>
  <si>
    <t>IN1320250294</t>
  </si>
  <si>
    <t>7.72% Bihar SDL - MAT 250241^</t>
  </si>
  <si>
    <t>IN1620250358</t>
  </si>
  <si>
    <t>7.73% Haryana SDL MAT 180245^</t>
  </si>
  <si>
    <t>IN1020250040</t>
  </si>
  <si>
    <t>6.88% Andhra Pradesh SDL ISD 040425 MAT 040440^</t>
  </si>
  <si>
    <t>IN2920230389</t>
  </si>
  <si>
    <t>7.66% RAJASTHAN SDL ISD 240124 Mat 240131^</t>
  </si>
  <si>
    <t>IN1620250366</t>
  </si>
  <si>
    <t>7.67% Haryana SDL MAT 250241</t>
  </si>
  <si>
    <t>IN0020220136</t>
  </si>
  <si>
    <t>7.1% GOI MAT 270128^</t>
  </si>
  <si>
    <t>IN0020150044</t>
  </si>
  <si>
    <t>8.13% GOI MAT 220645^</t>
  </si>
  <si>
    <t>IN1520230229</t>
  </si>
  <si>
    <t>7.63% Gujarat SDL ISD 240124 Mat 240133^</t>
  </si>
  <si>
    <t>IN2120250427</t>
  </si>
  <si>
    <t>7.72% Madhya Pradesh SDL ISD 180226 Mat 180245^</t>
  </si>
  <si>
    <t>Non-Convertible debentures / Bonds</t>
  </si>
  <si>
    <t>INE296A07TH8</t>
  </si>
  <si>
    <t>Bajaj Finance Ltd.^</t>
  </si>
  <si>
    <t>CRISIL - AAA</t>
  </si>
  <si>
    <t>INE040A08AF2</t>
  </si>
  <si>
    <t>HDFC Bank Ltd.£^</t>
  </si>
  <si>
    <t>INE040A08914</t>
  </si>
  <si>
    <t>INE062A08454</t>
  </si>
  <si>
    <t>State Bank of India (Tier 2 - Basel III)^</t>
  </si>
  <si>
    <t>INE0KUG08019</t>
  </si>
  <si>
    <t>National Bank for Financing Infrastructure and Development^</t>
  </si>
  <si>
    <t>INE295J08022</t>
  </si>
  <si>
    <t>The Tata Power Company Ltd.^</t>
  </si>
  <si>
    <t>CARE - AA+</t>
  </si>
  <si>
    <t>INE498L07145</t>
  </si>
  <si>
    <t>L&amp;T Finance Ltd.^</t>
  </si>
  <si>
    <t>INE756I07EU9</t>
  </si>
  <si>
    <t>HDB Financial Services Ltd.^</t>
  </si>
  <si>
    <t>INE414G07IR6</t>
  </si>
  <si>
    <t>Muthoot Finance Ltd.^</t>
  </si>
  <si>
    <t>CRISIL - AA+</t>
  </si>
  <si>
    <t>INE477A07415</t>
  </si>
  <si>
    <t>CanFin Homes Ltd.^</t>
  </si>
  <si>
    <t>ICRA - AAA</t>
  </si>
  <si>
    <t>INE121A08PP7</t>
  </si>
  <si>
    <t>Cholamandalam Investment &amp; Finance Co. Ltd.^</t>
  </si>
  <si>
    <t>ICRA - AA+</t>
  </si>
  <si>
    <t>INE040A08666</t>
  </si>
  <si>
    <t>INE752E08718</t>
  </si>
  <si>
    <t>Power Grid Corporation of India Ltd.^</t>
  </si>
  <si>
    <t>INE153A08105</t>
  </si>
  <si>
    <t>Mahanagar Telephone Nigam  Ltd.^</t>
  </si>
  <si>
    <t>CARE - AAA(CE)</t>
  </si>
  <si>
    <t>INE134E08OA7</t>
  </si>
  <si>
    <t>Power Finance Corporation Ltd.^</t>
  </si>
  <si>
    <t>INE053F08486</t>
  </si>
  <si>
    <t>Indian Railways Finance Corp. Ltd.^</t>
  </si>
  <si>
    <t>INE261F08DY8</t>
  </si>
  <si>
    <t>National Bank for Agri &amp; Rural Dev.^</t>
  </si>
  <si>
    <t>INE975F07IO5</t>
  </si>
  <si>
    <t>Kotak Mahindra Investments Ltd.^</t>
  </si>
  <si>
    <t>INE296A07TI6</t>
  </si>
  <si>
    <t>INE062A08447</t>
  </si>
  <si>
    <t>INE752E08676</t>
  </si>
  <si>
    <t>INE053F08213</t>
  </si>
  <si>
    <t>INE134E08IP7</t>
  </si>
  <si>
    <t>INE414G07JB8</t>
  </si>
  <si>
    <t>INE296A07TE5</t>
  </si>
  <si>
    <t>INE053F08320</t>
  </si>
  <si>
    <t>INE053F08247</t>
  </si>
  <si>
    <t>INE053F08528</t>
  </si>
  <si>
    <t>INE134E08MQ7</t>
  </si>
  <si>
    <t>INE020B08EK4</t>
  </si>
  <si>
    <t>REC Limited.^</t>
  </si>
  <si>
    <t>INE556F08KS8</t>
  </si>
  <si>
    <t>Small Industries Development Bank^</t>
  </si>
  <si>
    <t>INE556F08KR0</t>
  </si>
  <si>
    <t>INE062A08389</t>
  </si>
  <si>
    <t>State Bank of India^</t>
  </si>
  <si>
    <t>INE242A08569</t>
  </si>
  <si>
    <t>Indian Oil Corporation Ltd.^</t>
  </si>
  <si>
    <t>INE282H07026</t>
  </si>
  <si>
    <t>Jio Credit Ltd^</t>
  </si>
  <si>
    <t>INE975F07IE6</t>
  </si>
  <si>
    <t>INE115A07OB4</t>
  </si>
  <si>
    <t>LIC Housing Finance Ltd.^</t>
  </si>
  <si>
    <t>INE261F08ED0</t>
  </si>
  <si>
    <t>National Bank for Agri &amp; Rural Dev.</t>
  </si>
  <si>
    <t>INE261F08EJ7</t>
  </si>
  <si>
    <t>INE0KUG08050</t>
  </si>
  <si>
    <t>INE206D08493</t>
  </si>
  <si>
    <t>Nuclear Power Corporation of India Ltd.^</t>
  </si>
  <si>
    <t>INE134E08NT9</t>
  </si>
  <si>
    <t>INE020B08FR6</t>
  </si>
  <si>
    <t>REC Limited.</t>
  </si>
  <si>
    <t>INE556F08KM1</t>
  </si>
  <si>
    <t>INE134E08FO6</t>
  </si>
  <si>
    <t>INE020B08FA2</t>
  </si>
  <si>
    <t>INE062A08348</t>
  </si>
  <si>
    <t>INE115A07RF8</t>
  </si>
  <si>
    <t>INE134E08FQ1</t>
  </si>
  <si>
    <t>Zero Coupon Bonds / Deep Discount Bonds</t>
  </si>
  <si>
    <t>INE134E08MS3</t>
  </si>
  <si>
    <t>INE053F08536</t>
  </si>
  <si>
    <t>UNITS ISSUED BY INVIT</t>
  </si>
  <si>
    <t>Units issued by InvIT</t>
  </si>
  <si>
    <t>INE0GGX23010</t>
  </si>
  <si>
    <t>POWERGRID Infrastructure Investment Trust</t>
  </si>
  <si>
    <t>MONEY MARKET INSTRUMENTS</t>
  </si>
  <si>
    <t>TREPS - Tri-party Repo</t>
  </si>
  <si>
    <t>OTHERS</t>
  </si>
  <si>
    <t>Mutual Fund Units</t>
  </si>
  <si>
    <t>INF179KC1965</t>
  </si>
  <si>
    <t>HDFC NIFTY 50 ETF</t>
  </si>
  <si>
    <t>INF457M01133</t>
  </si>
  <si>
    <t>CPSE ETF</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</si>
  <si>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</si>
  <si>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</si>
  <si>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</si>
  <si>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</si>
  <si>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</si>
  <si>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</si>
  <si>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</si>
  <si>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</si>
  <si>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</si>
  <si>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</si>
  <si>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</si>
  <si>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</si>
  <si>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</si>
  <si>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Units issued by ReIT</t>
  </si>
  <si>
    <t>G-Sec,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</si>
  <si>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</si>
  <si>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</si>
  <si>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</si>
  <si>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</si>
  <si>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</si>
  <si>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</si>
  <si>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</si>
  <si>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</si>
  <si>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</si>
  <si>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</si>
  <si>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</si>
  <si>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</si>
  <si>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</si>
  <si>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</si>
  <si>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</si>
  <si>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</si>
  <si>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</si>
  <si>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</si>
  <si>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</si>
  <si>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</si>
  <si>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</si>
  <si>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Nil</t>
  </si>
  <si>
    <t>6) Portfolio Turnover Ratio : 25%</t>
  </si>
  <si>
    <t>7) Annualised Portfolio YTM : 7.64%</t>
  </si>
  <si>
    <t>8) Macaulay Duration : 1970.93 Days</t>
  </si>
  <si>
    <t>9) Residual Maturity (Average Portfolio Maturity-other than equity investments) : 3651.89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</si>
  <si>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</si>
  <si>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</si>
  <si>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Apr 30, 2026</t>
  </si>
  <si>
    <t>13) Please follow this link for Scheme Performances: https://www.hdfcfund.com/statutory-disclosure/scheme-performance</t>
  </si>
  <si>
    <t>Scheme Riskometer:</t>
  </si>
  <si>
    <t>Benchmark Riskometer:</t>
  </si>
  <si>
    <t>D.  Other than Hedging Positions through Options as on April 30, 2026 - Nil</t>
  </si>
  <si>
    <t>C.  Hedging Positions through Options as on April 30, 2026- Nil</t>
  </si>
  <si>
    <t>B.  Other than Hedging Positions through Futures as on April 30, 2026 - Nil</t>
  </si>
  <si>
    <t>HDFC Hybrid Equity Plan</t>
  </si>
  <si>
    <t>Net Profit/(Loss) value on all contracts combined (Rs in lacs)</t>
  </si>
  <si>
    <t>Gross Notional Value of contracts where futures were sold (Rs in lacs)</t>
  </si>
  <si>
    <t>Gross Notional Value of contracts where futures were bought (Rs. in lacs)</t>
  </si>
  <si>
    <t xml:space="preserve">Total Number of contracts where futures were sold </t>
  </si>
  <si>
    <t>Total Number of contracts where futures were bought</t>
  </si>
  <si>
    <t>Scheme Name</t>
  </si>
  <si>
    <t>For the period ended April 30, 2026 following were the hedging transactions through futures which have been squared off/expired</t>
  </si>
  <si>
    <t>%</t>
  </si>
  <si>
    <t>Total %age of existing assets hedged through futures</t>
  </si>
  <si>
    <t>A.  Hedging Positions through Futures as on April 30, 2026 - Nil</t>
  </si>
  <si>
    <t>Disclosure regarding Derivative positions pursuant to SEBI Circular no. CIR/IMD/DF/11/2010 dated August 18, 2010.</t>
  </si>
  <si>
    <t>DERIVATIVE DISCLOSURE -   HDFC Hybrid Equity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</si>
</sst>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6"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3" fillId="0" borderId="0"/>
    <xf numFmtId="166" fontId="12"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5" fillId="0" borderId="0" xfId="0" applyNumberFormat="1" applyFont="1" applyFill="1" applyBorder="1" applyAlignment="1">
      <alignment horizontal="right"/>
    </xf>
    <xf numFmtId="4" fontId="6"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4" fillId="0" borderId="0" xfId="1" applyFont="1" applyFill="1" applyBorder="1" applyAlignment="1"/>
    <xf numFmtId="0" fontId="15" fillId="0" borderId="0" xfId="1" applyFont="1" applyFill="1" applyBorder="1" applyAlignment="1">
      <alignment horizontal="left" vertical="justify"/>
    </xf>
    <xf numFmtId="4" fontId="14" fillId="0" borderId="0" xfId="1" applyNumberFormat="1" applyFont="1" applyFill="1" applyBorder="1" applyAlignment="1"/>
    <xf numFmtId="166" fontId="14" fillId="0" borderId="1" xfId="2" applyFont="1" applyFill="1" applyBorder="1" applyAlignment="1">
      <alignment horizontal="right"/>
    </xf>
    <xf numFmtId="166" fontId="14" fillId="0" borderId="2" xfId="2" applyFont="1" applyFill="1" applyBorder="1" applyAlignment="1">
      <alignment horizontal="right"/>
    </xf>
    <xf numFmtId="0" fontId="14" fillId="0" borderId="1" xfId="1" applyFont="1" applyFill="1" applyBorder="1" applyAlignment="1">
      <alignment horizontal="left" vertical="center"/>
    </xf>
    <xf numFmtId="0" fontId="14" fillId="0" borderId="0" xfId="1" applyFont="1" applyFill="1" applyBorder="1" applyAlignment="1">
      <alignment vertical="center"/>
    </xf>
    <xf numFmtId="0" fontId="15" fillId="0" borderId="3" xfId="1" applyFont="1" applyFill="1" applyBorder="1" applyAlignment="1">
      <alignment horizontal="center" vertical="center" wrapText="1"/>
    </xf>
    <xf numFmtId="0" fontId="14" fillId="0" borderId="0" xfId="1" applyFont="1" applyFill="1" applyBorder="1" applyAlignment="1">
      <alignment vertical="top"/>
    </xf>
    <xf numFmtId="0" fontId="15" fillId="0" borderId="0" xfId="1" applyFont="1" applyFill="1" applyBorder="1" applyAlignment="1">
      <alignment vertical="top"/>
    </xf>
    <xf numFmtId="0" fontId="15" fillId="0" borderId="0" xfId="1" applyFont="1" applyFill="1" applyBorder="1" applyAlignment="1">
      <alignment horizontal="left" vertical="justify"/>
    </xf>
    <xf numFmtId="166" fontId="14" fillId="0" borderId="1" xfId="2" applyFont="1" applyFill="1" applyBorder="1" applyAlignment="1">
      <alignment vertical="top"/>
    </xf>
    <xf numFmtId="0" fontId="15" fillId="0" borderId="1" xfId="1" applyFont="1" applyFill="1" applyBorder="1" applyAlignment="1">
      <alignment horizontal="center" vertical="center" wrapText="1"/>
    </xf>
    <xf numFmtId="4" fontId="15" fillId="0" borderId="0" xfId="1" applyNumberFormat="1" applyFont="1" applyFill="1" applyBorder="1" applyAlignment="1">
      <alignment horizontal="left" vertical="justify"/>
    </xf>
    <xf numFmtId="0" fontId="15" fillId="0" borderId="0" xfId="1" applyFont="1" applyFill="1" applyBorder="1" applyAlignment="1">
      <alignment horizontal="left"/>
    </xf>
    <xf numFmtId="0" fontId="14" fillId="0" borderId="0" xfId="1" applyFont="1" applyFill="1" applyBorder="1" applyAlignment="1">
      <alignment horizontal="right"/>
    </xf>
  </cellXfs>
  <cellStyles count="3">
    <cellStyle name="Comm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257</xdr:row>
      <xdr:rowOff>0</xdr:rowOff>
    </xdr:from>
    <xdr:to>
      <xdr:col>2</xdr:col>
      <xdr:colOff>1492250</xdr:colOff>
      <xdr:row>270</xdr:row>
      <xdr:rowOff>63500</xdr:rowOff>
    </xdr:to>
    <xdr:pic>
      <xdr:nvPicPr>
        <xdr:cNvPr id="2" name="Picture 1">
          <a:extLst>
            <a:ext uri="{FF2B5EF4-FFF2-40B4-BE49-F238E27FC236}">
              <a16:creationId xmlns:a16="http://schemas.microsoft.com/office/drawing/2014/main" id="{91FBADE9-28D6-4691-AE90-3D6605FE649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437800"/>
          <a:ext cx="3829050" cy="2457450"/>
        </a:xfrm>
        <a:prstGeom prst="rect">
          <a:avLst/>
        </a:prstGeom>
      </xdr:spPr>
    </xdr:pic>
    <xdr:clientData/>
  </xdr:twoCellAnchor>
  <xdr:twoCellAnchor editAs="oneCell">
    <xdr:from>
      <xdr:col>1</xdr:col>
      <xdr:colOff>0</xdr:colOff>
      <xdr:row>273</xdr:row>
      <xdr:rowOff>0</xdr:rowOff>
    </xdr:from>
    <xdr:to>
      <xdr:col>2</xdr:col>
      <xdr:colOff>1492250</xdr:colOff>
      <xdr:row>286</xdr:row>
      <xdr:rowOff>63500</xdr:rowOff>
    </xdr:to>
    <xdr:pic>
      <xdr:nvPicPr>
        <xdr:cNvPr id="3" name="Picture 2">
          <a:extLst>
            <a:ext uri="{FF2B5EF4-FFF2-40B4-BE49-F238E27FC236}">
              <a16:creationId xmlns:a16="http://schemas.microsoft.com/office/drawing/2014/main" id="{5585075B-851B-4057-81DE-2B6A6F0912B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3842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NPBETF"/>
      <sheetName val="HDFCREALIF"/>
      <sheetName val="HDFCBKEXTF"/>
      <sheetName val="HDFCDFNFND"/>
      <sheetName val="HDFCTECHFD"/>
      <sheetName val="HDFCBKGFSF"/>
      <sheetName val="HDFCV20ETF"/>
      <sheetName val="HDFCG15ETF"/>
      <sheetName val="HDFCSX"/>
      <sheetName val="HDFCSXEXTF"/>
      <sheetName val="HDFCNY"/>
      <sheetName val="HDFCNYEXTF"/>
      <sheetName val="HDFCTRALFD"/>
      <sheetName val="HDFCNICONF"/>
      <sheetName val="HDFCT2"/>
      <sheetName val="HDFCNCCFND"/>
      <sheetName val="HDFCCS"/>
      <sheetName val="HDFCTS"/>
      <sheetName val="HDFCMNCFND"/>
      <sheetName val="HDFCINNOVF"/>
      <sheetName val="HDFCN100ET"/>
      <sheetName val="HDFCNY100F"/>
      <sheetName val="HDFCEQ"/>
      <sheetName val="HDFCPHARHC"/>
      <sheetName val="HDFCHOF117"/>
      <sheetName val="HDFCNYDGTF"/>
      <sheetName val="HDFCMY"/>
      <sheetName val="HDINFG"/>
      <sheetName val="HDFCRETEQP"/>
      <sheetName val="HDFCGF"/>
      <sheetName val="HDFCPM"/>
      <sheetName val="HDFCAR"/>
      <sheetName val="HDFCCB"/>
      <sheetName val="HDFC500ETF"/>
      <sheetName val="HDFC500IDF"/>
      <sheetName val="HDFCBUSICY"/>
      <sheetName val="HDFCM30ETF"/>
      <sheetName val="HDFCQ30ETF"/>
      <sheetName val="HDFCM30IDF"/>
      <sheetName val="HDFCQ30IDF"/>
      <sheetName val="HDFCMANFFN"/>
      <sheetName val="MY2005"/>
      <sheetName val="HDFCRETHEP"/>
      <sheetName val="HDFCNY20EW"/>
      <sheetName val="HDFCDIVYLD"/>
      <sheetName val="HDFCBISLIF"/>
      <sheetName val="HDFCGR"/>
      <sheetName val="HDFCSMALLF"/>
      <sheetName val="MIDCAP"/>
      <sheetName val="HDFCL30ETF"/>
      <sheetName val="HDFCL30IDF"/>
      <sheetName val="HDFCLM250F"/>
      <sheetName val="HDFCNY500M"/>
      <sheetName val="HDFCLARGEF"/>
      <sheetName val="HDFCMULCAP"/>
      <sheetName val="HDFCMIDETF"/>
      <sheetName val="HDFCMIDIDF"/>
      <sheetName val="HDFCNY50ET"/>
      <sheetName val="HDFCNYNX50"/>
      <sheetName val="HDFCNY50EW"/>
      <sheetName val="HDFCSMAETF"/>
      <sheetName val="HDFCSMAIDF"/>
      <sheetName val="HDFCN100EW"/>
      <sheetName val="HDGETF"/>
      <sheetName val="HSILVERETF"/>
      <sheetName val="HDFCDWIFOF"/>
      <sheetName val="HDFCGOLD"/>
      <sheetName val="HSILVERFOF"/>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27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75" customHeight="1" x14ac:dyDescent="0.4">
      <c r="A1" s="35" t="s">
        <v>0</v>
      </c>
      <c r="B1" s="35" t="s">
        <v>0</v>
      </c>
      <c r="C1" s="35" t="s">
        <v>0</v>
      </c>
      <c r="D1" s="35" t="s">
        <v>0</v>
      </c>
      <c r="E1" s="35" t="s">
        <v>0</v>
      </c>
      <c r="F1" s="35" t="s">
        <v>0</v>
      </c>
      <c r="G1" s="35" t="s">
        <v>0</v>
      </c>
      <c r="H1" s="35" t="s">
        <v>0</v>
      </c>
      <c r="I1" s="35" t="s">
        <v>0</v>
      </c>
      <c r="J1" s="35" t="s">
        <v>0</v>
      </c>
      <c r="K1" s="1" t="s">
        <v>1</v>
      </c>
      <c r="L1" s="2" t="s">
        <v>2</v>
      </c>
    </row>
    <row r="2" spans="1:12" x14ac:dyDescent="0.35">
      <c r="A2" s="36" t="s">
        <v>3</v>
      </c>
      <c r="B2" s="36" t="s">
        <v>3</v>
      </c>
      <c r="C2" s="36" t="s">
        <v>3</v>
      </c>
      <c r="D2" s="36" t="s">
        <v>3</v>
      </c>
      <c r="E2" s="36" t="s">
        <v>3</v>
      </c>
      <c r="F2" s="36" t="s">
        <v>3</v>
      </c>
      <c r="G2" s="36" t="s">
        <v>3</v>
      </c>
      <c r="H2" s="36" t="s">
        <v>3</v>
      </c>
      <c r="I2" s="36" t="s">
        <v>3</v>
      </c>
      <c r="J2" s="3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t="s">
        <v>13</v>
      </c>
      <c r="D9" s="11" t="s">
        <v>19</v>
      </c>
      <c r="E9" s="11" t="s">
        <v>20</v>
      </c>
      <c r="F9" s="12">
        <v>11700000</v>
      </c>
      <c r="G9" s="13">
        <v>147817.79999999999</v>
      </c>
      <c r="H9" s="13">
        <v>6.63</v>
      </c>
      <c r="I9" s="14" t="s">
        <v>13</v>
      </c>
      <c r="J9" s="14" t="s">
        <v>13</v>
      </c>
      <c r="K9" s="15" t="s">
        <v>13</v>
      </c>
      <c r="L9" s="16" t="s">
        <v>13</v>
      </c>
    </row>
    <row r="10" spans="1:12" x14ac:dyDescent="0.35">
      <c r="A10" s="10" t="s">
        <v>17</v>
      </c>
      <c r="B10" s="11" t="s">
        <v>21</v>
      </c>
      <c r="C10" s="11" t="s">
        <v>13</v>
      </c>
      <c r="D10" s="11" t="s">
        <v>22</v>
      </c>
      <c r="E10" s="11" t="s">
        <v>20</v>
      </c>
      <c r="F10" s="12">
        <v>18880000</v>
      </c>
      <c r="G10" s="13">
        <v>145696.95999999999</v>
      </c>
      <c r="H10" s="13">
        <v>6.53</v>
      </c>
      <c r="I10" s="14" t="s">
        <v>13</v>
      </c>
      <c r="J10" s="14" t="s">
        <v>13</v>
      </c>
      <c r="K10" s="15" t="s">
        <v>13</v>
      </c>
      <c r="L10" s="16" t="s">
        <v>13</v>
      </c>
    </row>
    <row r="11" spans="1:12" x14ac:dyDescent="0.35">
      <c r="A11" s="10" t="s">
        <v>17</v>
      </c>
      <c r="B11" s="11" t="s">
        <v>23</v>
      </c>
      <c r="C11" s="11" t="s">
        <v>13</v>
      </c>
      <c r="D11" s="11" t="s">
        <v>24</v>
      </c>
      <c r="E11" s="11" t="s">
        <v>25</v>
      </c>
      <c r="F11" s="12">
        <v>7400000</v>
      </c>
      <c r="G11" s="13">
        <v>105879.2</v>
      </c>
      <c r="H11" s="13">
        <v>4.75</v>
      </c>
      <c r="I11" s="14" t="s">
        <v>13</v>
      </c>
      <c r="J11" s="14" t="s">
        <v>13</v>
      </c>
      <c r="K11" s="15" t="s">
        <v>13</v>
      </c>
      <c r="L11" s="16" t="s">
        <v>13</v>
      </c>
    </row>
    <row r="12" spans="1:12" x14ac:dyDescent="0.35">
      <c r="A12" s="10" t="s">
        <v>17</v>
      </c>
      <c r="B12" s="11" t="s">
        <v>26</v>
      </c>
      <c r="C12" s="11" t="s">
        <v>13</v>
      </c>
      <c r="D12" s="11" t="s">
        <v>27</v>
      </c>
      <c r="E12" s="11" t="s">
        <v>20</v>
      </c>
      <c r="F12" s="12">
        <v>7500000</v>
      </c>
      <c r="G12" s="13">
        <v>80133.75</v>
      </c>
      <c r="H12" s="13">
        <v>3.59</v>
      </c>
      <c r="I12" s="14" t="s">
        <v>13</v>
      </c>
      <c r="J12" s="14" t="s">
        <v>13</v>
      </c>
      <c r="K12" s="15" t="s">
        <v>13</v>
      </c>
      <c r="L12" s="16" t="s">
        <v>13</v>
      </c>
    </row>
    <row r="13" spans="1:12" x14ac:dyDescent="0.35">
      <c r="A13" s="10" t="s">
        <v>17</v>
      </c>
      <c r="B13" s="11" t="s">
        <v>28</v>
      </c>
      <c r="C13" s="11" t="s">
        <v>13</v>
      </c>
      <c r="D13" s="11" t="s">
        <v>29</v>
      </c>
      <c r="E13" s="11" t="s">
        <v>20</v>
      </c>
      <c r="F13" s="12">
        <v>5500000</v>
      </c>
      <c r="G13" s="13">
        <v>69756.5</v>
      </c>
      <c r="H13" s="13">
        <v>3.13</v>
      </c>
      <c r="I13" s="14" t="s">
        <v>13</v>
      </c>
      <c r="J13" s="14" t="s">
        <v>13</v>
      </c>
      <c r="K13" s="15" t="s">
        <v>13</v>
      </c>
      <c r="L13" s="16" t="s">
        <v>13</v>
      </c>
    </row>
    <row r="14" spans="1:12" x14ac:dyDescent="0.35">
      <c r="A14" s="10" t="s">
        <v>17</v>
      </c>
      <c r="B14" s="11" t="s">
        <v>30</v>
      </c>
      <c r="C14" s="11" t="s">
        <v>13</v>
      </c>
      <c r="D14" s="11" t="s">
        <v>31</v>
      </c>
      <c r="E14" s="11" t="s">
        <v>20</v>
      </c>
      <c r="F14" s="12">
        <v>17500000</v>
      </c>
      <c r="G14" s="13">
        <v>67077.5</v>
      </c>
      <c r="H14" s="13">
        <v>3.01</v>
      </c>
      <c r="I14" s="14" t="s">
        <v>13</v>
      </c>
      <c r="J14" s="14" t="s">
        <v>13</v>
      </c>
      <c r="K14" s="15" t="s">
        <v>13</v>
      </c>
      <c r="L14" s="16" t="s">
        <v>13</v>
      </c>
    </row>
    <row r="15" spans="1:12" x14ac:dyDescent="0.35">
      <c r="A15" s="10" t="s">
        <v>17</v>
      </c>
      <c r="B15" s="11" t="s">
        <v>32</v>
      </c>
      <c r="C15" s="11" t="s">
        <v>13</v>
      </c>
      <c r="D15" s="11" t="s">
        <v>33</v>
      </c>
      <c r="E15" s="11" t="s">
        <v>34</v>
      </c>
      <c r="F15" s="12">
        <v>5074280</v>
      </c>
      <c r="G15" s="13">
        <v>59967.839999999997</v>
      </c>
      <c r="H15" s="13">
        <v>2.69</v>
      </c>
      <c r="I15" s="14" t="s">
        <v>13</v>
      </c>
      <c r="J15" s="14" t="s">
        <v>13</v>
      </c>
      <c r="K15" s="15" t="s">
        <v>13</v>
      </c>
      <c r="L15" s="16" t="s">
        <v>13</v>
      </c>
    </row>
    <row r="16" spans="1:12" x14ac:dyDescent="0.35">
      <c r="A16" s="10" t="s">
        <v>17</v>
      </c>
      <c r="B16" s="11" t="s">
        <v>35</v>
      </c>
      <c r="C16" s="11" t="s">
        <v>13</v>
      </c>
      <c r="D16" s="11" t="s">
        <v>36</v>
      </c>
      <c r="E16" s="11" t="s">
        <v>37</v>
      </c>
      <c r="F16" s="12">
        <v>1450000</v>
      </c>
      <c r="G16" s="13">
        <v>58203</v>
      </c>
      <c r="H16" s="13">
        <v>2.61</v>
      </c>
      <c r="I16" s="14" t="s">
        <v>13</v>
      </c>
      <c r="J16" s="14" t="s">
        <v>13</v>
      </c>
      <c r="K16" s="15" t="s">
        <v>13</v>
      </c>
      <c r="L16" s="16" t="s">
        <v>13</v>
      </c>
    </row>
    <row r="17" spans="1:12" x14ac:dyDescent="0.35">
      <c r="A17" s="10" t="s">
        <v>17</v>
      </c>
      <c r="B17" s="11" t="s">
        <v>38</v>
      </c>
      <c r="C17" s="11" t="s">
        <v>13</v>
      </c>
      <c r="D17" s="11" t="s">
        <v>39</v>
      </c>
      <c r="E17" s="11" t="s">
        <v>40</v>
      </c>
      <c r="F17" s="12">
        <v>2400000</v>
      </c>
      <c r="G17" s="13">
        <v>45283.199999999997</v>
      </c>
      <c r="H17" s="13">
        <v>2.0299999999999998</v>
      </c>
      <c r="I17" s="14" t="s">
        <v>13</v>
      </c>
      <c r="J17" s="14" t="s">
        <v>13</v>
      </c>
      <c r="K17" s="15" t="s">
        <v>13</v>
      </c>
      <c r="L17" s="16" t="s">
        <v>13</v>
      </c>
    </row>
    <row r="18" spans="1:12" x14ac:dyDescent="0.35">
      <c r="A18" s="10" t="s">
        <v>13</v>
      </c>
      <c r="B18" s="11" t="s">
        <v>41</v>
      </c>
      <c r="C18" s="11" t="s">
        <v>13</v>
      </c>
      <c r="D18" s="11" t="s">
        <v>42</v>
      </c>
      <c r="E18" s="11" t="s">
        <v>43</v>
      </c>
      <c r="F18" s="12">
        <v>300000</v>
      </c>
      <c r="G18" s="13">
        <v>39942</v>
      </c>
      <c r="H18" s="13">
        <v>1.79</v>
      </c>
      <c r="I18" s="14" t="s">
        <v>13</v>
      </c>
      <c r="J18" s="14" t="s">
        <v>13</v>
      </c>
      <c r="K18" s="15" t="s">
        <v>13</v>
      </c>
      <c r="L18" s="16" t="s">
        <v>13</v>
      </c>
    </row>
    <row r="19" spans="1:12" x14ac:dyDescent="0.35">
      <c r="A19" s="10" t="s">
        <v>13</v>
      </c>
      <c r="B19" s="11" t="s">
        <v>44</v>
      </c>
      <c r="C19" s="11" t="s">
        <v>13</v>
      </c>
      <c r="D19" s="11" t="s">
        <v>45</v>
      </c>
      <c r="E19" s="11" t="s">
        <v>46</v>
      </c>
      <c r="F19" s="12">
        <v>12500000</v>
      </c>
      <c r="G19" s="13">
        <v>39362.5</v>
      </c>
      <c r="H19" s="13">
        <v>1.77</v>
      </c>
      <c r="I19" s="14" t="s">
        <v>13</v>
      </c>
      <c r="J19" s="14" t="s">
        <v>13</v>
      </c>
      <c r="K19" s="15" t="s">
        <v>13</v>
      </c>
      <c r="L19" s="16" t="s">
        <v>13</v>
      </c>
    </row>
    <row r="20" spans="1:12" x14ac:dyDescent="0.35">
      <c r="A20" s="10" t="s">
        <v>13</v>
      </c>
      <c r="B20" s="11" t="s">
        <v>47</v>
      </c>
      <c r="C20" s="11" t="s">
        <v>13</v>
      </c>
      <c r="D20" s="11" t="s">
        <v>48</v>
      </c>
      <c r="E20" s="11" t="s">
        <v>49</v>
      </c>
      <c r="F20" s="12">
        <v>8500000</v>
      </c>
      <c r="G20" s="13">
        <v>33927.75</v>
      </c>
      <c r="H20" s="13">
        <v>1.52</v>
      </c>
      <c r="I20" s="14" t="s">
        <v>13</v>
      </c>
      <c r="J20" s="14" t="s">
        <v>13</v>
      </c>
      <c r="K20" s="15" t="s">
        <v>13</v>
      </c>
      <c r="L20" s="16" t="s">
        <v>13</v>
      </c>
    </row>
    <row r="21" spans="1:12" x14ac:dyDescent="0.35">
      <c r="A21" s="10" t="s">
        <v>13</v>
      </c>
      <c r="B21" s="11" t="s">
        <v>50</v>
      </c>
      <c r="C21" s="11" t="s">
        <v>13</v>
      </c>
      <c r="D21" s="11" t="s">
        <v>51</v>
      </c>
      <c r="E21" s="11" t="s">
        <v>52</v>
      </c>
      <c r="F21" s="12">
        <v>500000</v>
      </c>
      <c r="G21" s="13">
        <v>32512.5</v>
      </c>
      <c r="H21" s="13">
        <v>1.46</v>
      </c>
      <c r="I21" s="14" t="s">
        <v>13</v>
      </c>
      <c r="J21" s="14" t="s">
        <v>13</v>
      </c>
      <c r="K21" s="15" t="s">
        <v>13</v>
      </c>
      <c r="L21" s="16" t="s">
        <v>13</v>
      </c>
    </row>
    <row r="22" spans="1:12" x14ac:dyDescent="0.35">
      <c r="A22" s="10" t="s">
        <v>13</v>
      </c>
      <c r="B22" s="11" t="s">
        <v>53</v>
      </c>
      <c r="C22" s="11" t="s">
        <v>13</v>
      </c>
      <c r="D22" s="11" t="s">
        <v>54</v>
      </c>
      <c r="E22" s="11" t="s">
        <v>52</v>
      </c>
      <c r="F22" s="12">
        <v>2459629</v>
      </c>
      <c r="G22" s="13">
        <v>32538.43</v>
      </c>
      <c r="H22" s="13">
        <v>1.46</v>
      </c>
      <c r="I22" s="14" t="s">
        <v>13</v>
      </c>
      <c r="J22" s="14" t="s">
        <v>13</v>
      </c>
      <c r="K22" s="15" t="s">
        <v>13</v>
      </c>
      <c r="L22" s="16" t="s">
        <v>13</v>
      </c>
    </row>
    <row r="23" spans="1:12" x14ac:dyDescent="0.35">
      <c r="A23" s="10" t="s">
        <v>13</v>
      </c>
      <c r="B23" s="11" t="s">
        <v>55</v>
      </c>
      <c r="C23" s="11" t="s">
        <v>13</v>
      </c>
      <c r="D23" s="11" t="s">
        <v>56</v>
      </c>
      <c r="E23" s="11" t="s">
        <v>34</v>
      </c>
      <c r="F23" s="12">
        <v>5578744</v>
      </c>
      <c r="G23" s="13">
        <v>28666.38</v>
      </c>
      <c r="H23" s="13">
        <v>1.29</v>
      </c>
      <c r="I23" s="14" t="s">
        <v>13</v>
      </c>
      <c r="J23" s="14" t="s">
        <v>13</v>
      </c>
      <c r="K23" s="15" t="s">
        <v>13</v>
      </c>
      <c r="L23" s="16" t="s">
        <v>13</v>
      </c>
    </row>
    <row r="24" spans="1:12" x14ac:dyDescent="0.35">
      <c r="A24" s="10" t="s">
        <v>13</v>
      </c>
      <c r="B24" s="11" t="s">
        <v>57</v>
      </c>
      <c r="C24" s="11" t="s">
        <v>13</v>
      </c>
      <c r="D24" s="11" t="s">
        <v>58</v>
      </c>
      <c r="E24" s="11" t="s">
        <v>59</v>
      </c>
      <c r="F24" s="12">
        <v>4200000</v>
      </c>
      <c r="G24" s="13">
        <v>28001.4</v>
      </c>
      <c r="H24" s="13">
        <v>1.26</v>
      </c>
      <c r="I24" s="14" t="s">
        <v>13</v>
      </c>
      <c r="J24" s="14" t="s">
        <v>13</v>
      </c>
      <c r="K24" s="15" t="s">
        <v>13</v>
      </c>
      <c r="L24" s="16" t="s">
        <v>13</v>
      </c>
    </row>
    <row r="25" spans="1:12" x14ac:dyDescent="0.35">
      <c r="A25" s="10" t="s">
        <v>13</v>
      </c>
      <c r="B25" s="11" t="s">
        <v>60</v>
      </c>
      <c r="C25" s="11" t="s">
        <v>13</v>
      </c>
      <c r="D25" s="11" t="s">
        <v>61</v>
      </c>
      <c r="E25" s="11" t="s">
        <v>34</v>
      </c>
      <c r="F25" s="12">
        <v>1100000</v>
      </c>
      <c r="G25" s="13">
        <v>27212.9</v>
      </c>
      <c r="H25" s="13">
        <v>1.22</v>
      </c>
      <c r="I25" s="14" t="s">
        <v>13</v>
      </c>
      <c r="J25" s="14" t="s">
        <v>13</v>
      </c>
      <c r="K25" s="15" t="s">
        <v>13</v>
      </c>
      <c r="L25" s="16" t="s">
        <v>13</v>
      </c>
    </row>
    <row r="26" spans="1:12" x14ac:dyDescent="0.35">
      <c r="A26" s="10" t="s">
        <v>13</v>
      </c>
      <c r="B26" s="11" t="s">
        <v>62</v>
      </c>
      <c r="C26" s="11" t="s">
        <v>13</v>
      </c>
      <c r="D26" s="11" t="s">
        <v>63</v>
      </c>
      <c r="E26" s="11" t="s">
        <v>64</v>
      </c>
      <c r="F26" s="12">
        <v>10000000</v>
      </c>
      <c r="G26" s="13">
        <v>24703</v>
      </c>
      <c r="H26" s="13">
        <v>1.1100000000000001</v>
      </c>
      <c r="I26" s="14" t="s">
        <v>13</v>
      </c>
      <c r="J26" s="14" t="s">
        <v>13</v>
      </c>
      <c r="K26" s="15" t="s">
        <v>13</v>
      </c>
      <c r="L26" s="16" t="s">
        <v>13</v>
      </c>
    </row>
    <row r="27" spans="1:12" x14ac:dyDescent="0.35">
      <c r="A27" s="10" t="s">
        <v>13</v>
      </c>
      <c r="B27" s="11" t="s">
        <v>65</v>
      </c>
      <c r="C27" s="11" t="s">
        <v>13</v>
      </c>
      <c r="D27" s="11" t="s">
        <v>66</v>
      </c>
      <c r="E27" s="11" t="s">
        <v>43</v>
      </c>
      <c r="F27" s="12">
        <v>1250000</v>
      </c>
      <c r="G27" s="13">
        <v>22720</v>
      </c>
      <c r="H27" s="13">
        <v>1.02</v>
      </c>
      <c r="I27" s="14" t="s">
        <v>13</v>
      </c>
      <c r="J27" s="14" t="s">
        <v>13</v>
      </c>
      <c r="K27" s="15" t="s">
        <v>13</v>
      </c>
      <c r="L27" s="16" t="s">
        <v>13</v>
      </c>
    </row>
    <row r="28" spans="1:12" x14ac:dyDescent="0.35">
      <c r="A28" s="10" t="s">
        <v>13</v>
      </c>
      <c r="B28" s="11" t="s">
        <v>67</v>
      </c>
      <c r="C28" s="11" t="s">
        <v>13</v>
      </c>
      <c r="D28" s="11" t="s">
        <v>68</v>
      </c>
      <c r="E28" s="11" t="s">
        <v>69</v>
      </c>
      <c r="F28" s="12">
        <v>10500000</v>
      </c>
      <c r="G28" s="13">
        <v>22666.35</v>
      </c>
      <c r="H28" s="13">
        <v>1.02</v>
      </c>
      <c r="I28" s="14" t="s">
        <v>13</v>
      </c>
      <c r="J28" s="14" t="s">
        <v>13</v>
      </c>
      <c r="K28" s="15" t="s">
        <v>13</v>
      </c>
      <c r="L28" s="16" t="s">
        <v>13</v>
      </c>
    </row>
    <row r="29" spans="1:12" x14ac:dyDescent="0.35">
      <c r="A29" s="10" t="s">
        <v>13</v>
      </c>
      <c r="B29" s="11" t="s">
        <v>70</v>
      </c>
      <c r="C29" s="11" t="s">
        <v>13</v>
      </c>
      <c r="D29" s="11" t="s">
        <v>71</v>
      </c>
      <c r="E29" s="11" t="s">
        <v>52</v>
      </c>
      <c r="F29" s="12">
        <v>400000</v>
      </c>
      <c r="G29" s="13">
        <v>21600</v>
      </c>
      <c r="H29" s="13">
        <v>0.97</v>
      </c>
      <c r="I29" s="14" t="s">
        <v>13</v>
      </c>
      <c r="J29" s="14" t="s">
        <v>13</v>
      </c>
      <c r="K29" s="15" t="s">
        <v>13</v>
      </c>
      <c r="L29" s="16" t="s">
        <v>13</v>
      </c>
    </row>
    <row r="30" spans="1:12" x14ac:dyDescent="0.35">
      <c r="A30" s="10" t="s">
        <v>13</v>
      </c>
      <c r="B30" s="11" t="s">
        <v>72</v>
      </c>
      <c r="C30" s="11" t="s">
        <v>13</v>
      </c>
      <c r="D30" s="11" t="s">
        <v>73</v>
      </c>
      <c r="E30" s="11" t="s">
        <v>74</v>
      </c>
      <c r="F30" s="12">
        <v>1750000</v>
      </c>
      <c r="G30" s="13">
        <v>21710.5</v>
      </c>
      <c r="H30" s="13">
        <v>0.97</v>
      </c>
      <c r="I30" s="14" t="s">
        <v>13</v>
      </c>
      <c r="J30" s="14" t="s">
        <v>13</v>
      </c>
      <c r="K30" s="15" t="s">
        <v>13</v>
      </c>
      <c r="L30" s="16" t="s">
        <v>13</v>
      </c>
    </row>
    <row r="31" spans="1:12" x14ac:dyDescent="0.35">
      <c r="A31" s="10" t="s">
        <v>13</v>
      </c>
      <c r="B31" s="11" t="s">
        <v>75</v>
      </c>
      <c r="C31" s="11" t="s">
        <v>13</v>
      </c>
      <c r="D31" s="11" t="s">
        <v>76</v>
      </c>
      <c r="E31" s="11" t="s">
        <v>77</v>
      </c>
      <c r="F31" s="12">
        <v>2000000</v>
      </c>
      <c r="G31" s="13">
        <v>21342</v>
      </c>
      <c r="H31" s="13">
        <v>0.96</v>
      </c>
      <c r="I31" s="14" t="s">
        <v>13</v>
      </c>
      <c r="J31" s="14" t="s">
        <v>13</v>
      </c>
      <c r="K31" s="15" t="s">
        <v>13</v>
      </c>
      <c r="L31" s="16" t="s">
        <v>13</v>
      </c>
    </row>
    <row r="32" spans="1:12" x14ac:dyDescent="0.35">
      <c r="A32" s="10" t="s">
        <v>13</v>
      </c>
      <c r="B32" s="11" t="s">
        <v>78</v>
      </c>
      <c r="C32" s="11" t="s">
        <v>13</v>
      </c>
      <c r="D32" s="11" t="s">
        <v>79</v>
      </c>
      <c r="E32" s="11" t="s">
        <v>80</v>
      </c>
      <c r="F32" s="12">
        <v>500000</v>
      </c>
      <c r="G32" s="13">
        <v>21476.5</v>
      </c>
      <c r="H32" s="13">
        <v>0.96</v>
      </c>
      <c r="I32" s="14" t="s">
        <v>13</v>
      </c>
      <c r="J32" s="14" t="s">
        <v>13</v>
      </c>
      <c r="K32" s="15" t="s">
        <v>13</v>
      </c>
      <c r="L32" s="16" t="s">
        <v>13</v>
      </c>
    </row>
    <row r="33" spans="1:12" x14ac:dyDescent="0.35">
      <c r="A33" s="10" t="s">
        <v>13</v>
      </c>
      <c r="B33" s="11" t="s">
        <v>81</v>
      </c>
      <c r="C33" s="11" t="s">
        <v>13</v>
      </c>
      <c r="D33" s="11" t="s">
        <v>82</v>
      </c>
      <c r="E33" s="11" t="s">
        <v>83</v>
      </c>
      <c r="F33" s="12">
        <v>943108</v>
      </c>
      <c r="G33" s="13">
        <v>20714.419999999998</v>
      </c>
      <c r="H33" s="13">
        <v>0.93</v>
      </c>
      <c r="I33" s="14" t="s">
        <v>13</v>
      </c>
      <c r="J33" s="14" t="s">
        <v>13</v>
      </c>
      <c r="K33" s="15" t="s">
        <v>13</v>
      </c>
      <c r="L33" s="16" t="s">
        <v>13</v>
      </c>
    </row>
    <row r="34" spans="1:12" x14ac:dyDescent="0.35">
      <c r="A34" s="10" t="s">
        <v>13</v>
      </c>
      <c r="B34" s="11" t="s">
        <v>84</v>
      </c>
      <c r="C34" s="11" t="s">
        <v>13</v>
      </c>
      <c r="D34" s="11" t="s">
        <v>85</v>
      </c>
      <c r="E34" s="11" t="s">
        <v>86</v>
      </c>
      <c r="F34" s="12">
        <v>3500000</v>
      </c>
      <c r="G34" s="13">
        <v>20541.5</v>
      </c>
      <c r="H34" s="13">
        <v>0.92</v>
      </c>
      <c r="I34" s="14" t="s">
        <v>13</v>
      </c>
      <c r="J34" s="14" t="s">
        <v>13</v>
      </c>
      <c r="K34" s="15" t="s">
        <v>13</v>
      </c>
      <c r="L34" s="16" t="s">
        <v>13</v>
      </c>
    </row>
    <row r="35" spans="1:12" x14ac:dyDescent="0.35">
      <c r="A35" s="10" t="s">
        <v>13</v>
      </c>
      <c r="B35" s="11" t="s">
        <v>87</v>
      </c>
      <c r="C35" s="11" t="s">
        <v>13</v>
      </c>
      <c r="D35" s="11" t="s">
        <v>88</v>
      </c>
      <c r="E35" s="11" t="s">
        <v>89</v>
      </c>
      <c r="F35" s="12">
        <v>1550000</v>
      </c>
      <c r="G35" s="13">
        <v>20546.8</v>
      </c>
      <c r="H35" s="13">
        <v>0.92</v>
      </c>
      <c r="I35" s="14" t="s">
        <v>13</v>
      </c>
      <c r="J35" s="14" t="s">
        <v>13</v>
      </c>
      <c r="K35" s="15" t="s">
        <v>13</v>
      </c>
      <c r="L35" s="16" t="s">
        <v>13</v>
      </c>
    </row>
    <row r="36" spans="1:12" x14ac:dyDescent="0.35">
      <c r="A36" s="10" t="s">
        <v>13</v>
      </c>
      <c r="B36" s="11" t="s">
        <v>90</v>
      </c>
      <c r="C36" s="11" t="s">
        <v>13</v>
      </c>
      <c r="D36" s="11" t="s">
        <v>91</v>
      </c>
      <c r="E36" s="11" t="s">
        <v>43</v>
      </c>
      <c r="F36" s="12">
        <v>200000</v>
      </c>
      <c r="G36" s="13">
        <v>19988</v>
      </c>
      <c r="H36" s="13">
        <v>0.9</v>
      </c>
      <c r="I36" s="14" t="s">
        <v>13</v>
      </c>
      <c r="J36" s="14" t="s">
        <v>13</v>
      </c>
      <c r="K36" s="15" t="s">
        <v>13</v>
      </c>
      <c r="L36" s="16" t="s">
        <v>13</v>
      </c>
    </row>
    <row r="37" spans="1:12" x14ac:dyDescent="0.35">
      <c r="A37" s="10" t="s">
        <v>13</v>
      </c>
      <c r="B37" s="11" t="s">
        <v>92</v>
      </c>
      <c r="C37" s="11" t="s">
        <v>13</v>
      </c>
      <c r="D37" s="11" t="s">
        <v>93</v>
      </c>
      <c r="E37" s="11" t="s">
        <v>37</v>
      </c>
      <c r="F37" s="12">
        <v>3364436</v>
      </c>
      <c r="G37" s="13">
        <v>18864.39</v>
      </c>
      <c r="H37" s="13">
        <v>0.85</v>
      </c>
      <c r="I37" s="14" t="s">
        <v>13</v>
      </c>
      <c r="J37" s="14" t="s">
        <v>13</v>
      </c>
      <c r="K37" s="15" t="s">
        <v>13</v>
      </c>
      <c r="L37" s="16" t="s">
        <v>13</v>
      </c>
    </row>
    <row r="38" spans="1:12" x14ac:dyDescent="0.35">
      <c r="A38" s="10" t="s">
        <v>13</v>
      </c>
      <c r="B38" s="11" t="s">
        <v>94</v>
      </c>
      <c r="C38" s="11" t="s">
        <v>13</v>
      </c>
      <c r="D38" s="11" t="s">
        <v>95</v>
      </c>
      <c r="E38" s="11" t="s">
        <v>96</v>
      </c>
      <c r="F38" s="12">
        <v>1000000</v>
      </c>
      <c r="G38" s="13">
        <v>17150</v>
      </c>
      <c r="H38" s="13">
        <v>0.77</v>
      </c>
      <c r="I38" s="14" t="s">
        <v>13</v>
      </c>
      <c r="J38" s="14" t="s">
        <v>13</v>
      </c>
      <c r="K38" s="15" t="s">
        <v>13</v>
      </c>
      <c r="L38" s="16" t="s">
        <v>13</v>
      </c>
    </row>
    <row r="39" spans="1:12" x14ac:dyDescent="0.35">
      <c r="A39" s="10" t="s">
        <v>13</v>
      </c>
      <c r="B39" s="11" t="s">
        <v>97</v>
      </c>
      <c r="C39" s="11" t="s">
        <v>13</v>
      </c>
      <c r="D39" s="11" t="s">
        <v>98</v>
      </c>
      <c r="E39" s="11" t="s">
        <v>25</v>
      </c>
      <c r="F39" s="12">
        <v>4500000</v>
      </c>
      <c r="G39" s="13">
        <v>16854.75</v>
      </c>
      <c r="H39" s="13">
        <v>0.76</v>
      </c>
      <c r="I39" s="14" t="s">
        <v>13</v>
      </c>
      <c r="J39" s="14" t="s">
        <v>13</v>
      </c>
      <c r="K39" s="15" t="s">
        <v>13</v>
      </c>
      <c r="L39" s="16" t="s">
        <v>13</v>
      </c>
    </row>
    <row r="40" spans="1:12" x14ac:dyDescent="0.35">
      <c r="A40" s="10" t="s">
        <v>13</v>
      </c>
      <c r="B40" s="11" t="s">
        <v>99</v>
      </c>
      <c r="C40" s="11" t="s">
        <v>13</v>
      </c>
      <c r="D40" s="11" t="s">
        <v>100</v>
      </c>
      <c r="E40" s="11" t="s">
        <v>96</v>
      </c>
      <c r="F40" s="12">
        <v>4007096</v>
      </c>
      <c r="G40" s="13">
        <v>16272.82</v>
      </c>
      <c r="H40" s="13">
        <v>0.73</v>
      </c>
      <c r="I40" s="14" t="s">
        <v>13</v>
      </c>
      <c r="J40" s="14" t="s">
        <v>13</v>
      </c>
      <c r="K40" s="15" t="s">
        <v>13</v>
      </c>
      <c r="L40" s="16" t="s">
        <v>13</v>
      </c>
    </row>
    <row r="41" spans="1:12" x14ac:dyDescent="0.35">
      <c r="A41" s="10" t="s">
        <v>13</v>
      </c>
      <c r="B41" s="11" t="s">
        <v>101</v>
      </c>
      <c r="C41" s="11" t="s">
        <v>13</v>
      </c>
      <c r="D41" s="11" t="s">
        <v>102</v>
      </c>
      <c r="E41" s="11" t="s">
        <v>37</v>
      </c>
      <c r="F41" s="12">
        <v>7357600</v>
      </c>
      <c r="G41" s="13">
        <v>15735.7</v>
      </c>
      <c r="H41" s="13">
        <v>0.71</v>
      </c>
      <c r="I41" s="14" t="s">
        <v>13</v>
      </c>
      <c r="J41" s="14" t="s">
        <v>13</v>
      </c>
      <c r="K41" s="15" t="s">
        <v>13</v>
      </c>
      <c r="L41" s="16" t="s">
        <v>13</v>
      </c>
    </row>
    <row r="42" spans="1:12" x14ac:dyDescent="0.35">
      <c r="A42" s="10" t="s">
        <v>13</v>
      </c>
      <c r="B42" s="11" t="s">
        <v>103</v>
      </c>
      <c r="C42" s="11" t="s">
        <v>13</v>
      </c>
      <c r="D42" s="11" t="s">
        <v>104</v>
      </c>
      <c r="E42" s="11" t="s">
        <v>105</v>
      </c>
      <c r="F42" s="12">
        <v>1600000</v>
      </c>
      <c r="G42" s="13">
        <v>14961.6</v>
      </c>
      <c r="H42" s="13">
        <v>0.67</v>
      </c>
      <c r="I42" s="14" t="s">
        <v>13</v>
      </c>
      <c r="J42" s="14" t="s">
        <v>13</v>
      </c>
      <c r="K42" s="15" t="s">
        <v>13</v>
      </c>
      <c r="L42" s="16" t="s">
        <v>13</v>
      </c>
    </row>
    <row r="43" spans="1:12" x14ac:dyDescent="0.35">
      <c r="A43" s="10" t="s">
        <v>13</v>
      </c>
      <c r="B43" s="11" t="s">
        <v>106</v>
      </c>
      <c r="C43" s="11" t="s">
        <v>13</v>
      </c>
      <c r="D43" s="11" t="s">
        <v>107</v>
      </c>
      <c r="E43" s="11" t="s">
        <v>96</v>
      </c>
      <c r="F43" s="12">
        <v>650000</v>
      </c>
      <c r="G43" s="13">
        <v>14045.2</v>
      </c>
      <c r="H43" s="13">
        <v>0.63</v>
      </c>
      <c r="I43" s="14" t="s">
        <v>13</v>
      </c>
      <c r="J43" s="14" t="s">
        <v>13</v>
      </c>
      <c r="K43" s="15" t="s">
        <v>13</v>
      </c>
      <c r="L43" s="16" t="s">
        <v>13</v>
      </c>
    </row>
    <row r="44" spans="1:12" x14ac:dyDescent="0.35">
      <c r="A44" s="10" t="s">
        <v>13</v>
      </c>
      <c r="B44" s="11" t="s">
        <v>108</v>
      </c>
      <c r="C44" s="11" t="s">
        <v>13</v>
      </c>
      <c r="D44" s="11" t="s">
        <v>109</v>
      </c>
      <c r="E44" s="11" t="s">
        <v>80</v>
      </c>
      <c r="F44" s="12">
        <v>257238</v>
      </c>
      <c r="G44" s="13">
        <v>14059.86</v>
      </c>
      <c r="H44" s="13">
        <v>0.63</v>
      </c>
      <c r="I44" s="14" t="s">
        <v>13</v>
      </c>
      <c r="J44" s="14" t="s">
        <v>13</v>
      </c>
      <c r="K44" s="15" t="s">
        <v>13</v>
      </c>
      <c r="L44" s="16" t="s">
        <v>13</v>
      </c>
    </row>
    <row r="45" spans="1:12" x14ac:dyDescent="0.35">
      <c r="A45" s="10" t="s">
        <v>13</v>
      </c>
      <c r="B45" s="11" t="s">
        <v>110</v>
      </c>
      <c r="C45" s="11" t="s">
        <v>13</v>
      </c>
      <c r="D45" s="11" t="s">
        <v>111</v>
      </c>
      <c r="E45" s="11" t="s">
        <v>77</v>
      </c>
      <c r="F45" s="12">
        <v>3000000</v>
      </c>
      <c r="G45" s="13">
        <v>13245</v>
      </c>
      <c r="H45" s="13">
        <v>0.59</v>
      </c>
      <c r="I45" s="14" t="s">
        <v>13</v>
      </c>
      <c r="J45" s="14" t="s">
        <v>13</v>
      </c>
      <c r="K45" s="15" t="s">
        <v>13</v>
      </c>
      <c r="L45" s="16" t="s">
        <v>13</v>
      </c>
    </row>
    <row r="46" spans="1:12" x14ac:dyDescent="0.35">
      <c r="A46" s="10" t="s">
        <v>13</v>
      </c>
      <c r="B46" s="11" t="s">
        <v>112</v>
      </c>
      <c r="C46" s="11" t="s">
        <v>13</v>
      </c>
      <c r="D46" s="11" t="s">
        <v>113</v>
      </c>
      <c r="E46" s="11" t="s">
        <v>37</v>
      </c>
      <c r="F46" s="12">
        <v>1000000</v>
      </c>
      <c r="G46" s="13">
        <v>12503</v>
      </c>
      <c r="H46" s="13">
        <v>0.56000000000000005</v>
      </c>
      <c r="I46" s="14" t="s">
        <v>13</v>
      </c>
      <c r="J46" s="14" t="s">
        <v>13</v>
      </c>
      <c r="K46" s="15" t="s">
        <v>13</v>
      </c>
      <c r="L46" s="16" t="s">
        <v>13</v>
      </c>
    </row>
    <row r="47" spans="1:12" x14ac:dyDescent="0.35">
      <c r="A47" s="10" t="s">
        <v>13</v>
      </c>
      <c r="B47" s="11" t="s">
        <v>114</v>
      </c>
      <c r="C47" s="11" t="s">
        <v>13</v>
      </c>
      <c r="D47" s="11" t="s">
        <v>115</v>
      </c>
      <c r="E47" s="11" t="s">
        <v>116</v>
      </c>
      <c r="F47" s="12">
        <v>1605360</v>
      </c>
      <c r="G47" s="13">
        <v>12163.81</v>
      </c>
      <c r="H47" s="13">
        <v>0.55000000000000004</v>
      </c>
      <c r="I47" s="14" t="s">
        <v>13</v>
      </c>
      <c r="J47" s="14" t="s">
        <v>13</v>
      </c>
      <c r="K47" s="15" t="s">
        <v>13</v>
      </c>
      <c r="L47" s="16" t="s">
        <v>13</v>
      </c>
    </row>
    <row r="48" spans="1:12" x14ac:dyDescent="0.35">
      <c r="A48" s="10" t="s">
        <v>13</v>
      </c>
      <c r="B48" s="11" t="s">
        <v>117</v>
      </c>
      <c r="C48" s="11" t="s">
        <v>13</v>
      </c>
      <c r="D48" s="11" t="s">
        <v>118</v>
      </c>
      <c r="E48" s="11" t="s">
        <v>119</v>
      </c>
      <c r="F48" s="12">
        <v>2000000</v>
      </c>
      <c r="G48" s="13">
        <v>12240</v>
      </c>
      <c r="H48" s="13">
        <v>0.55000000000000004</v>
      </c>
      <c r="I48" s="14" t="s">
        <v>13</v>
      </c>
      <c r="J48" s="14" t="s">
        <v>13</v>
      </c>
      <c r="K48" s="15" t="s">
        <v>13</v>
      </c>
      <c r="L48" s="16" t="s">
        <v>13</v>
      </c>
    </row>
    <row r="49" spans="1:12" x14ac:dyDescent="0.35">
      <c r="A49" s="10" t="s">
        <v>13</v>
      </c>
      <c r="B49" s="11" t="s">
        <v>120</v>
      </c>
      <c r="C49" s="11" t="s">
        <v>13</v>
      </c>
      <c r="D49" s="11" t="s">
        <v>121</v>
      </c>
      <c r="E49" s="11" t="s">
        <v>59</v>
      </c>
      <c r="F49" s="12">
        <v>2451504</v>
      </c>
      <c r="G49" s="13">
        <v>11681.42</v>
      </c>
      <c r="H49" s="13">
        <v>0.52</v>
      </c>
      <c r="I49" s="14" t="s">
        <v>13</v>
      </c>
      <c r="J49" s="14" t="s">
        <v>13</v>
      </c>
      <c r="K49" s="15" t="s">
        <v>13</v>
      </c>
      <c r="L49" s="16" t="s">
        <v>13</v>
      </c>
    </row>
    <row r="50" spans="1:12" x14ac:dyDescent="0.35">
      <c r="A50" s="10" t="s">
        <v>13</v>
      </c>
      <c r="B50" s="11" t="s">
        <v>122</v>
      </c>
      <c r="C50" s="11" t="s">
        <v>13</v>
      </c>
      <c r="D50" s="11" t="s">
        <v>123</v>
      </c>
      <c r="E50" s="11" t="s">
        <v>116</v>
      </c>
      <c r="F50" s="12">
        <v>4550000</v>
      </c>
      <c r="G50" s="13">
        <v>11240.78</v>
      </c>
      <c r="H50" s="13">
        <v>0.5</v>
      </c>
      <c r="I50" s="14" t="s">
        <v>13</v>
      </c>
      <c r="J50" s="14" t="s">
        <v>13</v>
      </c>
      <c r="K50" s="15" t="s">
        <v>13</v>
      </c>
      <c r="L50" s="16" t="s">
        <v>13</v>
      </c>
    </row>
    <row r="51" spans="1:12" x14ac:dyDescent="0.35">
      <c r="A51" s="10" t="s">
        <v>13</v>
      </c>
      <c r="B51" s="11" t="s">
        <v>124</v>
      </c>
      <c r="C51" s="11" t="s">
        <v>13</v>
      </c>
      <c r="D51" s="11" t="s">
        <v>125</v>
      </c>
      <c r="E51" s="11" t="s">
        <v>126</v>
      </c>
      <c r="F51" s="12">
        <v>1217403</v>
      </c>
      <c r="G51" s="13">
        <v>11024.19</v>
      </c>
      <c r="H51" s="13">
        <v>0.49</v>
      </c>
      <c r="I51" s="14" t="s">
        <v>13</v>
      </c>
      <c r="J51" s="14" t="s">
        <v>13</v>
      </c>
      <c r="K51" s="15" t="s">
        <v>13</v>
      </c>
      <c r="L51" s="16" t="s">
        <v>13</v>
      </c>
    </row>
    <row r="52" spans="1:12" x14ac:dyDescent="0.35">
      <c r="A52" s="10" t="s">
        <v>13</v>
      </c>
      <c r="B52" s="11" t="s">
        <v>127</v>
      </c>
      <c r="C52" s="11" t="s">
        <v>13</v>
      </c>
      <c r="D52" s="11" t="s">
        <v>128</v>
      </c>
      <c r="E52" s="11" t="s">
        <v>86</v>
      </c>
      <c r="F52" s="12">
        <v>600000</v>
      </c>
      <c r="G52" s="13">
        <v>10914</v>
      </c>
      <c r="H52" s="13">
        <v>0.49</v>
      </c>
      <c r="I52" s="14" t="s">
        <v>13</v>
      </c>
      <c r="J52" s="14" t="s">
        <v>13</v>
      </c>
      <c r="K52" s="15" t="s">
        <v>13</v>
      </c>
      <c r="L52" s="16" t="s">
        <v>13</v>
      </c>
    </row>
    <row r="53" spans="1:12" x14ac:dyDescent="0.35">
      <c r="A53" s="10" t="s">
        <v>13</v>
      </c>
      <c r="B53" s="11" t="s">
        <v>129</v>
      </c>
      <c r="C53" s="11" t="s">
        <v>13</v>
      </c>
      <c r="D53" s="11" t="s">
        <v>130</v>
      </c>
      <c r="E53" s="11" t="s">
        <v>131</v>
      </c>
      <c r="F53" s="12">
        <v>920000</v>
      </c>
      <c r="G53" s="13">
        <v>9869.2999999999993</v>
      </c>
      <c r="H53" s="13">
        <v>0.44</v>
      </c>
      <c r="I53" s="14" t="s">
        <v>13</v>
      </c>
      <c r="J53" s="14" t="s">
        <v>13</v>
      </c>
      <c r="K53" s="15" t="s">
        <v>13</v>
      </c>
      <c r="L53" s="16" t="s">
        <v>13</v>
      </c>
    </row>
    <row r="54" spans="1:12" x14ac:dyDescent="0.35">
      <c r="A54" s="10" t="s">
        <v>13</v>
      </c>
      <c r="B54" s="11" t="s">
        <v>132</v>
      </c>
      <c r="C54" s="11" t="s">
        <v>13</v>
      </c>
      <c r="D54" s="11" t="s">
        <v>133</v>
      </c>
      <c r="E54" s="11" t="s">
        <v>74</v>
      </c>
      <c r="F54" s="12">
        <v>300000</v>
      </c>
      <c r="G54" s="13">
        <v>8852.1</v>
      </c>
      <c r="H54" s="13">
        <v>0.4</v>
      </c>
      <c r="I54" s="14" t="s">
        <v>13</v>
      </c>
      <c r="J54" s="14" t="s">
        <v>13</v>
      </c>
      <c r="K54" s="15" t="s">
        <v>13</v>
      </c>
      <c r="L54" s="16" t="s">
        <v>13</v>
      </c>
    </row>
    <row r="55" spans="1:12" x14ac:dyDescent="0.35">
      <c r="A55" s="10" t="s">
        <v>13</v>
      </c>
      <c r="B55" s="11" t="s">
        <v>134</v>
      </c>
      <c r="C55" s="11" t="s">
        <v>13</v>
      </c>
      <c r="D55" s="11" t="s">
        <v>135</v>
      </c>
      <c r="E55" s="11" t="s">
        <v>96</v>
      </c>
      <c r="F55" s="12">
        <v>1804178</v>
      </c>
      <c r="G55" s="13">
        <v>8919.86</v>
      </c>
      <c r="H55" s="13">
        <v>0.4</v>
      </c>
      <c r="I55" s="14" t="s">
        <v>13</v>
      </c>
      <c r="J55" s="14" t="s">
        <v>13</v>
      </c>
      <c r="K55" s="15" t="s">
        <v>13</v>
      </c>
      <c r="L55" s="16" t="s">
        <v>13</v>
      </c>
    </row>
    <row r="56" spans="1:12" x14ac:dyDescent="0.35">
      <c r="A56" s="10" t="s">
        <v>13</v>
      </c>
      <c r="B56" s="11" t="s">
        <v>136</v>
      </c>
      <c r="C56" s="11" t="s">
        <v>13</v>
      </c>
      <c r="D56" s="11" t="s">
        <v>137</v>
      </c>
      <c r="E56" s="11" t="s">
        <v>96</v>
      </c>
      <c r="F56" s="12">
        <v>1807588</v>
      </c>
      <c r="G56" s="13">
        <v>8563.4500000000007</v>
      </c>
      <c r="H56" s="13">
        <v>0.38</v>
      </c>
      <c r="I56" s="14" t="s">
        <v>13</v>
      </c>
      <c r="J56" s="14" t="s">
        <v>13</v>
      </c>
      <c r="K56" s="15" t="s">
        <v>13</v>
      </c>
      <c r="L56" s="16" t="s">
        <v>13</v>
      </c>
    </row>
    <row r="57" spans="1:12" x14ac:dyDescent="0.35">
      <c r="A57" s="10" t="s">
        <v>13</v>
      </c>
      <c r="B57" s="11" t="s">
        <v>138</v>
      </c>
      <c r="C57" s="11" t="s">
        <v>13</v>
      </c>
      <c r="D57" s="11" t="s">
        <v>139</v>
      </c>
      <c r="E57" s="11" t="s">
        <v>52</v>
      </c>
      <c r="F57" s="12">
        <v>470000</v>
      </c>
      <c r="G57" s="13">
        <v>8228.76</v>
      </c>
      <c r="H57" s="13">
        <v>0.37</v>
      </c>
      <c r="I57" s="14" t="s">
        <v>13</v>
      </c>
      <c r="J57" s="14" t="s">
        <v>13</v>
      </c>
      <c r="K57" s="15" t="s">
        <v>13</v>
      </c>
      <c r="L57" s="16" t="s">
        <v>13</v>
      </c>
    </row>
    <row r="58" spans="1:12" x14ac:dyDescent="0.35">
      <c r="A58" s="10" t="s">
        <v>13</v>
      </c>
      <c r="B58" s="11" t="s">
        <v>140</v>
      </c>
      <c r="C58" s="11" t="s">
        <v>13</v>
      </c>
      <c r="D58" s="11" t="s">
        <v>141</v>
      </c>
      <c r="E58" s="11" t="s">
        <v>34</v>
      </c>
      <c r="F58" s="12">
        <v>680000</v>
      </c>
      <c r="G58" s="13">
        <v>8153.88</v>
      </c>
      <c r="H58" s="13">
        <v>0.37</v>
      </c>
      <c r="I58" s="14" t="s">
        <v>13</v>
      </c>
      <c r="J58" s="14" t="s">
        <v>13</v>
      </c>
      <c r="K58" s="15" t="s">
        <v>13</v>
      </c>
      <c r="L58" s="16" t="s">
        <v>13</v>
      </c>
    </row>
    <row r="59" spans="1:12" x14ac:dyDescent="0.35">
      <c r="A59" s="10" t="s">
        <v>13</v>
      </c>
      <c r="B59" s="11" t="s">
        <v>142</v>
      </c>
      <c r="C59" s="11" t="s">
        <v>13</v>
      </c>
      <c r="D59" s="11" t="s">
        <v>143</v>
      </c>
      <c r="E59" s="11" t="s">
        <v>144</v>
      </c>
      <c r="F59" s="12">
        <v>2453094</v>
      </c>
      <c r="G59" s="13">
        <v>1618.31</v>
      </c>
      <c r="H59" s="13">
        <v>7.0000000000000007E-2</v>
      </c>
      <c r="I59" s="14" t="s">
        <v>13</v>
      </c>
      <c r="J59" s="14" t="s">
        <v>13</v>
      </c>
      <c r="K59" s="15" t="s">
        <v>13</v>
      </c>
      <c r="L59" s="16" t="s">
        <v>13</v>
      </c>
    </row>
    <row r="60" spans="1:12" x14ac:dyDescent="0.35">
      <c r="A60" s="10" t="s">
        <v>13</v>
      </c>
      <c r="B60" s="11" t="s">
        <v>145</v>
      </c>
      <c r="C60" s="11" t="s">
        <v>13</v>
      </c>
      <c r="D60" s="11" t="s">
        <v>146</v>
      </c>
      <c r="E60" s="11" t="s">
        <v>83</v>
      </c>
      <c r="F60" s="12">
        <v>117789</v>
      </c>
      <c r="G60" s="13">
        <v>1166.76</v>
      </c>
      <c r="H60" s="13">
        <v>0.05</v>
      </c>
      <c r="I60" s="14" t="s">
        <v>13</v>
      </c>
      <c r="J60" s="14" t="s">
        <v>13</v>
      </c>
      <c r="K60" s="15" t="s">
        <v>13</v>
      </c>
      <c r="L60" s="16" t="s">
        <v>13</v>
      </c>
    </row>
    <row r="61" spans="1:12" x14ac:dyDescent="0.35">
      <c r="A61" s="17"/>
      <c r="B61" s="9" t="s">
        <v>147</v>
      </c>
      <c r="C61" s="17"/>
      <c r="D61" s="17"/>
      <c r="E61" s="17"/>
      <c r="F61" s="17"/>
      <c r="G61" s="18">
        <v>1558317.62</v>
      </c>
      <c r="H61" s="18">
        <v>69.900000000000006</v>
      </c>
      <c r="I61" s="17"/>
      <c r="J61" s="17"/>
      <c r="K61" s="17"/>
      <c r="L61" s="17"/>
    </row>
    <row r="62" spans="1:12" x14ac:dyDescent="0.35">
      <c r="A62" s="17"/>
      <c r="B62" s="9" t="s">
        <v>148</v>
      </c>
      <c r="C62" s="8"/>
      <c r="D62" s="8"/>
      <c r="E62" s="8"/>
      <c r="F62" s="8"/>
      <c r="G62" s="8"/>
      <c r="H62" s="8"/>
      <c r="I62" s="8"/>
      <c r="J62" s="8"/>
      <c r="K62" s="8"/>
      <c r="L62" s="8"/>
    </row>
    <row r="63" spans="1:12" x14ac:dyDescent="0.35">
      <c r="A63" s="17"/>
      <c r="B63" s="11" t="s">
        <v>149</v>
      </c>
      <c r="C63" s="11" t="s">
        <v>13</v>
      </c>
      <c r="D63" s="11" t="s">
        <v>150</v>
      </c>
      <c r="E63" s="11" t="s">
        <v>151</v>
      </c>
      <c r="F63" s="12">
        <v>5000000</v>
      </c>
      <c r="G63" s="13">
        <v>16296</v>
      </c>
      <c r="H63" s="13">
        <v>0.73</v>
      </c>
      <c r="I63" s="14" t="s">
        <v>13</v>
      </c>
      <c r="J63" s="14" t="s">
        <v>13</v>
      </c>
      <c r="K63" s="15" t="s">
        <v>13</v>
      </c>
      <c r="L63" s="16" t="s">
        <v>13</v>
      </c>
    </row>
    <row r="64" spans="1:12" x14ac:dyDescent="0.35">
      <c r="A64" s="17"/>
      <c r="B64" s="9" t="s">
        <v>147</v>
      </c>
      <c r="C64" s="11"/>
      <c r="D64" s="11"/>
      <c r="E64" s="11"/>
      <c r="F64" s="12"/>
      <c r="G64" s="19">
        <v>16296</v>
      </c>
      <c r="H64" s="19">
        <v>0.73</v>
      </c>
      <c r="I64" s="14"/>
      <c r="J64" s="14"/>
      <c r="K64" s="15"/>
      <c r="L64" s="16"/>
    </row>
    <row r="65" spans="1:12" x14ac:dyDescent="0.35">
      <c r="A65" s="8"/>
      <c r="B65" s="9" t="s">
        <v>152</v>
      </c>
      <c r="C65" s="8"/>
      <c r="D65" s="8"/>
      <c r="E65" s="8"/>
      <c r="F65" s="8"/>
      <c r="G65" s="8"/>
      <c r="H65" s="8"/>
      <c r="I65" s="8"/>
      <c r="J65" s="8"/>
      <c r="K65" s="8"/>
      <c r="L65" s="8"/>
    </row>
    <row r="66" spans="1:12" x14ac:dyDescent="0.35">
      <c r="A66" s="8"/>
      <c r="B66" s="9" t="s">
        <v>153</v>
      </c>
      <c r="C66" s="8"/>
      <c r="D66" s="8"/>
      <c r="E66" s="8"/>
      <c r="F66" s="8"/>
      <c r="G66" s="8"/>
      <c r="H66" s="8"/>
      <c r="I66" s="8"/>
      <c r="J66" s="8"/>
      <c r="K66" s="8"/>
      <c r="L66" s="8"/>
    </row>
    <row r="67" spans="1:12" x14ac:dyDescent="0.35">
      <c r="A67" s="10" t="s">
        <v>13</v>
      </c>
      <c r="B67" s="11" t="s">
        <v>154</v>
      </c>
      <c r="C67" s="11">
        <v>7.5</v>
      </c>
      <c r="D67" s="11" t="s">
        <v>155</v>
      </c>
      <c r="E67" s="11" t="s">
        <v>156</v>
      </c>
      <c r="F67" s="12">
        <v>12500</v>
      </c>
      <c r="G67" s="13">
        <v>14653.62</v>
      </c>
      <c r="H67" s="13">
        <v>0.66</v>
      </c>
      <c r="I67" s="14">
        <v>7.3675000000000006</v>
      </c>
      <c r="J67" s="14" t="s">
        <v>13</v>
      </c>
      <c r="K67" s="15" t="s">
        <v>13</v>
      </c>
      <c r="L67" s="16" t="s">
        <v>13</v>
      </c>
    </row>
    <row r="68" spans="1:12" x14ac:dyDescent="0.35">
      <c r="A68" s="17"/>
      <c r="B68" s="9" t="s">
        <v>147</v>
      </c>
      <c r="C68" s="17"/>
      <c r="D68" s="17"/>
      <c r="E68" s="17"/>
      <c r="F68" s="17"/>
      <c r="G68" s="18">
        <v>14653.62</v>
      </c>
      <c r="H68" s="18">
        <v>0.66</v>
      </c>
      <c r="I68" s="17"/>
      <c r="J68" s="17"/>
      <c r="K68" s="17"/>
      <c r="L68" s="17"/>
    </row>
    <row r="69" spans="1:12" x14ac:dyDescent="0.35">
      <c r="A69" s="8"/>
      <c r="B69" s="9" t="s">
        <v>157</v>
      </c>
      <c r="C69" s="8"/>
      <c r="D69" s="8"/>
      <c r="E69" s="8"/>
      <c r="F69" s="8"/>
      <c r="G69" s="20">
        <f>G68+G64+G61</f>
        <v>1589267.2400000002</v>
      </c>
      <c r="H69" s="20">
        <v>71.290000000000006</v>
      </c>
      <c r="I69" s="8"/>
      <c r="J69" s="8"/>
      <c r="K69" s="8"/>
      <c r="L69" s="8"/>
    </row>
    <row r="70" spans="1:12" x14ac:dyDescent="0.35">
      <c r="A70" s="8"/>
      <c r="B70" s="9" t="s">
        <v>158</v>
      </c>
      <c r="C70" s="8"/>
      <c r="D70" s="8"/>
      <c r="E70" s="8"/>
      <c r="F70" s="8"/>
      <c r="G70" s="8"/>
      <c r="H70" s="8"/>
      <c r="I70" s="8"/>
      <c r="J70" s="8"/>
      <c r="K70" s="8"/>
      <c r="L70" s="8"/>
    </row>
    <row r="71" spans="1:12" x14ac:dyDescent="0.35">
      <c r="A71" s="8"/>
      <c r="B71" s="9" t="s">
        <v>15</v>
      </c>
      <c r="C71" s="8"/>
      <c r="D71" s="8"/>
      <c r="E71" s="8"/>
      <c r="F71" s="8"/>
      <c r="G71" s="8"/>
      <c r="H71" s="8"/>
      <c r="I71" s="8"/>
      <c r="J71" s="8"/>
      <c r="K71" s="8"/>
      <c r="L71" s="8"/>
    </row>
    <row r="72" spans="1:12" x14ac:dyDescent="0.35">
      <c r="A72" s="8"/>
      <c r="B72" s="9" t="s">
        <v>159</v>
      </c>
      <c r="C72" s="8"/>
      <c r="D72" s="8"/>
      <c r="E72" s="8"/>
      <c r="F72" s="8"/>
      <c r="G72" s="8"/>
      <c r="H72" s="8"/>
      <c r="I72" s="8"/>
      <c r="J72" s="8"/>
      <c r="K72" s="8"/>
      <c r="L72" s="8"/>
    </row>
    <row r="73" spans="1:12" x14ac:dyDescent="0.35">
      <c r="A73" s="10" t="s">
        <v>17</v>
      </c>
      <c r="B73" s="11" t="s">
        <v>160</v>
      </c>
      <c r="C73" s="11">
        <v>7.34</v>
      </c>
      <c r="D73" s="11" t="s">
        <v>161</v>
      </c>
      <c r="E73" s="11" t="s">
        <v>162</v>
      </c>
      <c r="F73" s="12">
        <v>59000000</v>
      </c>
      <c r="G73" s="13">
        <v>56545.01</v>
      </c>
      <c r="H73" s="13">
        <v>2.54</v>
      </c>
      <c r="I73" s="14">
        <v>7.83</v>
      </c>
      <c r="J73" s="14" t="s">
        <v>13</v>
      </c>
      <c r="K73" s="15" t="s">
        <v>13</v>
      </c>
      <c r="L73" s="16" t="s">
        <v>13</v>
      </c>
    </row>
    <row r="74" spans="1:12" x14ac:dyDescent="0.35">
      <c r="A74" s="10" t="s">
        <v>13</v>
      </c>
      <c r="B74" s="11" t="s">
        <v>163</v>
      </c>
      <c r="C74" s="11">
        <v>6.9</v>
      </c>
      <c r="D74" s="11" t="s">
        <v>164</v>
      </c>
      <c r="E74" s="11" t="s">
        <v>162</v>
      </c>
      <c r="F74" s="12">
        <v>13500000</v>
      </c>
      <c r="G74" s="13">
        <v>12238.56</v>
      </c>
      <c r="H74" s="13">
        <v>0.55000000000000004</v>
      </c>
      <c r="I74" s="14">
        <v>7.8</v>
      </c>
      <c r="J74" s="14" t="s">
        <v>13</v>
      </c>
      <c r="K74" s="15" t="s">
        <v>13</v>
      </c>
      <c r="L74" s="16" t="s">
        <v>13</v>
      </c>
    </row>
    <row r="75" spans="1:12" x14ac:dyDescent="0.35">
      <c r="A75" s="10" t="s">
        <v>13</v>
      </c>
      <c r="B75" s="11" t="s">
        <v>165</v>
      </c>
      <c r="C75" s="11">
        <v>6.98</v>
      </c>
      <c r="D75" s="11" t="s">
        <v>166</v>
      </c>
      <c r="E75" s="11" t="s">
        <v>162</v>
      </c>
      <c r="F75" s="12">
        <v>10000000</v>
      </c>
      <c r="G75" s="13">
        <v>9312.33</v>
      </c>
      <c r="H75" s="13">
        <v>0.42</v>
      </c>
      <c r="I75" s="14">
        <v>7.71</v>
      </c>
      <c r="J75" s="14" t="s">
        <v>13</v>
      </c>
      <c r="K75" s="15" t="s">
        <v>13</v>
      </c>
      <c r="L75" s="16" t="s">
        <v>13</v>
      </c>
    </row>
    <row r="76" spans="1:12" x14ac:dyDescent="0.35">
      <c r="A76" s="10" t="s">
        <v>13</v>
      </c>
      <c r="B76" s="11" t="s">
        <v>167</v>
      </c>
      <c r="C76" s="11">
        <v>7.64</v>
      </c>
      <c r="D76" s="11" t="s">
        <v>168</v>
      </c>
      <c r="E76" s="11" t="s">
        <v>162</v>
      </c>
      <c r="F76" s="12">
        <v>8500000</v>
      </c>
      <c r="G76" s="13">
        <v>8530.52</v>
      </c>
      <c r="H76" s="13">
        <v>0.38</v>
      </c>
      <c r="I76" s="14">
        <v>7.71</v>
      </c>
      <c r="J76" s="14" t="s">
        <v>13</v>
      </c>
      <c r="K76" s="15" t="s">
        <v>13</v>
      </c>
      <c r="L76" s="16" t="s">
        <v>13</v>
      </c>
    </row>
    <row r="77" spans="1:12" x14ac:dyDescent="0.35">
      <c r="A77" s="10" t="s">
        <v>13</v>
      </c>
      <c r="B77" s="11" t="s">
        <v>169</v>
      </c>
      <c r="C77" s="11">
        <v>7.64</v>
      </c>
      <c r="D77" s="11" t="s">
        <v>170</v>
      </c>
      <c r="E77" s="11" t="s">
        <v>162</v>
      </c>
      <c r="F77" s="12">
        <v>7000000</v>
      </c>
      <c r="G77" s="13">
        <v>7003.53</v>
      </c>
      <c r="H77" s="13">
        <v>0.31</v>
      </c>
      <c r="I77" s="14">
        <v>7.77</v>
      </c>
      <c r="J77" s="14" t="s">
        <v>13</v>
      </c>
      <c r="K77" s="15" t="s">
        <v>13</v>
      </c>
      <c r="L77" s="16" t="s">
        <v>13</v>
      </c>
    </row>
    <row r="78" spans="1:12" x14ac:dyDescent="0.35">
      <c r="A78" s="10" t="s">
        <v>13</v>
      </c>
      <c r="B78" s="11" t="s">
        <v>171</v>
      </c>
      <c r="C78" s="11">
        <v>7.68</v>
      </c>
      <c r="D78" s="11" t="s">
        <v>172</v>
      </c>
      <c r="E78" s="11" t="s">
        <v>162</v>
      </c>
      <c r="F78" s="12">
        <v>6905800</v>
      </c>
      <c r="G78" s="13">
        <v>6945.55</v>
      </c>
      <c r="H78" s="13">
        <v>0.31</v>
      </c>
      <c r="I78" s="14">
        <v>7.69</v>
      </c>
      <c r="J78" s="14" t="s">
        <v>13</v>
      </c>
      <c r="K78" s="15" t="s">
        <v>13</v>
      </c>
      <c r="L78" s="16" t="s">
        <v>13</v>
      </c>
    </row>
    <row r="79" spans="1:12" x14ac:dyDescent="0.35">
      <c r="A79" s="10" t="s">
        <v>13</v>
      </c>
      <c r="B79" s="11" t="s">
        <v>173</v>
      </c>
      <c r="C79" s="11">
        <v>7.67</v>
      </c>
      <c r="D79" s="11" t="s">
        <v>174</v>
      </c>
      <c r="E79" s="11" t="s">
        <v>162</v>
      </c>
      <c r="F79" s="12">
        <v>5000000</v>
      </c>
      <c r="G79" s="13">
        <v>5051.58</v>
      </c>
      <c r="H79" s="13">
        <v>0.23</v>
      </c>
      <c r="I79" s="14">
        <v>7.54</v>
      </c>
      <c r="J79" s="14" t="s">
        <v>13</v>
      </c>
      <c r="K79" s="15" t="s">
        <v>13</v>
      </c>
      <c r="L79" s="16" t="s">
        <v>13</v>
      </c>
    </row>
    <row r="80" spans="1:12" x14ac:dyDescent="0.35">
      <c r="A80" s="10" t="s">
        <v>13</v>
      </c>
      <c r="B80" s="11" t="s">
        <v>175</v>
      </c>
      <c r="C80" s="11">
        <v>7.68</v>
      </c>
      <c r="D80" s="11" t="s">
        <v>176</v>
      </c>
      <c r="E80" s="11" t="s">
        <v>162</v>
      </c>
      <c r="F80" s="12">
        <v>5000000</v>
      </c>
      <c r="G80" s="13">
        <v>5026.03</v>
      </c>
      <c r="H80" s="13">
        <v>0.23</v>
      </c>
      <c r="I80" s="14">
        <v>7.71</v>
      </c>
      <c r="J80" s="14" t="s">
        <v>13</v>
      </c>
      <c r="K80" s="15" t="s">
        <v>13</v>
      </c>
      <c r="L80" s="16" t="s">
        <v>13</v>
      </c>
    </row>
    <row r="81" spans="1:12" x14ac:dyDescent="0.35">
      <c r="A81" s="10" t="s">
        <v>13</v>
      </c>
      <c r="B81" s="11" t="s">
        <v>177</v>
      </c>
      <c r="C81" s="11">
        <v>7.63</v>
      </c>
      <c r="D81" s="11" t="s">
        <v>178</v>
      </c>
      <c r="E81" s="11" t="s">
        <v>162</v>
      </c>
      <c r="F81" s="12">
        <v>5000000</v>
      </c>
      <c r="G81" s="13">
        <v>4999.6400000000003</v>
      </c>
      <c r="H81" s="13">
        <v>0.22</v>
      </c>
      <c r="I81" s="14">
        <v>7.77</v>
      </c>
      <c r="J81" s="14" t="s">
        <v>13</v>
      </c>
      <c r="K81" s="15" t="s">
        <v>13</v>
      </c>
      <c r="L81" s="16" t="s">
        <v>13</v>
      </c>
    </row>
    <row r="82" spans="1:12" x14ac:dyDescent="0.35">
      <c r="A82" s="10" t="s">
        <v>13</v>
      </c>
      <c r="B82" s="11" t="s">
        <v>179</v>
      </c>
      <c r="C82" s="11">
        <v>7.65</v>
      </c>
      <c r="D82" s="11" t="s">
        <v>180</v>
      </c>
      <c r="E82" s="11" t="s">
        <v>162</v>
      </c>
      <c r="F82" s="12">
        <v>5000000</v>
      </c>
      <c r="G82" s="13">
        <v>4990.26</v>
      </c>
      <c r="H82" s="13">
        <v>0.22</v>
      </c>
      <c r="I82" s="14">
        <v>7.83</v>
      </c>
      <c r="J82" s="14" t="s">
        <v>13</v>
      </c>
      <c r="K82" s="15" t="s">
        <v>13</v>
      </c>
      <c r="L82" s="16" t="s">
        <v>13</v>
      </c>
    </row>
    <row r="83" spans="1:12" x14ac:dyDescent="0.35">
      <c r="A83" s="10" t="s">
        <v>13</v>
      </c>
      <c r="B83" s="11" t="s">
        <v>181</v>
      </c>
      <c r="C83" s="11">
        <v>6.52</v>
      </c>
      <c r="D83" s="11" t="s">
        <v>182</v>
      </c>
      <c r="E83" s="11" t="s">
        <v>162</v>
      </c>
      <c r="F83" s="12">
        <v>2500000</v>
      </c>
      <c r="G83" s="13">
        <v>2570.33</v>
      </c>
      <c r="H83" s="13">
        <v>0.12</v>
      </c>
      <c r="I83" s="14">
        <v>6.04</v>
      </c>
      <c r="J83" s="14" t="s">
        <v>13</v>
      </c>
      <c r="K83" s="15" t="s">
        <v>13</v>
      </c>
      <c r="L83" s="16" t="s">
        <v>13</v>
      </c>
    </row>
    <row r="84" spans="1:12" x14ac:dyDescent="0.35">
      <c r="A84" s="10" t="s">
        <v>13</v>
      </c>
      <c r="B84" s="11" t="s">
        <v>183</v>
      </c>
      <c r="C84" s="11">
        <v>7.08</v>
      </c>
      <c r="D84" s="11" t="s">
        <v>184</v>
      </c>
      <c r="E84" s="11" t="s">
        <v>162</v>
      </c>
      <c r="F84" s="12">
        <v>2500000</v>
      </c>
      <c r="G84" s="13">
        <v>2357.94</v>
      </c>
      <c r="H84" s="13">
        <v>0.11</v>
      </c>
      <c r="I84" s="14">
        <v>7.93</v>
      </c>
      <c r="J84" s="14" t="s">
        <v>13</v>
      </c>
      <c r="K84" s="15" t="s">
        <v>13</v>
      </c>
      <c r="L84" s="16" t="s">
        <v>13</v>
      </c>
    </row>
    <row r="85" spans="1:12" x14ac:dyDescent="0.35">
      <c r="A85" s="10" t="s">
        <v>13</v>
      </c>
      <c r="B85" s="11" t="s">
        <v>185</v>
      </c>
      <c r="C85" s="11">
        <v>7.09</v>
      </c>
      <c r="D85" s="11" t="s">
        <v>186</v>
      </c>
      <c r="E85" s="11" t="s">
        <v>162</v>
      </c>
      <c r="F85" s="12">
        <v>2500000</v>
      </c>
      <c r="G85" s="13">
        <v>2397.94</v>
      </c>
      <c r="H85" s="13">
        <v>0.11</v>
      </c>
      <c r="I85" s="14">
        <v>7.88</v>
      </c>
      <c r="J85" s="14" t="s">
        <v>13</v>
      </c>
      <c r="K85" s="15" t="s">
        <v>13</v>
      </c>
      <c r="L85" s="16" t="s">
        <v>13</v>
      </c>
    </row>
    <row r="86" spans="1:12" x14ac:dyDescent="0.35">
      <c r="A86" s="10" t="s">
        <v>13</v>
      </c>
      <c r="B86" s="11" t="s">
        <v>187</v>
      </c>
      <c r="C86" s="11">
        <v>7.72</v>
      </c>
      <c r="D86" s="11" t="s">
        <v>188</v>
      </c>
      <c r="E86" s="11" t="s">
        <v>162</v>
      </c>
      <c r="F86" s="12">
        <v>2500000</v>
      </c>
      <c r="G86" s="13">
        <v>2474.02</v>
      </c>
      <c r="H86" s="13">
        <v>0.11</v>
      </c>
      <c r="I86" s="14">
        <v>7.99</v>
      </c>
      <c r="J86" s="14" t="s">
        <v>13</v>
      </c>
      <c r="K86" s="15" t="s">
        <v>13</v>
      </c>
      <c r="L86" s="16" t="s">
        <v>13</v>
      </c>
    </row>
    <row r="87" spans="1:12" x14ac:dyDescent="0.35">
      <c r="A87" s="10" t="s">
        <v>13</v>
      </c>
      <c r="B87" s="11" t="s">
        <v>189</v>
      </c>
      <c r="C87" s="11">
        <v>7.73</v>
      </c>
      <c r="D87" s="11" t="s">
        <v>190</v>
      </c>
      <c r="E87" s="11" t="s">
        <v>162</v>
      </c>
      <c r="F87" s="12">
        <v>2500000</v>
      </c>
      <c r="G87" s="13">
        <v>2445.6</v>
      </c>
      <c r="H87" s="13">
        <v>0.11</v>
      </c>
      <c r="I87" s="14">
        <v>8.11</v>
      </c>
      <c r="J87" s="14" t="s">
        <v>13</v>
      </c>
      <c r="K87" s="15" t="s">
        <v>13</v>
      </c>
      <c r="L87" s="16" t="s">
        <v>13</v>
      </c>
    </row>
    <row r="88" spans="1:12" x14ac:dyDescent="0.35">
      <c r="A88" s="10" t="s">
        <v>13</v>
      </c>
      <c r="B88" s="11" t="s">
        <v>191</v>
      </c>
      <c r="C88" s="11">
        <v>6.88</v>
      </c>
      <c r="D88" s="11" t="s">
        <v>192</v>
      </c>
      <c r="E88" s="11" t="s">
        <v>162</v>
      </c>
      <c r="F88" s="12">
        <v>2500000</v>
      </c>
      <c r="G88" s="13">
        <v>2303.37</v>
      </c>
      <c r="H88" s="13">
        <v>0.1</v>
      </c>
      <c r="I88" s="14">
        <v>7.97</v>
      </c>
      <c r="J88" s="14" t="s">
        <v>13</v>
      </c>
      <c r="K88" s="15" t="s">
        <v>13</v>
      </c>
      <c r="L88" s="16" t="s">
        <v>13</v>
      </c>
    </row>
    <row r="89" spans="1:12" x14ac:dyDescent="0.35">
      <c r="A89" s="10" t="s">
        <v>13</v>
      </c>
      <c r="B89" s="11" t="s">
        <v>193</v>
      </c>
      <c r="C89" s="11">
        <v>7.66</v>
      </c>
      <c r="D89" s="11" t="s">
        <v>194</v>
      </c>
      <c r="E89" s="11" t="s">
        <v>162</v>
      </c>
      <c r="F89" s="12">
        <v>2000000</v>
      </c>
      <c r="G89" s="13">
        <v>2020.7</v>
      </c>
      <c r="H89" s="13">
        <v>0.09</v>
      </c>
      <c r="I89" s="14">
        <v>7.53</v>
      </c>
      <c r="J89" s="14" t="s">
        <v>13</v>
      </c>
      <c r="K89" s="15" t="s">
        <v>13</v>
      </c>
      <c r="L89" s="16" t="s">
        <v>13</v>
      </c>
    </row>
    <row r="90" spans="1:12" x14ac:dyDescent="0.35">
      <c r="A90" s="10" t="s">
        <v>13</v>
      </c>
      <c r="B90" s="11" t="s">
        <v>195</v>
      </c>
      <c r="C90" s="11">
        <v>7.67</v>
      </c>
      <c r="D90" s="11" t="s">
        <v>196</v>
      </c>
      <c r="E90" s="11" t="s">
        <v>162</v>
      </c>
      <c r="F90" s="12">
        <v>2000000</v>
      </c>
      <c r="G90" s="13">
        <v>1967.01</v>
      </c>
      <c r="H90" s="13">
        <v>0.09</v>
      </c>
      <c r="I90" s="14">
        <v>8.01</v>
      </c>
      <c r="J90" s="14" t="s">
        <v>13</v>
      </c>
      <c r="K90" s="15" t="s">
        <v>13</v>
      </c>
      <c r="L90" s="16" t="s">
        <v>13</v>
      </c>
    </row>
    <row r="91" spans="1:12" x14ac:dyDescent="0.35">
      <c r="A91" s="10" t="s">
        <v>13</v>
      </c>
      <c r="B91" s="11" t="s">
        <v>197</v>
      </c>
      <c r="C91" s="11">
        <v>7.1</v>
      </c>
      <c r="D91" s="11" t="s">
        <v>198</v>
      </c>
      <c r="E91" s="11" t="s">
        <v>162</v>
      </c>
      <c r="F91" s="12">
        <v>1500000</v>
      </c>
      <c r="G91" s="13">
        <v>1520.88</v>
      </c>
      <c r="H91" s="13">
        <v>7.0000000000000007E-2</v>
      </c>
      <c r="I91" s="14">
        <v>6.38</v>
      </c>
      <c r="J91" s="14" t="s">
        <v>13</v>
      </c>
      <c r="K91" s="15" t="s">
        <v>13</v>
      </c>
      <c r="L91" s="16" t="s">
        <v>13</v>
      </c>
    </row>
    <row r="92" spans="1:12" x14ac:dyDescent="0.35">
      <c r="A92" s="10" t="s">
        <v>13</v>
      </c>
      <c r="B92" s="11" t="s">
        <v>199</v>
      </c>
      <c r="C92" s="11">
        <v>8.1300000000000008</v>
      </c>
      <c r="D92" s="11" t="s">
        <v>200</v>
      </c>
      <c r="E92" s="11" t="s">
        <v>162</v>
      </c>
      <c r="F92" s="12">
        <v>1500000</v>
      </c>
      <c r="G92" s="13">
        <v>1594.82</v>
      </c>
      <c r="H92" s="13">
        <v>7.0000000000000007E-2</v>
      </c>
      <c r="I92" s="14">
        <v>7.64</v>
      </c>
      <c r="J92" s="14" t="s">
        <v>13</v>
      </c>
      <c r="K92" s="15" t="s">
        <v>13</v>
      </c>
      <c r="L92" s="16" t="s">
        <v>13</v>
      </c>
    </row>
    <row r="93" spans="1:12" x14ac:dyDescent="0.35">
      <c r="A93" s="10" t="s">
        <v>13</v>
      </c>
      <c r="B93" s="11" t="s">
        <v>201</v>
      </c>
      <c r="C93" s="11">
        <v>7.63</v>
      </c>
      <c r="D93" s="11" t="s">
        <v>202</v>
      </c>
      <c r="E93" s="11" t="s">
        <v>162</v>
      </c>
      <c r="F93" s="12">
        <v>1000000</v>
      </c>
      <c r="G93" s="13">
        <v>1003.08</v>
      </c>
      <c r="H93" s="13">
        <v>0.04</v>
      </c>
      <c r="I93" s="14">
        <v>7.71</v>
      </c>
      <c r="J93" s="14" t="s">
        <v>13</v>
      </c>
      <c r="K93" s="15" t="s">
        <v>13</v>
      </c>
      <c r="L93" s="16" t="s">
        <v>13</v>
      </c>
    </row>
    <row r="94" spans="1:12" x14ac:dyDescent="0.35">
      <c r="A94" s="10" t="s">
        <v>13</v>
      </c>
      <c r="B94" s="11" t="s">
        <v>203</v>
      </c>
      <c r="C94" s="11">
        <v>7.72</v>
      </c>
      <c r="D94" s="11" t="s">
        <v>204</v>
      </c>
      <c r="E94" s="11" t="s">
        <v>162</v>
      </c>
      <c r="F94" s="12">
        <v>1000000</v>
      </c>
      <c r="G94" s="13">
        <v>986.03</v>
      </c>
      <c r="H94" s="13">
        <v>0.04</v>
      </c>
      <c r="I94" s="14">
        <v>8.02</v>
      </c>
      <c r="J94" s="14" t="s">
        <v>13</v>
      </c>
      <c r="K94" s="15" t="s">
        <v>13</v>
      </c>
      <c r="L94" s="16" t="s">
        <v>13</v>
      </c>
    </row>
    <row r="95" spans="1:12" x14ac:dyDescent="0.35">
      <c r="A95" s="8"/>
      <c r="B95" s="9" t="s">
        <v>205</v>
      </c>
      <c r="C95" s="8"/>
      <c r="D95" s="8"/>
      <c r="E95" s="8"/>
      <c r="F95" s="8"/>
      <c r="G95" s="8"/>
      <c r="H95" s="8"/>
      <c r="I95" s="8"/>
      <c r="J95" s="8"/>
      <c r="K95" s="8"/>
      <c r="L95" s="8"/>
    </row>
    <row r="96" spans="1:12" x14ac:dyDescent="0.35">
      <c r="A96" s="10" t="s">
        <v>13</v>
      </c>
      <c r="B96" s="11" t="s">
        <v>206</v>
      </c>
      <c r="C96" s="11">
        <v>7.55</v>
      </c>
      <c r="D96" s="11" t="s">
        <v>207</v>
      </c>
      <c r="E96" s="11" t="s">
        <v>208</v>
      </c>
      <c r="F96" s="12">
        <v>36000</v>
      </c>
      <c r="G96" s="13">
        <v>35140.75</v>
      </c>
      <c r="H96" s="13">
        <v>1.58</v>
      </c>
      <c r="I96" s="14">
        <v>7.93</v>
      </c>
      <c r="J96" s="14" t="s">
        <v>13</v>
      </c>
      <c r="K96" s="15" t="s">
        <v>13</v>
      </c>
      <c r="L96" s="16" t="s">
        <v>13</v>
      </c>
    </row>
    <row r="97" spans="1:12" x14ac:dyDescent="0.35">
      <c r="A97" s="10" t="s">
        <v>13</v>
      </c>
      <c r="B97" s="11" t="s">
        <v>209</v>
      </c>
      <c r="C97" s="11">
        <v>7.75</v>
      </c>
      <c r="D97" s="11" t="s">
        <v>210</v>
      </c>
      <c r="E97" s="11" t="s">
        <v>208</v>
      </c>
      <c r="F97" s="12">
        <v>25000</v>
      </c>
      <c r="G97" s="13">
        <v>24896.2</v>
      </c>
      <c r="H97" s="13">
        <v>1.1200000000000001</v>
      </c>
      <c r="I97" s="14">
        <v>7.83</v>
      </c>
      <c r="J97" s="14" t="s">
        <v>13</v>
      </c>
      <c r="K97" s="15" t="s">
        <v>13</v>
      </c>
      <c r="L97" s="16" t="s">
        <v>13</v>
      </c>
    </row>
    <row r="98" spans="1:12" x14ac:dyDescent="0.35">
      <c r="A98" s="10" t="s">
        <v>13</v>
      </c>
      <c r="B98" s="11" t="s">
        <v>211</v>
      </c>
      <c r="C98" s="11">
        <v>7.97</v>
      </c>
      <c r="D98" s="11" t="s">
        <v>210</v>
      </c>
      <c r="E98" s="11" t="s">
        <v>208</v>
      </c>
      <c r="F98" s="12">
        <v>20000</v>
      </c>
      <c r="G98" s="13">
        <v>20141.62</v>
      </c>
      <c r="H98" s="13">
        <v>0.9</v>
      </c>
      <c r="I98" s="14">
        <v>7.83</v>
      </c>
      <c r="J98" s="14" t="s">
        <v>13</v>
      </c>
      <c r="K98" s="15" t="s">
        <v>13</v>
      </c>
      <c r="L98" s="16" t="s">
        <v>13</v>
      </c>
    </row>
    <row r="99" spans="1:12" x14ac:dyDescent="0.35">
      <c r="A99" s="10" t="s">
        <v>13</v>
      </c>
      <c r="B99" s="11" t="s">
        <v>212</v>
      </c>
      <c r="C99" s="11">
        <v>7.33</v>
      </c>
      <c r="D99" s="11" t="s">
        <v>213</v>
      </c>
      <c r="E99" s="11" t="s">
        <v>208</v>
      </c>
      <c r="F99" s="12">
        <v>200</v>
      </c>
      <c r="G99" s="13">
        <v>19790.259999999998</v>
      </c>
      <c r="H99" s="13">
        <v>0.89</v>
      </c>
      <c r="I99" s="14">
        <v>7.45</v>
      </c>
      <c r="J99" s="14">
        <v>7.4927999999999999</v>
      </c>
      <c r="K99" s="15" t="s">
        <v>13</v>
      </c>
      <c r="L99" s="16" t="s">
        <v>13</v>
      </c>
    </row>
    <row r="100" spans="1:12" x14ac:dyDescent="0.35">
      <c r="A100" s="10" t="s">
        <v>13</v>
      </c>
      <c r="B100" s="11" t="s">
        <v>214</v>
      </c>
      <c r="C100" s="11">
        <v>7.43</v>
      </c>
      <c r="D100" s="11" t="s">
        <v>215</v>
      </c>
      <c r="E100" s="11" t="s">
        <v>208</v>
      </c>
      <c r="F100" s="12">
        <v>20000</v>
      </c>
      <c r="G100" s="13">
        <v>19684.939999999999</v>
      </c>
      <c r="H100" s="13">
        <v>0.88</v>
      </c>
      <c r="I100" s="14">
        <v>7.72</v>
      </c>
      <c r="J100" s="14" t="s">
        <v>13</v>
      </c>
      <c r="K100" s="15" t="s">
        <v>13</v>
      </c>
      <c r="L100" s="16" t="s">
        <v>13</v>
      </c>
    </row>
    <row r="101" spans="1:12" x14ac:dyDescent="0.35">
      <c r="A101" s="10" t="s">
        <v>13</v>
      </c>
      <c r="B101" s="11" t="s">
        <v>216</v>
      </c>
      <c r="C101" s="11">
        <v>9.65</v>
      </c>
      <c r="D101" s="11" t="s">
        <v>217</v>
      </c>
      <c r="E101" s="11" t="s">
        <v>218</v>
      </c>
      <c r="F101" s="12">
        <v>1500</v>
      </c>
      <c r="G101" s="13">
        <v>15443.15</v>
      </c>
      <c r="H101" s="13">
        <v>0.69</v>
      </c>
      <c r="I101" s="14">
        <v>8.16</v>
      </c>
      <c r="J101" s="14" t="s">
        <v>13</v>
      </c>
      <c r="K101" s="15" t="s">
        <v>13</v>
      </c>
      <c r="L101" s="16" t="s">
        <v>13</v>
      </c>
    </row>
    <row r="102" spans="1:12" x14ac:dyDescent="0.35">
      <c r="A102" s="10" t="s">
        <v>13</v>
      </c>
      <c r="B102" s="11" t="s">
        <v>219</v>
      </c>
      <c r="C102" s="11">
        <v>7.23</v>
      </c>
      <c r="D102" s="11" t="s">
        <v>220</v>
      </c>
      <c r="E102" s="11" t="s">
        <v>208</v>
      </c>
      <c r="F102" s="12">
        <v>15000</v>
      </c>
      <c r="G102" s="13">
        <v>14808.18</v>
      </c>
      <c r="H102" s="13">
        <v>0.66</v>
      </c>
      <c r="I102" s="14">
        <v>7.9</v>
      </c>
      <c r="J102" s="14" t="s">
        <v>13</v>
      </c>
      <c r="K102" s="15" t="s">
        <v>13</v>
      </c>
      <c r="L102" s="16" t="s">
        <v>13</v>
      </c>
    </row>
    <row r="103" spans="1:12" x14ac:dyDescent="0.35">
      <c r="A103" s="10" t="s">
        <v>13</v>
      </c>
      <c r="B103" s="11" t="s">
        <v>221</v>
      </c>
      <c r="C103" s="11">
        <v>7.9880000000000004</v>
      </c>
      <c r="D103" s="11" t="s">
        <v>222</v>
      </c>
      <c r="E103" s="11" t="s">
        <v>208</v>
      </c>
      <c r="F103" s="12">
        <v>13000</v>
      </c>
      <c r="G103" s="13">
        <v>13036.01</v>
      </c>
      <c r="H103" s="13">
        <v>0.57999999999999996</v>
      </c>
      <c r="I103" s="14">
        <v>7.53</v>
      </c>
      <c r="J103" s="14" t="s">
        <v>13</v>
      </c>
      <c r="K103" s="15" t="s">
        <v>13</v>
      </c>
      <c r="L103" s="16" t="s">
        <v>13</v>
      </c>
    </row>
    <row r="104" spans="1:12" x14ac:dyDescent="0.35">
      <c r="A104" s="10" t="s">
        <v>13</v>
      </c>
      <c r="B104" s="11" t="s">
        <v>223</v>
      </c>
      <c r="C104" s="11">
        <v>8.7799999999999994</v>
      </c>
      <c r="D104" s="11" t="s">
        <v>224</v>
      </c>
      <c r="E104" s="11" t="s">
        <v>225</v>
      </c>
      <c r="F104" s="12">
        <v>12000</v>
      </c>
      <c r="G104" s="13">
        <v>12065.76</v>
      </c>
      <c r="H104" s="13">
        <v>0.54</v>
      </c>
      <c r="I104" s="14">
        <v>8.1999999999999993</v>
      </c>
      <c r="J104" s="14" t="s">
        <v>13</v>
      </c>
      <c r="K104" s="15" t="s">
        <v>13</v>
      </c>
      <c r="L104" s="16" t="s">
        <v>13</v>
      </c>
    </row>
    <row r="105" spans="1:12" x14ac:dyDescent="0.35">
      <c r="A105" s="10" t="s">
        <v>13</v>
      </c>
      <c r="B105" s="11" t="s">
        <v>226</v>
      </c>
      <c r="C105" s="11">
        <v>8.09</v>
      </c>
      <c r="D105" s="11" t="s">
        <v>227</v>
      </c>
      <c r="E105" s="11" t="s">
        <v>228</v>
      </c>
      <c r="F105" s="12">
        <v>10000</v>
      </c>
      <c r="G105" s="13">
        <v>10026.26</v>
      </c>
      <c r="H105" s="13">
        <v>0.45</v>
      </c>
      <c r="I105" s="14">
        <v>7.49</v>
      </c>
      <c r="J105" s="14" t="s">
        <v>13</v>
      </c>
      <c r="K105" s="15" t="s">
        <v>13</v>
      </c>
      <c r="L105" s="16" t="s">
        <v>13</v>
      </c>
    </row>
    <row r="106" spans="1:12" x14ac:dyDescent="0.35">
      <c r="A106" s="10" t="s">
        <v>13</v>
      </c>
      <c r="B106" s="11" t="s">
        <v>229</v>
      </c>
      <c r="C106" s="11">
        <v>9.1</v>
      </c>
      <c r="D106" s="11" t="s">
        <v>230</v>
      </c>
      <c r="E106" s="11" t="s">
        <v>231</v>
      </c>
      <c r="F106" s="12">
        <v>10000</v>
      </c>
      <c r="G106" s="13">
        <v>10119.32</v>
      </c>
      <c r="H106" s="13">
        <v>0.45</v>
      </c>
      <c r="I106" s="14">
        <v>8.7899999999999991</v>
      </c>
      <c r="J106" s="14" t="s">
        <v>13</v>
      </c>
      <c r="K106" s="15" t="s">
        <v>13</v>
      </c>
      <c r="L106" s="16" t="s">
        <v>13</v>
      </c>
    </row>
    <row r="107" spans="1:12" x14ac:dyDescent="0.35">
      <c r="A107" s="10" t="s">
        <v>13</v>
      </c>
      <c r="B107" s="11" t="s">
        <v>232</v>
      </c>
      <c r="C107" s="11">
        <v>7.8</v>
      </c>
      <c r="D107" s="11" t="s">
        <v>22</v>
      </c>
      <c r="E107" s="11" t="s">
        <v>208</v>
      </c>
      <c r="F107" s="12">
        <v>10000</v>
      </c>
      <c r="G107" s="13">
        <v>9986.74</v>
      </c>
      <c r="H107" s="13">
        <v>0.45</v>
      </c>
      <c r="I107" s="14">
        <v>7.83</v>
      </c>
      <c r="J107" s="14" t="s">
        <v>13</v>
      </c>
      <c r="K107" s="15" t="s">
        <v>13</v>
      </c>
      <c r="L107" s="16" t="s">
        <v>13</v>
      </c>
    </row>
    <row r="108" spans="1:12" x14ac:dyDescent="0.35">
      <c r="A108" s="10" t="s">
        <v>13</v>
      </c>
      <c r="B108" s="11" t="s">
        <v>233</v>
      </c>
      <c r="C108" s="11">
        <v>7.7</v>
      </c>
      <c r="D108" s="11" t="s">
        <v>234</v>
      </c>
      <c r="E108" s="11" t="s">
        <v>208</v>
      </c>
      <c r="F108" s="12">
        <v>12500</v>
      </c>
      <c r="G108" s="13">
        <v>10031.049999999999</v>
      </c>
      <c r="H108" s="13">
        <v>0.45</v>
      </c>
      <c r="I108" s="14">
        <v>7.58</v>
      </c>
      <c r="J108" s="14" t="s">
        <v>13</v>
      </c>
      <c r="K108" s="15" t="s">
        <v>13</v>
      </c>
      <c r="L108" s="16" t="s">
        <v>13</v>
      </c>
    </row>
    <row r="109" spans="1:12" x14ac:dyDescent="0.35">
      <c r="A109" s="10" t="s">
        <v>13</v>
      </c>
      <c r="B109" s="11" t="s">
        <v>235</v>
      </c>
      <c r="C109" s="11">
        <v>8</v>
      </c>
      <c r="D109" s="11" t="s">
        <v>236</v>
      </c>
      <c r="E109" s="11" t="s">
        <v>237</v>
      </c>
      <c r="F109" s="12">
        <v>1000</v>
      </c>
      <c r="G109" s="13">
        <v>9881.2000000000007</v>
      </c>
      <c r="H109" s="13">
        <v>0.44</v>
      </c>
      <c r="I109" s="14">
        <v>8.41</v>
      </c>
      <c r="J109" s="14" t="s">
        <v>13</v>
      </c>
      <c r="K109" s="15" t="s">
        <v>13</v>
      </c>
      <c r="L109" s="16" t="s">
        <v>13</v>
      </c>
    </row>
    <row r="110" spans="1:12" x14ac:dyDescent="0.35">
      <c r="A110" s="10" t="s">
        <v>13</v>
      </c>
      <c r="B110" s="11" t="s">
        <v>238</v>
      </c>
      <c r="C110" s="11">
        <v>6.92</v>
      </c>
      <c r="D110" s="11" t="s">
        <v>239</v>
      </c>
      <c r="E110" s="11" t="s">
        <v>208</v>
      </c>
      <c r="F110" s="12">
        <v>10000</v>
      </c>
      <c r="G110" s="13">
        <v>9909.82</v>
      </c>
      <c r="H110" s="13">
        <v>0.44</v>
      </c>
      <c r="I110" s="14">
        <v>7.45</v>
      </c>
      <c r="J110" s="14" t="s">
        <v>13</v>
      </c>
      <c r="K110" s="15" t="s">
        <v>13</v>
      </c>
      <c r="L110" s="16" t="s">
        <v>13</v>
      </c>
    </row>
    <row r="111" spans="1:12" x14ac:dyDescent="0.35">
      <c r="A111" s="10" t="s">
        <v>13</v>
      </c>
      <c r="B111" s="11" t="s">
        <v>240</v>
      </c>
      <c r="C111" s="11">
        <v>7.17</v>
      </c>
      <c r="D111" s="11" t="s">
        <v>241</v>
      </c>
      <c r="E111" s="11" t="s">
        <v>208</v>
      </c>
      <c r="F111" s="12">
        <v>10000</v>
      </c>
      <c r="G111" s="13">
        <v>9674.23</v>
      </c>
      <c r="H111" s="13">
        <v>0.43</v>
      </c>
      <c r="I111" s="14">
        <v>7.68</v>
      </c>
      <c r="J111" s="14" t="s">
        <v>13</v>
      </c>
      <c r="K111" s="15" t="s">
        <v>13</v>
      </c>
      <c r="L111" s="16" t="s">
        <v>13</v>
      </c>
    </row>
    <row r="112" spans="1:12" x14ac:dyDescent="0.35">
      <c r="A112" s="10" t="s">
        <v>13</v>
      </c>
      <c r="B112" s="11" t="s">
        <v>242</v>
      </c>
      <c r="C112" s="11">
        <v>7.7</v>
      </c>
      <c r="D112" s="11" t="s">
        <v>243</v>
      </c>
      <c r="E112" s="11" t="s">
        <v>208</v>
      </c>
      <c r="F112" s="12">
        <v>9500</v>
      </c>
      <c r="G112" s="13">
        <v>9470.58</v>
      </c>
      <c r="H112" s="13">
        <v>0.42</v>
      </c>
      <c r="I112" s="14">
        <v>7.74</v>
      </c>
      <c r="J112" s="14" t="s">
        <v>13</v>
      </c>
      <c r="K112" s="15" t="s">
        <v>13</v>
      </c>
      <c r="L112" s="16" t="s">
        <v>13</v>
      </c>
    </row>
    <row r="113" spans="1:12" x14ac:dyDescent="0.35">
      <c r="A113" s="10" t="s">
        <v>13</v>
      </c>
      <c r="B113" s="11" t="s">
        <v>244</v>
      </c>
      <c r="C113" s="11">
        <v>8.2185000000000006</v>
      </c>
      <c r="D113" s="11" t="s">
        <v>245</v>
      </c>
      <c r="E113" s="11" t="s">
        <v>208</v>
      </c>
      <c r="F113" s="12">
        <v>7500</v>
      </c>
      <c r="G113" s="13">
        <v>7521.69</v>
      </c>
      <c r="H113" s="13">
        <v>0.34</v>
      </c>
      <c r="I113" s="14">
        <v>7.44</v>
      </c>
      <c r="J113" s="14" t="s">
        <v>13</v>
      </c>
      <c r="K113" s="15" t="s">
        <v>13</v>
      </c>
      <c r="L113" s="16" t="s">
        <v>13</v>
      </c>
    </row>
    <row r="114" spans="1:12" x14ac:dyDescent="0.35">
      <c r="A114" s="10" t="s">
        <v>13</v>
      </c>
      <c r="B114" s="11" t="s">
        <v>246</v>
      </c>
      <c r="C114" s="11">
        <v>7.57</v>
      </c>
      <c r="D114" s="11" t="s">
        <v>207</v>
      </c>
      <c r="E114" s="11" t="s">
        <v>208</v>
      </c>
      <c r="F114" s="12">
        <v>7500</v>
      </c>
      <c r="G114" s="13">
        <v>7422.56</v>
      </c>
      <c r="H114" s="13">
        <v>0.33</v>
      </c>
      <c r="I114" s="14">
        <v>7.88</v>
      </c>
      <c r="J114" s="14" t="s">
        <v>13</v>
      </c>
      <c r="K114" s="15" t="s">
        <v>13</v>
      </c>
      <c r="L114" s="16" t="s">
        <v>13</v>
      </c>
    </row>
    <row r="115" spans="1:12" x14ac:dyDescent="0.35">
      <c r="A115" s="10" t="s">
        <v>13</v>
      </c>
      <c r="B115" s="11" t="s">
        <v>247</v>
      </c>
      <c r="C115" s="11">
        <v>7.42</v>
      </c>
      <c r="D115" s="11" t="s">
        <v>213</v>
      </c>
      <c r="E115" s="11" t="s">
        <v>228</v>
      </c>
      <c r="F115" s="12">
        <v>75</v>
      </c>
      <c r="G115" s="13">
        <v>7464.95</v>
      </c>
      <c r="H115" s="13">
        <v>0.33</v>
      </c>
      <c r="I115" s="14">
        <v>7.47</v>
      </c>
      <c r="J115" s="14">
        <v>7.4878</v>
      </c>
      <c r="K115" s="15" t="s">
        <v>13</v>
      </c>
      <c r="L115" s="16" t="s">
        <v>13</v>
      </c>
    </row>
    <row r="116" spans="1:12" x14ac:dyDescent="0.35">
      <c r="A116" s="10" t="s">
        <v>13</v>
      </c>
      <c r="B116" s="11" t="s">
        <v>248</v>
      </c>
      <c r="C116" s="11">
        <v>7.4</v>
      </c>
      <c r="D116" s="11" t="s">
        <v>234</v>
      </c>
      <c r="E116" s="11" t="s">
        <v>208</v>
      </c>
      <c r="F116" s="12">
        <v>10000</v>
      </c>
      <c r="G116" s="13">
        <v>7005.16</v>
      </c>
      <c r="H116" s="13">
        <v>0.31</v>
      </c>
      <c r="I116" s="14">
        <v>7.58</v>
      </c>
      <c r="J116" s="14" t="s">
        <v>13</v>
      </c>
      <c r="K116" s="15" t="s">
        <v>13</v>
      </c>
      <c r="L116" s="16" t="s">
        <v>13</v>
      </c>
    </row>
    <row r="117" spans="1:12" x14ac:dyDescent="0.35">
      <c r="A117" s="10" t="s">
        <v>13</v>
      </c>
      <c r="B117" s="11" t="s">
        <v>249</v>
      </c>
      <c r="C117" s="11">
        <v>7.47</v>
      </c>
      <c r="D117" s="11" t="s">
        <v>241</v>
      </c>
      <c r="E117" s="11" t="s">
        <v>208</v>
      </c>
      <c r="F117" s="12">
        <v>611</v>
      </c>
      <c r="G117" s="13">
        <v>6049.07</v>
      </c>
      <c r="H117" s="13">
        <v>0.27</v>
      </c>
      <c r="I117" s="14">
        <v>7.66</v>
      </c>
      <c r="J117" s="14" t="s">
        <v>13</v>
      </c>
      <c r="K117" s="15" t="s">
        <v>13</v>
      </c>
      <c r="L117" s="16" t="s">
        <v>13</v>
      </c>
    </row>
    <row r="118" spans="1:12" x14ac:dyDescent="0.35">
      <c r="A118" s="10" t="s">
        <v>13</v>
      </c>
      <c r="B118" s="11" t="s">
        <v>250</v>
      </c>
      <c r="C118" s="11">
        <v>7.1</v>
      </c>
      <c r="D118" s="11" t="s">
        <v>239</v>
      </c>
      <c r="E118" s="11" t="s">
        <v>208</v>
      </c>
      <c r="F118" s="12">
        <v>600</v>
      </c>
      <c r="G118" s="13">
        <v>5996.81</v>
      </c>
      <c r="H118" s="13">
        <v>0.27</v>
      </c>
      <c r="I118" s="14">
        <v>7.29</v>
      </c>
      <c r="J118" s="14" t="s">
        <v>13</v>
      </c>
      <c r="K118" s="15" t="s">
        <v>13</v>
      </c>
      <c r="L118" s="16" t="s">
        <v>13</v>
      </c>
    </row>
    <row r="119" spans="1:12" x14ac:dyDescent="0.35">
      <c r="A119" s="10" t="s">
        <v>13</v>
      </c>
      <c r="B119" s="11" t="s">
        <v>251</v>
      </c>
      <c r="C119" s="11">
        <v>8.9</v>
      </c>
      <c r="D119" s="11" t="s">
        <v>224</v>
      </c>
      <c r="E119" s="11" t="s">
        <v>225</v>
      </c>
      <c r="F119" s="12">
        <v>5000</v>
      </c>
      <c r="G119" s="13">
        <v>5034.4799999999996</v>
      </c>
      <c r="H119" s="13">
        <v>0.23</v>
      </c>
      <c r="I119" s="14">
        <v>8.1999999999999993</v>
      </c>
      <c r="J119" s="14" t="s">
        <v>13</v>
      </c>
      <c r="K119" s="15" t="s">
        <v>13</v>
      </c>
      <c r="L119" s="16" t="s">
        <v>13</v>
      </c>
    </row>
    <row r="120" spans="1:12" x14ac:dyDescent="0.35">
      <c r="A120" s="10" t="s">
        <v>13</v>
      </c>
      <c r="B120" s="11" t="s">
        <v>252</v>
      </c>
      <c r="C120" s="11">
        <v>7.7</v>
      </c>
      <c r="D120" s="11" t="s">
        <v>207</v>
      </c>
      <c r="E120" s="11" t="s">
        <v>208</v>
      </c>
      <c r="F120" s="12">
        <v>5000</v>
      </c>
      <c r="G120" s="13">
        <v>4933.5600000000004</v>
      </c>
      <c r="H120" s="13">
        <v>0.22</v>
      </c>
      <c r="I120" s="14">
        <v>7.91</v>
      </c>
      <c r="J120" s="14" t="s">
        <v>13</v>
      </c>
      <c r="K120" s="15" t="s">
        <v>13</v>
      </c>
      <c r="L120" s="16" t="s">
        <v>13</v>
      </c>
    </row>
    <row r="121" spans="1:12" x14ac:dyDescent="0.35">
      <c r="A121" s="10" t="s">
        <v>13</v>
      </c>
      <c r="B121" s="11" t="s">
        <v>253</v>
      </c>
      <c r="C121" s="11">
        <v>7.45</v>
      </c>
      <c r="D121" s="11" t="s">
        <v>241</v>
      </c>
      <c r="E121" s="11" t="s">
        <v>208</v>
      </c>
      <c r="F121" s="12">
        <v>5000</v>
      </c>
      <c r="G121" s="13">
        <v>4995.7700000000004</v>
      </c>
      <c r="H121" s="13">
        <v>0.22</v>
      </c>
      <c r="I121" s="14">
        <v>7.51</v>
      </c>
      <c r="J121" s="14" t="s">
        <v>13</v>
      </c>
      <c r="K121" s="15" t="s">
        <v>13</v>
      </c>
      <c r="L121" s="16" t="s">
        <v>13</v>
      </c>
    </row>
    <row r="122" spans="1:12" x14ac:dyDescent="0.35">
      <c r="A122" s="10" t="s">
        <v>13</v>
      </c>
      <c r="B122" s="11" t="s">
        <v>254</v>
      </c>
      <c r="C122" s="11">
        <v>7.65</v>
      </c>
      <c r="D122" s="11" t="s">
        <v>241</v>
      </c>
      <c r="E122" s="11" t="s">
        <v>208</v>
      </c>
      <c r="F122" s="12">
        <v>5000</v>
      </c>
      <c r="G122" s="13">
        <v>4997.3</v>
      </c>
      <c r="H122" s="13">
        <v>0.22</v>
      </c>
      <c r="I122" s="14">
        <v>7.66</v>
      </c>
      <c r="J122" s="14" t="s">
        <v>13</v>
      </c>
      <c r="K122" s="15" t="s">
        <v>13</v>
      </c>
      <c r="L122" s="16" t="s">
        <v>13</v>
      </c>
    </row>
    <row r="123" spans="1:12" x14ac:dyDescent="0.35">
      <c r="A123" s="10" t="s">
        <v>13</v>
      </c>
      <c r="B123" s="11" t="s">
        <v>255</v>
      </c>
      <c r="C123" s="11">
        <v>6.58</v>
      </c>
      <c r="D123" s="11" t="s">
        <v>241</v>
      </c>
      <c r="E123" s="11" t="s">
        <v>208</v>
      </c>
      <c r="F123" s="12">
        <v>5000</v>
      </c>
      <c r="G123" s="13">
        <v>4838.76</v>
      </c>
      <c r="H123" s="13">
        <v>0.22</v>
      </c>
      <c r="I123" s="14">
        <v>7.53</v>
      </c>
      <c r="J123" s="14" t="s">
        <v>13</v>
      </c>
      <c r="K123" s="15" t="s">
        <v>13</v>
      </c>
      <c r="L123" s="16" t="s">
        <v>13</v>
      </c>
    </row>
    <row r="124" spans="1:12" x14ac:dyDescent="0.35">
      <c r="A124" s="10" t="s">
        <v>13</v>
      </c>
      <c r="B124" s="11" t="s">
        <v>256</v>
      </c>
      <c r="C124" s="11">
        <v>7.57</v>
      </c>
      <c r="D124" s="11" t="s">
        <v>239</v>
      </c>
      <c r="E124" s="11" t="s">
        <v>208</v>
      </c>
      <c r="F124" s="12">
        <v>5000</v>
      </c>
      <c r="G124" s="13">
        <v>4970.55</v>
      </c>
      <c r="H124" s="13">
        <v>0.22</v>
      </c>
      <c r="I124" s="14">
        <v>7.67</v>
      </c>
      <c r="J124" s="14" t="s">
        <v>13</v>
      </c>
      <c r="K124" s="15" t="s">
        <v>13</v>
      </c>
      <c r="L124" s="16" t="s">
        <v>13</v>
      </c>
    </row>
    <row r="125" spans="1:12" x14ac:dyDescent="0.35">
      <c r="A125" s="10" t="s">
        <v>13</v>
      </c>
      <c r="B125" s="11" t="s">
        <v>257</v>
      </c>
      <c r="C125" s="11">
        <v>7.46</v>
      </c>
      <c r="D125" s="11" t="s">
        <v>258</v>
      </c>
      <c r="E125" s="11" t="s">
        <v>208</v>
      </c>
      <c r="F125" s="12">
        <v>5000</v>
      </c>
      <c r="G125" s="13">
        <v>4995.12</v>
      </c>
      <c r="H125" s="13">
        <v>0.22</v>
      </c>
      <c r="I125" s="14">
        <v>7.49</v>
      </c>
      <c r="J125" s="14" t="s">
        <v>13</v>
      </c>
      <c r="K125" s="15" t="s">
        <v>13</v>
      </c>
      <c r="L125" s="16" t="s">
        <v>13</v>
      </c>
    </row>
    <row r="126" spans="1:12" x14ac:dyDescent="0.35">
      <c r="A126" s="10" t="s">
        <v>13</v>
      </c>
      <c r="B126" s="11" t="s">
        <v>259</v>
      </c>
      <c r="C126" s="11">
        <v>7.34</v>
      </c>
      <c r="D126" s="11" t="s">
        <v>260</v>
      </c>
      <c r="E126" s="11" t="s">
        <v>208</v>
      </c>
      <c r="F126" s="12">
        <v>5000</v>
      </c>
      <c r="G126" s="13">
        <v>4958.07</v>
      </c>
      <c r="H126" s="13">
        <v>0.22</v>
      </c>
      <c r="I126" s="14">
        <v>7.68</v>
      </c>
      <c r="J126" s="14" t="s">
        <v>13</v>
      </c>
      <c r="K126" s="15" t="s">
        <v>13</v>
      </c>
      <c r="L126" s="16" t="s">
        <v>13</v>
      </c>
    </row>
    <row r="127" spans="1:12" x14ac:dyDescent="0.35">
      <c r="A127" s="10" t="s">
        <v>13</v>
      </c>
      <c r="B127" s="11" t="s">
        <v>261</v>
      </c>
      <c r="C127" s="11">
        <v>7.47</v>
      </c>
      <c r="D127" s="11" t="s">
        <v>260</v>
      </c>
      <c r="E127" s="11" t="s">
        <v>208</v>
      </c>
      <c r="F127" s="12">
        <v>5000</v>
      </c>
      <c r="G127" s="13">
        <v>4967.34</v>
      </c>
      <c r="H127" s="13">
        <v>0.22</v>
      </c>
      <c r="I127" s="14">
        <v>7.68</v>
      </c>
      <c r="J127" s="14" t="s">
        <v>13</v>
      </c>
      <c r="K127" s="15" t="s">
        <v>13</v>
      </c>
      <c r="L127" s="16" t="s">
        <v>13</v>
      </c>
    </row>
    <row r="128" spans="1:12" x14ac:dyDescent="0.35">
      <c r="A128" s="10" t="s">
        <v>13</v>
      </c>
      <c r="B128" s="11" t="s">
        <v>262</v>
      </c>
      <c r="C128" s="11">
        <v>7.54</v>
      </c>
      <c r="D128" s="11" t="s">
        <v>263</v>
      </c>
      <c r="E128" s="11" t="s">
        <v>228</v>
      </c>
      <c r="F128" s="12">
        <v>5000</v>
      </c>
      <c r="G128" s="13">
        <v>4955.18</v>
      </c>
      <c r="H128" s="13">
        <v>0.22</v>
      </c>
      <c r="I128" s="14">
        <v>7.65</v>
      </c>
      <c r="J128" s="14" t="s">
        <v>13</v>
      </c>
      <c r="K128" s="15" t="s">
        <v>13</v>
      </c>
      <c r="L128" s="16" t="s">
        <v>13</v>
      </c>
    </row>
    <row r="129" spans="1:12" x14ac:dyDescent="0.35">
      <c r="A129" s="10" t="s">
        <v>13</v>
      </c>
      <c r="B129" s="11" t="s">
        <v>264</v>
      </c>
      <c r="C129" s="11">
        <v>7.25</v>
      </c>
      <c r="D129" s="11" t="s">
        <v>265</v>
      </c>
      <c r="E129" s="11" t="s">
        <v>208</v>
      </c>
      <c r="F129" s="12">
        <v>2500</v>
      </c>
      <c r="G129" s="13">
        <v>2486.13</v>
      </c>
      <c r="H129" s="13">
        <v>0.11</v>
      </c>
      <c r="I129" s="14">
        <v>7.41</v>
      </c>
      <c r="J129" s="14" t="s">
        <v>13</v>
      </c>
      <c r="K129" s="15" t="s">
        <v>13</v>
      </c>
      <c r="L129" s="16" t="s">
        <v>13</v>
      </c>
    </row>
    <row r="130" spans="1:12" x14ac:dyDescent="0.35">
      <c r="A130" s="10" t="s">
        <v>13</v>
      </c>
      <c r="B130" s="11" t="s">
        <v>266</v>
      </c>
      <c r="C130" s="11">
        <v>7.08</v>
      </c>
      <c r="D130" s="11" t="s">
        <v>267</v>
      </c>
      <c r="E130" s="11" t="s">
        <v>208</v>
      </c>
      <c r="F130" s="12">
        <v>2500</v>
      </c>
      <c r="G130" s="13">
        <v>2458.16</v>
      </c>
      <c r="H130" s="13">
        <v>0.11</v>
      </c>
      <c r="I130" s="14">
        <v>7.98</v>
      </c>
      <c r="J130" s="14" t="s">
        <v>13</v>
      </c>
      <c r="K130" s="15" t="s">
        <v>13</v>
      </c>
      <c r="L130" s="16" t="s">
        <v>13</v>
      </c>
    </row>
    <row r="131" spans="1:12" x14ac:dyDescent="0.35">
      <c r="A131" s="10" t="s">
        <v>13</v>
      </c>
      <c r="B131" s="11" t="s">
        <v>268</v>
      </c>
      <c r="C131" s="11">
        <v>8.1379000000000001</v>
      </c>
      <c r="D131" s="11" t="s">
        <v>245</v>
      </c>
      <c r="E131" s="11" t="s">
        <v>208</v>
      </c>
      <c r="F131" s="12">
        <v>2500</v>
      </c>
      <c r="G131" s="13">
        <v>2504.7600000000002</v>
      </c>
      <c r="H131" s="13">
        <v>0.11</v>
      </c>
      <c r="I131" s="14">
        <v>6.72</v>
      </c>
      <c r="J131" s="14" t="s">
        <v>13</v>
      </c>
      <c r="K131" s="15" t="s">
        <v>13</v>
      </c>
      <c r="L131" s="16" t="s">
        <v>13</v>
      </c>
    </row>
    <row r="132" spans="1:12" x14ac:dyDescent="0.35">
      <c r="A132" s="10" t="s">
        <v>13</v>
      </c>
      <c r="B132" s="11" t="s">
        <v>269</v>
      </c>
      <c r="C132" s="11">
        <v>8.6999999999999993</v>
      </c>
      <c r="D132" s="11" t="s">
        <v>270</v>
      </c>
      <c r="E132" s="11" t="s">
        <v>208</v>
      </c>
      <c r="F132" s="12">
        <v>250</v>
      </c>
      <c r="G132" s="13">
        <v>2558.83</v>
      </c>
      <c r="H132" s="13">
        <v>0.11</v>
      </c>
      <c r="I132" s="14">
        <v>7.75</v>
      </c>
      <c r="J132" s="14" t="s">
        <v>13</v>
      </c>
      <c r="K132" s="15" t="s">
        <v>13</v>
      </c>
      <c r="L132" s="16" t="s">
        <v>13</v>
      </c>
    </row>
    <row r="133" spans="1:12" x14ac:dyDescent="0.35">
      <c r="A133" s="10" t="s">
        <v>13</v>
      </c>
      <c r="B133" s="11" t="s">
        <v>271</v>
      </c>
      <c r="C133" s="11">
        <v>7.83</v>
      </c>
      <c r="D133" s="11" t="s">
        <v>272</v>
      </c>
      <c r="E133" s="11" t="s">
        <v>208</v>
      </c>
      <c r="F133" s="12">
        <v>2500</v>
      </c>
      <c r="G133" s="13">
        <v>2507.83</v>
      </c>
      <c r="H133" s="13">
        <v>0.11</v>
      </c>
      <c r="I133" s="14">
        <v>7.15</v>
      </c>
      <c r="J133" s="14" t="s">
        <v>13</v>
      </c>
      <c r="K133" s="15" t="s">
        <v>13</v>
      </c>
      <c r="L133" s="16" t="s">
        <v>13</v>
      </c>
    </row>
    <row r="134" spans="1:12" x14ac:dyDescent="0.35">
      <c r="A134" s="10" t="s">
        <v>13</v>
      </c>
      <c r="B134" s="11" t="s">
        <v>273</v>
      </c>
      <c r="C134" s="11">
        <v>7.64</v>
      </c>
      <c r="D134" s="11" t="s">
        <v>243</v>
      </c>
      <c r="E134" s="11" t="s">
        <v>228</v>
      </c>
      <c r="F134" s="12">
        <v>2500</v>
      </c>
      <c r="G134" s="13">
        <v>2493.7399999999998</v>
      </c>
      <c r="H134" s="13">
        <v>0.11</v>
      </c>
      <c r="I134" s="14">
        <v>7.7</v>
      </c>
      <c r="J134" s="14" t="s">
        <v>13</v>
      </c>
      <c r="K134" s="15" t="s">
        <v>13</v>
      </c>
      <c r="L134" s="16" t="s">
        <v>13</v>
      </c>
    </row>
    <row r="135" spans="1:12" x14ac:dyDescent="0.35">
      <c r="A135" s="10" t="s">
        <v>13</v>
      </c>
      <c r="B135" s="11" t="s">
        <v>274</v>
      </c>
      <c r="C135" s="11">
        <v>7.25</v>
      </c>
      <c r="D135" s="11" t="s">
        <v>215</v>
      </c>
      <c r="E135" s="11" t="s">
        <v>208</v>
      </c>
      <c r="F135" s="12">
        <v>2500</v>
      </c>
      <c r="G135" s="13">
        <v>2386.2399999999998</v>
      </c>
      <c r="H135" s="13">
        <v>0.11</v>
      </c>
      <c r="I135" s="14">
        <v>7.8</v>
      </c>
      <c r="J135" s="14" t="s">
        <v>13</v>
      </c>
      <c r="K135" s="15" t="s">
        <v>13</v>
      </c>
      <c r="L135" s="16" t="s">
        <v>13</v>
      </c>
    </row>
    <row r="136" spans="1:12" x14ac:dyDescent="0.35">
      <c r="A136" s="10" t="s">
        <v>13</v>
      </c>
      <c r="B136" s="11" t="s">
        <v>275</v>
      </c>
      <c r="C136" s="11">
        <v>7.55</v>
      </c>
      <c r="D136" s="11" t="s">
        <v>276</v>
      </c>
      <c r="E136" s="11" t="s">
        <v>228</v>
      </c>
      <c r="F136" s="12">
        <v>250</v>
      </c>
      <c r="G136" s="13">
        <v>2495.92</v>
      </c>
      <c r="H136" s="13">
        <v>0.11</v>
      </c>
      <c r="I136" s="14">
        <v>7.57</v>
      </c>
      <c r="J136" s="14" t="s">
        <v>13</v>
      </c>
      <c r="K136" s="15" t="s">
        <v>13</v>
      </c>
      <c r="L136" s="16" t="s">
        <v>13</v>
      </c>
    </row>
    <row r="137" spans="1:12" x14ac:dyDescent="0.35">
      <c r="A137" s="10" t="s">
        <v>13</v>
      </c>
      <c r="B137" s="11" t="s">
        <v>277</v>
      </c>
      <c r="C137" s="11">
        <v>6.27</v>
      </c>
      <c r="D137" s="11" t="s">
        <v>239</v>
      </c>
      <c r="E137" s="11" t="s">
        <v>208</v>
      </c>
      <c r="F137" s="12">
        <v>2500</v>
      </c>
      <c r="G137" s="13">
        <v>2468.39</v>
      </c>
      <c r="H137" s="13">
        <v>0.11</v>
      </c>
      <c r="I137" s="14">
        <v>7.4</v>
      </c>
      <c r="J137" s="14" t="s">
        <v>13</v>
      </c>
      <c r="K137" s="15" t="s">
        <v>13</v>
      </c>
      <c r="L137" s="16" t="s">
        <v>13</v>
      </c>
    </row>
    <row r="138" spans="1:12" x14ac:dyDescent="0.35">
      <c r="A138" s="10" t="s">
        <v>13</v>
      </c>
      <c r="B138" s="11" t="s">
        <v>278</v>
      </c>
      <c r="C138" s="11">
        <v>7.44</v>
      </c>
      <c r="D138" s="11" t="s">
        <v>279</v>
      </c>
      <c r="E138" s="11" t="s">
        <v>208</v>
      </c>
      <c r="F138" s="12">
        <v>2500</v>
      </c>
      <c r="G138" s="13">
        <v>2499.31</v>
      </c>
      <c r="H138" s="13">
        <v>0.11</v>
      </c>
      <c r="I138" s="14">
        <v>7.45</v>
      </c>
      <c r="J138" s="14" t="s">
        <v>13</v>
      </c>
      <c r="K138" s="15" t="s">
        <v>13</v>
      </c>
      <c r="L138" s="16" t="s">
        <v>13</v>
      </c>
    </row>
    <row r="139" spans="1:12" x14ac:dyDescent="0.35">
      <c r="A139" s="10" t="s">
        <v>13</v>
      </c>
      <c r="B139" s="11" t="s">
        <v>280</v>
      </c>
      <c r="C139" s="11">
        <v>7.79</v>
      </c>
      <c r="D139" s="11" t="s">
        <v>260</v>
      </c>
      <c r="E139" s="11" t="s">
        <v>208</v>
      </c>
      <c r="F139" s="12">
        <v>2500</v>
      </c>
      <c r="G139" s="13">
        <v>2504.75</v>
      </c>
      <c r="H139" s="13">
        <v>0.11</v>
      </c>
      <c r="I139" s="14">
        <v>7.59</v>
      </c>
      <c r="J139" s="14" t="s">
        <v>13</v>
      </c>
      <c r="K139" s="15" t="s">
        <v>13</v>
      </c>
      <c r="L139" s="16" t="s">
        <v>13</v>
      </c>
    </row>
    <row r="140" spans="1:12" x14ac:dyDescent="0.35">
      <c r="A140" s="10" t="s">
        <v>13</v>
      </c>
      <c r="B140" s="11" t="s">
        <v>281</v>
      </c>
      <c r="C140" s="11">
        <v>8.9</v>
      </c>
      <c r="D140" s="11" t="s">
        <v>239</v>
      </c>
      <c r="E140" s="11" t="s">
        <v>208</v>
      </c>
      <c r="F140" s="12">
        <v>150</v>
      </c>
      <c r="G140" s="13">
        <v>1536.38</v>
      </c>
      <c r="H140" s="13">
        <v>7.0000000000000007E-2</v>
      </c>
      <c r="I140" s="14">
        <v>7.45</v>
      </c>
      <c r="J140" s="14" t="s">
        <v>13</v>
      </c>
      <c r="K140" s="15" t="s">
        <v>13</v>
      </c>
      <c r="L140" s="16" t="s">
        <v>13</v>
      </c>
    </row>
    <row r="141" spans="1:12" x14ac:dyDescent="0.35">
      <c r="A141" s="10" t="s">
        <v>13</v>
      </c>
      <c r="B141" s="11" t="s">
        <v>282</v>
      </c>
      <c r="C141" s="11">
        <v>7.59</v>
      </c>
      <c r="D141" s="11" t="s">
        <v>258</v>
      </c>
      <c r="E141" s="11" t="s">
        <v>208</v>
      </c>
      <c r="F141" s="12">
        <v>1500</v>
      </c>
      <c r="G141" s="13">
        <v>1503.08</v>
      </c>
      <c r="H141" s="13">
        <v>7.0000000000000007E-2</v>
      </c>
      <c r="I141" s="14">
        <v>7.37</v>
      </c>
      <c r="J141" s="14" t="s">
        <v>13</v>
      </c>
      <c r="K141" s="15" t="s">
        <v>13</v>
      </c>
      <c r="L141" s="16" t="s">
        <v>13</v>
      </c>
    </row>
    <row r="142" spans="1:12" x14ac:dyDescent="0.35">
      <c r="A142" s="10" t="s">
        <v>13</v>
      </c>
      <c r="B142" s="11" t="s">
        <v>283</v>
      </c>
      <c r="C142" s="11">
        <v>7.7</v>
      </c>
      <c r="D142" s="11" t="s">
        <v>263</v>
      </c>
      <c r="E142" s="11" t="s">
        <v>228</v>
      </c>
      <c r="F142" s="12">
        <v>1500</v>
      </c>
      <c r="G142" s="13">
        <v>1504.86</v>
      </c>
      <c r="H142" s="13">
        <v>7.0000000000000007E-2</v>
      </c>
      <c r="I142" s="14">
        <v>7.65</v>
      </c>
      <c r="J142" s="14" t="s">
        <v>13</v>
      </c>
      <c r="K142" s="15" t="s">
        <v>13</v>
      </c>
      <c r="L142" s="16" t="s">
        <v>13</v>
      </c>
    </row>
    <row r="143" spans="1:12" x14ac:dyDescent="0.35">
      <c r="A143" s="10" t="s">
        <v>13</v>
      </c>
      <c r="B143" s="11" t="s">
        <v>284</v>
      </c>
      <c r="C143" s="11">
        <v>7.58</v>
      </c>
      <c r="D143" s="11" t="s">
        <v>270</v>
      </c>
      <c r="E143" s="11" t="s">
        <v>208</v>
      </c>
      <c r="F143" s="12">
        <v>1250</v>
      </c>
      <c r="G143" s="13">
        <v>1249.0899999999999</v>
      </c>
      <c r="H143" s="13">
        <v>0.06</v>
      </c>
      <c r="I143" s="14">
        <v>7.67</v>
      </c>
      <c r="J143" s="14" t="s">
        <v>13</v>
      </c>
      <c r="K143" s="15" t="s">
        <v>13</v>
      </c>
      <c r="L143" s="16" t="s">
        <v>13</v>
      </c>
    </row>
    <row r="144" spans="1:12" x14ac:dyDescent="0.35">
      <c r="A144" s="10" t="s">
        <v>13</v>
      </c>
      <c r="B144" s="11" t="s">
        <v>285</v>
      </c>
      <c r="C144" s="11">
        <v>8.94</v>
      </c>
      <c r="D144" s="11" t="s">
        <v>239</v>
      </c>
      <c r="E144" s="11" t="s">
        <v>208</v>
      </c>
      <c r="F144" s="12">
        <v>80</v>
      </c>
      <c r="G144" s="13">
        <v>820.17</v>
      </c>
      <c r="H144" s="13">
        <v>0.04</v>
      </c>
      <c r="I144" s="14">
        <v>7.45</v>
      </c>
      <c r="J144" s="14" t="s">
        <v>13</v>
      </c>
      <c r="K144" s="15" t="s">
        <v>13</v>
      </c>
      <c r="L144" s="16" t="s">
        <v>13</v>
      </c>
    </row>
    <row r="145" spans="1:12" x14ac:dyDescent="0.35">
      <c r="A145" s="8"/>
      <c r="B145" s="9" t="s">
        <v>286</v>
      </c>
      <c r="C145" s="8"/>
      <c r="D145" s="8"/>
      <c r="E145" s="8"/>
      <c r="F145" s="8"/>
      <c r="G145" s="8"/>
      <c r="H145" s="8"/>
      <c r="I145" s="8"/>
      <c r="J145" s="8"/>
      <c r="K145" s="8"/>
      <c r="L145" s="8"/>
    </row>
    <row r="146" spans="1:12" x14ac:dyDescent="0.35">
      <c r="A146" s="10" t="s">
        <v>13</v>
      </c>
      <c r="B146" s="11" t="s">
        <v>287</v>
      </c>
      <c r="C146" s="11" t="s">
        <v>13</v>
      </c>
      <c r="D146" s="11" t="s">
        <v>239</v>
      </c>
      <c r="E146" s="11" t="s">
        <v>208</v>
      </c>
      <c r="F146" s="12">
        <v>5000</v>
      </c>
      <c r="G146" s="13">
        <v>4892.33</v>
      </c>
      <c r="H146" s="13">
        <v>0.22</v>
      </c>
      <c r="I146" s="14">
        <v>6.93</v>
      </c>
      <c r="J146" s="14" t="s">
        <v>13</v>
      </c>
      <c r="K146" s="15" t="s">
        <v>13</v>
      </c>
      <c r="L146" s="16" t="s">
        <v>13</v>
      </c>
    </row>
    <row r="147" spans="1:12" x14ac:dyDescent="0.35">
      <c r="A147" s="10" t="s">
        <v>13</v>
      </c>
      <c r="B147" s="11" t="s">
        <v>288</v>
      </c>
      <c r="C147" s="11" t="s">
        <v>13</v>
      </c>
      <c r="D147" s="11" t="s">
        <v>241</v>
      </c>
      <c r="E147" s="11" t="s">
        <v>208</v>
      </c>
      <c r="F147" s="12">
        <v>5000</v>
      </c>
      <c r="G147" s="13">
        <v>2608.0500000000002</v>
      </c>
      <c r="H147" s="13">
        <v>0.12</v>
      </c>
      <c r="I147" s="14">
        <v>7.03</v>
      </c>
      <c r="J147" s="14" t="s">
        <v>13</v>
      </c>
      <c r="K147" s="15" t="s">
        <v>13</v>
      </c>
      <c r="L147" s="16" t="s">
        <v>13</v>
      </c>
    </row>
    <row r="148" spans="1:12" x14ac:dyDescent="0.35">
      <c r="A148" s="17"/>
      <c r="B148" s="9" t="s">
        <v>147</v>
      </c>
      <c r="C148" s="17"/>
      <c r="D148" s="17"/>
      <c r="E148" s="17"/>
      <c r="F148" s="17"/>
      <c r="G148" s="18">
        <v>530975.19000000018</v>
      </c>
      <c r="H148" s="18">
        <v>23.75999999999998</v>
      </c>
      <c r="I148" s="17"/>
      <c r="J148" s="17"/>
      <c r="K148" s="17"/>
      <c r="L148" s="17"/>
    </row>
    <row r="149" spans="1:12" x14ac:dyDescent="0.35">
      <c r="A149" s="8"/>
      <c r="B149" s="9" t="s">
        <v>157</v>
      </c>
      <c r="C149" s="8"/>
      <c r="D149" s="8"/>
      <c r="E149" s="8"/>
      <c r="F149" s="8"/>
      <c r="G149" s="20">
        <v>530975.19000000018</v>
      </c>
      <c r="H149" s="20">
        <v>23.75999999999998</v>
      </c>
      <c r="I149" s="8"/>
      <c r="J149" s="8"/>
      <c r="K149" s="8"/>
      <c r="L149" s="8"/>
    </row>
    <row r="150" spans="1:12" x14ac:dyDescent="0.35">
      <c r="A150" s="8"/>
      <c r="B150" s="9" t="s">
        <v>289</v>
      </c>
      <c r="C150" s="8"/>
      <c r="D150" s="8"/>
      <c r="E150" s="8"/>
      <c r="F150" s="8"/>
      <c r="G150" s="8"/>
      <c r="H150" s="8"/>
      <c r="I150" s="8"/>
      <c r="J150" s="8"/>
      <c r="K150" s="8"/>
      <c r="L150" s="8"/>
    </row>
    <row r="151" spans="1:12" x14ac:dyDescent="0.35">
      <c r="A151" s="8"/>
      <c r="B151" s="9" t="s">
        <v>290</v>
      </c>
      <c r="C151" s="8"/>
      <c r="D151" s="8"/>
      <c r="E151" s="8"/>
      <c r="F151" s="8"/>
      <c r="G151" s="8"/>
      <c r="H151" s="8"/>
      <c r="I151" s="8"/>
      <c r="J151" s="8"/>
      <c r="K151" s="8"/>
      <c r="L151" s="8"/>
    </row>
    <row r="152" spans="1:12" x14ac:dyDescent="0.35">
      <c r="A152" s="10" t="s">
        <v>13</v>
      </c>
      <c r="B152" s="11" t="s">
        <v>291</v>
      </c>
      <c r="C152" s="11" t="s">
        <v>13</v>
      </c>
      <c r="D152" s="11" t="s">
        <v>292</v>
      </c>
      <c r="E152" s="11" t="s">
        <v>49</v>
      </c>
      <c r="F152" s="12">
        <v>5936562</v>
      </c>
      <c r="G152" s="13">
        <v>5531.69</v>
      </c>
      <c r="H152" s="13">
        <v>0.25</v>
      </c>
      <c r="I152" s="14" t="s">
        <v>13</v>
      </c>
      <c r="J152" s="14" t="s">
        <v>13</v>
      </c>
      <c r="K152" s="15" t="s">
        <v>13</v>
      </c>
      <c r="L152" s="16" t="s">
        <v>13</v>
      </c>
    </row>
    <row r="153" spans="1:12" x14ac:dyDescent="0.35">
      <c r="A153" s="17"/>
      <c r="B153" s="9" t="s">
        <v>147</v>
      </c>
      <c r="C153" s="17"/>
      <c r="D153" s="17"/>
      <c r="E153" s="17"/>
      <c r="F153" s="17"/>
      <c r="G153" s="18">
        <v>5531.69</v>
      </c>
      <c r="H153" s="18">
        <v>0.25</v>
      </c>
      <c r="I153" s="17"/>
      <c r="J153" s="17"/>
      <c r="K153" s="17"/>
      <c r="L153" s="17"/>
    </row>
    <row r="154" spans="1:12" x14ac:dyDescent="0.35">
      <c r="A154" s="8"/>
      <c r="B154" s="9" t="s">
        <v>157</v>
      </c>
      <c r="C154" s="8"/>
      <c r="D154" s="8"/>
      <c r="E154" s="8"/>
      <c r="F154" s="8"/>
      <c r="G154" s="18">
        <v>5531.69</v>
      </c>
      <c r="H154" s="18">
        <v>0.25</v>
      </c>
      <c r="I154" s="8"/>
      <c r="J154" s="8"/>
      <c r="K154" s="8"/>
      <c r="L154" s="8"/>
    </row>
    <row r="155" spans="1:12" x14ac:dyDescent="0.35">
      <c r="A155" s="8"/>
      <c r="B155" s="9" t="s">
        <v>293</v>
      </c>
      <c r="C155" s="8"/>
      <c r="D155" s="8"/>
      <c r="E155" s="8"/>
      <c r="F155" s="8"/>
      <c r="G155" s="8"/>
      <c r="H155" s="8"/>
      <c r="I155" s="8"/>
      <c r="J155" s="8"/>
      <c r="K155" s="8"/>
      <c r="L155" s="8"/>
    </row>
    <row r="156" spans="1:12" x14ac:dyDescent="0.35">
      <c r="A156" s="8"/>
      <c r="B156" s="9" t="s">
        <v>294</v>
      </c>
      <c r="C156" s="8"/>
      <c r="D156" s="8"/>
      <c r="E156" s="8"/>
      <c r="F156" s="8"/>
      <c r="G156" s="8"/>
      <c r="H156" s="8"/>
      <c r="I156" s="8"/>
      <c r="J156" s="8"/>
      <c r="K156" s="8"/>
      <c r="L156" s="8"/>
    </row>
    <row r="157" spans="1:12" x14ac:dyDescent="0.35">
      <c r="A157" s="10" t="s">
        <v>13</v>
      </c>
      <c r="B157" s="11" t="s">
        <v>13</v>
      </c>
      <c r="C157" s="11" t="s">
        <v>13</v>
      </c>
      <c r="D157" s="11" t="s">
        <v>294</v>
      </c>
      <c r="E157" s="11" t="s">
        <v>13</v>
      </c>
      <c r="F157" s="12" t="s">
        <v>13</v>
      </c>
      <c r="G157" s="13">
        <v>22141.42</v>
      </c>
      <c r="H157" s="13">
        <v>0.99</v>
      </c>
      <c r="I157" s="14">
        <v>5.27</v>
      </c>
      <c r="J157" s="14" t="s">
        <v>13</v>
      </c>
      <c r="K157" s="15" t="s">
        <v>13</v>
      </c>
      <c r="L157" s="16" t="s">
        <v>13</v>
      </c>
    </row>
    <row r="158" spans="1:12" x14ac:dyDescent="0.35">
      <c r="A158" s="17"/>
      <c r="B158" s="9" t="s">
        <v>147</v>
      </c>
      <c r="C158" s="17"/>
      <c r="D158" s="17"/>
      <c r="E158" s="17"/>
      <c r="F158" s="17"/>
      <c r="G158" s="18">
        <v>22141.42</v>
      </c>
      <c r="H158" s="18">
        <v>0.99</v>
      </c>
      <c r="I158" s="17"/>
      <c r="J158" s="17"/>
      <c r="K158" s="17"/>
      <c r="L158" s="17"/>
    </row>
    <row r="159" spans="1:12" x14ac:dyDescent="0.35">
      <c r="A159" s="8"/>
      <c r="B159" s="9" t="s">
        <v>157</v>
      </c>
      <c r="C159" s="8"/>
      <c r="D159" s="8"/>
      <c r="E159" s="8"/>
      <c r="F159" s="8"/>
      <c r="G159" s="20">
        <v>22141.42</v>
      </c>
      <c r="H159" s="20">
        <v>0.99</v>
      </c>
      <c r="I159" s="8"/>
      <c r="J159" s="8"/>
      <c r="K159" s="8"/>
      <c r="L159" s="8"/>
    </row>
    <row r="160" spans="1:12" x14ac:dyDescent="0.35">
      <c r="A160" s="8"/>
      <c r="B160" s="9" t="s">
        <v>295</v>
      </c>
      <c r="C160" s="8"/>
      <c r="D160" s="8"/>
      <c r="E160" s="8"/>
      <c r="F160" s="8"/>
      <c r="G160" s="8"/>
      <c r="H160" s="8"/>
      <c r="I160" s="8"/>
      <c r="J160" s="8"/>
      <c r="K160" s="8"/>
      <c r="L160" s="8"/>
    </row>
    <row r="161" spans="1:12" x14ac:dyDescent="0.35">
      <c r="A161" s="8"/>
      <c r="B161" s="9" t="s">
        <v>296</v>
      </c>
      <c r="C161" s="8"/>
      <c r="D161" s="8"/>
      <c r="E161" s="8"/>
      <c r="F161" s="8"/>
      <c r="G161" s="8"/>
      <c r="H161" s="8"/>
      <c r="I161" s="8"/>
      <c r="J161" s="8"/>
      <c r="K161" s="8"/>
      <c r="L161" s="8"/>
    </row>
    <row r="162" spans="1:12" x14ac:dyDescent="0.35">
      <c r="A162" s="10" t="s">
        <v>13</v>
      </c>
      <c r="B162" s="11" t="s">
        <v>297</v>
      </c>
      <c r="C162" s="11" t="s">
        <v>13</v>
      </c>
      <c r="D162" s="11" t="s">
        <v>298</v>
      </c>
      <c r="E162" s="11" t="s">
        <v>13</v>
      </c>
      <c r="F162" s="12">
        <v>12880000</v>
      </c>
      <c r="G162" s="13">
        <v>34692.28</v>
      </c>
      <c r="H162" s="13">
        <v>1.56</v>
      </c>
      <c r="I162" s="14" t="s">
        <v>13</v>
      </c>
      <c r="J162" s="14" t="s">
        <v>13</v>
      </c>
      <c r="K162" s="15" t="s">
        <v>13</v>
      </c>
      <c r="L162" s="16" t="s">
        <v>13</v>
      </c>
    </row>
    <row r="163" spans="1:12" x14ac:dyDescent="0.35">
      <c r="A163" s="10" t="s">
        <v>13</v>
      </c>
      <c r="B163" s="11" t="s">
        <v>299</v>
      </c>
      <c r="C163" s="11" t="s">
        <v>13</v>
      </c>
      <c r="D163" s="11" t="s">
        <v>300</v>
      </c>
      <c r="E163" s="11" t="s">
        <v>13</v>
      </c>
      <c r="F163" s="12">
        <v>25000000</v>
      </c>
      <c r="G163" s="13">
        <v>27092.5</v>
      </c>
      <c r="H163" s="13">
        <v>1.22</v>
      </c>
      <c r="I163" s="14" t="s">
        <v>13</v>
      </c>
      <c r="J163" s="14" t="s">
        <v>13</v>
      </c>
      <c r="K163" s="15" t="s">
        <v>13</v>
      </c>
      <c r="L163" s="16" t="s">
        <v>13</v>
      </c>
    </row>
    <row r="164" spans="1:12" x14ac:dyDescent="0.35">
      <c r="A164" s="8"/>
      <c r="B164" s="9" t="s">
        <v>301</v>
      </c>
      <c r="C164" s="8"/>
      <c r="D164" s="8"/>
      <c r="E164" s="8"/>
      <c r="F164" s="8"/>
      <c r="G164" s="8"/>
      <c r="H164" s="8"/>
      <c r="I164" s="8"/>
      <c r="J164" s="8"/>
      <c r="K164" s="8"/>
      <c r="L164" s="8"/>
    </row>
    <row r="165" spans="1:12" x14ac:dyDescent="0.35">
      <c r="A165" s="10" t="s">
        <v>13</v>
      </c>
      <c r="B165" s="11" t="s">
        <v>13</v>
      </c>
      <c r="C165" s="11" t="s">
        <v>13</v>
      </c>
      <c r="D165" s="11" t="s">
        <v>301</v>
      </c>
      <c r="E165" s="11" t="s">
        <v>13</v>
      </c>
      <c r="F165" s="12" t="s">
        <v>13</v>
      </c>
      <c r="G165" s="13">
        <v>20009.57</v>
      </c>
      <c r="H165" s="13">
        <v>0.93</v>
      </c>
      <c r="I165" s="14" t="s">
        <v>13</v>
      </c>
      <c r="J165" s="14" t="s">
        <v>13</v>
      </c>
      <c r="K165" s="15" t="s">
        <v>13</v>
      </c>
      <c r="L165" s="16" t="s">
        <v>13</v>
      </c>
    </row>
    <row r="166" spans="1:12" x14ac:dyDescent="0.35">
      <c r="A166" s="17"/>
      <c r="B166" s="9" t="s">
        <v>147</v>
      </c>
      <c r="C166" s="17"/>
      <c r="D166" s="17"/>
      <c r="E166" s="17"/>
      <c r="F166" s="17"/>
      <c r="G166" s="18">
        <v>81794.350000000006</v>
      </c>
      <c r="H166" s="18">
        <v>3.7100000000000004</v>
      </c>
      <c r="I166" s="17"/>
      <c r="J166" s="17"/>
      <c r="K166" s="17"/>
      <c r="L166" s="17"/>
    </row>
    <row r="167" spans="1:12" x14ac:dyDescent="0.35">
      <c r="A167" s="8"/>
      <c r="B167" s="9" t="s">
        <v>157</v>
      </c>
      <c r="C167" s="8"/>
      <c r="D167" s="8"/>
      <c r="E167" s="8"/>
      <c r="F167" s="8"/>
      <c r="G167" s="20">
        <v>81794.350000000006</v>
      </c>
      <c r="H167" s="20">
        <v>3.7100000000000004</v>
      </c>
      <c r="I167" s="8"/>
      <c r="J167" s="8"/>
      <c r="K167" s="8"/>
      <c r="L167" s="8"/>
    </row>
    <row r="168" spans="1:12" x14ac:dyDescent="0.35">
      <c r="A168" s="4"/>
      <c r="B168" s="4"/>
      <c r="C168" s="4"/>
      <c r="D168" s="4"/>
      <c r="E168" s="4"/>
      <c r="F168" s="4"/>
      <c r="G168" s="4"/>
      <c r="H168" s="4"/>
      <c r="I168" s="4"/>
      <c r="J168" s="4"/>
      <c r="K168" s="4"/>
      <c r="L168" s="4"/>
    </row>
    <row r="169" spans="1:12" x14ac:dyDescent="0.35">
      <c r="A169" s="4"/>
      <c r="B169" s="21" t="s">
        <v>302</v>
      </c>
      <c r="C169" s="4"/>
      <c r="D169" s="4"/>
      <c r="E169" s="4"/>
      <c r="F169" s="4"/>
      <c r="G169" s="19">
        <v>2229709.89</v>
      </c>
      <c r="H169" s="19">
        <v>100.00000000000001</v>
      </c>
      <c r="I169" s="4"/>
      <c r="J169" s="4"/>
      <c r="K169" s="4"/>
      <c r="L169" s="4"/>
    </row>
    <row r="170" spans="1:12" x14ac:dyDescent="0.35">
      <c r="A170" s="10" t="s">
        <v>17</v>
      </c>
      <c r="B170" s="37" t="s">
        <v>303</v>
      </c>
      <c r="C170" s="37" t="s">
        <v>303</v>
      </c>
      <c r="D170" s="37" t="s">
        <v>303</v>
      </c>
      <c r="E170" s="37" t="s">
        <v>303</v>
      </c>
      <c r="F170" s="37" t="s">
        <v>303</v>
      </c>
      <c r="G170" s="11"/>
      <c r="H170" s="11"/>
      <c r="I170" s="11"/>
      <c r="J170" s="11"/>
      <c r="K170" s="11"/>
      <c r="L170" s="11"/>
    </row>
    <row r="171" spans="1:12" x14ac:dyDescent="0.35">
      <c r="A171" s="11"/>
      <c r="B171" s="33" t="s">
        <v>304</v>
      </c>
      <c r="C171" s="33" t="s">
        <v>304</v>
      </c>
      <c r="D171" s="33" t="s">
        <v>304</v>
      </c>
      <c r="E171" s="33" t="s">
        <v>304</v>
      </c>
      <c r="F171" s="33" t="s">
        <v>304</v>
      </c>
      <c r="G171" s="11"/>
      <c r="H171" s="11"/>
      <c r="I171" s="11"/>
      <c r="J171" s="11"/>
      <c r="K171" s="11"/>
      <c r="L171" s="11"/>
    </row>
    <row r="172" spans="1:12" x14ac:dyDescent="0.35">
      <c r="A172" s="11"/>
      <c r="B172" s="33" t="s">
        <v>305</v>
      </c>
      <c r="C172" s="33" t="s">
        <v>305</v>
      </c>
      <c r="D172" s="33" t="s">
        <v>305</v>
      </c>
      <c r="E172" s="33" t="s">
        <v>305</v>
      </c>
      <c r="F172" s="33" t="s">
        <v>305</v>
      </c>
      <c r="G172" s="11"/>
      <c r="H172" s="11"/>
      <c r="I172" s="11"/>
      <c r="J172" s="11"/>
      <c r="K172" s="11"/>
      <c r="L172" s="11"/>
    </row>
    <row r="173" spans="1:12" x14ac:dyDescent="0.35">
      <c r="A173" s="11"/>
      <c r="B173" s="33" t="s">
        <v>306</v>
      </c>
      <c r="C173" s="33" t="s">
        <v>306</v>
      </c>
      <c r="D173" s="33" t="s">
        <v>306</v>
      </c>
      <c r="E173" s="33" t="s">
        <v>306</v>
      </c>
      <c r="F173" s="33" t="s">
        <v>306</v>
      </c>
      <c r="G173" s="11"/>
      <c r="H173" s="11"/>
      <c r="I173" s="11"/>
      <c r="J173" s="11"/>
      <c r="K173" s="11"/>
      <c r="L173" s="11"/>
    </row>
    <row r="174" spans="1:12" x14ac:dyDescent="0.35">
      <c r="A174" s="11"/>
      <c r="B174" s="33" t="s">
        <v>307</v>
      </c>
      <c r="C174" s="33" t="s">
        <v>307</v>
      </c>
      <c r="D174" s="33" t="s">
        <v>307</v>
      </c>
      <c r="E174" s="33" t="s">
        <v>307</v>
      </c>
      <c r="F174" s="33" t="s">
        <v>307</v>
      </c>
      <c r="G174" s="11"/>
      <c r="H174" s="11"/>
      <c r="I174" s="11"/>
      <c r="J174" s="11"/>
      <c r="K174" s="11"/>
      <c r="L174" s="11"/>
    </row>
    <row r="175" spans="1:12" x14ac:dyDescent="0.35">
      <c r="A175" s="11"/>
      <c r="B175" s="33" t="s">
        <v>308</v>
      </c>
      <c r="C175" s="33" t="s">
        <v>308</v>
      </c>
      <c r="D175" s="33" t="s">
        <v>308</v>
      </c>
      <c r="E175" s="33" t="s">
        <v>308</v>
      </c>
      <c r="F175" s="33" t="s">
        <v>308</v>
      </c>
      <c r="G175" s="11"/>
      <c r="H175" s="11"/>
      <c r="I175" s="11"/>
      <c r="J175" s="11"/>
      <c r="K175" s="11"/>
      <c r="L175" s="11"/>
    </row>
    <row r="176" spans="1:12" x14ac:dyDescent="0.35">
      <c r="A176" s="11"/>
      <c r="B176" s="33" t="s">
        <v>309</v>
      </c>
      <c r="C176" s="33" t="s">
        <v>309</v>
      </c>
      <c r="D176" s="33" t="s">
        <v>309</v>
      </c>
      <c r="E176" s="33" t="s">
        <v>309</v>
      </c>
      <c r="F176" s="33" t="s">
        <v>309</v>
      </c>
      <c r="G176" s="11"/>
      <c r="H176" s="11"/>
      <c r="I176" s="11"/>
      <c r="J176" s="11"/>
      <c r="K176" s="11"/>
      <c r="L176" s="11"/>
    </row>
    <row r="177" spans="1:12" x14ac:dyDescent="0.35">
      <c r="A177" s="11"/>
      <c r="B177" s="33" t="s">
        <v>310</v>
      </c>
      <c r="C177" s="33" t="s">
        <v>310</v>
      </c>
      <c r="D177" s="33" t="s">
        <v>310</v>
      </c>
      <c r="E177" s="33" t="s">
        <v>310</v>
      </c>
      <c r="F177" s="33" t="s">
        <v>310</v>
      </c>
      <c r="G177" s="11"/>
      <c r="H177" s="11"/>
      <c r="I177" s="11"/>
      <c r="J177" s="11"/>
      <c r="K177" s="11"/>
      <c r="L177" s="11"/>
    </row>
    <row r="178" spans="1:12" ht="30" customHeight="1" x14ac:dyDescent="0.35">
      <c r="A178" s="11"/>
      <c r="B178" s="34" t="s">
        <v>311</v>
      </c>
      <c r="C178" s="34" t="s">
        <v>311</v>
      </c>
      <c r="D178" s="34" t="s">
        <v>311</v>
      </c>
      <c r="E178" s="34" t="s">
        <v>311</v>
      </c>
      <c r="F178" s="34" t="s">
        <v>311</v>
      </c>
      <c r="G178" s="11"/>
      <c r="H178" s="11"/>
      <c r="I178" s="11"/>
      <c r="J178" s="11"/>
      <c r="K178" s="11"/>
      <c r="L178" s="11"/>
    </row>
    <row r="179" spans="1:12" x14ac:dyDescent="0.35">
      <c r="A179" s="11"/>
      <c r="B179" s="11"/>
      <c r="C179" s="11"/>
      <c r="D179" s="11"/>
      <c r="E179" s="11"/>
      <c r="F179" s="11"/>
      <c r="G179" s="11"/>
      <c r="H179" s="11"/>
    </row>
    <row r="180" spans="1:12" x14ac:dyDescent="0.35">
      <c r="A180" s="22"/>
      <c r="B180" s="22" t="s">
        <v>312</v>
      </c>
      <c r="C180" s="22"/>
      <c r="D180" s="22"/>
      <c r="E180" s="11"/>
      <c r="F180" s="11"/>
      <c r="G180" s="11"/>
      <c r="H180" s="11"/>
    </row>
    <row r="181" spans="1:12" x14ac:dyDescent="0.35">
      <c r="A181" s="22"/>
      <c r="B181" s="23" t="s">
        <v>16</v>
      </c>
      <c r="C181" s="23"/>
      <c r="D181" s="24">
        <v>69.899999999999991</v>
      </c>
      <c r="E181" s="11"/>
      <c r="F181" s="11"/>
      <c r="G181" s="11"/>
      <c r="H181" s="11"/>
    </row>
    <row r="182" spans="1:12" x14ac:dyDescent="0.35">
      <c r="A182" s="22"/>
      <c r="B182" s="23" t="s">
        <v>313</v>
      </c>
      <c r="C182" s="23"/>
      <c r="D182" s="24">
        <v>0.66</v>
      </c>
      <c r="E182" s="11"/>
      <c r="F182" s="11"/>
      <c r="G182" s="11"/>
      <c r="H182" s="11"/>
    </row>
    <row r="183" spans="1:12" x14ac:dyDescent="0.35">
      <c r="A183" s="22"/>
      <c r="B183" s="23" t="s">
        <v>290</v>
      </c>
      <c r="C183" s="23"/>
      <c r="D183" s="24">
        <v>0.25</v>
      </c>
      <c r="E183" s="11"/>
      <c r="F183" s="11"/>
      <c r="G183" s="11"/>
      <c r="H183" s="11"/>
    </row>
    <row r="184" spans="1:12" x14ac:dyDescent="0.35">
      <c r="A184" s="22"/>
      <c r="B184" s="23" t="s">
        <v>314</v>
      </c>
      <c r="C184" s="23"/>
      <c r="D184" s="24">
        <v>0.73</v>
      </c>
      <c r="E184" s="11"/>
      <c r="F184" s="11"/>
      <c r="G184" s="11"/>
      <c r="H184" s="11"/>
    </row>
    <row r="185" spans="1:12" x14ac:dyDescent="0.35">
      <c r="A185" s="22"/>
      <c r="B185" s="23" t="s">
        <v>315</v>
      </c>
      <c r="C185" s="23"/>
      <c r="D185" s="24">
        <v>6.4700000000000006</v>
      </c>
      <c r="E185" s="11"/>
      <c r="F185" s="11"/>
      <c r="G185" s="11"/>
      <c r="H185" s="11"/>
    </row>
    <row r="186" spans="1:12" x14ac:dyDescent="0.35">
      <c r="A186" s="22"/>
      <c r="B186" s="23" t="s">
        <v>316</v>
      </c>
      <c r="C186" s="23"/>
      <c r="D186" s="24">
        <v>17.289999999999992</v>
      </c>
      <c r="E186" s="11"/>
      <c r="F186" s="11"/>
      <c r="G186" s="11"/>
      <c r="H186" s="11"/>
    </row>
    <row r="187" spans="1:12" x14ac:dyDescent="0.35">
      <c r="A187" s="22"/>
      <c r="B187" s="23" t="s">
        <v>296</v>
      </c>
      <c r="C187" s="23"/>
      <c r="D187" s="24">
        <v>2.7800000000000002</v>
      </c>
      <c r="E187" s="11"/>
      <c r="F187" s="11"/>
      <c r="G187" s="11"/>
      <c r="H187" s="11"/>
    </row>
    <row r="188" spans="1:12" x14ac:dyDescent="0.35">
      <c r="A188" s="22"/>
      <c r="B188" s="23" t="s">
        <v>317</v>
      </c>
      <c r="C188" s="23"/>
      <c r="D188" s="24">
        <v>1.92</v>
      </c>
      <c r="E188" s="11"/>
      <c r="F188" s="11"/>
      <c r="G188" s="11"/>
      <c r="H188" s="11"/>
    </row>
    <row r="189" spans="1:12" x14ac:dyDescent="0.35">
      <c r="A189" s="22"/>
      <c r="B189" s="22" t="s">
        <v>318</v>
      </c>
      <c r="C189" s="22"/>
      <c r="D189" s="22"/>
      <c r="E189" s="11"/>
      <c r="F189" s="11"/>
      <c r="G189" s="11"/>
      <c r="H189" s="11"/>
    </row>
    <row r="190" spans="1:12" x14ac:dyDescent="0.35">
      <c r="A190" s="22"/>
      <c r="B190" s="23" t="s">
        <v>16</v>
      </c>
      <c r="C190" s="23"/>
      <c r="D190" s="24">
        <v>69.90000000000002</v>
      </c>
      <c r="E190" s="11"/>
      <c r="F190" s="11"/>
      <c r="G190" s="11"/>
      <c r="H190" s="11"/>
    </row>
    <row r="191" spans="1:12" x14ac:dyDescent="0.35">
      <c r="A191" s="22"/>
      <c r="B191" s="23" t="s">
        <v>319</v>
      </c>
      <c r="C191" s="23"/>
      <c r="D191" s="24">
        <v>0.66</v>
      </c>
      <c r="E191" s="11"/>
      <c r="F191" s="11"/>
      <c r="G191" s="11"/>
      <c r="H191" s="11"/>
    </row>
    <row r="192" spans="1:12" x14ac:dyDescent="0.35">
      <c r="A192" s="22"/>
      <c r="B192" s="23" t="s">
        <v>290</v>
      </c>
      <c r="C192" s="23"/>
      <c r="D192" s="24">
        <v>0.25</v>
      </c>
      <c r="E192" s="11"/>
      <c r="F192" s="11"/>
      <c r="G192" s="11"/>
      <c r="H192" s="11"/>
    </row>
    <row r="193" spans="1:8" x14ac:dyDescent="0.35">
      <c r="A193" s="22"/>
      <c r="B193" s="23" t="s">
        <v>314</v>
      </c>
      <c r="C193" s="23"/>
      <c r="D193" s="24">
        <v>0.73</v>
      </c>
      <c r="E193" s="11"/>
      <c r="F193" s="11"/>
      <c r="G193" s="11"/>
      <c r="H193" s="11"/>
    </row>
    <row r="194" spans="1:8" x14ac:dyDescent="0.35">
      <c r="A194" s="22"/>
      <c r="B194" s="23" t="s">
        <v>162</v>
      </c>
      <c r="C194" s="23"/>
      <c r="D194" s="24">
        <v>6.4700000000000006</v>
      </c>
      <c r="E194" s="11"/>
      <c r="F194" s="11"/>
      <c r="G194" s="11"/>
      <c r="H194" s="11"/>
    </row>
    <row r="195" spans="1:8" x14ac:dyDescent="0.35">
      <c r="A195" s="22"/>
      <c r="B195" s="23" t="s">
        <v>320</v>
      </c>
      <c r="C195" s="23"/>
      <c r="D195" s="24">
        <v>15.379999999999999</v>
      </c>
      <c r="E195" s="11"/>
      <c r="F195" s="11"/>
      <c r="G195" s="11"/>
      <c r="H195" s="11"/>
    </row>
    <row r="196" spans="1:8" x14ac:dyDescent="0.35">
      <c r="A196" s="22"/>
      <c r="B196" s="23" t="s">
        <v>321</v>
      </c>
      <c r="C196" s="23"/>
      <c r="D196" s="24">
        <v>1.91</v>
      </c>
      <c r="E196" s="11"/>
      <c r="F196" s="11"/>
      <c r="G196" s="11"/>
      <c r="H196" s="11"/>
    </row>
    <row r="197" spans="1:8" x14ac:dyDescent="0.35">
      <c r="A197" s="22"/>
      <c r="B197" s="23" t="s">
        <v>317</v>
      </c>
      <c r="C197" s="23"/>
      <c r="D197" s="24">
        <v>4.7</v>
      </c>
      <c r="E197" s="11"/>
      <c r="F197" s="11"/>
      <c r="G197" s="11"/>
      <c r="H197" s="11"/>
    </row>
    <row r="198" spans="1:8" x14ac:dyDescent="0.35">
      <c r="A198" s="25"/>
      <c r="B198" s="22" t="s">
        <v>322</v>
      </c>
      <c r="C198" s="25"/>
      <c r="D198" s="25"/>
      <c r="E198" s="11"/>
      <c r="F198" s="11"/>
      <c r="G198" s="11"/>
      <c r="H198" s="11"/>
    </row>
    <row r="199" spans="1:8" x14ac:dyDescent="0.35">
      <c r="A199" s="25"/>
      <c r="B199" s="26" t="s">
        <v>20</v>
      </c>
      <c r="C199" s="23"/>
      <c r="D199" s="27">
        <v>22.89</v>
      </c>
      <c r="E199" s="11"/>
      <c r="F199" s="11"/>
      <c r="G199" s="11"/>
      <c r="H199" s="11"/>
    </row>
    <row r="200" spans="1:8" x14ac:dyDescent="0.35">
      <c r="A200" s="25"/>
      <c r="B200" s="26" t="s">
        <v>34</v>
      </c>
      <c r="C200" s="23"/>
      <c r="D200" s="27">
        <v>5.57</v>
      </c>
      <c r="E200" s="11"/>
      <c r="F200" s="11"/>
      <c r="G200" s="11"/>
      <c r="H200" s="11"/>
    </row>
    <row r="201" spans="1:8" x14ac:dyDescent="0.35">
      <c r="A201" s="25"/>
      <c r="B201" s="26" t="s">
        <v>25</v>
      </c>
      <c r="C201" s="23"/>
      <c r="D201" s="27">
        <v>5.51</v>
      </c>
      <c r="E201" s="11"/>
      <c r="F201" s="11"/>
      <c r="G201" s="11"/>
      <c r="H201" s="11"/>
    </row>
    <row r="202" spans="1:8" x14ac:dyDescent="0.35">
      <c r="A202" s="25"/>
      <c r="B202" s="26" t="s">
        <v>37</v>
      </c>
      <c r="C202" s="23"/>
      <c r="D202" s="27">
        <v>4.7299999999999995</v>
      </c>
      <c r="E202" s="11"/>
      <c r="F202" s="11"/>
      <c r="G202" s="11"/>
      <c r="H202" s="11"/>
    </row>
    <row r="203" spans="1:8" x14ac:dyDescent="0.35">
      <c r="A203" s="25"/>
      <c r="B203" s="26" t="s">
        <v>52</v>
      </c>
      <c r="C203" s="23"/>
      <c r="D203" s="27">
        <v>4.26</v>
      </c>
      <c r="E203" s="11"/>
      <c r="F203" s="11"/>
      <c r="G203" s="11"/>
      <c r="H203" s="11"/>
    </row>
    <row r="204" spans="1:8" x14ac:dyDescent="0.35">
      <c r="A204" s="25"/>
      <c r="B204" s="26" t="s">
        <v>43</v>
      </c>
      <c r="C204" s="23"/>
      <c r="D204" s="27">
        <v>3.71</v>
      </c>
      <c r="E204" s="11"/>
      <c r="F204" s="11"/>
      <c r="G204" s="11"/>
      <c r="H204" s="11"/>
    </row>
    <row r="205" spans="1:8" x14ac:dyDescent="0.35">
      <c r="A205" s="25"/>
      <c r="B205" s="26" t="s">
        <v>96</v>
      </c>
      <c r="C205" s="23"/>
      <c r="D205" s="27">
        <v>2.9099999999999997</v>
      </c>
      <c r="E205" s="11"/>
      <c r="F205" s="11"/>
      <c r="G205" s="11"/>
      <c r="H205" s="11"/>
    </row>
    <row r="206" spans="1:8" x14ac:dyDescent="0.35">
      <c r="A206" s="25"/>
      <c r="B206" s="26" t="s">
        <v>40</v>
      </c>
      <c r="C206" s="23"/>
      <c r="D206" s="27">
        <v>2.0299999999999998</v>
      </c>
      <c r="E206" s="11"/>
      <c r="F206" s="11"/>
      <c r="G206" s="11"/>
      <c r="H206" s="11"/>
    </row>
    <row r="207" spans="1:8" x14ac:dyDescent="0.35">
      <c r="A207" s="25"/>
      <c r="B207" s="26" t="s">
        <v>59</v>
      </c>
      <c r="C207" s="23"/>
      <c r="D207" s="27">
        <v>1.78</v>
      </c>
      <c r="E207" s="11"/>
      <c r="F207" s="11"/>
      <c r="G207" s="11"/>
      <c r="H207" s="11"/>
    </row>
    <row r="208" spans="1:8" x14ac:dyDescent="0.35">
      <c r="A208" s="25"/>
      <c r="B208" s="26" t="s">
        <v>46</v>
      </c>
      <c r="C208" s="23"/>
      <c r="D208" s="27">
        <v>1.77</v>
      </c>
      <c r="E208" s="11"/>
      <c r="F208" s="11"/>
      <c r="G208" s="11"/>
      <c r="H208" s="11"/>
    </row>
    <row r="209" spans="1:8" x14ac:dyDescent="0.35">
      <c r="A209" s="25"/>
      <c r="B209" s="26" t="s">
        <v>80</v>
      </c>
      <c r="C209" s="23"/>
      <c r="D209" s="27">
        <v>1.5899999999999999</v>
      </c>
      <c r="E209" s="11"/>
      <c r="F209" s="11"/>
      <c r="G209" s="11"/>
      <c r="H209" s="11"/>
    </row>
    <row r="210" spans="1:8" x14ac:dyDescent="0.35">
      <c r="A210" s="25"/>
      <c r="B210" s="26" t="s">
        <v>77</v>
      </c>
      <c r="C210" s="23"/>
      <c r="D210" s="27">
        <v>1.5499999999999998</v>
      </c>
      <c r="E210" s="11"/>
      <c r="F210" s="11"/>
      <c r="G210" s="11"/>
      <c r="H210" s="11"/>
    </row>
    <row r="211" spans="1:8" x14ac:dyDescent="0.35">
      <c r="A211" s="25"/>
      <c r="B211" s="26" t="s">
        <v>49</v>
      </c>
      <c r="C211" s="23"/>
      <c r="D211" s="27">
        <v>1.77</v>
      </c>
      <c r="E211" s="11"/>
      <c r="F211" s="11"/>
      <c r="G211" s="11"/>
      <c r="H211" s="11"/>
    </row>
    <row r="212" spans="1:8" x14ac:dyDescent="0.35">
      <c r="A212" s="25"/>
      <c r="B212" s="26" t="s">
        <v>86</v>
      </c>
      <c r="C212" s="23"/>
      <c r="D212" s="27">
        <v>1.4100000000000001</v>
      </c>
      <c r="E212" s="11"/>
      <c r="F212" s="11"/>
      <c r="G212" s="11"/>
      <c r="H212" s="11"/>
    </row>
    <row r="213" spans="1:8" x14ac:dyDescent="0.35">
      <c r="A213" s="25"/>
      <c r="B213" s="26" t="s">
        <v>74</v>
      </c>
      <c r="C213" s="23"/>
      <c r="D213" s="27">
        <v>1.37</v>
      </c>
      <c r="E213" s="11"/>
      <c r="F213" s="11"/>
      <c r="G213" s="11"/>
      <c r="H213" s="11"/>
    </row>
    <row r="214" spans="1:8" x14ac:dyDescent="0.35">
      <c r="A214" s="25"/>
      <c r="B214" s="26" t="s">
        <v>64</v>
      </c>
      <c r="C214" s="23"/>
      <c r="D214" s="27">
        <v>1.1100000000000001</v>
      </c>
      <c r="E214" s="11"/>
      <c r="F214" s="11"/>
      <c r="G214" s="11"/>
      <c r="H214" s="11"/>
    </row>
    <row r="215" spans="1:8" x14ac:dyDescent="0.35">
      <c r="A215" s="25"/>
      <c r="B215" s="26" t="s">
        <v>116</v>
      </c>
      <c r="C215" s="23"/>
      <c r="D215" s="27">
        <v>1.05</v>
      </c>
      <c r="E215" s="11"/>
      <c r="F215" s="11"/>
      <c r="G215" s="11"/>
      <c r="H215" s="11"/>
    </row>
    <row r="216" spans="1:8" x14ac:dyDescent="0.35">
      <c r="A216" s="25"/>
      <c r="B216" s="26" t="s">
        <v>69</v>
      </c>
      <c r="C216" s="23"/>
      <c r="D216" s="27">
        <v>1.02</v>
      </c>
      <c r="E216" s="11"/>
      <c r="F216" s="11"/>
      <c r="G216" s="11"/>
      <c r="H216" s="11"/>
    </row>
    <row r="217" spans="1:8" x14ac:dyDescent="0.35">
      <c r="A217" s="25"/>
      <c r="B217" s="26" t="s">
        <v>83</v>
      </c>
      <c r="C217" s="23"/>
      <c r="D217" s="27">
        <v>0.98000000000000009</v>
      </c>
      <c r="E217" s="11"/>
      <c r="F217" s="11"/>
      <c r="G217" s="11"/>
      <c r="H217" s="11"/>
    </row>
    <row r="218" spans="1:8" x14ac:dyDescent="0.35">
      <c r="A218" s="25"/>
      <c r="B218" s="26" t="s">
        <v>89</v>
      </c>
      <c r="C218" s="23"/>
      <c r="D218" s="27">
        <v>0.92</v>
      </c>
      <c r="E218" s="11"/>
      <c r="F218" s="11"/>
      <c r="G218" s="11"/>
      <c r="H218" s="11"/>
    </row>
    <row r="219" spans="1:8" x14ac:dyDescent="0.35">
      <c r="A219" s="25"/>
      <c r="B219" s="26" t="s">
        <v>105</v>
      </c>
      <c r="C219" s="23"/>
      <c r="D219" s="27">
        <v>0.67</v>
      </c>
      <c r="E219" s="11"/>
      <c r="F219" s="11"/>
      <c r="G219" s="11"/>
      <c r="H219" s="11"/>
    </row>
    <row r="220" spans="1:8" x14ac:dyDescent="0.35">
      <c r="A220" s="25"/>
      <c r="B220" s="26" t="s">
        <v>119</v>
      </c>
      <c r="C220" s="23"/>
      <c r="D220" s="27">
        <v>0.55000000000000004</v>
      </c>
      <c r="E220" s="11"/>
      <c r="F220" s="11"/>
      <c r="G220" s="11"/>
      <c r="H220" s="11"/>
    </row>
    <row r="221" spans="1:8" x14ac:dyDescent="0.35">
      <c r="A221" s="25"/>
      <c r="B221" s="26" t="s">
        <v>126</v>
      </c>
      <c r="C221" s="23"/>
      <c r="D221" s="27">
        <v>0.49</v>
      </c>
      <c r="E221" s="11"/>
      <c r="F221" s="11"/>
      <c r="G221" s="11"/>
      <c r="H221" s="11"/>
    </row>
    <row r="222" spans="1:8" x14ac:dyDescent="0.35">
      <c r="A222" s="25"/>
      <c r="B222" s="26" t="s">
        <v>131</v>
      </c>
      <c r="C222" s="23"/>
      <c r="D222" s="27">
        <v>0.44</v>
      </c>
      <c r="E222" s="11"/>
      <c r="F222" s="11"/>
      <c r="G222" s="11"/>
      <c r="H222" s="11"/>
    </row>
    <row r="223" spans="1:8" x14ac:dyDescent="0.35">
      <c r="A223" s="25"/>
      <c r="B223" s="26" t="s">
        <v>144</v>
      </c>
      <c r="C223" s="23"/>
      <c r="D223" s="27">
        <v>7.0000000000000007E-2</v>
      </c>
      <c r="E223" s="11"/>
      <c r="F223" s="11"/>
      <c r="G223" s="11"/>
      <c r="H223" s="11"/>
    </row>
    <row r="224" spans="1:8" x14ac:dyDescent="0.35">
      <c r="A224" s="25"/>
      <c r="B224" s="26" t="s">
        <v>156</v>
      </c>
      <c r="C224" s="23"/>
      <c r="D224" s="27">
        <v>0.66</v>
      </c>
      <c r="E224" s="11"/>
      <c r="F224" s="11"/>
      <c r="G224" s="11"/>
      <c r="H224" s="11"/>
    </row>
    <row r="225" spans="1:8" x14ac:dyDescent="0.35">
      <c r="A225" s="25"/>
      <c r="B225" s="26" t="s">
        <v>151</v>
      </c>
      <c r="C225" s="23"/>
      <c r="D225" s="27">
        <v>0.73</v>
      </c>
      <c r="E225" s="11"/>
      <c r="F225" s="11"/>
      <c r="G225" s="11"/>
      <c r="H225" s="11"/>
    </row>
    <row r="226" spans="1:8" x14ac:dyDescent="0.35">
      <c r="A226" s="25"/>
      <c r="B226" s="26" t="s">
        <v>315</v>
      </c>
      <c r="C226" s="23"/>
      <c r="D226" s="27">
        <v>6.4700000000000006</v>
      </c>
      <c r="E226" s="11"/>
      <c r="F226" s="11"/>
      <c r="G226" s="11"/>
      <c r="H226" s="11"/>
    </row>
    <row r="227" spans="1:8" x14ac:dyDescent="0.35">
      <c r="A227" s="25"/>
      <c r="B227" s="26" t="s">
        <v>316</v>
      </c>
      <c r="C227" s="23"/>
      <c r="D227" s="27">
        <v>17.289999999999992</v>
      </c>
      <c r="E227" s="11"/>
      <c r="F227" s="11"/>
      <c r="G227" s="11"/>
      <c r="H227" s="11"/>
    </row>
    <row r="228" spans="1:8" x14ac:dyDescent="0.35">
      <c r="A228" s="25"/>
      <c r="B228" s="26" t="s">
        <v>296</v>
      </c>
      <c r="C228" s="23"/>
      <c r="D228" s="27">
        <v>2.7800000000000002</v>
      </c>
      <c r="E228" s="11"/>
      <c r="F228" s="11"/>
      <c r="G228" s="11"/>
      <c r="H228" s="11"/>
    </row>
    <row r="229" spans="1:8" x14ac:dyDescent="0.35">
      <c r="A229" s="25"/>
      <c r="B229" s="26" t="s">
        <v>317</v>
      </c>
      <c r="C229" s="23"/>
      <c r="D229" s="27">
        <v>1.92</v>
      </c>
      <c r="E229" s="11"/>
      <c r="F229" s="11"/>
      <c r="G229" s="11"/>
      <c r="H229" s="11"/>
    </row>
    <row r="230" spans="1:8" x14ac:dyDescent="0.35">
      <c r="A230" s="28"/>
      <c r="B230" s="28"/>
      <c r="C230" s="28"/>
      <c r="D230" s="28"/>
      <c r="E230" s="28"/>
      <c r="F230" s="28"/>
      <c r="G230" s="28"/>
      <c r="H230" s="28"/>
    </row>
    <row r="231" spans="1:8" x14ac:dyDescent="0.35">
      <c r="A231" s="28"/>
      <c r="B231" s="8" t="s">
        <v>323</v>
      </c>
      <c r="C231" s="28"/>
      <c r="D231" s="28"/>
      <c r="E231" s="28"/>
      <c r="F231" s="28"/>
      <c r="G231" s="28"/>
      <c r="H231" s="28"/>
    </row>
    <row r="232" spans="1:8" x14ac:dyDescent="0.35">
      <c r="A232" s="11"/>
      <c r="B232" s="11" t="s">
        <v>324</v>
      </c>
      <c r="C232" s="11"/>
      <c r="D232" s="11"/>
      <c r="E232" s="11"/>
      <c r="F232" s="11"/>
      <c r="G232" s="11"/>
      <c r="H232" s="28"/>
    </row>
    <row r="233" spans="1:8" x14ac:dyDescent="0.35">
      <c r="A233" s="11"/>
      <c r="B233" s="29" t="s">
        <v>325</v>
      </c>
      <c r="C233" s="30" t="s">
        <v>326</v>
      </c>
      <c r="D233" s="29" t="s">
        <v>327</v>
      </c>
      <c r="E233" s="11"/>
      <c r="F233" s="11"/>
      <c r="G233" s="11"/>
      <c r="H233" s="28"/>
    </row>
    <row r="234" spans="1:8" x14ac:dyDescent="0.35">
      <c r="A234" s="11"/>
      <c r="B234" s="8" t="s">
        <v>328</v>
      </c>
      <c r="C234" s="31">
        <v>15.076000000000001</v>
      </c>
      <c r="D234" s="31">
        <v>14.332000000000001</v>
      </c>
      <c r="E234" s="11"/>
      <c r="F234" s="11"/>
      <c r="G234" s="11"/>
      <c r="H234" s="28"/>
    </row>
    <row r="235" spans="1:8" x14ac:dyDescent="0.35">
      <c r="A235" s="11"/>
      <c r="B235" s="8" t="s">
        <v>329</v>
      </c>
      <c r="C235" s="31">
        <v>17.495000000000001</v>
      </c>
      <c r="D235" s="31">
        <v>16.623999999999999</v>
      </c>
      <c r="E235" s="11"/>
      <c r="F235" s="11"/>
      <c r="G235" s="11"/>
      <c r="H235" s="28"/>
    </row>
    <row r="236" spans="1:8" x14ac:dyDescent="0.35">
      <c r="A236" s="11"/>
      <c r="B236" s="8" t="s">
        <v>330</v>
      </c>
      <c r="C236" s="31">
        <v>111.392</v>
      </c>
      <c r="D236" s="31">
        <v>105.89700000000001</v>
      </c>
      <c r="E236" s="11"/>
      <c r="F236" s="11"/>
      <c r="G236" s="11"/>
      <c r="H236" s="28"/>
    </row>
    <row r="237" spans="1:8" x14ac:dyDescent="0.35">
      <c r="A237" s="11"/>
      <c r="B237" s="8" t="s">
        <v>331</v>
      </c>
      <c r="C237" s="31">
        <v>121.38</v>
      </c>
      <c r="D237" s="31">
        <v>115.33199999999999</v>
      </c>
      <c r="E237" s="11"/>
      <c r="F237" s="11"/>
      <c r="G237" s="11"/>
      <c r="H237" s="28"/>
    </row>
    <row r="238" spans="1:8" x14ac:dyDescent="0.35">
      <c r="A238" s="11"/>
      <c r="B238" s="8" t="s">
        <v>13</v>
      </c>
      <c r="C238" s="11"/>
      <c r="D238" s="11"/>
      <c r="E238" s="11"/>
      <c r="F238" s="11"/>
      <c r="G238" s="11"/>
      <c r="H238" s="28"/>
    </row>
    <row r="239" spans="1:8" x14ac:dyDescent="0.35">
      <c r="A239" s="11"/>
      <c r="B239" s="11"/>
      <c r="C239" s="11"/>
      <c r="D239" s="11"/>
      <c r="E239" s="11"/>
      <c r="F239" s="11"/>
      <c r="G239" s="11"/>
      <c r="H239" s="28"/>
    </row>
    <row r="240" spans="1:8" x14ac:dyDescent="0.35">
      <c r="A240" s="11"/>
      <c r="B240" s="11" t="s">
        <v>332</v>
      </c>
      <c r="C240" s="11"/>
      <c r="D240" s="11"/>
      <c r="E240" s="11"/>
      <c r="F240" s="11"/>
      <c r="G240" s="11"/>
      <c r="H240" s="28"/>
    </row>
    <row r="241" spans="1:8" x14ac:dyDescent="0.35">
      <c r="A241" s="11"/>
      <c r="B241" s="11"/>
      <c r="C241" s="11"/>
      <c r="D241" s="11"/>
      <c r="E241" s="11"/>
      <c r="F241" s="11"/>
      <c r="G241" s="11"/>
      <c r="H241" s="28"/>
    </row>
    <row r="242" spans="1:8" x14ac:dyDescent="0.35">
      <c r="A242" s="11"/>
      <c r="B242" s="11" t="s">
        <v>333</v>
      </c>
      <c r="C242" s="11"/>
      <c r="D242" s="11"/>
      <c r="E242" s="11"/>
      <c r="F242" s="11"/>
      <c r="G242" s="11"/>
      <c r="H242" s="28"/>
    </row>
    <row r="243" spans="1:8" x14ac:dyDescent="0.35">
      <c r="A243" s="28"/>
      <c r="B243" s="28"/>
      <c r="C243" s="28"/>
      <c r="D243" s="28"/>
      <c r="E243" s="28"/>
      <c r="F243" s="28"/>
      <c r="G243" s="28"/>
      <c r="H243" s="28"/>
    </row>
    <row r="244" spans="1:8" x14ac:dyDescent="0.35">
      <c r="A244" s="11"/>
      <c r="B244" s="11" t="s">
        <v>334</v>
      </c>
      <c r="C244" s="11"/>
      <c r="D244" s="11"/>
      <c r="E244" s="11"/>
      <c r="F244" s="11"/>
      <c r="G244" s="11"/>
      <c r="H244" s="11"/>
    </row>
    <row r="245" spans="1:8" x14ac:dyDescent="0.35">
      <c r="A245" s="11"/>
      <c r="B245" s="11" t="s">
        <v>335</v>
      </c>
      <c r="C245" s="11"/>
      <c r="D245" s="11"/>
      <c r="E245" s="11"/>
      <c r="F245" s="11"/>
      <c r="G245" s="11"/>
      <c r="H245" s="28"/>
    </row>
    <row r="246" spans="1:8" x14ac:dyDescent="0.35">
      <c r="A246" s="11"/>
      <c r="B246" s="11" t="s">
        <v>336</v>
      </c>
      <c r="C246" s="11"/>
      <c r="D246" s="11"/>
      <c r="E246" s="11"/>
      <c r="F246" s="11"/>
      <c r="G246" s="11"/>
      <c r="H246" s="28"/>
    </row>
    <row r="247" spans="1:8" x14ac:dyDescent="0.35">
      <c r="A247" s="11"/>
      <c r="B247" s="11" t="s">
        <v>337</v>
      </c>
      <c r="C247" s="11"/>
      <c r="D247" s="11"/>
      <c r="E247" s="11"/>
      <c r="F247" s="11"/>
      <c r="G247" s="11"/>
      <c r="H247" s="28"/>
    </row>
    <row r="248" spans="1:8" x14ac:dyDescent="0.35">
      <c r="A248" s="11"/>
      <c r="B248" s="11" t="s">
        <v>338</v>
      </c>
      <c r="C248" s="11"/>
      <c r="D248" s="11"/>
      <c r="E248" s="11"/>
      <c r="F248" s="11"/>
      <c r="G248" s="11"/>
      <c r="H248" s="28"/>
    </row>
    <row r="249" spans="1:8" x14ac:dyDescent="0.35">
      <c r="A249" s="11"/>
      <c r="B249" s="11" t="s">
        <v>339</v>
      </c>
      <c r="C249" s="11"/>
      <c r="D249" s="11"/>
      <c r="E249" s="11"/>
      <c r="F249" s="11"/>
      <c r="G249" s="11"/>
      <c r="H249" s="28"/>
    </row>
    <row r="250" spans="1:8" x14ac:dyDescent="0.35">
      <c r="A250" s="11"/>
      <c r="B250" s="11" t="s">
        <v>340</v>
      </c>
      <c r="C250" s="11"/>
      <c r="D250" s="11"/>
      <c r="E250" s="11"/>
      <c r="F250" s="11"/>
      <c r="G250" s="11"/>
      <c r="H250" s="28"/>
    </row>
    <row r="251" spans="1:8" x14ac:dyDescent="0.35">
      <c r="A251" s="11"/>
      <c r="B251" s="11" t="s">
        <v>341</v>
      </c>
      <c r="C251" s="11"/>
      <c r="D251" s="11"/>
      <c r="E251" s="11"/>
      <c r="F251" s="11"/>
      <c r="G251" s="11"/>
      <c r="H251" s="28"/>
    </row>
    <row r="252" spans="1:8" x14ac:dyDescent="0.35">
      <c r="A252" s="11"/>
      <c r="B252" s="11" t="s">
        <v>342</v>
      </c>
      <c r="C252" s="11"/>
      <c r="D252" s="11"/>
      <c r="E252" s="11"/>
      <c r="F252" s="11"/>
      <c r="G252" s="11"/>
      <c r="H252" s="28"/>
    </row>
    <row r="253" spans="1:8" x14ac:dyDescent="0.35">
      <c r="A253" s="11"/>
      <c r="B253" s="11" t="s">
        <v>343</v>
      </c>
      <c r="C253" s="11"/>
      <c r="D253" s="11"/>
      <c r="E253" s="11"/>
      <c r="F253" s="11"/>
      <c r="G253" s="11"/>
      <c r="H253" s="28"/>
    </row>
    <row r="254" spans="1:8" x14ac:dyDescent="0.35">
      <c r="A254" s="11"/>
      <c r="B254" s="11" t="s">
        <v>344</v>
      </c>
      <c r="C254" s="11"/>
      <c r="D254" s="11"/>
      <c r="E254" s="11"/>
      <c r="F254" s="11"/>
      <c r="G254" s="11"/>
      <c r="H254" s="28"/>
    </row>
    <row r="255" spans="1:8" x14ac:dyDescent="0.35">
      <c r="A255" s="11"/>
      <c r="B255" s="11" t="s">
        <v>345</v>
      </c>
      <c r="C255" s="11"/>
      <c r="D255" s="11"/>
      <c r="E255" s="11"/>
      <c r="F255" s="11"/>
      <c r="G255" s="11"/>
      <c r="H255" s="28"/>
    </row>
    <row r="257" spans="2:2" x14ac:dyDescent="0.35">
      <c r="B257" s="32" t="s">
        <v>346</v>
      </c>
    </row>
    <row r="273" spans="2:2" x14ac:dyDescent="0.35">
      <c r="B273" s="32" t="s">
        <v>347</v>
      </c>
    </row>
  </sheetData>
  <mergeCells count="11">
    <mergeCell ref="B173:F173"/>
    <mergeCell ref="A1:J1"/>
    <mergeCell ref="A2:J2"/>
    <mergeCell ref="B170:F170"/>
    <mergeCell ref="B171:F171"/>
    <mergeCell ref="B172:F172"/>
    <mergeCell ref="B174:F174"/>
    <mergeCell ref="B175:F175"/>
    <mergeCell ref="B176:F176"/>
    <mergeCell ref="B177:F177"/>
    <mergeCell ref="B178:F17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election activeCell="C1" sqref="C1"/>
    </sheetView>
  </sheetViews>
  <sheetFormatPr defaultColWidth="9.1796875" defaultRowHeight="12.5" x14ac:dyDescent="0.25"/>
  <cols>
    <col min="1" max="1" width="60.7265625" style="38" customWidth="1"/>
    <col min="2" max="2" width="29.7265625" style="38" customWidth="1"/>
    <col min="3" max="3" width="18.26953125" style="38" bestFit="1" customWidth="1"/>
    <col min="4" max="5" width="17.54296875" style="38" bestFit="1" customWidth="1"/>
    <col min="6" max="6" width="13.7265625" style="38" customWidth="1"/>
    <col min="7" max="7" width="14.7265625" style="38" bestFit="1" customWidth="1"/>
    <col min="8" max="8" width="4" style="38" bestFit="1" customWidth="1"/>
    <col min="9" max="9" width="11.7265625" style="38" customWidth="1"/>
    <col min="10" max="10" width="12.7265625" style="38" customWidth="1"/>
    <col min="11" max="11" width="27.26953125" style="38" customWidth="1"/>
    <col min="12" max="13" width="9.1796875" style="38" customWidth="1"/>
    <col min="14" max="14" width="10.7265625" style="38" customWidth="1"/>
    <col min="15" max="256" width="9.1796875" style="38"/>
    <col min="257" max="257" width="60.7265625" style="38" customWidth="1"/>
    <col min="258" max="258" width="29.7265625" style="38" customWidth="1"/>
    <col min="259" max="259" width="18.26953125" style="38" bestFit="1" customWidth="1"/>
    <col min="260" max="261" width="17.54296875" style="38" bestFit="1" customWidth="1"/>
    <col min="262" max="262" width="13.7265625" style="38" customWidth="1"/>
    <col min="263" max="263" width="14.7265625" style="38" bestFit="1" customWidth="1"/>
    <col min="264" max="264" width="4" style="38" bestFit="1" customWidth="1"/>
    <col min="265" max="265" width="11.7265625" style="38" customWidth="1"/>
    <col min="266" max="266" width="12.7265625" style="38" customWidth="1"/>
    <col min="267" max="267" width="27.26953125" style="38" customWidth="1"/>
    <col min="268" max="269" width="9.1796875" style="38" customWidth="1"/>
    <col min="270" max="270" width="10.7265625" style="38" customWidth="1"/>
    <col min="271" max="512" width="9.1796875" style="38"/>
    <col min="513" max="513" width="60.7265625" style="38" customWidth="1"/>
    <col min="514" max="514" width="29.7265625" style="38" customWidth="1"/>
    <col min="515" max="515" width="18.26953125" style="38" bestFit="1" customWidth="1"/>
    <col min="516" max="517" width="17.54296875" style="38" bestFit="1" customWidth="1"/>
    <col min="518" max="518" width="13.7265625" style="38" customWidth="1"/>
    <col min="519" max="519" width="14.7265625" style="38" bestFit="1" customWidth="1"/>
    <col min="520" max="520" width="4" style="38" bestFit="1" customWidth="1"/>
    <col min="521" max="521" width="11.7265625" style="38" customWidth="1"/>
    <col min="522" max="522" width="12.7265625" style="38" customWidth="1"/>
    <col min="523" max="523" width="27.26953125" style="38" customWidth="1"/>
    <col min="524" max="525" width="9.1796875" style="38" customWidth="1"/>
    <col min="526" max="526" width="10.7265625" style="38" customWidth="1"/>
    <col min="527" max="768" width="9.1796875" style="38"/>
    <col min="769" max="769" width="60.7265625" style="38" customWidth="1"/>
    <col min="770" max="770" width="29.7265625" style="38" customWidth="1"/>
    <col min="771" max="771" width="18.26953125" style="38" bestFit="1" customWidth="1"/>
    <col min="772" max="773" width="17.54296875" style="38" bestFit="1" customWidth="1"/>
    <col min="774" max="774" width="13.7265625" style="38" customWidth="1"/>
    <col min="775" max="775" width="14.7265625" style="38" bestFit="1" customWidth="1"/>
    <col min="776" max="776" width="4" style="38" bestFit="1" customWidth="1"/>
    <col min="777" max="777" width="11.7265625" style="38" customWidth="1"/>
    <col min="778" max="778" width="12.7265625" style="38" customWidth="1"/>
    <col min="779" max="779" width="27.26953125" style="38" customWidth="1"/>
    <col min="780" max="781" width="9.1796875" style="38" customWidth="1"/>
    <col min="782" max="782" width="10.7265625" style="38" customWidth="1"/>
    <col min="783" max="1024" width="9.1796875" style="38"/>
    <col min="1025" max="1025" width="60.7265625" style="38" customWidth="1"/>
    <col min="1026" max="1026" width="29.7265625" style="38" customWidth="1"/>
    <col min="1027" max="1027" width="18.26953125" style="38" bestFit="1" customWidth="1"/>
    <col min="1028" max="1029" width="17.54296875" style="38" bestFit="1" customWidth="1"/>
    <col min="1030" max="1030" width="13.7265625" style="38" customWidth="1"/>
    <col min="1031" max="1031" width="14.7265625" style="38" bestFit="1" customWidth="1"/>
    <col min="1032" max="1032" width="4" style="38" bestFit="1" customWidth="1"/>
    <col min="1033" max="1033" width="11.7265625" style="38" customWidth="1"/>
    <col min="1034" max="1034" width="12.7265625" style="38" customWidth="1"/>
    <col min="1035" max="1035" width="27.26953125" style="38" customWidth="1"/>
    <col min="1036" max="1037" width="9.1796875" style="38" customWidth="1"/>
    <col min="1038" max="1038" width="10.7265625" style="38" customWidth="1"/>
    <col min="1039" max="1280" width="9.1796875" style="38"/>
    <col min="1281" max="1281" width="60.7265625" style="38" customWidth="1"/>
    <col min="1282" max="1282" width="29.7265625" style="38" customWidth="1"/>
    <col min="1283" max="1283" width="18.26953125" style="38" bestFit="1" customWidth="1"/>
    <col min="1284" max="1285" width="17.54296875" style="38" bestFit="1" customWidth="1"/>
    <col min="1286" max="1286" width="13.7265625" style="38" customWidth="1"/>
    <col min="1287" max="1287" width="14.7265625" style="38" bestFit="1" customWidth="1"/>
    <col min="1288" max="1288" width="4" style="38" bestFit="1" customWidth="1"/>
    <col min="1289" max="1289" width="11.7265625" style="38" customWidth="1"/>
    <col min="1290" max="1290" width="12.7265625" style="38" customWidth="1"/>
    <col min="1291" max="1291" width="27.26953125" style="38" customWidth="1"/>
    <col min="1292" max="1293" width="9.1796875" style="38" customWidth="1"/>
    <col min="1294" max="1294" width="10.7265625" style="38" customWidth="1"/>
    <col min="1295" max="1536" width="9.1796875" style="38"/>
    <col min="1537" max="1537" width="60.7265625" style="38" customWidth="1"/>
    <col min="1538" max="1538" width="29.7265625" style="38" customWidth="1"/>
    <col min="1539" max="1539" width="18.26953125" style="38" bestFit="1" customWidth="1"/>
    <col min="1540" max="1541" width="17.54296875" style="38" bestFit="1" customWidth="1"/>
    <col min="1542" max="1542" width="13.7265625" style="38" customWidth="1"/>
    <col min="1543" max="1543" width="14.7265625" style="38" bestFit="1" customWidth="1"/>
    <col min="1544" max="1544" width="4" style="38" bestFit="1" customWidth="1"/>
    <col min="1545" max="1545" width="11.7265625" style="38" customWidth="1"/>
    <col min="1546" max="1546" width="12.7265625" style="38" customWidth="1"/>
    <col min="1547" max="1547" width="27.26953125" style="38" customWidth="1"/>
    <col min="1548" max="1549" width="9.1796875" style="38" customWidth="1"/>
    <col min="1550" max="1550" width="10.7265625" style="38" customWidth="1"/>
    <col min="1551" max="1792" width="9.1796875" style="38"/>
    <col min="1793" max="1793" width="60.7265625" style="38" customWidth="1"/>
    <col min="1794" max="1794" width="29.7265625" style="38" customWidth="1"/>
    <col min="1795" max="1795" width="18.26953125" style="38" bestFit="1" customWidth="1"/>
    <col min="1796" max="1797" width="17.54296875" style="38" bestFit="1" customWidth="1"/>
    <col min="1798" max="1798" width="13.7265625" style="38" customWidth="1"/>
    <col min="1799" max="1799" width="14.7265625" style="38" bestFit="1" customWidth="1"/>
    <col min="1800" max="1800" width="4" style="38" bestFit="1" customWidth="1"/>
    <col min="1801" max="1801" width="11.7265625" style="38" customWidth="1"/>
    <col min="1802" max="1802" width="12.7265625" style="38" customWidth="1"/>
    <col min="1803" max="1803" width="27.26953125" style="38" customWidth="1"/>
    <col min="1804" max="1805" width="9.1796875" style="38" customWidth="1"/>
    <col min="1806" max="1806" width="10.7265625" style="38" customWidth="1"/>
    <col min="1807" max="2048" width="9.1796875" style="38"/>
    <col min="2049" max="2049" width="60.7265625" style="38" customWidth="1"/>
    <col min="2050" max="2050" width="29.7265625" style="38" customWidth="1"/>
    <col min="2051" max="2051" width="18.26953125" style="38" bestFit="1" customWidth="1"/>
    <col min="2052" max="2053" width="17.54296875" style="38" bestFit="1" customWidth="1"/>
    <col min="2054" max="2054" width="13.7265625" style="38" customWidth="1"/>
    <col min="2055" max="2055" width="14.7265625" style="38" bestFit="1" customWidth="1"/>
    <col min="2056" max="2056" width="4" style="38" bestFit="1" customWidth="1"/>
    <col min="2057" max="2057" width="11.7265625" style="38" customWidth="1"/>
    <col min="2058" max="2058" width="12.7265625" style="38" customWidth="1"/>
    <col min="2059" max="2059" width="27.26953125" style="38" customWidth="1"/>
    <col min="2060" max="2061" width="9.1796875" style="38" customWidth="1"/>
    <col min="2062" max="2062" width="10.7265625" style="38" customWidth="1"/>
    <col min="2063" max="2304" width="9.1796875" style="38"/>
    <col min="2305" max="2305" width="60.7265625" style="38" customWidth="1"/>
    <col min="2306" max="2306" width="29.7265625" style="38" customWidth="1"/>
    <col min="2307" max="2307" width="18.26953125" style="38" bestFit="1" customWidth="1"/>
    <col min="2308" max="2309" width="17.54296875" style="38" bestFit="1" customWidth="1"/>
    <col min="2310" max="2310" width="13.7265625" style="38" customWidth="1"/>
    <col min="2311" max="2311" width="14.7265625" style="38" bestFit="1" customWidth="1"/>
    <col min="2312" max="2312" width="4" style="38" bestFit="1" customWidth="1"/>
    <col min="2313" max="2313" width="11.7265625" style="38" customWidth="1"/>
    <col min="2314" max="2314" width="12.7265625" style="38" customWidth="1"/>
    <col min="2315" max="2315" width="27.26953125" style="38" customWidth="1"/>
    <col min="2316" max="2317" width="9.1796875" style="38" customWidth="1"/>
    <col min="2318" max="2318" width="10.7265625" style="38" customWidth="1"/>
    <col min="2319" max="2560" width="9.1796875" style="38"/>
    <col min="2561" max="2561" width="60.7265625" style="38" customWidth="1"/>
    <col min="2562" max="2562" width="29.7265625" style="38" customWidth="1"/>
    <col min="2563" max="2563" width="18.26953125" style="38" bestFit="1" customWidth="1"/>
    <col min="2564" max="2565" width="17.54296875" style="38" bestFit="1" customWidth="1"/>
    <col min="2566" max="2566" width="13.7265625" style="38" customWidth="1"/>
    <col min="2567" max="2567" width="14.7265625" style="38" bestFit="1" customWidth="1"/>
    <col min="2568" max="2568" width="4" style="38" bestFit="1" customWidth="1"/>
    <col min="2569" max="2569" width="11.7265625" style="38" customWidth="1"/>
    <col min="2570" max="2570" width="12.7265625" style="38" customWidth="1"/>
    <col min="2571" max="2571" width="27.26953125" style="38" customWidth="1"/>
    <col min="2572" max="2573" width="9.1796875" style="38" customWidth="1"/>
    <col min="2574" max="2574" width="10.7265625" style="38" customWidth="1"/>
    <col min="2575" max="2816" width="9.1796875" style="38"/>
    <col min="2817" max="2817" width="60.7265625" style="38" customWidth="1"/>
    <col min="2818" max="2818" width="29.7265625" style="38" customWidth="1"/>
    <col min="2819" max="2819" width="18.26953125" style="38" bestFit="1" customWidth="1"/>
    <col min="2820" max="2821" width="17.54296875" style="38" bestFit="1" customWidth="1"/>
    <col min="2822" max="2822" width="13.7265625" style="38" customWidth="1"/>
    <col min="2823" max="2823" width="14.7265625" style="38" bestFit="1" customWidth="1"/>
    <col min="2824" max="2824" width="4" style="38" bestFit="1" customWidth="1"/>
    <col min="2825" max="2825" width="11.7265625" style="38" customWidth="1"/>
    <col min="2826" max="2826" width="12.7265625" style="38" customWidth="1"/>
    <col min="2827" max="2827" width="27.26953125" style="38" customWidth="1"/>
    <col min="2828" max="2829" width="9.1796875" style="38" customWidth="1"/>
    <col min="2830" max="2830" width="10.7265625" style="38" customWidth="1"/>
    <col min="2831" max="3072" width="9.1796875" style="38"/>
    <col min="3073" max="3073" width="60.7265625" style="38" customWidth="1"/>
    <col min="3074" max="3074" width="29.7265625" style="38" customWidth="1"/>
    <col min="3075" max="3075" width="18.26953125" style="38" bestFit="1" customWidth="1"/>
    <col min="3076" max="3077" width="17.54296875" style="38" bestFit="1" customWidth="1"/>
    <col min="3078" max="3078" width="13.7265625" style="38" customWidth="1"/>
    <col min="3079" max="3079" width="14.7265625" style="38" bestFit="1" customWidth="1"/>
    <col min="3080" max="3080" width="4" style="38" bestFit="1" customWidth="1"/>
    <col min="3081" max="3081" width="11.7265625" style="38" customWidth="1"/>
    <col min="3082" max="3082" width="12.7265625" style="38" customWidth="1"/>
    <col min="3083" max="3083" width="27.26953125" style="38" customWidth="1"/>
    <col min="3084" max="3085" width="9.1796875" style="38" customWidth="1"/>
    <col min="3086" max="3086" width="10.7265625" style="38" customWidth="1"/>
    <col min="3087" max="3328" width="9.1796875" style="38"/>
    <col min="3329" max="3329" width="60.7265625" style="38" customWidth="1"/>
    <col min="3330" max="3330" width="29.7265625" style="38" customWidth="1"/>
    <col min="3331" max="3331" width="18.26953125" style="38" bestFit="1" customWidth="1"/>
    <col min="3332" max="3333" width="17.54296875" style="38" bestFit="1" customWidth="1"/>
    <col min="3334" max="3334" width="13.7265625" style="38" customWidth="1"/>
    <col min="3335" max="3335" width="14.7265625" style="38" bestFit="1" customWidth="1"/>
    <col min="3336" max="3336" width="4" style="38" bestFit="1" customWidth="1"/>
    <col min="3337" max="3337" width="11.7265625" style="38" customWidth="1"/>
    <col min="3338" max="3338" width="12.7265625" style="38" customWidth="1"/>
    <col min="3339" max="3339" width="27.26953125" style="38" customWidth="1"/>
    <col min="3340" max="3341" width="9.1796875" style="38" customWidth="1"/>
    <col min="3342" max="3342" width="10.7265625" style="38" customWidth="1"/>
    <col min="3343" max="3584" width="9.1796875" style="38"/>
    <col min="3585" max="3585" width="60.7265625" style="38" customWidth="1"/>
    <col min="3586" max="3586" width="29.7265625" style="38" customWidth="1"/>
    <col min="3587" max="3587" width="18.26953125" style="38" bestFit="1" customWidth="1"/>
    <col min="3588" max="3589" width="17.54296875" style="38" bestFit="1" customWidth="1"/>
    <col min="3590" max="3590" width="13.7265625" style="38" customWidth="1"/>
    <col min="3591" max="3591" width="14.7265625" style="38" bestFit="1" customWidth="1"/>
    <col min="3592" max="3592" width="4" style="38" bestFit="1" customWidth="1"/>
    <col min="3593" max="3593" width="11.7265625" style="38" customWidth="1"/>
    <col min="3594" max="3594" width="12.7265625" style="38" customWidth="1"/>
    <col min="3595" max="3595" width="27.26953125" style="38" customWidth="1"/>
    <col min="3596" max="3597" width="9.1796875" style="38" customWidth="1"/>
    <col min="3598" max="3598" width="10.7265625" style="38" customWidth="1"/>
    <col min="3599" max="3840" width="9.1796875" style="38"/>
    <col min="3841" max="3841" width="60.7265625" style="38" customWidth="1"/>
    <col min="3842" max="3842" width="29.7265625" style="38" customWidth="1"/>
    <col min="3843" max="3843" width="18.26953125" style="38" bestFit="1" customWidth="1"/>
    <col min="3844" max="3845" width="17.54296875" style="38" bestFit="1" customWidth="1"/>
    <col min="3846" max="3846" width="13.7265625" style="38" customWidth="1"/>
    <col min="3847" max="3847" width="14.7265625" style="38" bestFit="1" customWidth="1"/>
    <col min="3848" max="3848" width="4" style="38" bestFit="1" customWidth="1"/>
    <col min="3849" max="3849" width="11.7265625" style="38" customWidth="1"/>
    <col min="3850" max="3850" width="12.7265625" style="38" customWidth="1"/>
    <col min="3851" max="3851" width="27.26953125" style="38" customWidth="1"/>
    <col min="3852" max="3853" width="9.1796875" style="38" customWidth="1"/>
    <col min="3854" max="3854" width="10.7265625" style="38" customWidth="1"/>
    <col min="3855" max="4096" width="9.1796875" style="38"/>
    <col min="4097" max="4097" width="60.7265625" style="38" customWidth="1"/>
    <col min="4098" max="4098" width="29.7265625" style="38" customWidth="1"/>
    <col min="4099" max="4099" width="18.26953125" style="38" bestFit="1" customWidth="1"/>
    <col min="4100" max="4101" width="17.54296875" style="38" bestFit="1" customWidth="1"/>
    <col min="4102" max="4102" width="13.7265625" style="38" customWidth="1"/>
    <col min="4103" max="4103" width="14.7265625" style="38" bestFit="1" customWidth="1"/>
    <col min="4104" max="4104" width="4" style="38" bestFit="1" customWidth="1"/>
    <col min="4105" max="4105" width="11.7265625" style="38" customWidth="1"/>
    <col min="4106" max="4106" width="12.7265625" style="38" customWidth="1"/>
    <col min="4107" max="4107" width="27.26953125" style="38" customWidth="1"/>
    <col min="4108" max="4109" width="9.1796875" style="38" customWidth="1"/>
    <col min="4110" max="4110" width="10.7265625" style="38" customWidth="1"/>
    <col min="4111" max="4352" width="9.1796875" style="38"/>
    <col min="4353" max="4353" width="60.7265625" style="38" customWidth="1"/>
    <col min="4354" max="4354" width="29.7265625" style="38" customWidth="1"/>
    <col min="4355" max="4355" width="18.26953125" style="38" bestFit="1" customWidth="1"/>
    <col min="4356" max="4357" width="17.54296875" style="38" bestFit="1" customWidth="1"/>
    <col min="4358" max="4358" width="13.7265625" style="38" customWidth="1"/>
    <col min="4359" max="4359" width="14.7265625" style="38" bestFit="1" customWidth="1"/>
    <col min="4360" max="4360" width="4" style="38" bestFit="1" customWidth="1"/>
    <col min="4361" max="4361" width="11.7265625" style="38" customWidth="1"/>
    <col min="4362" max="4362" width="12.7265625" style="38" customWidth="1"/>
    <col min="4363" max="4363" width="27.26953125" style="38" customWidth="1"/>
    <col min="4364" max="4365" width="9.1796875" style="38" customWidth="1"/>
    <col min="4366" max="4366" width="10.7265625" style="38" customWidth="1"/>
    <col min="4367" max="4608" width="9.1796875" style="38"/>
    <col min="4609" max="4609" width="60.7265625" style="38" customWidth="1"/>
    <col min="4610" max="4610" width="29.7265625" style="38" customWidth="1"/>
    <col min="4611" max="4611" width="18.26953125" style="38" bestFit="1" customWidth="1"/>
    <col min="4612" max="4613" width="17.54296875" style="38" bestFit="1" customWidth="1"/>
    <col min="4614" max="4614" width="13.7265625" style="38" customWidth="1"/>
    <col min="4615" max="4615" width="14.7265625" style="38" bestFit="1" customWidth="1"/>
    <col min="4616" max="4616" width="4" style="38" bestFit="1" customWidth="1"/>
    <col min="4617" max="4617" width="11.7265625" style="38" customWidth="1"/>
    <col min="4618" max="4618" width="12.7265625" style="38" customWidth="1"/>
    <col min="4619" max="4619" width="27.26953125" style="38" customWidth="1"/>
    <col min="4620" max="4621" width="9.1796875" style="38" customWidth="1"/>
    <col min="4622" max="4622" width="10.7265625" style="38" customWidth="1"/>
    <col min="4623" max="4864" width="9.1796875" style="38"/>
    <col min="4865" max="4865" width="60.7265625" style="38" customWidth="1"/>
    <col min="4866" max="4866" width="29.7265625" style="38" customWidth="1"/>
    <col min="4867" max="4867" width="18.26953125" style="38" bestFit="1" customWidth="1"/>
    <col min="4868" max="4869" width="17.54296875" style="38" bestFit="1" customWidth="1"/>
    <col min="4870" max="4870" width="13.7265625" style="38" customWidth="1"/>
    <col min="4871" max="4871" width="14.7265625" style="38" bestFit="1" customWidth="1"/>
    <col min="4872" max="4872" width="4" style="38" bestFit="1" customWidth="1"/>
    <col min="4873" max="4873" width="11.7265625" style="38" customWidth="1"/>
    <col min="4874" max="4874" width="12.7265625" style="38" customWidth="1"/>
    <col min="4875" max="4875" width="27.26953125" style="38" customWidth="1"/>
    <col min="4876" max="4877" width="9.1796875" style="38" customWidth="1"/>
    <col min="4878" max="4878" width="10.7265625" style="38" customWidth="1"/>
    <col min="4879" max="5120" width="9.1796875" style="38"/>
    <col min="5121" max="5121" width="60.7265625" style="38" customWidth="1"/>
    <col min="5122" max="5122" width="29.7265625" style="38" customWidth="1"/>
    <col min="5123" max="5123" width="18.26953125" style="38" bestFit="1" customWidth="1"/>
    <col min="5124" max="5125" width="17.54296875" style="38" bestFit="1" customWidth="1"/>
    <col min="5126" max="5126" width="13.7265625" style="38" customWidth="1"/>
    <col min="5127" max="5127" width="14.7265625" style="38" bestFit="1" customWidth="1"/>
    <col min="5128" max="5128" width="4" style="38" bestFit="1" customWidth="1"/>
    <col min="5129" max="5129" width="11.7265625" style="38" customWidth="1"/>
    <col min="5130" max="5130" width="12.7265625" style="38" customWidth="1"/>
    <col min="5131" max="5131" width="27.26953125" style="38" customWidth="1"/>
    <col min="5132" max="5133" width="9.1796875" style="38" customWidth="1"/>
    <col min="5134" max="5134" width="10.7265625" style="38" customWidth="1"/>
    <col min="5135" max="5376" width="9.1796875" style="38"/>
    <col min="5377" max="5377" width="60.7265625" style="38" customWidth="1"/>
    <col min="5378" max="5378" width="29.7265625" style="38" customWidth="1"/>
    <col min="5379" max="5379" width="18.26953125" style="38" bestFit="1" customWidth="1"/>
    <col min="5380" max="5381" width="17.54296875" style="38" bestFit="1" customWidth="1"/>
    <col min="5382" max="5382" width="13.7265625" style="38" customWidth="1"/>
    <col min="5383" max="5383" width="14.7265625" style="38" bestFit="1" customWidth="1"/>
    <col min="5384" max="5384" width="4" style="38" bestFit="1" customWidth="1"/>
    <col min="5385" max="5385" width="11.7265625" style="38" customWidth="1"/>
    <col min="5386" max="5386" width="12.7265625" style="38" customWidth="1"/>
    <col min="5387" max="5387" width="27.26953125" style="38" customWidth="1"/>
    <col min="5388" max="5389" width="9.1796875" style="38" customWidth="1"/>
    <col min="5390" max="5390" width="10.7265625" style="38" customWidth="1"/>
    <col min="5391" max="5632" width="9.1796875" style="38"/>
    <col min="5633" max="5633" width="60.7265625" style="38" customWidth="1"/>
    <col min="5634" max="5634" width="29.7265625" style="38" customWidth="1"/>
    <col min="5635" max="5635" width="18.26953125" style="38" bestFit="1" customWidth="1"/>
    <col min="5636" max="5637" width="17.54296875" style="38" bestFit="1" customWidth="1"/>
    <col min="5638" max="5638" width="13.7265625" style="38" customWidth="1"/>
    <col min="5639" max="5639" width="14.7265625" style="38" bestFit="1" customWidth="1"/>
    <col min="5640" max="5640" width="4" style="38" bestFit="1" customWidth="1"/>
    <col min="5641" max="5641" width="11.7265625" style="38" customWidth="1"/>
    <col min="5642" max="5642" width="12.7265625" style="38" customWidth="1"/>
    <col min="5643" max="5643" width="27.26953125" style="38" customWidth="1"/>
    <col min="5644" max="5645" width="9.1796875" style="38" customWidth="1"/>
    <col min="5646" max="5646" width="10.7265625" style="38" customWidth="1"/>
    <col min="5647" max="5888" width="9.1796875" style="38"/>
    <col min="5889" max="5889" width="60.7265625" style="38" customWidth="1"/>
    <col min="5890" max="5890" width="29.7265625" style="38" customWidth="1"/>
    <col min="5891" max="5891" width="18.26953125" style="38" bestFit="1" customWidth="1"/>
    <col min="5892" max="5893" width="17.54296875" style="38" bestFit="1" customWidth="1"/>
    <col min="5894" max="5894" width="13.7265625" style="38" customWidth="1"/>
    <col min="5895" max="5895" width="14.7265625" style="38" bestFit="1" customWidth="1"/>
    <col min="5896" max="5896" width="4" style="38" bestFit="1" customWidth="1"/>
    <col min="5897" max="5897" width="11.7265625" style="38" customWidth="1"/>
    <col min="5898" max="5898" width="12.7265625" style="38" customWidth="1"/>
    <col min="5899" max="5899" width="27.26953125" style="38" customWidth="1"/>
    <col min="5900" max="5901" width="9.1796875" style="38" customWidth="1"/>
    <col min="5902" max="5902" width="10.7265625" style="38" customWidth="1"/>
    <col min="5903" max="6144" width="9.1796875" style="38"/>
    <col min="6145" max="6145" width="60.7265625" style="38" customWidth="1"/>
    <col min="6146" max="6146" width="29.7265625" style="38" customWidth="1"/>
    <col min="6147" max="6147" width="18.26953125" style="38" bestFit="1" customWidth="1"/>
    <col min="6148" max="6149" width="17.54296875" style="38" bestFit="1" customWidth="1"/>
    <col min="6150" max="6150" width="13.7265625" style="38" customWidth="1"/>
    <col min="6151" max="6151" width="14.7265625" style="38" bestFit="1" customWidth="1"/>
    <col min="6152" max="6152" width="4" style="38" bestFit="1" customWidth="1"/>
    <col min="6153" max="6153" width="11.7265625" style="38" customWidth="1"/>
    <col min="6154" max="6154" width="12.7265625" style="38" customWidth="1"/>
    <col min="6155" max="6155" width="27.26953125" style="38" customWidth="1"/>
    <col min="6156" max="6157" width="9.1796875" style="38" customWidth="1"/>
    <col min="6158" max="6158" width="10.7265625" style="38" customWidth="1"/>
    <col min="6159" max="6400" width="9.1796875" style="38"/>
    <col min="6401" max="6401" width="60.7265625" style="38" customWidth="1"/>
    <col min="6402" max="6402" width="29.7265625" style="38" customWidth="1"/>
    <col min="6403" max="6403" width="18.26953125" style="38" bestFit="1" customWidth="1"/>
    <col min="6404" max="6405" width="17.54296875" style="38" bestFit="1" customWidth="1"/>
    <col min="6406" max="6406" width="13.7265625" style="38" customWidth="1"/>
    <col min="6407" max="6407" width="14.7265625" style="38" bestFit="1" customWidth="1"/>
    <col min="6408" max="6408" width="4" style="38" bestFit="1" customWidth="1"/>
    <col min="6409" max="6409" width="11.7265625" style="38" customWidth="1"/>
    <col min="6410" max="6410" width="12.7265625" style="38" customWidth="1"/>
    <col min="6411" max="6411" width="27.26953125" style="38" customWidth="1"/>
    <col min="6412" max="6413" width="9.1796875" style="38" customWidth="1"/>
    <col min="6414" max="6414" width="10.7265625" style="38" customWidth="1"/>
    <col min="6415" max="6656" width="9.1796875" style="38"/>
    <col min="6657" max="6657" width="60.7265625" style="38" customWidth="1"/>
    <col min="6658" max="6658" width="29.7265625" style="38" customWidth="1"/>
    <col min="6659" max="6659" width="18.26953125" style="38" bestFit="1" customWidth="1"/>
    <col min="6660" max="6661" width="17.54296875" style="38" bestFit="1" customWidth="1"/>
    <col min="6662" max="6662" width="13.7265625" style="38" customWidth="1"/>
    <col min="6663" max="6663" width="14.7265625" style="38" bestFit="1" customWidth="1"/>
    <col min="6664" max="6664" width="4" style="38" bestFit="1" customWidth="1"/>
    <col min="6665" max="6665" width="11.7265625" style="38" customWidth="1"/>
    <col min="6666" max="6666" width="12.7265625" style="38" customWidth="1"/>
    <col min="6667" max="6667" width="27.26953125" style="38" customWidth="1"/>
    <col min="6668" max="6669" width="9.1796875" style="38" customWidth="1"/>
    <col min="6670" max="6670" width="10.7265625" style="38" customWidth="1"/>
    <col min="6671" max="6912" width="9.1796875" style="38"/>
    <col min="6913" max="6913" width="60.7265625" style="38" customWidth="1"/>
    <col min="6914" max="6914" width="29.7265625" style="38" customWidth="1"/>
    <col min="6915" max="6915" width="18.26953125" style="38" bestFit="1" customWidth="1"/>
    <col min="6916" max="6917" width="17.54296875" style="38" bestFit="1" customWidth="1"/>
    <col min="6918" max="6918" width="13.7265625" style="38" customWidth="1"/>
    <col min="6919" max="6919" width="14.7265625" style="38" bestFit="1" customWidth="1"/>
    <col min="6920" max="6920" width="4" style="38" bestFit="1" customWidth="1"/>
    <col min="6921" max="6921" width="11.7265625" style="38" customWidth="1"/>
    <col min="6922" max="6922" width="12.7265625" style="38" customWidth="1"/>
    <col min="6923" max="6923" width="27.26953125" style="38" customWidth="1"/>
    <col min="6924" max="6925" width="9.1796875" style="38" customWidth="1"/>
    <col min="6926" max="6926" width="10.7265625" style="38" customWidth="1"/>
    <col min="6927" max="7168" width="9.1796875" style="38"/>
    <col min="7169" max="7169" width="60.7265625" style="38" customWidth="1"/>
    <col min="7170" max="7170" width="29.7265625" style="38" customWidth="1"/>
    <col min="7171" max="7171" width="18.26953125" style="38" bestFit="1" customWidth="1"/>
    <col min="7172" max="7173" width="17.54296875" style="38" bestFit="1" customWidth="1"/>
    <col min="7174" max="7174" width="13.7265625" style="38" customWidth="1"/>
    <col min="7175" max="7175" width="14.7265625" style="38" bestFit="1" customWidth="1"/>
    <col min="7176" max="7176" width="4" style="38" bestFit="1" customWidth="1"/>
    <col min="7177" max="7177" width="11.7265625" style="38" customWidth="1"/>
    <col min="7178" max="7178" width="12.7265625" style="38" customWidth="1"/>
    <col min="7179" max="7179" width="27.26953125" style="38" customWidth="1"/>
    <col min="7180" max="7181" width="9.1796875" style="38" customWidth="1"/>
    <col min="7182" max="7182" width="10.7265625" style="38" customWidth="1"/>
    <col min="7183" max="7424" width="9.1796875" style="38"/>
    <col min="7425" max="7425" width="60.7265625" style="38" customWidth="1"/>
    <col min="7426" max="7426" width="29.7265625" style="38" customWidth="1"/>
    <col min="7427" max="7427" width="18.26953125" style="38" bestFit="1" customWidth="1"/>
    <col min="7428" max="7429" width="17.54296875" style="38" bestFit="1" customWidth="1"/>
    <col min="7430" max="7430" width="13.7265625" style="38" customWidth="1"/>
    <col min="7431" max="7431" width="14.7265625" style="38" bestFit="1" customWidth="1"/>
    <col min="7432" max="7432" width="4" style="38" bestFit="1" customWidth="1"/>
    <col min="7433" max="7433" width="11.7265625" style="38" customWidth="1"/>
    <col min="7434" max="7434" width="12.7265625" style="38" customWidth="1"/>
    <col min="7435" max="7435" width="27.26953125" style="38" customWidth="1"/>
    <col min="7436" max="7437" width="9.1796875" style="38" customWidth="1"/>
    <col min="7438" max="7438" width="10.7265625" style="38" customWidth="1"/>
    <col min="7439" max="7680" width="9.1796875" style="38"/>
    <col min="7681" max="7681" width="60.7265625" style="38" customWidth="1"/>
    <col min="7682" max="7682" width="29.7265625" style="38" customWidth="1"/>
    <col min="7683" max="7683" width="18.26953125" style="38" bestFit="1" customWidth="1"/>
    <col min="7684" max="7685" width="17.54296875" style="38" bestFit="1" customWidth="1"/>
    <col min="7686" max="7686" width="13.7265625" style="38" customWidth="1"/>
    <col min="7687" max="7687" width="14.7265625" style="38" bestFit="1" customWidth="1"/>
    <col min="7688" max="7688" width="4" style="38" bestFit="1" customWidth="1"/>
    <col min="7689" max="7689" width="11.7265625" style="38" customWidth="1"/>
    <col min="7690" max="7690" width="12.7265625" style="38" customWidth="1"/>
    <col min="7691" max="7691" width="27.26953125" style="38" customWidth="1"/>
    <col min="7692" max="7693" width="9.1796875" style="38" customWidth="1"/>
    <col min="7694" max="7694" width="10.7265625" style="38" customWidth="1"/>
    <col min="7695" max="7936" width="9.1796875" style="38"/>
    <col min="7937" max="7937" width="60.7265625" style="38" customWidth="1"/>
    <col min="7938" max="7938" width="29.7265625" style="38" customWidth="1"/>
    <col min="7939" max="7939" width="18.26953125" style="38" bestFit="1" customWidth="1"/>
    <col min="7940" max="7941" width="17.54296875" style="38" bestFit="1" customWidth="1"/>
    <col min="7942" max="7942" width="13.7265625" style="38" customWidth="1"/>
    <col min="7943" max="7943" width="14.7265625" style="38" bestFit="1" customWidth="1"/>
    <col min="7944" max="7944" width="4" style="38" bestFit="1" customWidth="1"/>
    <col min="7945" max="7945" width="11.7265625" style="38" customWidth="1"/>
    <col min="7946" max="7946" width="12.7265625" style="38" customWidth="1"/>
    <col min="7947" max="7947" width="27.26953125" style="38" customWidth="1"/>
    <col min="7948" max="7949" width="9.1796875" style="38" customWidth="1"/>
    <col min="7950" max="7950" width="10.7265625" style="38" customWidth="1"/>
    <col min="7951" max="8192" width="9.1796875" style="38"/>
    <col min="8193" max="8193" width="60.7265625" style="38" customWidth="1"/>
    <col min="8194" max="8194" width="29.7265625" style="38" customWidth="1"/>
    <col min="8195" max="8195" width="18.26953125" style="38" bestFit="1" customWidth="1"/>
    <col min="8196" max="8197" width="17.54296875" style="38" bestFit="1" customWidth="1"/>
    <col min="8198" max="8198" width="13.7265625" style="38" customWidth="1"/>
    <col min="8199" max="8199" width="14.7265625" style="38" bestFit="1" customWidth="1"/>
    <col min="8200" max="8200" width="4" style="38" bestFit="1" customWidth="1"/>
    <col min="8201" max="8201" width="11.7265625" style="38" customWidth="1"/>
    <col min="8202" max="8202" width="12.7265625" style="38" customWidth="1"/>
    <col min="8203" max="8203" width="27.26953125" style="38" customWidth="1"/>
    <col min="8204" max="8205" width="9.1796875" style="38" customWidth="1"/>
    <col min="8206" max="8206" width="10.7265625" style="38" customWidth="1"/>
    <col min="8207" max="8448" width="9.1796875" style="38"/>
    <col min="8449" max="8449" width="60.7265625" style="38" customWidth="1"/>
    <col min="8450" max="8450" width="29.7265625" style="38" customWidth="1"/>
    <col min="8451" max="8451" width="18.26953125" style="38" bestFit="1" customWidth="1"/>
    <col min="8452" max="8453" width="17.54296875" style="38" bestFit="1" customWidth="1"/>
    <col min="8454" max="8454" width="13.7265625" style="38" customWidth="1"/>
    <col min="8455" max="8455" width="14.7265625" style="38" bestFit="1" customWidth="1"/>
    <col min="8456" max="8456" width="4" style="38" bestFit="1" customWidth="1"/>
    <col min="8457" max="8457" width="11.7265625" style="38" customWidth="1"/>
    <col min="8458" max="8458" width="12.7265625" style="38" customWidth="1"/>
    <col min="8459" max="8459" width="27.26953125" style="38" customWidth="1"/>
    <col min="8460" max="8461" width="9.1796875" style="38" customWidth="1"/>
    <col min="8462" max="8462" width="10.7265625" style="38" customWidth="1"/>
    <col min="8463" max="8704" width="9.1796875" style="38"/>
    <col min="8705" max="8705" width="60.7265625" style="38" customWidth="1"/>
    <col min="8706" max="8706" width="29.7265625" style="38" customWidth="1"/>
    <col min="8707" max="8707" width="18.26953125" style="38" bestFit="1" customWidth="1"/>
    <col min="8708" max="8709" width="17.54296875" style="38" bestFit="1" customWidth="1"/>
    <col min="8710" max="8710" width="13.7265625" style="38" customWidth="1"/>
    <col min="8711" max="8711" width="14.7265625" style="38" bestFit="1" customWidth="1"/>
    <col min="8712" max="8712" width="4" style="38" bestFit="1" customWidth="1"/>
    <col min="8713" max="8713" width="11.7265625" style="38" customWidth="1"/>
    <col min="8714" max="8714" width="12.7265625" style="38" customWidth="1"/>
    <col min="8715" max="8715" width="27.26953125" style="38" customWidth="1"/>
    <col min="8716" max="8717" width="9.1796875" style="38" customWidth="1"/>
    <col min="8718" max="8718" width="10.7265625" style="38" customWidth="1"/>
    <col min="8719" max="8960" width="9.1796875" style="38"/>
    <col min="8961" max="8961" width="60.7265625" style="38" customWidth="1"/>
    <col min="8962" max="8962" width="29.7265625" style="38" customWidth="1"/>
    <col min="8963" max="8963" width="18.26953125" style="38" bestFit="1" customWidth="1"/>
    <col min="8964" max="8965" width="17.54296875" style="38" bestFit="1" customWidth="1"/>
    <col min="8966" max="8966" width="13.7265625" style="38" customWidth="1"/>
    <col min="8967" max="8967" width="14.7265625" style="38" bestFit="1" customWidth="1"/>
    <col min="8968" max="8968" width="4" style="38" bestFit="1" customWidth="1"/>
    <col min="8969" max="8969" width="11.7265625" style="38" customWidth="1"/>
    <col min="8970" max="8970" width="12.7265625" style="38" customWidth="1"/>
    <col min="8971" max="8971" width="27.26953125" style="38" customWidth="1"/>
    <col min="8972" max="8973" width="9.1796875" style="38" customWidth="1"/>
    <col min="8974" max="8974" width="10.7265625" style="38" customWidth="1"/>
    <col min="8975" max="9216" width="9.1796875" style="38"/>
    <col min="9217" max="9217" width="60.7265625" style="38" customWidth="1"/>
    <col min="9218" max="9218" width="29.7265625" style="38" customWidth="1"/>
    <col min="9219" max="9219" width="18.26953125" style="38" bestFit="1" customWidth="1"/>
    <col min="9220" max="9221" width="17.54296875" style="38" bestFit="1" customWidth="1"/>
    <col min="9222" max="9222" width="13.7265625" style="38" customWidth="1"/>
    <col min="9223" max="9223" width="14.7265625" style="38" bestFit="1" customWidth="1"/>
    <col min="9224" max="9224" width="4" style="38" bestFit="1" customWidth="1"/>
    <col min="9225" max="9225" width="11.7265625" style="38" customWidth="1"/>
    <col min="9226" max="9226" width="12.7265625" style="38" customWidth="1"/>
    <col min="9227" max="9227" width="27.26953125" style="38" customWidth="1"/>
    <col min="9228" max="9229" width="9.1796875" style="38" customWidth="1"/>
    <col min="9230" max="9230" width="10.7265625" style="38" customWidth="1"/>
    <col min="9231" max="9472" width="9.1796875" style="38"/>
    <col min="9473" max="9473" width="60.7265625" style="38" customWidth="1"/>
    <col min="9474" max="9474" width="29.7265625" style="38" customWidth="1"/>
    <col min="9475" max="9475" width="18.26953125" style="38" bestFit="1" customWidth="1"/>
    <col min="9476" max="9477" width="17.54296875" style="38" bestFit="1" customWidth="1"/>
    <col min="9478" max="9478" width="13.7265625" style="38" customWidth="1"/>
    <col min="9479" max="9479" width="14.7265625" style="38" bestFit="1" customWidth="1"/>
    <col min="9480" max="9480" width="4" style="38" bestFit="1" customWidth="1"/>
    <col min="9481" max="9481" width="11.7265625" style="38" customWidth="1"/>
    <col min="9482" max="9482" width="12.7265625" style="38" customWidth="1"/>
    <col min="9483" max="9483" width="27.26953125" style="38" customWidth="1"/>
    <col min="9484" max="9485" width="9.1796875" style="38" customWidth="1"/>
    <col min="9486" max="9486" width="10.7265625" style="38" customWidth="1"/>
    <col min="9487" max="9728" width="9.1796875" style="38"/>
    <col min="9729" max="9729" width="60.7265625" style="38" customWidth="1"/>
    <col min="9730" max="9730" width="29.7265625" style="38" customWidth="1"/>
    <col min="9731" max="9731" width="18.26953125" style="38" bestFit="1" customWidth="1"/>
    <col min="9732" max="9733" width="17.54296875" style="38" bestFit="1" customWidth="1"/>
    <col min="9734" max="9734" width="13.7265625" style="38" customWidth="1"/>
    <col min="9735" max="9735" width="14.7265625" style="38" bestFit="1" customWidth="1"/>
    <col min="9736" max="9736" width="4" style="38" bestFit="1" customWidth="1"/>
    <col min="9737" max="9737" width="11.7265625" style="38" customWidth="1"/>
    <col min="9738" max="9738" width="12.7265625" style="38" customWidth="1"/>
    <col min="9739" max="9739" width="27.26953125" style="38" customWidth="1"/>
    <col min="9740" max="9741" width="9.1796875" style="38" customWidth="1"/>
    <col min="9742" max="9742" width="10.7265625" style="38" customWidth="1"/>
    <col min="9743" max="9984" width="9.1796875" style="38"/>
    <col min="9985" max="9985" width="60.7265625" style="38" customWidth="1"/>
    <col min="9986" max="9986" width="29.7265625" style="38" customWidth="1"/>
    <col min="9987" max="9987" width="18.26953125" style="38" bestFit="1" customWidth="1"/>
    <col min="9988" max="9989" width="17.54296875" style="38" bestFit="1" customWidth="1"/>
    <col min="9990" max="9990" width="13.7265625" style="38" customWidth="1"/>
    <col min="9991" max="9991" width="14.7265625" style="38" bestFit="1" customWidth="1"/>
    <col min="9992" max="9992" width="4" style="38" bestFit="1" customWidth="1"/>
    <col min="9993" max="9993" width="11.7265625" style="38" customWidth="1"/>
    <col min="9994" max="9994" width="12.7265625" style="38" customWidth="1"/>
    <col min="9995" max="9995" width="27.26953125" style="38" customWidth="1"/>
    <col min="9996" max="9997" width="9.1796875" style="38" customWidth="1"/>
    <col min="9998" max="9998" width="10.7265625" style="38" customWidth="1"/>
    <col min="9999" max="10240" width="9.1796875" style="38"/>
    <col min="10241" max="10241" width="60.7265625" style="38" customWidth="1"/>
    <col min="10242" max="10242" width="29.7265625" style="38" customWidth="1"/>
    <col min="10243" max="10243" width="18.26953125" style="38" bestFit="1" customWidth="1"/>
    <col min="10244" max="10245" width="17.54296875" style="38" bestFit="1" customWidth="1"/>
    <col min="10246" max="10246" width="13.7265625" style="38" customWidth="1"/>
    <col min="10247" max="10247" width="14.7265625" style="38" bestFit="1" customWidth="1"/>
    <col min="10248" max="10248" width="4" style="38" bestFit="1" customWidth="1"/>
    <col min="10249" max="10249" width="11.7265625" style="38" customWidth="1"/>
    <col min="10250" max="10250" width="12.7265625" style="38" customWidth="1"/>
    <col min="10251" max="10251" width="27.26953125" style="38" customWidth="1"/>
    <col min="10252" max="10253" width="9.1796875" style="38" customWidth="1"/>
    <col min="10254" max="10254" width="10.7265625" style="38" customWidth="1"/>
    <col min="10255" max="10496" width="9.1796875" style="38"/>
    <col min="10497" max="10497" width="60.7265625" style="38" customWidth="1"/>
    <col min="10498" max="10498" width="29.7265625" style="38" customWidth="1"/>
    <col min="10499" max="10499" width="18.26953125" style="38" bestFit="1" customWidth="1"/>
    <col min="10500" max="10501" width="17.54296875" style="38" bestFit="1" customWidth="1"/>
    <col min="10502" max="10502" width="13.7265625" style="38" customWidth="1"/>
    <col min="10503" max="10503" width="14.7265625" style="38" bestFit="1" customWidth="1"/>
    <col min="10504" max="10504" width="4" style="38" bestFit="1" customWidth="1"/>
    <col min="10505" max="10505" width="11.7265625" style="38" customWidth="1"/>
    <col min="10506" max="10506" width="12.7265625" style="38" customWidth="1"/>
    <col min="10507" max="10507" width="27.26953125" style="38" customWidth="1"/>
    <col min="10508" max="10509" width="9.1796875" style="38" customWidth="1"/>
    <col min="10510" max="10510" width="10.7265625" style="38" customWidth="1"/>
    <col min="10511" max="10752" width="9.1796875" style="38"/>
    <col min="10753" max="10753" width="60.7265625" style="38" customWidth="1"/>
    <col min="10754" max="10754" width="29.7265625" style="38" customWidth="1"/>
    <col min="10755" max="10755" width="18.26953125" style="38" bestFit="1" customWidth="1"/>
    <col min="10756" max="10757" width="17.54296875" style="38" bestFit="1" customWidth="1"/>
    <col min="10758" max="10758" width="13.7265625" style="38" customWidth="1"/>
    <col min="10759" max="10759" width="14.7265625" style="38" bestFit="1" customWidth="1"/>
    <col min="10760" max="10760" width="4" style="38" bestFit="1" customWidth="1"/>
    <col min="10761" max="10761" width="11.7265625" style="38" customWidth="1"/>
    <col min="10762" max="10762" width="12.7265625" style="38" customWidth="1"/>
    <col min="10763" max="10763" width="27.26953125" style="38" customWidth="1"/>
    <col min="10764" max="10765" width="9.1796875" style="38" customWidth="1"/>
    <col min="10766" max="10766" width="10.7265625" style="38" customWidth="1"/>
    <col min="10767" max="11008" width="9.1796875" style="38"/>
    <col min="11009" max="11009" width="60.7265625" style="38" customWidth="1"/>
    <col min="11010" max="11010" width="29.7265625" style="38" customWidth="1"/>
    <col min="11011" max="11011" width="18.26953125" style="38" bestFit="1" customWidth="1"/>
    <col min="11012" max="11013" width="17.54296875" style="38" bestFit="1" customWidth="1"/>
    <col min="11014" max="11014" width="13.7265625" style="38" customWidth="1"/>
    <col min="11015" max="11015" width="14.7265625" style="38" bestFit="1" customWidth="1"/>
    <col min="11016" max="11016" width="4" style="38" bestFit="1" customWidth="1"/>
    <col min="11017" max="11017" width="11.7265625" style="38" customWidth="1"/>
    <col min="11018" max="11018" width="12.7265625" style="38" customWidth="1"/>
    <col min="11019" max="11019" width="27.26953125" style="38" customWidth="1"/>
    <col min="11020" max="11021" width="9.1796875" style="38" customWidth="1"/>
    <col min="11022" max="11022" width="10.7265625" style="38" customWidth="1"/>
    <col min="11023" max="11264" width="9.1796875" style="38"/>
    <col min="11265" max="11265" width="60.7265625" style="38" customWidth="1"/>
    <col min="11266" max="11266" width="29.7265625" style="38" customWidth="1"/>
    <col min="11267" max="11267" width="18.26953125" style="38" bestFit="1" customWidth="1"/>
    <col min="11268" max="11269" width="17.54296875" style="38" bestFit="1" customWidth="1"/>
    <col min="11270" max="11270" width="13.7265625" style="38" customWidth="1"/>
    <col min="11271" max="11271" width="14.7265625" style="38" bestFit="1" customWidth="1"/>
    <col min="11272" max="11272" width="4" style="38" bestFit="1" customWidth="1"/>
    <col min="11273" max="11273" width="11.7265625" style="38" customWidth="1"/>
    <col min="11274" max="11274" width="12.7265625" style="38" customWidth="1"/>
    <col min="11275" max="11275" width="27.26953125" style="38" customWidth="1"/>
    <col min="11276" max="11277" width="9.1796875" style="38" customWidth="1"/>
    <col min="11278" max="11278" width="10.7265625" style="38" customWidth="1"/>
    <col min="11279" max="11520" width="9.1796875" style="38"/>
    <col min="11521" max="11521" width="60.7265625" style="38" customWidth="1"/>
    <col min="11522" max="11522" width="29.7265625" style="38" customWidth="1"/>
    <col min="11523" max="11523" width="18.26953125" style="38" bestFit="1" customWidth="1"/>
    <col min="11524" max="11525" width="17.54296875" style="38" bestFit="1" customWidth="1"/>
    <col min="11526" max="11526" width="13.7265625" style="38" customWidth="1"/>
    <col min="11527" max="11527" width="14.7265625" style="38" bestFit="1" customWidth="1"/>
    <col min="11528" max="11528" width="4" style="38" bestFit="1" customWidth="1"/>
    <col min="11529" max="11529" width="11.7265625" style="38" customWidth="1"/>
    <col min="11530" max="11530" width="12.7265625" style="38" customWidth="1"/>
    <col min="11531" max="11531" width="27.26953125" style="38" customWidth="1"/>
    <col min="11532" max="11533" width="9.1796875" style="38" customWidth="1"/>
    <col min="11534" max="11534" width="10.7265625" style="38" customWidth="1"/>
    <col min="11535" max="11776" width="9.1796875" style="38"/>
    <col min="11777" max="11777" width="60.7265625" style="38" customWidth="1"/>
    <col min="11778" max="11778" width="29.7265625" style="38" customWidth="1"/>
    <col min="11779" max="11779" width="18.26953125" style="38" bestFit="1" customWidth="1"/>
    <col min="11780" max="11781" width="17.54296875" style="38" bestFit="1" customWidth="1"/>
    <col min="11782" max="11782" width="13.7265625" style="38" customWidth="1"/>
    <col min="11783" max="11783" width="14.7265625" style="38" bestFit="1" customWidth="1"/>
    <col min="11784" max="11784" width="4" style="38" bestFit="1" customWidth="1"/>
    <col min="11785" max="11785" width="11.7265625" style="38" customWidth="1"/>
    <col min="11786" max="11786" width="12.7265625" style="38" customWidth="1"/>
    <col min="11787" max="11787" width="27.26953125" style="38" customWidth="1"/>
    <col min="11788" max="11789" width="9.1796875" style="38" customWidth="1"/>
    <col min="11790" max="11790" width="10.7265625" style="38" customWidth="1"/>
    <col min="11791" max="12032" width="9.1796875" style="38"/>
    <col min="12033" max="12033" width="60.7265625" style="38" customWidth="1"/>
    <col min="12034" max="12034" width="29.7265625" style="38" customWidth="1"/>
    <col min="12035" max="12035" width="18.26953125" style="38" bestFit="1" customWidth="1"/>
    <col min="12036" max="12037" width="17.54296875" style="38" bestFit="1" customWidth="1"/>
    <col min="12038" max="12038" width="13.7265625" style="38" customWidth="1"/>
    <col min="12039" max="12039" width="14.7265625" style="38" bestFit="1" customWidth="1"/>
    <col min="12040" max="12040" width="4" style="38" bestFit="1" customWidth="1"/>
    <col min="12041" max="12041" width="11.7265625" style="38" customWidth="1"/>
    <col min="12042" max="12042" width="12.7265625" style="38" customWidth="1"/>
    <col min="12043" max="12043" width="27.26953125" style="38" customWidth="1"/>
    <col min="12044" max="12045" width="9.1796875" style="38" customWidth="1"/>
    <col min="12046" max="12046" width="10.7265625" style="38" customWidth="1"/>
    <col min="12047" max="12288" width="9.1796875" style="38"/>
    <col min="12289" max="12289" width="60.7265625" style="38" customWidth="1"/>
    <col min="12290" max="12290" width="29.7265625" style="38" customWidth="1"/>
    <col min="12291" max="12291" width="18.26953125" style="38" bestFit="1" customWidth="1"/>
    <col min="12292" max="12293" width="17.54296875" style="38" bestFit="1" customWidth="1"/>
    <col min="12294" max="12294" width="13.7265625" style="38" customWidth="1"/>
    <col min="12295" max="12295" width="14.7265625" style="38" bestFit="1" customWidth="1"/>
    <col min="12296" max="12296" width="4" style="38" bestFit="1" customWidth="1"/>
    <col min="12297" max="12297" width="11.7265625" style="38" customWidth="1"/>
    <col min="12298" max="12298" width="12.7265625" style="38" customWidth="1"/>
    <col min="12299" max="12299" width="27.26953125" style="38" customWidth="1"/>
    <col min="12300" max="12301" width="9.1796875" style="38" customWidth="1"/>
    <col min="12302" max="12302" width="10.7265625" style="38" customWidth="1"/>
    <col min="12303" max="12544" width="9.1796875" style="38"/>
    <col min="12545" max="12545" width="60.7265625" style="38" customWidth="1"/>
    <col min="12546" max="12546" width="29.7265625" style="38" customWidth="1"/>
    <col min="12547" max="12547" width="18.26953125" style="38" bestFit="1" customWidth="1"/>
    <col min="12548" max="12549" width="17.54296875" style="38" bestFit="1" customWidth="1"/>
    <col min="12550" max="12550" width="13.7265625" style="38" customWidth="1"/>
    <col min="12551" max="12551" width="14.7265625" style="38" bestFit="1" customWidth="1"/>
    <col min="12552" max="12552" width="4" style="38" bestFit="1" customWidth="1"/>
    <col min="12553" max="12553" width="11.7265625" style="38" customWidth="1"/>
    <col min="12554" max="12554" width="12.7265625" style="38" customWidth="1"/>
    <col min="12555" max="12555" width="27.26953125" style="38" customWidth="1"/>
    <col min="12556" max="12557" width="9.1796875" style="38" customWidth="1"/>
    <col min="12558" max="12558" width="10.7265625" style="38" customWidth="1"/>
    <col min="12559" max="12800" width="9.1796875" style="38"/>
    <col min="12801" max="12801" width="60.7265625" style="38" customWidth="1"/>
    <col min="12802" max="12802" width="29.7265625" style="38" customWidth="1"/>
    <col min="12803" max="12803" width="18.26953125" style="38" bestFit="1" customWidth="1"/>
    <col min="12804" max="12805" width="17.54296875" style="38" bestFit="1" customWidth="1"/>
    <col min="12806" max="12806" width="13.7265625" style="38" customWidth="1"/>
    <col min="12807" max="12807" width="14.7265625" style="38" bestFit="1" customWidth="1"/>
    <col min="12808" max="12808" width="4" style="38" bestFit="1" customWidth="1"/>
    <col min="12809" max="12809" width="11.7265625" style="38" customWidth="1"/>
    <col min="12810" max="12810" width="12.7265625" style="38" customWidth="1"/>
    <col min="12811" max="12811" width="27.26953125" style="38" customWidth="1"/>
    <col min="12812" max="12813" width="9.1796875" style="38" customWidth="1"/>
    <col min="12814" max="12814" width="10.7265625" style="38" customWidth="1"/>
    <col min="12815" max="13056" width="9.1796875" style="38"/>
    <col min="13057" max="13057" width="60.7265625" style="38" customWidth="1"/>
    <col min="13058" max="13058" width="29.7265625" style="38" customWidth="1"/>
    <col min="13059" max="13059" width="18.26953125" style="38" bestFit="1" customWidth="1"/>
    <col min="13060" max="13061" width="17.54296875" style="38" bestFit="1" customWidth="1"/>
    <col min="13062" max="13062" width="13.7265625" style="38" customWidth="1"/>
    <col min="13063" max="13063" width="14.7265625" style="38" bestFit="1" customWidth="1"/>
    <col min="13064" max="13064" width="4" style="38" bestFit="1" customWidth="1"/>
    <col min="13065" max="13065" width="11.7265625" style="38" customWidth="1"/>
    <col min="13066" max="13066" width="12.7265625" style="38" customWidth="1"/>
    <col min="13067" max="13067" width="27.26953125" style="38" customWidth="1"/>
    <col min="13068" max="13069" width="9.1796875" style="38" customWidth="1"/>
    <col min="13070" max="13070" width="10.7265625" style="38" customWidth="1"/>
    <col min="13071" max="13312" width="9.1796875" style="38"/>
    <col min="13313" max="13313" width="60.7265625" style="38" customWidth="1"/>
    <col min="13314" max="13314" width="29.7265625" style="38" customWidth="1"/>
    <col min="13315" max="13315" width="18.26953125" style="38" bestFit="1" customWidth="1"/>
    <col min="13316" max="13317" width="17.54296875" style="38" bestFit="1" customWidth="1"/>
    <col min="13318" max="13318" width="13.7265625" style="38" customWidth="1"/>
    <col min="13319" max="13319" width="14.7265625" style="38" bestFit="1" customWidth="1"/>
    <col min="13320" max="13320" width="4" style="38" bestFit="1" customWidth="1"/>
    <col min="13321" max="13321" width="11.7265625" style="38" customWidth="1"/>
    <col min="13322" max="13322" width="12.7265625" style="38" customWidth="1"/>
    <col min="13323" max="13323" width="27.26953125" style="38" customWidth="1"/>
    <col min="13324" max="13325" width="9.1796875" style="38" customWidth="1"/>
    <col min="13326" max="13326" width="10.7265625" style="38" customWidth="1"/>
    <col min="13327" max="13568" width="9.1796875" style="38"/>
    <col min="13569" max="13569" width="60.7265625" style="38" customWidth="1"/>
    <col min="13570" max="13570" width="29.7265625" style="38" customWidth="1"/>
    <col min="13571" max="13571" width="18.26953125" style="38" bestFit="1" customWidth="1"/>
    <col min="13572" max="13573" width="17.54296875" style="38" bestFit="1" customWidth="1"/>
    <col min="13574" max="13574" width="13.7265625" style="38" customWidth="1"/>
    <col min="13575" max="13575" width="14.7265625" style="38" bestFit="1" customWidth="1"/>
    <col min="13576" max="13576" width="4" style="38" bestFit="1" customWidth="1"/>
    <col min="13577" max="13577" width="11.7265625" style="38" customWidth="1"/>
    <col min="13578" max="13578" width="12.7265625" style="38" customWidth="1"/>
    <col min="13579" max="13579" width="27.26953125" style="38" customWidth="1"/>
    <col min="13580" max="13581" width="9.1796875" style="38" customWidth="1"/>
    <col min="13582" max="13582" width="10.7265625" style="38" customWidth="1"/>
    <col min="13583" max="13824" width="9.1796875" style="38"/>
    <col min="13825" max="13825" width="60.7265625" style="38" customWidth="1"/>
    <col min="13826" max="13826" width="29.7265625" style="38" customWidth="1"/>
    <col min="13827" max="13827" width="18.26953125" style="38" bestFit="1" customWidth="1"/>
    <col min="13828" max="13829" width="17.54296875" style="38" bestFit="1" customWidth="1"/>
    <col min="13830" max="13830" width="13.7265625" style="38" customWidth="1"/>
    <col min="13831" max="13831" width="14.7265625" style="38" bestFit="1" customWidth="1"/>
    <col min="13832" max="13832" width="4" style="38" bestFit="1" customWidth="1"/>
    <col min="13833" max="13833" width="11.7265625" style="38" customWidth="1"/>
    <col min="13834" max="13834" width="12.7265625" style="38" customWidth="1"/>
    <col min="13835" max="13835" width="27.26953125" style="38" customWidth="1"/>
    <col min="13836" max="13837" width="9.1796875" style="38" customWidth="1"/>
    <col min="13838" max="13838" width="10.7265625" style="38" customWidth="1"/>
    <col min="13839" max="14080" width="9.1796875" style="38"/>
    <col min="14081" max="14081" width="60.7265625" style="38" customWidth="1"/>
    <col min="14082" max="14082" width="29.7265625" style="38" customWidth="1"/>
    <col min="14083" max="14083" width="18.26953125" style="38" bestFit="1" customWidth="1"/>
    <col min="14084" max="14085" width="17.54296875" style="38" bestFit="1" customWidth="1"/>
    <col min="14086" max="14086" width="13.7265625" style="38" customWidth="1"/>
    <col min="14087" max="14087" width="14.7265625" style="38" bestFit="1" customWidth="1"/>
    <col min="14088" max="14088" width="4" style="38" bestFit="1" customWidth="1"/>
    <col min="14089" max="14089" width="11.7265625" style="38" customWidth="1"/>
    <col min="14090" max="14090" width="12.7265625" style="38" customWidth="1"/>
    <col min="14091" max="14091" width="27.26953125" style="38" customWidth="1"/>
    <col min="14092" max="14093" width="9.1796875" style="38" customWidth="1"/>
    <col min="14094" max="14094" width="10.7265625" style="38" customWidth="1"/>
    <col min="14095" max="14336" width="9.1796875" style="38"/>
    <col min="14337" max="14337" width="60.7265625" style="38" customWidth="1"/>
    <col min="14338" max="14338" width="29.7265625" style="38" customWidth="1"/>
    <col min="14339" max="14339" width="18.26953125" style="38" bestFit="1" customWidth="1"/>
    <col min="14340" max="14341" width="17.54296875" style="38" bestFit="1" customWidth="1"/>
    <col min="14342" max="14342" width="13.7265625" style="38" customWidth="1"/>
    <col min="14343" max="14343" width="14.7265625" style="38" bestFit="1" customWidth="1"/>
    <col min="14344" max="14344" width="4" style="38" bestFit="1" customWidth="1"/>
    <col min="14345" max="14345" width="11.7265625" style="38" customWidth="1"/>
    <col min="14346" max="14346" width="12.7265625" style="38" customWidth="1"/>
    <col min="14347" max="14347" width="27.26953125" style="38" customWidth="1"/>
    <col min="14348" max="14349" width="9.1796875" style="38" customWidth="1"/>
    <col min="14350" max="14350" width="10.7265625" style="38" customWidth="1"/>
    <col min="14351" max="14592" width="9.1796875" style="38"/>
    <col min="14593" max="14593" width="60.7265625" style="38" customWidth="1"/>
    <col min="14594" max="14594" width="29.7265625" style="38" customWidth="1"/>
    <col min="14595" max="14595" width="18.26953125" style="38" bestFit="1" customWidth="1"/>
    <col min="14596" max="14597" width="17.54296875" style="38" bestFit="1" customWidth="1"/>
    <col min="14598" max="14598" width="13.7265625" style="38" customWidth="1"/>
    <col min="14599" max="14599" width="14.7265625" style="38" bestFit="1" customWidth="1"/>
    <col min="14600" max="14600" width="4" style="38" bestFit="1" customWidth="1"/>
    <col min="14601" max="14601" width="11.7265625" style="38" customWidth="1"/>
    <col min="14602" max="14602" width="12.7265625" style="38" customWidth="1"/>
    <col min="14603" max="14603" width="27.26953125" style="38" customWidth="1"/>
    <col min="14604" max="14605" width="9.1796875" style="38" customWidth="1"/>
    <col min="14606" max="14606" width="10.7265625" style="38" customWidth="1"/>
    <col min="14607" max="14848" width="9.1796875" style="38"/>
    <col min="14849" max="14849" width="60.7265625" style="38" customWidth="1"/>
    <col min="14850" max="14850" width="29.7265625" style="38" customWidth="1"/>
    <col min="14851" max="14851" width="18.26953125" style="38" bestFit="1" customWidth="1"/>
    <col min="14852" max="14853" width="17.54296875" style="38" bestFit="1" customWidth="1"/>
    <col min="14854" max="14854" width="13.7265625" style="38" customWidth="1"/>
    <col min="14855" max="14855" width="14.7265625" style="38" bestFit="1" customWidth="1"/>
    <col min="14856" max="14856" width="4" style="38" bestFit="1" customWidth="1"/>
    <col min="14857" max="14857" width="11.7265625" style="38" customWidth="1"/>
    <col min="14858" max="14858" width="12.7265625" style="38" customWidth="1"/>
    <col min="14859" max="14859" width="27.26953125" style="38" customWidth="1"/>
    <col min="14860" max="14861" width="9.1796875" style="38" customWidth="1"/>
    <col min="14862" max="14862" width="10.7265625" style="38" customWidth="1"/>
    <col min="14863" max="15104" width="9.1796875" style="38"/>
    <col min="15105" max="15105" width="60.7265625" style="38" customWidth="1"/>
    <col min="15106" max="15106" width="29.7265625" style="38" customWidth="1"/>
    <col min="15107" max="15107" width="18.26953125" style="38" bestFit="1" customWidth="1"/>
    <col min="15108" max="15109" width="17.54296875" style="38" bestFit="1" customWidth="1"/>
    <col min="15110" max="15110" width="13.7265625" style="38" customWidth="1"/>
    <col min="15111" max="15111" width="14.7265625" style="38" bestFit="1" customWidth="1"/>
    <col min="15112" max="15112" width="4" style="38" bestFit="1" customWidth="1"/>
    <col min="15113" max="15113" width="11.7265625" style="38" customWidth="1"/>
    <col min="15114" max="15114" width="12.7265625" style="38" customWidth="1"/>
    <col min="15115" max="15115" width="27.26953125" style="38" customWidth="1"/>
    <col min="15116" max="15117" width="9.1796875" style="38" customWidth="1"/>
    <col min="15118" max="15118" width="10.7265625" style="38" customWidth="1"/>
    <col min="15119" max="15360" width="9.1796875" style="38"/>
    <col min="15361" max="15361" width="60.7265625" style="38" customWidth="1"/>
    <col min="15362" max="15362" width="29.7265625" style="38" customWidth="1"/>
    <col min="15363" max="15363" width="18.26953125" style="38" bestFit="1" customWidth="1"/>
    <col min="15364" max="15365" width="17.54296875" style="38" bestFit="1" customWidth="1"/>
    <col min="15366" max="15366" width="13.7265625" style="38" customWidth="1"/>
    <col min="15367" max="15367" width="14.7265625" style="38" bestFit="1" customWidth="1"/>
    <col min="15368" max="15368" width="4" style="38" bestFit="1" customWidth="1"/>
    <col min="15369" max="15369" width="11.7265625" style="38" customWidth="1"/>
    <col min="15370" max="15370" width="12.7265625" style="38" customWidth="1"/>
    <col min="15371" max="15371" width="27.26953125" style="38" customWidth="1"/>
    <col min="15372" max="15373" width="9.1796875" style="38" customWidth="1"/>
    <col min="15374" max="15374" width="10.7265625" style="38" customWidth="1"/>
    <col min="15375" max="15616" width="9.1796875" style="38"/>
    <col min="15617" max="15617" width="60.7265625" style="38" customWidth="1"/>
    <col min="15618" max="15618" width="29.7265625" style="38" customWidth="1"/>
    <col min="15619" max="15619" width="18.26953125" style="38" bestFit="1" customWidth="1"/>
    <col min="15620" max="15621" width="17.54296875" style="38" bestFit="1" customWidth="1"/>
    <col min="15622" max="15622" width="13.7265625" style="38" customWidth="1"/>
    <col min="15623" max="15623" width="14.7265625" style="38" bestFit="1" customWidth="1"/>
    <col min="15624" max="15624" width="4" style="38" bestFit="1" customWidth="1"/>
    <col min="15625" max="15625" width="11.7265625" style="38" customWidth="1"/>
    <col min="15626" max="15626" width="12.7265625" style="38" customWidth="1"/>
    <col min="15627" max="15627" width="27.26953125" style="38" customWidth="1"/>
    <col min="15628" max="15629" width="9.1796875" style="38" customWidth="1"/>
    <col min="15630" max="15630" width="10.7265625" style="38" customWidth="1"/>
    <col min="15631" max="15872" width="9.1796875" style="38"/>
    <col min="15873" max="15873" width="60.7265625" style="38" customWidth="1"/>
    <col min="15874" max="15874" width="29.7265625" style="38" customWidth="1"/>
    <col min="15875" max="15875" width="18.26953125" style="38" bestFit="1" customWidth="1"/>
    <col min="15876" max="15877" width="17.54296875" style="38" bestFit="1" customWidth="1"/>
    <col min="15878" max="15878" width="13.7265625" style="38" customWidth="1"/>
    <col min="15879" max="15879" width="14.7265625" style="38" bestFit="1" customWidth="1"/>
    <col min="15880" max="15880" width="4" style="38" bestFit="1" customWidth="1"/>
    <col min="15881" max="15881" width="11.7265625" style="38" customWidth="1"/>
    <col min="15882" max="15882" width="12.7265625" style="38" customWidth="1"/>
    <col min="15883" max="15883" width="27.26953125" style="38" customWidth="1"/>
    <col min="15884" max="15885" width="9.1796875" style="38" customWidth="1"/>
    <col min="15886" max="15886" width="10.7265625" style="38" customWidth="1"/>
    <col min="15887" max="16128" width="9.1796875" style="38"/>
    <col min="16129" max="16129" width="60.7265625" style="38" customWidth="1"/>
    <col min="16130" max="16130" width="29.7265625" style="38" customWidth="1"/>
    <col min="16131" max="16131" width="18.26953125" style="38" bestFit="1" customWidth="1"/>
    <col min="16132" max="16133" width="17.54296875" style="38" bestFit="1" customWidth="1"/>
    <col min="16134" max="16134" width="13.7265625" style="38" customWidth="1"/>
    <col min="16135" max="16135" width="14.7265625" style="38" bestFit="1" customWidth="1"/>
    <col min="16136" max="16136" width="4" style="38" bestFit="1" customWidth="1"/>
    <col min="16137" max="16137" width="11.7265625" style="38" customWidth="1"/>
    <col min="16138" max="16138" width="12.7265625" style="38" customWidth="1"/>
    <col min="16139" max="16139" width="27.26953125" style="38" customWidth="1"/>
    <col min="16140" max="16141" width="9.1796875" style="38" customWidth="1"/>
    <col min="16142" max="16142" width="10.7265625" style="38" customWidth="1"/>
    <col min="16143" max="16384" width="9.1796875" style="38"/>
  </cols>
  <sheetData>
    <row r="1" spans="1:7" ht="15.5" x14ac:dyDescent="0.35">
      <c r="A1" s="39"/>
      <c r="B1" s="39"/>
      <c r="C1" s="39"/>
      <c r="D1" s="39"/>
      <c r="E1" s="39"/>
      <c r="F1" s="39"/>
      <c r="G1" s="39"/>
    </row>
    <row r="2" spans="1:7" ht="15.5" x14ac:dyDescent="0.35">
      <c r="A2" s="39"/>
      <c r="B2" s="39"/>
      <c r="C2" s="39"/>
      <c r="D2" s="39"/>
      <c r="E2" s="39"/>
      <c r="F2" s="54"/>
      <c r="G2" s="39"/>
    </row>
    <row r="3" spans="1:7" ht="15.5" x14ac:dyDescent="0.35">
      <c r="A3" s="53" t="s">
        <v>363</v>
      </c>
      <c r="B3" s="53"/>
      <c r="C3" s="53"/>
      <c r="D3" s="53"/>
      <c r="E3" s="53"/>
      <c r="F3" s="53"/>
      <c r="G3" s="39"/>
    </row>
    <row r="4" spans="1:7" ht="15.5" x14ac:dyDescent="0.35">
      <c r="A4" s="39"/>
      <c r="B4" s="39"/>
      <c r="C4" s="39"/>
      <c r="D4" s="39"/>
      <c r="E4" s="39"/>
      <c r="F4" s="39"/>
      <c r="G4" s="39"/>
    </row>
    <row r="5" spans="1:7" ht="15.5" x14ac:dyDescent="0.35">
      <c r="A5" s="39" t="s">
        <v>362</v>
      </c>
      <c r="B5" s="39"/>
      <c r="C5" s="39"/>
      <c r="D5" s="39"/>
      <c r="E5" s="39"/>
      <c r="F5" s="39"/>
      <c r="G5" s="39"/>
    </row>
    <row r="6" spans="1:7" ht="15.5" x14ac:dyDescent="0.35">
      <c r="A6" s="39"/>
      <c r="B6" s="39"/>
      <c r="C6" s="39"/>
      <c r="D6" s="39"/>
      <c r="E6" s="39"/>
      <c r="F6" s="39"/>
      <c r="G6" s="39"/>
    </row>
    <row r="7" spans="1:7" ht="15.5" x14ac:dyDescent="0.35">
      <c r="A7" s="40" t="s">
        <v>361</v>
      </c>
      <c r="B7" s="40"/>
      <c r="C7" s="40"/>
      <c r="D7" s="40"/>
      <c r="E7" s="40"/>
      <c r="F7" s="40"/>
      <c r="G7" s="39"/>
    </row>
    <row r="8" spans="1:7" ht="15.5" x14ac:dyDescent="0.35">
      <c r="A8" s="49"/>
      <c r="B8" s="49"/>
      <c r="C8" s="49"/>
      <c r="D8" s="49"/>
      <c r="E8" s="49"/>
      <c r="F8" s="39"/>
      <c r="G8" s="39"/>
    </row>
    <row r="9" spans="1:7" ht="15.5" x14ac:dyDescent="0.35">
      <c r="A9" s="51" t="s">
        <v>360</v>
      </c>
      <c r="B9" s="39"/>
      <c r="C9" s="49"/>
      <c r="D9" s="52"/>
      <c r="E9" s="49"/>
      <c r="F9" s="39"/>
      <c r="G9" s="39"/>
    </row>
    <row r="10" spans="1:7" ht="15.5" x14ac:dyDescent="0.35">
      <c r="A10" s="51" t="s">
        <v>357</v>
      </c>
      <c r="B10" s="51" t="s">
        <v>359</v>
      </c>
      <c r="C10" s="49"/>
      <c r="D10" s="49"/>
      <c r="E10" s="49"/>
      <c r="F10" s="39"/>
      <c r="G10" s="39"/>
    </row>
    <row r="11" spans="1:7" ht="15.5" x14ac:dyDescent="0.35">
      <c r="A11" s="44" t="s">
        <v>351</v>
      </c>
      <c r="B11" s="50">
        <v>0</v>
      </c>
      <c r="C11" s="49"/>
      <c r="D11" s="49"/>
      <c r="E11" s="49"/>
      <c r="F11" s="39"/>
      <c r="G11" s="39"/>
    </row>
    <row r="12" spans="1:7" ht="15.5" x14ac:dyDescent="0.35">
      <c r="A12" s="49"/>
      <c r="B12" s="49"/>
      <c r="C12" s="49"/>
      <c r="D12" s="49"/>
      <c r="E12" s="49"/>
      <c r="F12" s="39"/>
      <c r="G12" s="39"/>
    </row>
    <row r="13" spans="1:7" ht="15.5" x14ac:dyDescent="0.35">
      <c r="A13" s="48" t="s">
        <v>358</v>
      </c>
      <c r="B13" s="47"/>
      <c r="C13" s="47"/>
      <c r="D13" s="47"/>
      <c r="E13" s="47"/>
      <c r="F13" s="39"/>
      <c r="G13" s="39"/>
    </row>
    <row r="14" spans="1:7" ht="93" x14ac:dyDescent="0.25">
      <c r="A14" s="46" t="s">
        <v>357</v>
      </c>
      <c r="B14" s="46" t="s">
        <v>356</v>
      </c>
      <c r="C14" s="46" t="s">
        <v>355</v>
      </c>
      <c r="D14" s="46" t="s">
        <v>354</v>
      </c>
      <c r="E14" s="46" t="s">
        <v>353</v>
      </c>
      <c r="F14" s="46" t="s">
        <v>352</v>
      </c>
      <c r="G14" s="45"/>
    </row>
    <row r="15" spans="1:7" ht="15.5" x14ac:dyDescent="0.35">
      <c r="A15" s="44" t="s">
        <v>351</v>
      </c>
      <c r="B15" s="42">
        <v>800</v>
      </c>
      <c r="C15" s="42">
        <v>800</v>
      </c>
      <c r="D15" s="42">
        <v>3956.7278799999999</v>
      </c>
      <c r="E15" s="43">
        <v>3348.8</v>
      </c>
      <c r="F15" s="42">
        <v>-608.32352000000003</v>
      </c>
      <c r="G15" s="39"/>
    </row>
    <row r="16" spans="1:7" ht="15.5" x14ac:dyDescent="0.35">
      <c r="A16" s="39"/>
      <c r="B16" s="39"/>
      <c r="C16" s="39"/>
      <c r="D16" s="41"/>
      <c r="E16" s="41"/>
      <c r="F16" s="41"/>
      <c r="G16" s="39"/>
    </row>
    <row r="17" spans="1:7" ht="15.5" x14ac:dyDescent="0.35">
      <c r="A17" s="40"/>
      <c r="B17" s="40"/>
      <c r="C17" s="40"/>
      <c r="D17" s="40"/>
      <c r="E17" s="40"/>
      <c r="F17" s="39"/>
      <c r="G17" s="39"/>
    </row>
    <row r="18" spans="1:7" ht="15.5" x14ac:dyDescent="0.35">
      <c r="A18" s="40" t="s">
        <v>350</v>
      </c>
      <c r="B18" s="40"/>
      <c r="C18" s="40"/>
      <c r="D18" s="40"/>
      <c r="E18" s="40"/>
      <c r="F18" s="40"/>
      <c r="G18" s="39"/>
    </row>
    <row r="19" spans="1:7" ht="15.5" x14ac:dyDescent="0.35">
      <c r="A19" s="39"/>
      <c r="B19" s="39"/>
      <c r="C19" s="39"/>
      <c r="D19" s="39"/>
      <c r="E19" s="39"/>
      <c r="F19" s="39"/>
      <c r="G19" s="39"/>
    </row>
    <row r="20" spans="1:7" ht="15.5" x14ac:dyDescent="0.35">
      <c r="A20" s="40" t="s">
        <v>349</v>
      </c>
      <c r="B20" s="40"/>
      <c r="C20" s="40"/>
      <c r="D20" s="40"/>
      <c r="E20" s="40"/>
      <c r="F20" s="40"/>
      <c r="G20" s="39"/>
    </row>
    <row r="21" spans="1:7" ht="15.5" x14ac:dyDescent="0.35">
      <c r="A21" s="39"/>
      <c r="B21" s="39"/>
      <c r="C21" s="39"/>
      <c r="D21" s="39"/>
      <c r="E21" s="39"/>
      <c r="F21" s="39"/>
      <c r="G21" s="39"/>
    </row>
    <row r="22" spans="1:7" ht="15.5" x14ac:dyDescent="0.35">
      <c r="A22" s="40" t="s">
        <v>348</v>
      </c>
      <c r="B22" s="40"/>
      <c r="C22" s="40"/>
      <c r="D22" s="40"/>
      <c r="E22" s="40"/>
      <c r="F22" s="40"/>
      <c r="G22" s="39"/>
    </row>
  </sheetData>
  <mergeCells count="6">
    <mergeCell ref="A22:F22"/>
    <mergeCell ref="A3:F3"/>
    <mergeCell ref="A7:F7"/>
    <mergeCell ref="A17:E17"/>
    <mergeCell ref="A18:F18"/>
    <mergeCell ref="A20:F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HDFCPM</vt:lpstr>
      <vt:lpstr>Derivative 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2026-05-09T07:22:10Z</dcterms:created>
  <dcterms:modified xsi:type="dcterms:W3CDTF">2026-05-09T07:28:17Z</dcterms:modified>
</cp:coreProperties>
</file>