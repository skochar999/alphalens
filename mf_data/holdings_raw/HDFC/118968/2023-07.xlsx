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DerivativeHDFCGR!$B$8:$H$77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7" i="2" l="1"/>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<sst xmlns="http://schemas.openxmlformats.org/spreadsheetml/2006/main" count="1724" uniqueCount="524">
  <si>
    <t>HDFC Balanced Advantage Fund (AN OPEN-ENDED BALANCE ADVANTAGE SCHEME)</t>
  </si>
  <si>
    <t>Income</t>
  </si>
  <si>
    <t>Hybrid</t>
  </si>
  <si>
    <t>Portfolio as on 31-Jul-2023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</si>
  <si>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</si>
  <si>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</si>
  <si>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</si>
  <si>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</si>
  <si>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</si>
  <si>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</si>
  <si>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</si>
  <si>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</si>
  <si>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</si>
  <si>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</si>
  <si>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</si>
  <si>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</si>
  <si>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</si>
  <si>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</si>
  <si>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</si>
  <si>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</si>
  <si>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</si>
  <si>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</si>
  <si>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</si>
  <si>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</si>
  <si>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</si>
  <si>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INE062A01020</t>
  </si>
  <si>
    <t>State Bank of India</t>
  </si>
  <si>
    <t>INE522F01014</t>
  </si>
  <si>
    <t>Coal India Ltd.</t>
  </si>
  <si>
    <t>Consumable Fuels</t>
  </si>
  <si>
    <t>INE733E01010</t>
  </si>
  <si>
    <t>NTPC Limited</t>
  </si>
  <si>
    <t>Power</t>
  </si>
  <si>
    <t>INE154A01025</t>
  </si>
  <si>
    <t>ITC Ltd.</t>
  </si>
  <si>
    <t>Diversified FMCG</t>
  </si>
  <si>
    <t>INE009A01021</t>
  </si>
  <si>
    <t>Infosys Limited</t>
  </si>
  <si>
    <t>IT - Software</t>
  </si>
  <si>
    <t>INE134E01011</t>
  </si>
  <si>
    <t>Power Finance Corporation Ltd.</t>
  </si>
  <si>
    <t>Finance</t>
  </si>
  <si>
    <t>INE018A01030</t>
  </si>
  <si>
    <t>Larsen and Toubro Ltd.</t>
  </si>
  <si>
    <t>Construction</t>
  </si>
  <si>
    <t>INE002A01018</t>
  </si>
  <si>
    <t>Reliance Industries Ltd.</t>
  </si>
  <si>
    <t>Petroleum Products</t>
  </si>
  <si>
    <t>INE238A01034</t>
  </si>
  <si>
    <t>Axis Bank Ltd.</t>
  </si>
  <si>
    <t>INE020B01018</t>
  </si>
  <si>
    <t>REC Limited.</t>
  </si>
  <si>
    <t>INE467B01029</t>
  </si>
  <si>
    <t>Tata Consultancy Services Ltd.</t>
  </si>
  <si>
    <t>INE397D01024</t>
  </si>
  <si>
    <t>Bharti Airtel Ltd.</t>
  </si>
  <si>
    <t>Telecom - Services</t>
  </si>
  <si>
    <t>INE028A01039</t>
  </si>
  <si>
    <t>Bank of Baroda</t>
  </si>
  <si>
    <t>INE044A01036</t>
  </si>
  <si>
    <t>Sun Pharmaceutical Industries Ltd.</t>
  </si>
  <si>
    <t>Pharmaceuticals &amp; Biotechnology</t>
  </si>
  <si>
    <t>INE129A01019</t>
  </si>
  <si>
    <t>GAIL (India) Ltd.</t>
  </si>
  <si>
    <t>Gas</t>
  </si>
  <si>
    <t>INE326A01037</t>
  </si>
  <si>
    <t>Lupin Ltd.</t>
  </si>
  <si>
    <t>INE438A01022</t>
  </si>
  <si>
    <t>Apollo Tyres Ltd.</t>
  </si>
  <si>
    <t>Auto Components</t>
  </si>
  <si>
    <t>INE171Z01018</t>
  </si>
  <si>
    <t>Bharat Dynamics Limited</t>
  </si>
  <si>
    <t>Aerospace &amp; Defense</t>
  </si>
  <si>
    <t>INE101A01026</t>
  </si>
  <si>
    <t>Mahindra &amp; Mahindra Ltd.</t>
  </si>
  <si>
    <t>Automobiles</t>
  </si>
  <si>
    <t>INE094A01015</t>
  </si>
  <si>
    <t>Hindustan Petroleum Corp. Ltd.</t>
  </si>
  <si>
    <t>INE099Z01011</t>
  </si>
  <si>
    <t>Mishra Dhatu Nigam Ltd.</t>
  </si>
  <si>
    <t>INE155A01022</t>
  </si>
  <si>
    <t>Tata Motors Ltd.</t>
  </si>
  <si>
    <t>INE066F01012</t>
  </si>
  <si>
    <t>Hindustan Aeronautics Limited</t>
  </si>
  <si>
    <t>INE029A01011</t>
  </si>
  <si>
    <t>Bharat Petroleum Corporation Ltd.</t>
  </si>
  <si>
    <t>INE848E01016</t>
  </si>
  <si>
    <t>NHPC Ltd.</t>
  </si>
  <si>
    <t>INE382Z01011</t>
  </si>
  <si>
    <t>Garden Reach Shipbuilders &amp; Engineers Limited</t>
  </si>
  <si>
    <t>INE615H01020</t>
  </si>
  <si>
    <t>Titagarh Wagons Limited</t>
  </si>
  <si>
    <t>Industrial Manufacturing</t>
  </si>
  <si>
    <t>INE372A01015</t>
  </si>
  <si>
    <t>Apar Industries Limited</t>
  </si>
  <si>
    <t>Electrical Equipment</t>
  </si>
  <si>
    <t>INE123W01016</t>
  </si>
  <si>
    <t>SBI Life Insurance Company Ltd.</t>
  </si>
  <si>
    <t>Insurance</t>
  </si>
  <si>
    <t>INE517F01014</t>
  </si>
  <si>
    <t>Gujarat Pipavav Port Ltd.</t>
  </si>
  <si>
    <t>Transport Infrastructure</t>
  </si>
  <si>
    <t>INE918I01026</t>
  </si>
  <si>
    <t>Bajaj Finserv Ltd.</t>
  </si>
  <si>
    <t>INE296A01024</t>
  </si>
  <si>
    <t>Bajaj Finance Ltd.</t>
  </si>
  <si>
    <t>INE095A01012</t>
  </si>
  <si>
    <t>Indusind Bank Ltd.</t>
  </si>
  <si>
    <t>INE285K01026</t>
  </si>
  <si>
    <t>Techno Electric &amp; Engin. Co. Ltd.</t>
  </si>
  <si>
    <t>INE053F01010</t>
  </si>
  <si>
    <t>Indian Railways Finance Corp. Ltd.</t>
  </si>
  <si>
    <t>INE258A01016</t>
  </si>
  <si>
    <t>BEML Limited</t>
  </si>
  <si>
    <t>Agricultural, Commercial &amp; Construction Vehicles</t>
  </si>
  <si>
    <t>INE571A01038</t>
  </si>
  <si>
    <t>Ipca Laboratories Ltd.</t>
  </si>
  <si>
    <t>INE269B01029</t>
  </si>
  <si>
    <t>LAKSHMI MACHINE WORKS LTD.</t>
  </si>
  <si>
    <t>INE406A01037</t>
  </si>
  <si>
    <t>Aurobindo Pharma Ltd.</t>
  </si>
  <si>
    <t>INE256A01028</t>
  </si>
  <si>
    <t>Zee Entertainment Enterprises Ltd.</t>
  </si>
  <si>
    <t>Entertainment</t>
  </si>
  <si>
    <t>INE576I01022</t>
  </si>
  <si>
    <t>J.Kumar Infraprojects Ltd.</t>
  </si>
  <si>
    <t>INE465A01025</t>
  </si>
  <si>
    <t>Bharat Forge Ltd.</t>
  </si>
  <si>
    <t>Industrial Products</t>
  </si>
  <si>
    <t>INE486A01021</t>
  </si>
  <si>
    <t>CESC Ltd.</t>
  </si>
  <si>
    <t>INE213A01029</t>
  </si>
  <si>
    <t>Oil &amp; Natural Gas Corporation Ltd.</t>
  </si>
  <si>
    <t>Oil</t>
  </si>
  <si>
    <t>INE017A01032</t>
  </si>
  <si>
    <t>Great Eastern Shipping Company Ltd.</t>
  </si>
  <si>
    <t>Transport Services</t>
  </si>
  <si>
    <t>INE035D01020</t>
  </si>
  <si>
    <t>Savita Oil Technologies Ltd.</t>
  </si>
  <si>
    <t>INE018E01016</t>
  </si>
  <si>
    <t>SBI CARDS AND PAYMENT SERVICES LIMITED</t>
  </si>
  <si>
    <t>INE208A01029</t>
  </si>
  <si>
    <t>Ashok Leyland  Ltd</t>
  </si>
  <si>
    <t>INE442H01029</t>
  </si>
  <si>
    <t>Ashoka Buildcon Ltd.</t>
  </si>
  <si>
    <t>INE021A01026</t>
  </si>
  <si>
    <t>Asian Paints Limited</t>
  </si>
  <si>
    <t>Consumer Durables</t>
  </si>
  <si>
    <t>INE508G01029</t>
  </si>
  <si>
    <t>Time Technoplast Limited</t>
  </si>
  <si>
    <t>INE221B01012</t>
  </si>
  <si>
    <t>Dynamatic Technologies Ltd.</t>
  </si>
  <si>
    <t>INE758E01017</t>
  </si>
  <si>
    <t>Jio Financial Services Limited**</t>
  </si>
  <si>
    <t>INE0J1Y01017</t>
  </si>
  <si>
    <t>Life Insurance Corporation of India</t>
  </si>
  <si>
    <t>INE585B01010</t>
  </si>
  <si>
    <t>Maruti Suzuki India Limited</t>
  </si>
  <si>
    <t>INE011K01018</t>
  </si>
  <si>
    <t>TEGA INDUSTRIES LIMITED</t>
  </si>
  <si>
    <t>INE220B01022</t>
  </si>
  <si>
    <t>Kalpataru Projects International Ltd</t>
  </si>
  <si>
    <t>INE621L01012</t>
  </si>
  <si>
    <t>Texmaco Rail &amp; Engineering Ltd.</t>
  </si>
  <si>
    <t>INE031A01017</t>
  </si>
  <si>
    <t>Housing and Urban Development Corporation Ltd.</t>
  </si>
  <si>
    <t>INE280A01028</t>
  </si>
  <si>
    <t>Titan Company Ltd.</t>
  </si>
  <si>
    <t>INE031B01049</t>
  </si>
  <si>
    <t>Ajanta Pharma Limited</t>
  </si>
  <si>
    <t>INE059A01026</t>
  </si>
  <si>
    <t>Cipla Ltd.</t>
  </si>
  <si>
    <t>INE030A01027</t>
  </si>
  <si>
    <t>Hindustan Unilever Ltd.</t>
  </si>
  <si>
    <t>INE602A01031</t>
  </si>
  <si>
    <t>PCBL Ltd.</t>
  </si>
  <si>
    <t>Chemicals &amp; Petrochemicals</t>
  </si>
  <si>
    <t>INE162A01010</t>
  </si>
  <si>
    <t>Gujarat Industries Power Co. Ltd.</t>
  </si>
  <si>
    <t>INE237A01028</t>
  </si>
  <si>
    <t>Kotak Mahindra Bank Limited</t>
  </si>
  <si>
    <t>INE742F01042</t>
  </si>
  <si>
    <t>Adani Ports &amp; Special Economic Zone</t>
  </si>
  <si>
    <t>INE404A01024</t>
  </si>
  <si>
    <t>ADITYA BIRLA SUN LIFE AMC LIMITED</t>
  </si>
  <si>
    <t>Capital Markets</t>
  </si>
  <si>
    <t>INE437A01024</t>
  </si>
  <si>
    <t>Apollo Hospitals Enterprise Ltd.</t>
  </si>
  <si>
    <t>Healthcare Services</t>
  </si>
  <si>
    <t>INE628A01036</t>
  </si>
  <si>
    <t>UPL Ltd.</t>
  </si>
  <si>
    <t>Fertilizers &amp; Agrochemicals</t>
  </si>
  <si>
    <t>INE743M01012</t>
  </si>
  <si>
    <t>RHI MAGNESITA INDIA Limited</t>
  </si>
  <si>
    <t>INE669C01036</t>
  </si>
  <si>
    <t>Tech Mahindra Ltd.</t>
  </si>
  <si>
    <t>IN9397D01014</t>
  </si>
  <si>
    <t>Bharti Airtel Ltd. - PARTLY PAID UP SHARES</t>
  </si>
  <si>
    <t>INE079A01024</t>
  </si>
  <si>
    <t>Ambuja Cements Ltd.</t>
  </si>
  <si>
    <t>Cement &amp; Cement Products</t>
  </si>
  <si>
    <t>INE320J01015</t>
  </si>
  <si>
    <t>RITES Limited</t>
  </si>
  <si>
    <t>INE481G01011</t>
  </si>
  <si>
    <t>UltraTech Cement Limited</t>
  </si>
  <si>
    <t>INE821I01022</t>
  </si>
  <si>
    <t>IRB Infrastructure Developers Ltd.</t>
  </si>
  <si>
    <t>INE019A01038</t>
  </si>
  <si>
    <t>JSW Steel Ltd.</t>
  </si>
  <si>
    <t>Ferrous Metals</t>
  </si>
  <si>
    <t>INE583L01014</t>
  </si>
  <si>
    <t>AGS Transact Technologies Limited</t>
  </si>
  <si>
    <t>Financial Technology (Fintech)</t>
  </si>
  <si>
    <t>INE089A01023</t>
  </si>
  <si>
    <t>Dr Reddys Laboratories Ltd.</t>
  </si>
  <si>
    <t>INE066A01021</t>
  </si>
  <si>
    <t>Eicher Motors Ltd.</t>
  </si>
  <si>
    <t>INE860A01027</t>
  </si>
  <si>
    <t>HCL Technologies Ltd.</t>
  </si>
  <si>
    <t>INE081A01020</t>
  </si>
  <si>
    <t>Tata Steel Ltd.</t>
  </si>
  <si>
    <t>INE423A01024</t>
  </si>
  <si>
    <t>ADANI ENTERPRISES LIMTIED</t>
  </si>
  <si>
    <t>Metals &amp; Minerals Trading</t>
  </si>
  <si>
    <t>INE0N7W01012</t>
  </si>
  <si>
    <t>BEML Land Assets Limited</t>
  </si>
  <si>
    <t>INE257A01026</t>
  </si>
  <si>
    <t>Bharat Heavy Electricals Ltd.</t>
  </si>
  <si>
    <t>INE646L01027</t>
  </si>
  <si>
    <t>InterGlobe Aviation Ltd.</t>
  </si>
  <si>
    <t>INE160A01022</t>
  </si>
  <si>
    <t>Punjab National Bank</t>
  </si>
  <si>
    <t>INE246B01019</t>
  </si>
  <si>
    <t>Ramco Systems Ltd.</t>
  </si>
  <si>
    <t>INE012A01025</t>
  </si>
  <si>
    <t>ACC Ltd.</t>
  </si>
  <si>
    <t>INE216A01030</t>
  </si>
  <si>
    <t>Britannia Industries Ltd.</t>
  </si>
  <si>
    <t>Food Products</t>
  </si>
  <si>
    <t>INE278Y01022</t>
  </si>
  <si>
    <t>Campus Activewear Limited</t>
  </si>
  <si>
    <t>INE271C01023</t>
  </si>
  <si>
    <t>DLF LIMITED</t>
  </si>
  <si>
    <t>Realty</t>
  </si>
  <si>
    <t>INE795G01014</t>
  </si>
  <si>
    <t>HDFC Life Insurance Company Limited</t>
  </si>
  <si>
    <t>INE726G01019</t>
  </si>
  <si>
    <t>ICICI Prudential Life Insurance Company Ltd.</t>
  </si>
  <si>
    <t>INE053A01029</t>
  </si>
  <si>
    <t>Indian Hotels Company Ltd.</t>
  </si>
  <si>
    <t>Leisure Services</t>
  </si>
  <si>
    <t>INE776I01010</t>
  </si>
  <si>
    <t>MEP Infrastructure Developers Ltd.</t>
  </si>
  <si>
    <t>INE245A01021</t>
  </si>
  <si>
    <t>The Tata Power Company Ltd.</t>
  </si>
  <si>
    <t>INE075A01022</t>
  </si>
  <si>
    <t>Wipro Ltd.</t>
  </si>
  <si>
    <t>INE917I01010</t>
  </si>
  <si>
    <t>Bajaj Auto Limited</t>
  </si>
  <si>
    <t>INE016A01026</t>
  </si>
  <si>
    <t>Dabur India Ltd.</t>
  </si>
  <si>
    <t>Personal Products</t>
  </si>
  <si>
    <t>INE102D01028</t>
  </si>
  <si>
    <t>Godrej Consumer Products Ltd.</t>
  </si>
  <si>
    <t>INE242A01010</t>
  </si>
  <si>
    <t>Indian Oil Corporation Ltd.</t>
  </si>
  <si>
    <t>INE239A01016</t>
  </si>
  <si>
    <t>Nestle India Ltd.</t>
  </si>
  <si>
    <t>INE140A01024</t>
  </si>
  <si>
    <t>Piramal Enterprises Limited</t>
  </si>
  <si>
    <t>INE752E01010</t>
  </si>
  <si>
    <t>Power Grid Corporation of India Ltd.</t>
  </si>
  <si>
    <t>INE192A01025</t>
  </si>
  <si>
    <t>Tata Consumer Products Limited</t>
  </si>
  <si>
    <t>Agricultural Food &amp; Other Products</t>
  </si>
  <si>
    <t>INE006I01046</t>
  </si>
  <si>
    <t>Astral Limited</t>
  </si>
  <si>
    <t>@</t>
  </si>
  <si>
    <t>INE047A01021</t>
  </si>
  <si>
    <t>Grasim Industries Ltd.</t>
  </si>
  <si>
    <t>INE158A01026</t>
  </si>
  <si>
    <t>Hero MotoCorp Ltd.</t>
  </si>
  <si>
    <t>INE383A01012</t>
  </si>
  <si>
    <t>India Cements Ltd.</t>
  </si>
  <si>
    <t>INE115A01026</t>
  </si>
  <si>
    <t>LIC Housing Finance Ltd.</t>
  </si>
  <si>
    <t>INE093I01010</t>
  </si>
  <si>
    <t>Oberoi Realty Ltd.</t>
  </si>
  <si>
    <t>INE003A01024</t>
  </si>
  <si>
    <t>Siemens Ltd.</t>
  </si>
  <si>
    <t>INE854D01024</t>
  </si>
  <si>
    <t>United Spirits Limited</t>
  </si>
  <si>
    <t>Beverages</t>
  </si>
  <si>
    <t>Sub Total</t>
  </si>
  <si>
    <t>Total</t>
  </si>
  <si>
    <t>DEBT INSTRUMENTS</t>
  </si>
  <si>
    <t>Government Securities (Central/State)</t>
  </si>
  <si>
    <t>IN0020220037</t>
  </si>
  <si>
    <t>7.38% GOI MAT 200627</t>
  </si>
  <si>
    <t>Sovereign</t>
  </si>
  <si>
    <t>IN0020220011</t>
  </si>
  <si>
    <t>7.1% GOI MAT 180429</t>
  </si>
  <si>
    <t>IN0020210137</t>
  </si>
  <si>
    <t>Floating Rate GOI 2034</t>
  </si>
  <si>
    <t>IN0020180488</t>
  </si>
  <si>
    <t>7.32% GOI MAT 280124</t>
  </si>
  <si>
    <t>IN0020220151</t>
  </si>
  <si>
    <t>7.26% GOI MAT 060233</t>
  </si>
  <si>
    <t>IN0020200112</t>
  </si>
  <si>
    <t>5.22% GOI MAT 150625</t>
  </si>
  <si>
    <t>IN0020220060</t>
  </si>
  <si>
    <t>7.26% GOI MAT 220832</t>
  </si>
  <si>
    <t>IN0020190396</t>
  </si>
  <si>
    <t>6.18% GOI MAT 041124</t>
  </si>
  <si>
    <t>IN0020230036</t>
  </si>
  <si>
    <t>7.17% GOI MAT 170430</t>
  </si>
  <si>
    <t>IN0020200211</t>
  </si>
  <si>
    <t>4.48% GOI MAT 021123</t>
  </si>
  <si>
    <t>IN0020210186</t>
  </si>
  <si>
    <t>5.74% GOI MAT 151126</t>
  </si>
  <si>
    <t>IN0020230010</t>
  </si>
  <si>
    <t>7.06% GOI MAT 100428</t>
  </si>
  <si>
    <t>IN0020170026</t>
  </si>
  <si>
    <t>6.79% GOI MAT 150527^</t>
  </si>
  <si>
    <t>IN0020090034</t>
  </si>
  <si>
    <t>7.35% GOI MAT 220624^</t>
  </si>
  <si>
    <t>IN0020160035</t>
  </si>
  <si>
    <t>6.97% GOI MAT 060926</t>
  </si>
  <si>
    <t>IN000628C031</t>
  </si>
  <si>
    <t>GOI STRIPS - Mat 170628^</t>
  </si>
  <si>
    <t>Non-Convertible debentures / Bonds</t>
  </si>
  <si>
    <t>INE040A08849</t>
  </si>
  <si>
    <t>HDFC Bank Ltd.£^</t>
  </si>
  <si>
    <t>CRISIL - AAA</t>
  </si>
  <si>
    <t>INE040A08914</t>
  </si>
  <si>
    <t>INE261F08DO9</t>
  </si>
  <si>
    <t>National Bank for Agri &amp; Rural Dev.^</t>
  </si>
  <si>
    <t>INE556F08KF5</t>
  </si>
  <si>
    <t>Small Industries Development Bank^</t>
  </si>
  <si>
    <t>CARE - AAA</t>
  </si>
  <si>
    <t>INE028A08182</t>
  </si>
  <si>
    <t>Bank of Baroda (Perpetual) (AT1) (Basel III)^</t>
  </si>
  <si>
    <t>CRISIL - AA+</t>
  </si>
  <si>
    <t>INE115A07OL3</t>
  </si>
  <si>
    <t>LIC Housing Finance Ltd.^</t>
  </si>
  <si>
    <t>INE261F08EB4</t>
  </si>
  <si>
    <t>INE692Q07399</t>
  </si>
  <si>
    <t>Toyota Financial Services India Ltd.^</t>
  </si>
  <si>
    <t>INE040A08641</t>
  </si>
  <si>
    <t>INE261F08DV4</t>
  </si>
  <si>
    <t>National Bank for Agri &amp; Rural Dev.</t>
  </si>
  <si>
    <t>INE01XX07026</t>
  </si>
  <si>
    <t>Pipeline Infrastructure Pvt. Ltd.</t>
  </si>
  <si>
    <t>INE134E08ML8</t>
  </si>
  <si>
    <t>Power Finance Corporation Ltd.^</t>
  </si>
  <si>
    <t>INE556F08KH1</t>
  </si>
  <si>
    <t>INE020B08CX1</t>
  </si>
  <si>
    <t>REC Limited.^</t>
  </si>
  <si>
    <t>INE031A08871</t>
  </si>
  <si>
    <t>Housing and Urban Development Corporation Ltd.^</t>
  </si>
  <si>
    <t>INE115A07QD5</t>
  </si>
  <si>
    <t>INE115A07MQ6</t>
  </si>
  <si>
    <t>INE134E08LU1</t>
  </si>
  <si>
    <t>INE556F08KD0</t>
  </si>
  <si>
    <t>INE029A08065</t>
  </si>
  <si>
    <t>Bharat Petroleum Corporation Ltd.^</t>
  </si>
  <si>
    <t>INE040A08922</t>
  </si>
  <si>
    <t>INE975F07IJ5</t>
  </si>
  <si>
    <t>Kotak Mahindra Investments Ltd.^</t>
  </si>
  <si>
    <t>INE115A07QJ2</t>
  </si>
  <si>
    <t>INE261F08EA6</t>
  </si>
  <si>
    <t>INE261F08DX0</t>
  </si>
  <si>
    <t>INE020B08EL2</t>
  </si>
  <si>
    <t>ICRA - AAA</t>
  </si>
  <si>
    <t>INE556F08KI9</t>
  </si>
  <si>
    <t>INE062A08256</t>
  </si>
  <si>
    <t>State Bank of India (Tier 2 - Basel III)^</t>
  </si>
  <si>
    <t>INE062A08264</t>
  </si>
  <si>
    <t>INE053F07AA7</t>
  </si>
  <si>
    <t>Indian Railways Finance Corp. Ltd.^</t>
  </si>
  <si>
    <t>INE295J08014</t>
  </si>
  <si>
    <t>The Tata Power Company Ltd.^</t>
  </si>
  <si>
    <t>IND - AA</t>
  </si>
  <si>
    <t>INE306N07NF5</t>
  </si>
  <si>
    <t>Tata Capital Financial Services Ltd.^</t>
  </si>
  <si>
    <t>INE476A08050</t>
  </si>
  <si>
    <t>Canara Bank (Tier 2 - Basel III)^</t>
  </si>
  <si>
    <t>INE692A08029</t>
  </si>
  <si>
    <t>Union Bank of India (Perpetual) (AT1) (Basel III)^</t>
  </si>
  <si>
    <t>CARE - AA</t>
  </si>
  <si>
    <t>INE514E08EK0</t>
  </si>
  <si>
    <t>Export - Import Bank of India^</t>
  </si>
  <si>
    <t>INE047A08190</t>
  </si>
  <si>
    <t>Grasim Industries Ltd.^</t>
  </si>
  <si>
    <t>INE047A08208</t>
  </si>
  <si>
    <t>INE053F08320</t>
  </si>
  <si>
    <t>INE053F08312</t>
  </si>
  <si>
    <t>INE134E08MK0</t>
  </si>
  <si>
    <t>INE752E07OF7</t>
  </si>
  <si>
    <t>INE062A08207</t>
  </si>
  <si>
    <t>INE115A07OS8</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</si>
  <si>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</si>
  <si>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</si>
  <si>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</si>
  <si>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</si>
  <si>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</si>
  <si>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</si>
  <si>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</si>
  <si>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</si>
  <si>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</si>
  <si>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</si>
  <si>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</si>
  <si>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</si>
  <si>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</si>
  <si>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CRISIL - A1+</t>
  </si>
  <si>
    <t>INE238AD6421</t>
  </si>
  <si>
    <t>Axis Bank Ltd.^</t>
  </si>
  <si>
    <t>INE562A16LN9</t>
  </si>
  <si>
    <t>Indian Bank^</t>
  </si>
  <si>
    <t>INE238AD6173</t>
  </si>
  <si>
    <t>INE028A16CY7</t>
  </si>
  <si>
    <t>Bank of Baroda^</t>
  </si>
  <si>
    <t>IND - A1+</t>
  </si>
  <si>
    <t>INE028A16CZ4</t>
  </si>
  <si>
    <t>INE514E16CE0</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</si>
  <si>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</si>
  <si>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</si>
  <si>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</si>
  <si>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</si>
  <si>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</si>
  <si>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</si>
  <si>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</si>
  <si>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</si>
  <si>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</si>
  <si>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</si>
  <si>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</si>
  <si>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</si>
  <si>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</si>
  <si>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</si>
  <si>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</si>
  <si>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</si>
  <si>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</si>
  <si>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</si>
  <si>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</si>
  <si>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</si>
  <si>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</si>
  <si>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</si>
  <si>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</si>
  <si>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</si>
  <si>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</si>
  <si>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</si>
  <si>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</si>
  <si>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</si>
  <si>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July 31, 2023</t>
  </si>
  <si>
    <t>June 30, 2023</t>
  </si>
  <si>
    <t>IDCW Plan</t>
  </si>
  <si>
    <t>IDCW Plan - Direct Plan</t>
  </si>
  <si>
    <t>Growth Plan</t>
  </si>
  <si>
    <t>Growth Plan - Direct Plan</t>
  </si>
  <si>
    <t>Dividend History - Dividend declared during the month ended July 31, 2023 :</t>
  </si>
  <si>
    <t xml:space="preserve">Dividend Per Unit (Rs) for </t>
  </si>
  <si>
    <t>Plan Name</t>
  </si>
  <si>
    <t>Record Date</t>
  </si>
  <si>
    <t>Nav as on Record Date</t>
  </si>
  <si>
    <t>Individuals and HUF</t>
  </si>
  <si>
    <t>Others</t>
  </si>
  <si>
    <t>25-Jul-2023</t>
  </si>
  <si>
    <t>Bonus History - Bonus declared during the month ended July 31, 2023: Nil</t>
  </si>
  <si>
    <t>2) Total below investment grade or default provided for and its percentage to NAV : Nil</t>
  </si>
  <si>
    <t>3) Total investments in Foreign Securities / Overseas ETFs / ADRs / GDRs : Nil</t>
  </si>
  <si>
    <t xml:space="preserve">4) Repo in Corporate Debt : </t>
  </si>
  <si>
    <t>Counterparty</t>
  </si>
  <si>
    <t>Investment value (Rs. in Lakhs)</t>
  </si>
  <si>
    <t>Trade date</t>
  </si>
  <si>
    <t>Maturity date</t>
  </si>
  <si>
    <t>% to net assets as on Trade date</t>
  </si>
  <si>
    <t>AMC Repo Clearing Limited</t>
  </si>
  <si>
    <t>5) Total outstanding exposure in Derivative Instruments as on Jul 31, 2023 : Rs.(549665.24)Lacs</t>
  </si>
  <si>
    <t>6) Portfolio Turnover Ratio : 14.89%</t>
  </si>
  <si>
    <t>7) Annualised Portfolio YTM : 7.31%</t>
  </si>
  <si>
    <t>8) Macaulay Duration : 970.4 Days</t>
  </si>
  <si>
    <t>9) Residual Maturity (Average Portfolio Maturity-other than equity investments) : 1953.58 Days</t>
  </si>
  <si>
    <t>10) Total outstanding exposure in Derivative Instruments in Nifty Index is Rs.(109141.725)Lacs which is (1.8)% of NAV as on 31-Jul-2023</t>
  </si>
  <si>
    <t>11) IDCW stands for Income Distribution cum Capital Withdrawal</t>
  </si>
  <si>
    <t>12) Riskometer based on Scheme Portfolio and Portfolio Benchmark "NIFTY 50 Hybrid Composite Debt 50:50 Index" as on Jul 31, 2023</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</si>
  <si>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</si>
  <si>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</si>
  <si>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</si>
  <si>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</si>
  <si>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July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</si>
  <si>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</si>
  <si>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</si>
  <si>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</si>
  <si>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</si>
  <si>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</si>
  <si>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</si>
  <si>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</si>
  <si>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</si>
  <si>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</si>
  <si>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</si>
  <si>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</si>
  <si>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</si>
  <si>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Astral Ltd.</t>
  </si>
  <si>
    <t>Bajaj Auto Ltd.</t>
  </si>
  <si>
    <t>BAJAJ FINANCE LTD.</t>
  </si>
  <si>
    <t>DLF Ltd.</t>
  </si>
  <si>
    <t>Dr. Reddy's Laboratories Ltd.</t>
  </si>
  <si>
    <t>HDFC Bank Ltd.</t>
  </si>
  <si>
    <t>HDFC Life Insurance Company Ltd.</t>
  </si>
  <si>
    <t>Hindustan Petroleum Corporation Ltd.</t>
  </si>
  <si>
    <t>Indian Hotels Co. Ltd.</t>
  </si>
  <si>
    <t>Infosys Ltd.</t>
  </si>
  <si>
    <t>Kotak Mahindra Bank Ltd.</t>
  </si>
  <si>
    <t>Larsen &amp; Toubro Ltd.</t>
  </si>
  <si>
    <t>Maruti Suzuki India Ltd.</t>
  </si>
  <si>
    <t>United Spirits Ltd.</t>
  </si>
  <si>
    <t>Adani Ports and Special Economic Zone Ltd.</t>
  </si>
  <si>
    <t>Piramal Enterprises Ltd.</t>
  </si>
  <si>
    <t>Nifty</t>
  </si>
  <si>
    <t>NTPC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</si>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</sst>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00"/>
    <numFmt numFmtId="165" formatCode="#,##0.000"/>
    <numFmt numFmtId="166" formatCode="[$-409]mmm\-yy;@"/>
    <numFmt numFmtId="167" formatCode="_(* #,##0.00%_);_(* \(#,##0.00%\);_(* &quot;-&quot;?_);_(@_)"/>
    <numFmt numFmtId="168" formatCode="_(* #,##0.00_);_(* \(#,##0.00\);_(* &quot;-&quot;??_);_(@_)"/>
    <numFmt numFmtId="169" formatCode="_(* #,##0_);_(* \(#,##0\);_(* &quot;-&quot;??_);_(@_)"/>
  </numFmts>
  <fonts count="20"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b/>
      <sz val="9"/>
      <color theme="1"/>
      <name val="Arial"/>
      <family val="2"/>
    </font>
    <font>
      <sz val="9"/>
      <color theme="1"/>
      <name val="Arial"/>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5" fillId="0" borderId="0"/>
    <xf numFmtId="168" fontId="14" fillId="0" borderId="0" applyFont="0" applyFill="0" applyBorder="0" applyAlignment="0" applyProtection="0"/>
    <xf numFmtId="168" fontId="15" fillId="0" borderId="0" applyFont="0" applyFill="0" applyBorder="0" applyAlignment="0" applyProtection="0"/>
  </cellStyleXfs>
  <cellXfs count="6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2" fillId="0" borderId="1" xfId="0" applyFont="1" applyFill="1" applyBorder="1" applyAlignment="1">
      <alignment vertical="top"/>
    </xf>
    <xf numFmtId="0" fontId="12" fillId="0" borderId="1" xfId="0" applyFont="1" applyFill="1" applyBorder="1" applyAlignment="1">
      <alignment horizontal="right" vertical="top"/>
    </xf>
    <xf numFmtId="0" fontId="12" fillId="0" borderId="1" xfId="0" applyFont="1" applyFill="1" applyBorder="1" applyAlignment="1">
      <alignment horizontal="left" vertical="top" wrapText="1"/>
    </xf>
    <xf numFmtId="0" fontId="13" fillId="0" borderId="1" xfId="0" applyFont="1" applyFill="1" applyBorder="1" applyAlignment="1">
      <alignment vertical="top"/>
    </xf>
    <xf numFmtId="4" fontId="0" fillId="0" borderId="1" xfId="0" applyNumberFormat="1" applyFont="1" applyFill="1" applyBorder="1"/>
    <xf numFmtId="14" fontId="13" fillId="0" borderId="1" xfId="0" applyNumberFormat="1" applyFont="1" applyFill="1" applyBorder="1" applyAlignment="1">
      <alignment vertical="top"/>
    </xf>
    <xf numFmtId="167" fontId="13" fillId="0" borderId="1" xfId="0" applyNumberFormat="1" applyFont="1" applyFill="1" applyBorder="1" applyAlignment="1">
      <alignment vertical="top"/>
    </xf>
    <xf numFmtId="0" fontId="13" fillId="0" borderId="0" xfId="0" applyFont="1" applyFill="1" applyBorder="1" applyAlignment="1">
      <alignment vertical="top"/>
    </xf>
    <xf numFmtId="4" fontId="0" fillId="0" borderId="0" xfId="0" applyNumberFormat="1" applyFont="1" applyFill="1" applyBorder="1"/>
    <xf numFmtId="14" fontId="13" fillId="0" borderId="0" xfId="0" applyNumberFormat="1" applyFont="1" applyFill="1" applyBorder="1" applyAlignment="1">
      <alignment vertical="top"/>
    </xf>
    <xf numFmtId="167" fontId="13" fillId="0" borderId="0" xfId="0" applyNumberFormat="1" applyFont="1" applyFill="1" applyBorder="1" applyAlignment="1">
      <alignment vertical="top"/>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5" fillId="0" borderId="0" xfId="1" applyFont="1" applyFill="1" applyBorder="1" applyAlignment="1"/>
    <xf numFmtId="0" fontId="15" fillId="0" borderId="0" xfId="1" applyFont="1" applyFill="1" applyBorder="1" applyAlignment="1">
      <alignment horizontal="right"/>
    </xf>
    <xf numFmtId="0" fontId="16" fillId="0" borderId="0" xfId="1" applyFont="1" applyFill="1" applyBorder="1" applyAlignment="1">
      <alignment horizontal="left"/>
    </xf>
    <xf numFmtId="0" fontId="17" fillId="0" borderId="0" xfId="1" applyFont="1" applyFill="1" applyBorder="1" applyAlignment="1">
      <alignment horizontal="left" vertical="justify"/>
    </xf>
    <xf numFmtId="0" fontId="16" fillId="0" borderId="1" xfId="1" applyFont="1" applyFill="1" applyBorder="1" applyAlignment="1"/>
    <xf numFmtId="0" fontId="16" fillId="0" borderId="1" xfId="1" applyFont="1" applyFill="1" applyBorder="1" applyAlignment="1">
      <alignment wrapText="1"/>
    </xf>
    <xf numFmtId="168" fontId="18" fillId="0" borderId="1" xfId="2" applyFont="1" applyBorder="1" applyAlignment="1">
      <alignment vertical="center" wrapText="1"/>
    </xf>
    <xf numFmtId="0" fontId="15" fillId="0" borderId="2" xfId="1" applyFont="1" applyFill="1" applyBorder="1" applyAlignment="1">
      <alignment vertical="top"/>
    </xf>
    <xf numFmtId="0" fontId="15" fillId="0" borderId="1" xfId="1" applyFont="1" applyFill="1" applyBorder="1" applyAlignment="1"/>
    <xf numFmtId="169" fontId="19" fillId="0" borderId="1" xfId="3" applyNumberFormat="1" applyFont="1" applyFill="1" applyBorder="1" applyAlignment="1">
      <alignment horizontal="right" vertical="center"/>
    </xf>
    <xf numFmtId="4" fontId="19" fillId="0" borderId="1" xfId="1" applyNumberFormat="1" applyFont="1" applyFill="1" applyBorder="1" applyAlignment="1">
      <alignment horizontal="right" vertical="top"/>
    </xf>
    <xf numFmtId="4" fontId="15" fillId="0" borderId="1" xfId="1" applyNumberFormat="1" applyFont="1" applyFill="1" applyBorder="1" applyAlignment="1"/>
    <xf numFmtId="168" fontId="15" fillId="0" borderId="1" xfId="2" applyFont="1" applyFill="1" applyBorder="1" applyAlignment="1"/>
    <xf numFmtId="0" fontId="15" fillId="0" borderId="3" xfId="1" applyFont="1" applyFill="1" applyBorder="1" applyAlignment="1">
      <alignment vertical="top"/>
    </xf>
    <xf numFmtId="0" fontId="15" fillId="0" borderId="4" xfId="1" applyFont="1" applyFill="1" applyBorder="1" applyAlignment="1">
      <alignment vertical="top"/>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329</xdr:row>
      <xdr:rowOff>0</xdr:rowOff>
    </xdr:from>
    <xdr:to>
      <xdr:col>2</xdr:col>
      <xdr:colOff>1492250</xdr:colOff>
      <xdr:row>342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3198375"/>
          <a:ext cx="3721100" cy="2540000"/>
        </a:xfrm>
        <a:prstGeom prst="rect">
          <a:avLst/>
        </a:prstGeom>
      </xdr:spPr>
    </xdr:pic>
    <xdr:clientData/>
  </xdr:twoCellAnchor>
  <xdr:twoCellAnchor editAs="oneCell">
    <xdr:from>
      <xdr:col>1</xdr:col>
      <xdr:colOff>0</xdr:colOff>
      <xdr:row>345</xdr:row>
      <xdr:rowOff>0</xdr:rowOff>
    </xdr:from>
    <xdr:to>
      <xdr:col>2</xdr:col>
      <xdr:colOff>1492250</xdr:colOff>
      <xdr:row>358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62463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Equity%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BKGFSF"/>
      <sheetName val="HDFCNPBETF"/>
      <sheetName val="HDFCDFNFND"/>
      <sheetName val="HDFCSX"/>
      <sheetName val="HDFCSXEXTF"/>
      <sheetName val="HDFCG15ETF"/>
      <sheetName val="HDFCV20ETF"/>
      <sheetName val="HDFCNY"/>
      <sheetName val="HDFCNYEXTF"/>
      <sheetName val="HDFCN100ET"/>
      <sheetName val="HDFCNY100F"/>
      <sheetName val="HDFCT2"/>
      <sheetName val="HDFCHOF117"/>
      <sheetName val="HDFCCB"/>
      <sheetName val="HDFCBUSICY"/>
      <sheetName val="HDFCTS"/>
      <sheetName val="HDFCEQ"/>
      <sheetName val="HDFCCS"/>
      <sheetName val="HDFC500ETF"/>
      <sheetName val="HDFC500IDF"/>
      <sheetName val="HDFCPM"/>
      <sheetName val="HDFCMNCFND"/>
      <sheetName val="HDINFG"/>
      <sheetName val="HDFCRETEQP"/>
      <sheetName val="HDFCGF"/>
      <sheetName val="HDFCNCCFND"/>
      <sheetName val="HDFCGR"/>
      <sheetName val="HDFCAR"/>
      <sheetName val="HDFCRETHEP"/>
      <sheetName val="MY2005"/>
      <sheetName val="HDFCDIVYLD"/>
      <sheetName val="HDFCLARGEF"/>
      <sheetName val="HDFCMY"/>
      <sheetName val="HDFCQ30ETF"/>
      <sheetName val="HDFCM30ETF"/>
      <sheetName val="HDFCSMALLF"/>
      <sheetName val="MIDCAP"/>
      <sheetName val="HDFCMULCAP"/>
      <sheetName val="HDFCL30ETF"/>
      <sheetName val="HDFCNY50ET"/>
      <sheetName val="HDFCNYNX50"/>
      <sheetName val="HDFCMIDIDF"/>
      <sheetName val="HDFCMIDETF"/>
      <sheetName val="HDFCNY50EW"/>
      <sheetName val="HDFCSMAIDF"/>
      <sheetName val="HDFCSMAETF"/>
      <sheetName val="HDFCN100EW"/>
      <sheetName val="HDGETF"/>
      <sheetName val="HSILVERETF"/>
      <sheetName val="HDFCDPEFOF"/>
      <sheetName val="HSILVERFOF"/>
      <sheetName val="HDFCDWIFOF"/>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34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50" t="s">
        <v>0</v>
      </c>
      <c r="B1" s="50" t="s">
        <v>0</v>
      </c>
      <c r="C1" s="50" t="s">
        <v>0</v>
      </c>
      <c r="D1" s="50" t="s">
        <v>0</v>
      </c>
      <c r="E1" s="50" t="s">
        <v>0</v>
      </c>
      <c r="F1" s="50" t="s">
        <v>0</v>
      </c>
      <c r="G1" s="50" t="s">
        <v>0</v>
      </c>
      <c r="H1" s="50" t="s">
        <v>0</v>
      </c>
      <c r="I1" s="50" t="s">
        <v>0</v>
      </c>
      <c r="J1" s="50" t="s">
        <v>0</v>
      </c>
      <c r="K1" s="1" t="s">
        <v>1</v>
      </c>
      <c r="L1" s="2" t="s">
        <v>2</v>
      </c>
    </row>
    <row r="2" spans="1:12" x14ac:dyDescent="0.25">
      <c r="A2" s="51" t="s">
        <v>3</v>
      </c>
      <c r="B2" s="51" t="s">
        <v>3</v>
      </c>
      <c r="C2" s="51" t="s">
        <v>3</v>
      </c>
      <c r="D2" s="51" t="s">
        <v>3</v>
      </c>
      <c r="E2" s="51" t="s">
        <v>3</v>
      </c>
      <c r="F2" s="51" t="s">
        <v>3</v>
      </c>
      <c r="G2" s="51" t="s">
        <v>3</v>
      </c>
      <c r="H2" s="51" t="s">
        <v>3</v>
      </c>
      <c r="I2" s="51" t="s">
        <v>3</v>
      </c>
      <c r="J2" s="5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24553001</v>
      </c>
      <c r="G9" s="13">
        <v>405419.15</v>
      </c>
      <c r="H9" s="13">
        <v>6.69</v>
      </c>
      <c r="I9" s="14" t="s">
        <v>20</v>
      </c>
      <c r="J9" s="14" t="s">
        <v>20</v>
      </c>
      <c r="K9" s="15">
        <v>0.77</v>
      </c>
      <c r="L9" s="16">
        <v>5.92</v>
      </c>
    </row>
    <row r="10" spans="1:12" x14ac:dyDescent="0.25">
      <c r="A10" s="10" t="s">
        <v>18</v>
      </c>
      <c r="B10" s="11" t="s">
        <v>23</v>
      </c>
      <c r="C10" s="11" t="s">
        <v>20</v>
      </c>
      <c r="D10" s="11" t="s">
        <v>24</v>
      </c>
      <c r="E10" s="11" t="s">
        <v>22</v>
      </c>
      <c r="F10" s="12">
        <v>27376824</v>
      </c>
      <c r="G10" s="13">
        <v>273302.83</v>
      </c>
      <c r="H10" s="13">
        <v>4.51</v>
      </c>
      <c r="I10" s="14" t="s">
        <v>20</v>
      </c>
      <c r="J10" s="14" t="s">
        <v>20</v>
      </c>
      <c r="K10" s="15">
        <v>0.8</v>
      </c>
      <c r="L10" s="16">
        <v>3.7</v>
      </c>
    </row>
    <row r="11" spans="1:12" x14ac:dyDescent="0.25">
      <c r="A11" s="10" t="s">
        <v>18</v>
      </c>
      <c r="B11" s="11" t="s">
        <v>25</v>
      </c>
      <c r="C11" s="11" t="s">
        <v>20</v>
      </c>
      <c r="D11" s="11" t="s">
        <v>26</v>
      </c>
      <c r="E11" s="11" t="s">
        <v>22</v>
      </c>
      <c r="F11" s="12">
        <v>40214771</v>
      </c>
      <c r="G11" s="13">
        <v>249412.01</v>
      </c>
      <c r="H11" s="13">
        <v>4.1100000000000003</v>
      </c>
      <c r="I11" s="14" t="s">
        <v>20</v>
      </c>
      <c r="J11" s="14" t="s">
        <v>20</v>
      </c>
      <c r="K11" s="15">
        <v>0.26</v>
      </c>
      <c r="L11" s="16">
        <v>3.85</v>
      </c>
    </row>
    <row r="12" spans="1:12" x14ac:dyDescent="0.25">
      <c r="A12" s="10" t="s">
        <v>18</v>
      </c>
      <c r="B12" s="11" t="s">
        <v>27</v>
      </c>
      <c r="C12" s="11" t="s">
        <v>20</v>
      </c>
      <c r="D12" s="11" t="s">
        <v>28</v>
      </c>
      <c r="E12" s="11" t="s">
        <v>29</v>
      </c>
      <c r="F12" s="12">
        <v>98170711</v>
      </c>
      <c r="G12" s="13">
        <v>225056.35</v>
      </c>
      <c r="H12" s="13">
        <v>3.71</v>
      </c>
      <c r="I12" s="14" t="s">
        <v>20</v>
      </c>
      <c r="J12" s="14" t="s">
        <v>20</v>
      </c>
      <c r="K12" s="15">
        <v>0</v>
      </c>
      <c r="L12" s="16">
        <v>3.71</v>
      </c>
    </row>
    <row r="13" spans="1:12" x14ac:dyDescent="0.25">
      <c r="A13" s="10" t="s">
        <v>18</v>
      </c>
      <c r="B13" s="11" t="s">
        <v>30</v>
      </c>
      <c r="C13" s="11" t="s">
        <v>20</v>
      </c>
      <c r="D13" s="11" t="s">
        <v>31</v>
      </c>
      <c r="E13" s="11" t="s">
        <v>32</v>
      </c>
      <c r="F13" s="12">
        <v>99989178</v>
      </c>
      <c r="G13" s="13">
        <v>218326.37</v>
      </c>
      <c r="H13" s="13">
        <v>3.6</v>
      </c>
      <c r="I13" s="14" t="s">
        <v>20</v>
      </c>
      <c r="J13" s="14" t="s">
        <v>20</v>
      </c>
      <c r="K13" s="15">
        <v>0.25</v>
      </c>
      <c r="L13" s="16">
        <v>3.35</v>
      </c>
    </row>
    <row r="14" spans="1:12" x14ac:dyDescent="0.25">
      <c r="A14" s="10" t="s">
        <v>18</v>
      </c>
      <c r="B14" s="11" t="s">
        <v>33</v>
      </c>
      <c r="C14" s="11" t="s">
        <v>20</v>
      </c>
      <c r="D14" s="11" t="s">
        <v>34</v>
      </c>
      <c r="E14" s="11" t="s">
        <v>35</v>
      </c>
      <c r="F14" s="12">
        <v>41596926</v>
      </c>
      <c r="G14" s="13">
        <v>193716.88</v>
      </c>
      <c r="H14" s="13">
        <v>3.19</v>
      </c>
      <c r="I14" s="14" t="s">
        <v>20</v>
      </c>
      <c r="J14" s="14" t="s">
        <v>20</v>
      </c>
      <c r="K14" s="15">
        <v>0.01</v>
      </c>
      <c r="L14" s="16">
        <v>3.19</v>
      </c>
    </row>
    <row r="15" spans="1:12" x14ac:dyDescent="0.25">
      <c r="A15" s="10" t="s">
        <v>18</v>
      </c>
      <c r="B15" s="11" t="s">
        <v>36</v>
      </c>
      <c r="C15" s="11" t="s">
        <v>20</v>
      </c>
      <c r="D15" s="11" t="s">
        <v>37</v>
      </c>
      <c r="E15" s="11" t="s">
        <v>38</v>
      </c>
      <c r="F15" s="12">
        <v>11903498</v>
      </c>
      <c r="G15" s="13">
        <v>161375.72</v>
      </c>
      <c r="H15" s="13">
        <v>2.66</v>
      </c>
      <c r="I15" s="14" t="s">
        <v>20</v>
      </c>
      <c r="J15" s="14" t="s">
        <v>20</v>
      </c>
      <c r="K15" s="15">
        <v>0.35</v>
      </c>
      <c r="L15" s="16">
        <v>2.3199999999999998</v>
      </c>
    </row>
    <row r="16" spans="1:12" x14ac:dyDescent="0.25">
      <c r="A16" s="10" t="s">
        <v>18</v>
      </c>
      <c r="B16" s="11" t="s">
        <v>39</v>
      </c>
      <c r="C16" s="11" t="s">
        <v>20</v>
      </c>
      <c r="D16" s="11" t="s">
        <v>40</v>
      </c>
      <c r="E16" s="11" t="s">
        <v>41</v>
      </c>
      <c r="F16" s="12">
        <v>60957756</v>
      </c>
      <c r="G16" s="13">
        <v>159343.57</v>
      </c>
      <c r="H16" s="13">
        <v>2.63</v>
      </c>
      <c r="I16" s="14" t="s">
        <v>20</v>
      </c>
      <c r="J16" s="14" t="s">
        <v>20</v>
      </c>
      <c r="K16" s="15">
        <v>0</v>
      </c>
      <c r="L16" s="16">
        <v>2.63</v>
      </c>
    </row>
    <row r="17" spans="1:12" x14ac:dyDescent="0.25">
      <c r="A17" s="10" t="s">
        <v>18</v>
      </c>
      <c r="B17" s="11" t="s">
        <v>42</v>
      </c>
      <c r="C17" s="11" t="s">
        <v>20</v>
      </c>
      <c r="D17" s="11" t="s">
        <v>43</v>
      </c>
      <c r="E17" s="11" t="s">
        <v>44</v>
      </c>
      <c r="F17" s="12">
        <v>5845015</v>
      </c>
      <c r="G17" s="13">
        <v>156725.31</v>
      </c>
      <c r="H17" s="13">
        <v>2.58</v>
      </c>
      <c r="I17" s="14" t="s">
        <v>20</v>
      </c>
      <c r="J17" s="14" t="s">
        <v>20</v>
      </c>
      <c r="K17" s="15">
        <v>0.12</v>
      </c>
      <c r="L17" s="16">
        <v>2.4700000000000002</v>
      </c>
    </row>
    <row r="18" spans="1:12" x14ac:dyDescent="0.25">
      <c r="A18" s="10" t="s">
        <v>20</v>
      </c>
      <c r="B18" s="11" t="s">
        <v>45</v>
      </c>
      <c r="C18" s="11" t="s">
        <v>20</v>
      </c>
      <c r="D18" s="11" t="s">
        <v>46</v>
      </c>
      <c r="E18" s="11" t="s">
        <v>47</v>
      </c>
      <c r="F18" s="12">
        <v>4980933</v>
      </c>
      <c r="G18" s="13">
        <v>126976.43</v>
      </c>
      <c r="H18" s="13">
        <v>2.09</v>
      </c>
      <c r="I18" s="14" t="s">
        <v>20</v>
      </c>
      <c r="J18" s="14" t="s">
        <v>20</v>
      </c>
      <c r="K18" s="15">
        <v>0</v>
      </c>
      <c r="L18" s="16">
        <v>2.09</v>
      </c>
    </row>
    <row r="19" spans="1:12" x14ac:dyDescent="0.25">
      <c r="A19" s="10" t="s">
        <v>20</v>
      </c>
      <c r="B19" s="11" t="s">
        <v>48</v>
      </c>
      <c r="C19" s="11" t="s">
        <v>20</v>
      </c>
      <c r="D19" s="11" t="s">
        <v>49</v>
      </c>
      <c r="E19" s="11" t="s">
        <v>22</v>
      </c>
      <c r="F19" s="12">
        <v>12120235</v>
      </c>
      <c r="G19" s="13">
        <v>115614.92</v>
      </c>
      <c r="H19" s="13">
        <v>1.91</v>
      </c>
      <c r="I19" s="14" t="s">
        <v>20</v>
      </c>
      <c r="J19" s="14" t="s">
        <v>20</v>
      </c>
      <c r="K19" s="15">
        <v>0.44</v>
      </c>
      <c r="L19" s="16">
        <v>1.47</v>
      </c>
    </row>
    <row r="20" spans="1:12" x14ac:dyDescent="0.25">
      <c r="A20" s="10" t="s">
        <v>20</v>
      </c>
      <c r="B20" s="11" t="s">
        <v>50</v>
      </c>
      <c r="C20" s="11" t="s">
        <v>20</v>
      </c>
      <c r="D20" s="11" t="s">
        <v>51</v>
      </c>
      <c r="E20" s="11" t="s">
        <v>41</v>
      </c>
      <c r="F20" s="12">
        <v>53555893</v>
      </c>
      <c r="G20" s="13">
        <v>108691.68</v>
      </c>
      <c r="H20" s="13">
        <v>1.79</v>
      </c>
      <c r="I20" s="14" t="s">
        <v>20</v>
      </c>
      <c r="J20" s="14" t="s">
        <v>20</v>
      </c>
      <c r="K20" s="15">
        <v>0</v>
      </c>
      <c r="L20" s="16">
        <v>1.79</v>
      </c>
    </row>
    <row r="21" spans="1:12" x14ac:dyDescent="0.25">
      <c r="A21" s="10" t="s">
        <v>20</v>
      </c>
      <c r="B21" s="11" t="s">
        <v>52</v>
      </c>
      <c r="C21" s="11" t="s">
        <v>20</v>
      </c>
      <c r="D21" s="11" t="s">
        <v>53</v>
      </c>
      <c r="E21" s="11" t="s">
        <v>38</v>
      </c>
      <c r="F21" s="12">
        <v>2469168</v>
      </c>
      <c r="G21" s="13">
        <v>84481.35</v>
      </c>
      <c r="H21" s="13">
        <v>1.39</v>
      </c>
      <c r="I21" s="14" t="s">
        <v>20</v>
      </c>
      <c r="J21" s="14" t="s">
        <v>20</v>
      </c>
      <c r="K21" s="15">
        <v>0.1</v>
      </c>
      <c r="L21" s="16">
        <v>1.29</v>
      </c>
    </row>
    <row r="22" spans="1:12" x14ac:dyDescent="0.25">
      <c r="A22" s="10" t="s">
        <v>20</v>
      </c>
      <c r="B22" s="11" t="s">
        <v>54</v>
      </c>
      <c r="C22" s="11" t="s">
        <v>20</v>
      </c>
      <c r="D22" s="11" t="s">
        <v>55</v>
      </c>
      <c r="E22" s="11" t="s">
        <v>56</v>
      </c>
      <c r="F22" s="12">
        <v>9061004</v>
      </c>
      <c r="G22" s="13">
        <v>80633.87</v>
      </c>
      <c r="H22" s="13">
        <v>1.33</v>
      </c>
      <c r="I22" s="14" t="s">
        <v>20</v>
      </c>
      <c r="J22" s="14" t="s">
        <v>20</v>
      </c>
      <c r="K22" s="15">
        <v>0</v>
      </c>
      <c r="L22" s="16">
        <v>1.33</v>
      </c>
    </row>
    <row r="23" spans="1:12" x14ac:dyDescent="0.25">
      <c r="A23" s="10" t="s">
        <v>20</v>
      </c>
      <c r="B23" s="11" t="s">
        <v>57</v>
      </c>
      <c r="C23" s="11" t="s">
        <v>20</v>
      </c>
      <c r="D23" s="11" t="s">
        <v>58</v>
      </c>
      <c r="E23" s="11" t="s">
        <v>22</v>
      </c>
      <c r="F23" s="12">
        <v>37402030</v>
      </c>
      <c r="G23" s="13">
        <v>75626.899999999994</v>
      </c>
      <c r="H23" s="13">
        <v>1.25</v>
      </c>
      <c r="I23" s="14" t="s">
        <v>20</v>
      </c>
      <c r="J23" s="14" t="s">
        <v>20</v>
      </c>
      <c r="K23" s="15">
        <v>0</v>
      </c>
      <c r="L23" s="16">
        <v>1.24</v>
      </c>
    </row>
    <row r="24" spans="1:12" x14ac:dyDescent="0.25">
      <c r="A24" s="10" t="s">
        <v>20</v>
      </c>
      <c r="B24" s="11" t="s">
        <v>59</v>
      </c>
      <c r="C24" s="11" t="s">
        <v>20</v>
      </c>
      <c r="D24" s="11" t="s">
        <v>60</v>
      </c>
      <c r="E24" s="11" t="s">
        <v>61</v>
      </c>
      <c r="F24" s="12">
        <v>6655112</v>
      </c>
      <c r="G24" s="13">
        <v>76094.55</v>
      </c>
      <c r="H24" s="13">
        <v>1.25</v>
      </c>
      <c r="I24" s="14" t="s">
        <v>20</v>
      </c>
      <c r="J24" s="14" t="s">
        <v>20</v>
      </c>
      <c r="K24" s="15">
        <v>0.09</v>
      </c>
      <c r="L24" s="16">
        <v>1.17</v>
      </c>
    </row>
    <row r="25" spans="1:12" x14ac:dyDescent="0.25">
      <c r="A25" s="10" t="s">
        <v>20</v>
      </c>
      <c r="B25" s="11" t="s">
        <v>62</v>
      </c>
      <c r="C25" s="11" t="s">
        <v>20</v>
      </c>
      <c r="D25" s="11" t="s">
        <v>63</v>
      </c>
      <c r="E25" s="11" t="s">
        <v>64</v>
      </c>
      <c r="F25" s="12">
        <v>59393088</v>
      </c>
      <c r="G25" s="13">
        <v>70737.17</v>
      </c>
      <c r="H25" s="13">
        <v>1.17</v>
      </c>
      <c r="I25" s="14" t="s">
        <v>20</v>
      </c>
      <c r="J25" s="14" t="s">
        <v>20</v>
      </c>
      <c r="K25" s="15">
        <v>0</v>
      </c>
      <c r="L25" s="16">
        <v>1.17</v>
      </c>
    </row>
    <row r="26" spans="1:12" x14ac:dyDescent="0.25">
      <c r="A26" s="10" t="s">
        <v>20</v>
      </c>
      <c r="B26" s="11" t="s">
        <v>65</v>
      </c>
      <c r="C26" s="11" t="s">
        <v>20</v>
      </c>
      <c r="D26" s="11" t="s">
        <v>66</v>
      </c>
      <c r="E26" s="11" t="s">
        <v>61</v>
      </c>
      <c r="F26" s="12">
        <v>5767165</v>
      </c>
      <c r="G26" s="13">
        <v>56832.53</v>
      </c>
      <c r="H26" s="13">
        <v>0.94</v>
      </c>
      <c r="I26" s="14" t="s">
        <v>20</v>
      </c>
      <c r="J26" s="14" t="s">
        <v>20</v>
      </c>
      <c r="K26" s="15">
        <v>0</v>
      </c>
      <c r="L26" s="16">
        <v>0.94</v>
      </c>
    </row>
    <row r="27" spans="1:12" x14ac:dyDescent="0.25">
      <c r="A27" s="10" t="s">
        <v>20</v>
      </c>
      <c r="B27" s="11" t="s">
        <v>67</v>
      </c>
      <c r="C27" s="11" t="s">
        <v>20</v>
      </c>
      <c r="D27" s="11" t="s">
        <v>68</v>
      </c>
      <c r="E27" s="11" t="s">
        <v>69</v>
      </c>
      <c r="F27" s="12">
        <v>11653152</v>
      </c>
      <c r="G27" s="13">
        <v>50434.84</v>
      </c>
      <c r="H27" s="13">
        <v>0.83</v>
      </c>
      <c r="I27" s="14" t="s">
        <v>20</v>
      </c>
      <c r="J27" s="14" t="s">
        <v>20</v>
      </c>
      <c r="K27" s="15">
        <v>0</v>
      </c>
      <c r="L27" s="16">
        <v>0.83</v>
      </c>
    </row>
    <row r="28" spans="1:12" x14ac:dyDescent="0.25">
      <c r="A28" s="10" t="s">
        <v>20</v>
      </c>
      <c r="B28" s="11" t="s">
        <v>70</v>
      </c>
      <c r="C28" s="11" t="s">
        <v>20</v>
      </c>
      <c r="D28" s="11" t="s">
        <v>71</v>
      </c>
      <c r="E28" s="11" t="s">
        <v>72</v>
      </c>
      <c r="F28" s="12">
        <v>3865105</v>
      </c>
      <c r="G28" s="13">
        <v>47446.1</v>
      </c>
      <c r="H28" s="13">
        <v>0.78</v>
      </c>
      <c r="I28" s="14" t="s">
        <v>20</v>
      </c>
      <c r="J28" s="14" t="s">
        <v>20</v>
      </c>
      <c r="K28" s="15">
        <v>0</v>
      </c>
      <c r="L28" s="16">
        <v>0.78</v>
      </c>
    </row>
    <row r="29" spans="1:12" x14ac:dyDescent="0.25">
      <c r="A29" s="10" t="s">
        <v>20</v>
      </c>
      <c r="B29" s="11" t="s">
        <v>73</v>
      </c>
      <c r="C29" s="11" t="s">
        <v>20</v>
      </c>
      <c r="D29" s="11" t="s">
        <v>74</v>
      </c>
      <c r="E29" s="11" t="s">
        <v>75</v>
      </c>
      <c r="F29" s="12">
        <v>3196829</v>
      </c>
      <c r="G29" s="13">
        <v>47159.62</v>
      </c>
      <c r="H29" s="13">
        <v>0.78</v>
      </c>
      <c r="I29" s="14" t="s">
        <v>20</v>
      </c>
      <c r="J29" s="14" t="s">
        <v>20</v>
      </c>
      <c r="K29" s="15">
        <v>0.08</v>
      </c>
      <c r="L29" s="16">
        <v>0.7</v>
      </c>
    </row>
    <row r="30" spans="1:12" x14ac:dyDescent="0.25">
      <c r="A30" s="10" t="s">
        <v>20</v>
      </c>
      <c r="B30" s="11" t="s">
        <v>76</v>
      </c>
      <c r="C30" s="11" t="s">
        <v>20</v>
      </c>
      <c r="D30" s="11" t="s">
        <v>77</v>
      </c>
      <c r="E30" s="11" t="s">
        <v>47</v>
      </c>
      <c r="F30" s="12">
        <v>16485605</v>
      </c>
      <c r="G30" s="13">
        <v>46555.35</v>
      </c>
      <c r="H30" s="13">
        <v>0.77</v>
      </c>
      <c r="I30" s="14" t="s">
        <v>20</v>
      </c>
      <c r="J30" s="14" t="s">
        <v>20</v>
      </c>
      <c r="K30" s="15">
        <v>0.01</v>
      </c>
      <c r="L30" s="16">
        <v>0.76</v>
      </c>
    </row>
    <row r="31" spans="1:12" x14ac:dyDescent="0.25">
      <c r="A31" s="10" t="s">
        <v>20</v>
      </c>
      <c r="B31" s="11" t="s">
        <v>78</v>
      </c>
      <c r="C31" s="11" t="s">
        <v>20</v>
      </c>
      <c r="D31" s="11" t="s">
        <v>79</v>
      </c>
      <c r="E31" s="11" t="s">
        <v>72</v>
      </c>
      <c r="F31" s="12">
        <v>13631628</v>
      </c>
      <c r="G31" s="13">
        <v>45959.03</v>
      </c>
      <c r="H31" s="13">
        <v>0.76</v>
      </c>
      <c r="I31" s="14" t="s">
        <v>20</v>
      </c>
      <c r="J31" s="14" t="s">
        <v>20</v>
      </c>
      <c r="K31" s="15">
        <v>0</v>
      </c>
      <c r="L31" s="16">
        <v>0.76</v>
      </c>
    </row>
    <row r="32" spans="1:12" x14ac:dyDescent="0.25">
      <c r="A32" s="10" t="s">
        <v>20</v>
      </c>
      <c r="B32" s="11" t="s">
        <v>80</v>
      </c>
      <c r="C32" s="11" t="s">
        <v>20</v>
      </c>
      <c r="D32" s="11" t="s">
        <v>81</v>
      </c>
      <c r="E32" s="11" t="s">
        <v>75</v>
      </c>
      <c r="F32" s="12">
        <v>7137831</v>
      </c>
      <c r="G32" s="13">
        <v>45989.05</v>
      </c>
      <c r="H32" s="13">
        <v>0.76</v>
      </c>
      <c r="I32" s="14" t="s">
        <v>20</v>
      </c>
      <c r="J32" s="14" t="s">
        <v>20</v>
      </c>
      <c r="K32" s="15">
        <v>0.45</v>
      </c>
      <c r="L32" s="16">
        <v>0.31</v>
      </c>
    </row>
    <row r="33" spans="1:12" x14ac:dyDescent="0.25">
      <c r="A33" s="10" t="s">
        <v>20</v>
      </c>
      <c r="B33" s="11" t="s">
        <v>82</v>
      </c>
      <c r="C33" s="11" t="s">
        <v>20</v>
      </c>
      <c r="D33" s="11" t="s">
        <v>83</v>
      </c>
      <c r="E33" s="11" t="s">
        <v>72</v>
      </c>
      <c r="F33" s="12">
        <v>1135962</v>
      </c>
      <c r="G33" s="13">
        <v>45001.13</v>
      </c>
      <c r="H33" s="13">
        <v>0.74</v>
      </c>
      <c r="I33" s="14" t="s">
        <v>20</v>
      </c>
      <c r="J33" s="14" t="s">
        <v>20</v>
      </c>
      <c r="K33" s="15">
        <v>0</v>
      </c>
      <c r="L33" s="16">
        <v>0.74</v>
      </c>
    </row>
    <row r="34" spans="1:12" x14ac:dyDescent="0.25">
      <c r="A34" s="10" t="s">
        <v>20</v>
      </c>
      <c r="B34" s="11" t="s">
        <v>84</v>
      </c>
      <c r="C34" s="11" t="s">
        <v>20</v>
      </c>
      <c r="D34" s="11" t="s">
        <v>85</v>
      </c>
      <c r="E34" s="11" t="s">
        <v>47</v>
      </c>
      <c r="F34" s="12">
        <v>11302707</v>
      </c>
      <c r="G34" s="13">
        <v>42667.72</v>
      </c>
      <c r="H34" s="13">
        <v>0.7</v>
      </c>
      <c r="I34" s="14" t="s">
        <v>20</v>
      </c>
      <c r="J34" s="14" t="s">
        <v>20</v>
      </c>
      <c r="K34" s="15">
        <v>0.04</v>
      </c>
      <c r="L34" s="16">
        <v>0.66</v>
      </c>
    </row>
    <row r="35" spans="1:12" x14ac:dyDescent="0.25">
      <c r="A35" s="10" t="s">
        <v>20</v>
      </c>
      <c r="B35" s="11" t="s">
        <v>86</v>
      </c>
      <c r="C35" s="11" t="s">
        <v>20</v>
      </c>
      <c r="D35" s="11" t="s">
        <v>87</v>
      </c>
      <c r="E35" s="11" t="s">
        <v>32</v>
      </c>
      <c r="F35" s="12">
        <v>81944835</v>
      </c>
      <c r="G35" s="13">
        <v>42201.59</v>
      </c>
      <c r="H35" s="13">
        <v>0.7</v>
      </c>
      <c r="I35" s="14" t="s">
        <v>20</v>
      </c>
      <c r="J35" s="14" t="s">
        <v>20</v>
      </c>
      <c r="K35" s="15">
        <v>0</v>
      </c>
      <c r="L35" s="16">
        <v>0.7</v>
      </c>
    </row>
    <row r="36" spans="1:12" x14ac:dyDescent="0.25">
      <c r="A36" s="10" t="s">
        <v>20</v>
      </c>
      <c r="B36" s="11" t="s">
        <v>88</v>
      </c>
      <c r="C36" s="11" t="s">
        <v>20</v>
      </c>
      <c r="D36" s="11" t="s">
        <v>89</v>
      </c>
      <c r="E36" s="11" t="s">
        <v>72</v>
      </c>
      <c r="F36" s="12">
        <v>6588324</v>
      </c>
      <c r="G36" s="13">
        <v>40906.9</v>
      </c>
      <c r="H36" s="13">
        <v>0.67</v>
      </c>
      <c r="I36" s="14" t="s">
        <v>20</v>
      </c>
      <c r="J36" s="14" t="s">
        <v>20</v>
      </c>
      <c r="K36" s="15">
        <v>0</v>
      </c>
      <c r="L36" s="16">
        <v>0.67</v>
      </c>
    </row>
    <row r="37" spans="1:12" x14ac:dyDescent="0.25">
      <c r="A37" s="10" t="s">
        <v>20</v>
      </c>
      <c r="B37" s="11" t="s">
        <v>90</v>
      </c>
      <c r="C37" s="11" t="s">
        <v>20</v>
      </c>
      <c r="D37" s="11" t="s">
        <v>91</v>
      </c>
      <c r="E37" s="11" t="s">
        <v>92</v>
      </c>
      <c r="F37" s="12">
        <v>6151556</v>
      </c>
      <c r="G37" s="13">
        <v>40126.6</v>
      </c>
      <c r="H37" s="13">
        <v>0.66</v>
      </c>
      <c r="I37" s="14" t="s">
        <v>20</v>
      </c>
      <c r="J37" s="14" t="s">
        <v>20</v>
      </c>
      <c r="K37" s="15">
        <v>0</v>
      </c>
      <c r="L37" s="16">
        <v>0.66</v>
      </c>
    </row>
    <row r="38" spans="1:12" x14ac:dyDescent="0.25">
      <c r="A38" s="10" t="s">
        <v>20</v>
      </c>
      <c r="B38" s="11" t="s">
        <v>93</v>
      </c>
      <c r="C38" s="11" t="s">
        <v>20</v>
      </c>
      <c r="D38" s="11" t="s">
        <v>94</v>
      </c>
      <c r="E38" s="11" t="s">
        <v>95</v>
      </c>
      <c r="F38" s="12">
        <v>955251</v>
      </c>
      <c r="G38" s="13">
        <v>36130.46</v>
      </c>
      <c r="H38" s="13">
        <v>0.6</v>
      </c>
      <c r="I38" s="14" t="s">
        <v>20</v>
      </c>
      <c r="J38" s="14" t="s">
        <v>20</v>
      </c>
      <c r="K38" s="15">
        <v>0</v>
      </c>
      <c r="L38" s="16">
        <v>0.6</v>
      </c>
    </row>
    <row r="39" spans="1:12" x14ac:dyDescent="0.25">
      <c r="A39" s="10" t="s">
        <v>20</v>
      </c>
      <c r="B39" s="11" t="s">
        <v>96</v>
      </c>
      <c r="C39" s="11" t="s">
        <v>20</v>
      </c>
      <c r="D39" s="11" t="s">
        <v>97</v>
      </c>
      <c r="E39" s="11" t="s">
        <v>98</v>
      </c>
      <c r="F39" s="12">
        <v>2766746</v>
      </c>
      <c r="G39" s="13">
        <v>35473.83</v>
      </c>
      <c r="H39" s="13">
        <v>0.57999999999999996</v>
      </c>
      <c r="I39" s="14" t="s">
        <v>20</v>
      </c>
      <c r="J39" s="14" t="s">
        <v>20</v>
      </c>
      <c r="K39" s="15">
        <v>0.04</v>
      </c>
      <c r="L39" s="16">
        <v>0.55000000000000004</v>
      </c>
    </row>
    <row r="40" spans="1:12" x14ac:dyDescent="0.25">
      <c r="A40" s="10" t="s">
        <v>20</v>
      </c>
      <c r="B40" s="11" t="s">
        <v>99</v>
      </c>
      <c r="C40" s="11" t="s">
        <v>20</v>
      </c>
      <c r="D40" s="11" t="s">
        <v>100</v>
      </c>
      <c r="E40" s="11" t="s">
        <v>101</v>
      </c>
      <c r="F40" s="12">
        <v>27886019</v>
      </c>
      <c r="G40" s="13">
        <v>34801.75</v>
      </c>
      <c r="H40" s="13">
        <v>0.56999999999999995</v>
      </c>
      <c r="I40" s="14" t="s">
        <v>20</v>
      </c>
      <c r="J40" s="14" t="s">
        <v>20</v>
      </c>
      <c r="K40" s="15">
        <v>0</v>
      </c>
      <c r="L40" s="16">
        <v>0.56999999999999995</v>
      </c>
    </row>
    <row r="41" spans="1:12" x14ac:dyDescent="0.25">
      <c r="A41" s="10" t="s">
        <v>20</v>
      </c>
      <c r="B41" s="11" t="s">
        <v>102</v>
      </c>
      <c r="C41" s="11" t="s">
        <v>20</v>
      </c>
      <c r="D41" s="11" t="s">
        <v>103</v>
      </c>
      <c r="E41" s="11" t="s">
        <v>41</v>
      </c>
      <c r="F41" s="12">
        <v>1761000</v>
      </c>
      <c r="G41" s="13">
        <v>28146.06</v>
      </c>
      <c r="H41" s="13">
        <v>0.46</v>
      </c>
      <c r="I41" s="14" t="s">
        <v>20</v>
      </c>
      <c r="J41" s="14" t="s">
        <v>20</v>
      </c>
      <c r="K41" s="15">
        <v>0.47</v>
      </c>
      <c r="L41" s="16">
        <v>0</v>
      </c>
    </row>
    <row r="42" spans="1:12" x14ac:dyDescent="0.25">
      <c r="A42" s="10" t="s">
        <v>20</v>
      </c>
      <c r="B42" s="11" t="s">
        <v>104</v>
      </c>
      <c r="C42" s="11" t="s">
        <v>20</v>
      </c>
      <c r="D42" s="11" t="s">
        <v>105</v>
      </c>
      <c r="E42" s="11" t="s">
        <v>41</v>
      </c>
      <c r="F42" s="12">
        <v>370875</v>
      </c>
      <c r="G42" s="13">
        <v>27074.99</v>
      </c>
      <c r="H42" s="13">
        <v>0.45</v>
      </c>
      <c r="I42" s="14" t="s">
        <v>20</v>
      </c>
      <c r="J42" s="14" t="s">
        <v>20</v>
      </c>
      <c r="K42" s="15">
        <v>0.45</v>
      </c>
      <c r="L42" s="16">
        <v>0</v>
      </c>
    </row>
    <row r="43" spans="1:12" x14ac:dyDescent="0.25">
      <c r="A43" s="10" t="s">
        <v>20</v>
      </c>
      <c r="B43" s="11" t="s">
        <v>106</v>
      </c>
      <c r="C43" s="11" t="s">
        <v>20</v>
      </c>
      <c r="D43" s="11" t="s">
        <v>107</v>
      </c>
      <c r="E43" s="11" t="s">
        <v>22</v>
      </c>
      <c r="F43" s="12">
        <v>1755500</v>
      </c>
      <c r="G43" s="13">
        <v>24888.6</v>
      </c>
      <c r="H43" s="13">
        <v>0.41</v>
      </c>
      <c r="I43" s="14" t="s">
        <v>20</v>
      </c>
      <c r="J43" s="14" t="s">
        <v>20</v>
      </c>
      <c r="K43" s="15">
        <v>0.41</v>
      </c>
      <c r="L43" s="16">
        <v>0</v>
      </c>
    </row>
    <row r="44" spans="1:12" x14ac:dyDescent="0.25">
      <c r="A44" s="10" t="s">
        <v>20</v>
      </c>
      <c r="B44" s="11" t="s">
        <v>108</v>
      </c>
      <c r="C44" s="11" t="s">
        <v>20</v>
      </c>
      <c r="D44" s="11" t="s">
        <v>109</v>
      </c>
      <c r="E44" s="11" t="s">
        <v>44</v>
      </c>
      <c r="F44" s="12">
        <v>4989000</v>
      </c>
      <c r="G44" s="13">
        <v>24498.48</v>
      </c>
      <c r="H44" s="13">
        <v>0.4</v>
      </c>
      <c r="I44" s="14" t="s">
        <v>20</v>
      </c>
      <c r="J44" s="14" t="s">
        <v>20</v>
      </c>
      <c r="K44" s="15">
        <v>0</v>
      </c>
      <c r="L44" s="16">
        <v>0.4</v>
      </c>
    </row>
    <row r="45" spans="1:12" x14ac:dyDescent="0.25">
      <c r="A45" s="10" t="s">
        <v>20</v>
      </c>
      <c r="B45" s="11" t="s">
        <v>110</v>
      </c>
      <c r="C45" s="11" t="s">
        <v>20</v>
      </c>
      <c r="D45" s="11" t="s">
        <v>111</v>
      </c>
      <c r="E45" s="11" t="s">
        <v>41</v>
      </c>
      <c r="F45" s="12">
        <v>61018113</v>
      </c>
      <c r="G45" s="13">
        <v>23308.92</v>
      </c>
      <c r="H45" s="13">
        <v>0.38</v>
      </c>
      <c r="I45" s="14" t="s">
        <v>20</v>
      </c>
      <c r="J45" s="14" t="s">
        <v>20</v>
      </c>
      <c r="K45" s="15">
        <v>0</v>
      </c>
      <c r="L45" s="16">
        <v>0.38</v>
      </c>
    </row>
    <row r="46" spans="1:12" x14ac:dyDescent="0.25">
      <c r="A46" s="10" t="s">
        <v>20</v>
      </c>
      <c r="B46" s="11" t="s">
        <v>112</v>
      </c>
      <c r="C46" s="11" t="s">
        <v>20</v>
      </c>
      <c r="D46" s="11" t="s">
        <v>113</v>
      </c>
      <c r="E46" s="11" t="s">
        <v>114</v>
      </c>
      <c r="F46" s="12">
        <v>1113681</v>
      </c>
      <c r="G46" s="13">
        <v>22439.56</v>
      </c>
      <c r="H46" s="13">
        <v>0.37</v>
      </c>
      <c r="I46" s="14" t="s">
        <v>20</v>
      </c>
      <c r="J46" s="14" t="s">
        <v>20</v>
      </c>
      <c r="K46" s="15">
        <v>0</v>
      </c>
      <c r="L46" s="16">
        <v>0.37</v>
      </c>
    </row>
    <row r="47" spans="1:12" x14ac:dyDescent="0.25">
      <c r="A47" s="10" t="s">
        <v>20</v>
      </c>
      <c r="B47" s="11" t="s">
        <v>115</v>
      </c>
      <c r="C47" s="11" t="s">
        <v>20</v>
      </c>
      <c r="D47" s="11" t="s">
        <v>116</v>
      </c>
      <c r="E47" s="11" t="s">
        <v>61</v>
      </c>
      <c r="F47" s="12">
        <v>2447056</v>
      </c>
      <c r="G47" s="13">
        <v>21375.03</v>
      </c>
      <c r="H47" s="13">
        <v>0.35</v>
      </c>
      <c r="I47" s="14" t="s">
        <v>20</v>
      </c>
      <c r="J47" s="14" t="s">
        <v>20</v>
      </c>
      <c r="K47" s="15">
        <v>0</v>
      </c>
      <c r="L47" s="16">
        <v>0.35</v>
      </c>
    </row>
    <row r="48" spans="1:12" x14ac:dyDescent="0.25">
      <c r="A48" s="10" t="s">
        <v>20</v>
      </c>
      <c r="B48" s="11" t="s">
        <v>117</v>
      </c>
      <c r="C48" s="11" t="s">
        <v>20</v>
      </c>
      <c r="D48" s="11" t="s">
        <v>118</v>
      </c>
      <c r="E48" s="11" t="s">
        <v>92</v>
      </c>
      <c r="F48" s="12">
        <v>152223</v>
      </c>
      <c r="G48" s="13">
        <v>21479.27</v>
      </c>
      <c r="H48" s="13">
        <v>0.35</v>
      </c>
      <c r="I48" s="14" t="s">
        <v>20</v>
      </c>
      <c r="J48" s="14" t="s">
        <v>20</v>
      </c>
      <c r="K48" s="15">
        <v>0</v>
      </c>
      <c r="L48" s="16">
        <v>0.35</v>
      </c>
    </row>
    <row r="49" spans="1:12" x14ac:dyDescent="0.25">
      <c r="A49" s="10" t="s">
        <v>20</v>
      </c>
      <c r="B49" s="11" t="s">
        <v>119</v>
      </c>
      <c r="C49" s="11" t="s">
        <v>20</v>
      </c>
      <c r="D49" s="11" t="s">
        <v>120</v>
      </c>
      <c r="E49" s="11" t="s">
        <v>61</v>
      </c>
      <c r="F49" s="12">
        <v>2522312</v>
      </c>
      <c r="G49" s="13">
        <v>20739.71</v>
      </c>
      <c r="H49" s="13">
        <v>0.34</v>
      </c>
      <c r="I49" s="14" t="s">
        <v>20</v>
      </c>
      <c r="J49" s="14" t="s">
        <v>20</v>
      </c>
      <c r="K49" s="15">
        <v>0</v>
      </c>
      <c r="L49" s="16">
        <v>0.34</v>
      </c>
    </row>
    <row r="50" spans="1:12" x14ac:dyDescent="0.25">
      <c r="A50" s="10" t="s">
        <v>20</v>
      </c>
      <c r="B50" s="11" t="s">
        <v>121</v>
      </c>
      <c r="C50" s="11" t="s">
        <v>20</v>
      </c>
      <c r="D50" s="11" t="s">
        <v>122</v>
      </c>
      <c r="E50" s="11" t="s">
        <v>123</v>
      </c>
      <c r="F50" s="12">
        <v>8460030</v>
      </c>
      <c r="G50" s="13">
        <v>20502.88</v>
      </c>
      <c r="H50" s="13">
        <v>0.34</v>
      </c>
      <c r="I50" s="14" t="s">
        <v>20</v>
      </c>
      <c r="J50" s="14" t="s">
        <v>20</v>
      </c>
      <c r="K50" s="15">
        <v>0.01</v>
      </c>
      <c r="L50" s="16">
        <v>0.33</v>
      </c>
    </row>
    <row r="51" spans="1:12" x14ac:dyDescent="0.25">
      <c r="A51" s="10" t="s">
        <v>20</v>
      </c>
      <c r="B51" s="11" t="s">
        <v>124</v>
      </c>
      <c r="C51" s="11" t="s">
        <v>20</v>
      </c>
      <c r="D51" s="11" t="s">
        <v>125</v>
      </c>
      <c r="E51" s="11" t="s">
        <v>44</v>
      </c>
      <c r="F51" s="12">
        <v>5097308</v>
      </c>
      <c r="G51" s="13">
        <v>18403.830000000002</v>
      </c>
      <c r="H51" s="13">
        <v>0.3</v>
      </c>
      <c r="I51" s="14" t="s">
        <v>20</v>
      </c>
      <c r="J51" s="14" t="s">
        <v>20</v>
      </c>
      <c r="K51" s="15">
        <v>0</v>
      </c>
      <c r="L51" s="16">
        <v>0.3</v>
      </c>
    </row>
    <row r="52" spans="1:12" x14ac:dyDescent="0.25">
      <c r="A52" s="10" t="s">
        <v>20</v>
      </c>
      <c r="B52" s="11" t="s">
        <v>126</v>
      </c>
      <c r="C52" s="11" t="s">
        <v>20</v>
      </c>
      <c r="D52" s="11" t="s">
        <v>127</v>
      </c>
      <c r="E52" s="11" t="s">
        <v>128</v>
      </c>
      <c r="F52" s="12">
        <v>1869073</v>
      </c>
      <c r="G52" s="13">
        <v>17409.48</v>
      </c>
      <c r="H52" s="13">
        <v>0.28999999999999998</v>
      </c>
      <c r="I52" s="14" t="s">
        <v>20</v>
      </c>
      <c r="J52" s="14" t="s">
        <v>20</v>
      </c>
      <c r="K52" s="15">
        <v>0</v>
      </c>
      <c r="L52" s="16">
        <v>0.28999999999999998</v>
      </c>
    </row>
    <row r="53" spans="1:12" x14ac:dyDescent="0.25">
      <c r="A53" s="10" t="s">
        <v>20</v>
      </c>
      <c r="B53" s="11" t="s">
        <v>129</v>
      </c>
      <c r="C53" s="11" t="s">
        <v>20</v>
      </c>
      <c r="D53" s="11" t="s">
        <v>130</v>
      </c>
      <c r="E53" s="11" t="s">
        <v>32</v>
      </c>
      <c r="F53" s="12">
        <v>22002518</v>
      </c>
      <c r="G53" s="13">
        <v>17227.97</v>
      </c>
      <c r="H53" s="13">
        <v>0.28000000000000003</v>
      </c>
      <c r="I53" s="14" t="s">
        <v>20</v>
      </c>
      <c r="J53" s="14" t="s">
        <v>20</v>
      </c>
      <c r="K53" s="15">
        <v>0</v>
      </c>
      <c r="L53" s="16">
        <v>0.28000000000000003</v>
      </c>
    </row>
    <row r="54" spans="1:12" x14ac:dyDescent="0.25">
      <c r="A54" s="10" t="s">
        <v>20</v>
      </c>
      <c r="B54" s="11" t="s">
        <v>131</v>
      </c>
      <c r="C54" s="11" t="s">
        <v>20</v>
      </c>
      <c r="D54" s="11" t="s">
        <v>132</v>
      </c>
      <c r="E54" s="11" t="s">
        <v>133</v>
      </c>
      <c r="F54" s="12">
        <v>9493250</v>
      </c>
      <c r="G54" s="13">
        <v>16807.8</v>
      </c>
      <c r="H54" s="13">
        <v>0.28000000000000003</v>
      </c>
      <c r="I54" s="14" t="s">
        <v>20</v>
      </c>
      <c r="J54" s="14" t="s">
        <v>20</v>
      </c>
      <c r="K54" s="15">
        <v>0.02</v>
      </c>
      <c r="L54" s="16">
        <v>0.26</v>
      </c>
    </row>
    <row r="55" spans="1:12" x14ac:dyDescent="0.25">
      <c r="A55" s="10" t="s">
        <v>20</v>
      </c>
      <c r="B55" s="11" t="s">
        <v>134</v>
      </c>
      <c r="C55" s="11" t="s">
        <v>20</v>
      </c>
      <c r="D55" s="11" t="s">
        <v>135</v>
      </c>
      <c r="E55" s="11" t="s">
        <v>136</v>
      </c>
      <c r="F55" s="12">
        <v>1983182</v>
      </c>
      <c r="G55" s="13">
        <v>15665.15</v>
      </c>
      <c r="H55" s="13">
        <v>0.26</v>
      </c>
      <c r="I55" s="14" t="s">
        <v>20</v>
      </c>
      <c r="J55" s="14" t="s">
        <v>20</v>
      </c>
      <c r="K55" s="15">
        <v>0</v>
      </c>
      <c r="L55" s="16">
        <v>0.26</v>
      </c>
    </row>
    <row r="56" spans="1:12" x14ac:dyDescent="0.25">
      <c r="A56" s="10" t="s">
        <v>20</v>
      </c>
      <c r="B56" s="11" t="s">
        <v>137</v>
      </c>
      <c r="C56" s="11" t="s">
        <v>20</v>
      </c>
      <c r="D56" s="11" t="s">
        <v>138</v>
      </c>
      <c r="E56" s="11" t="s">
        <v>47</v>
      </c>
      <c r="F56" s="12">
        <v>5110935</v>
      </c>
      <c r="G56" s="13">
        <v>15941.01</v>
      </c>
      <c r="H56" s="13">
        <v>0.26</v>
      </c>
      <c r="I56" s="14" t="s">
        <v>20</v>
      </c>
      <c r="J56" s="14" t="s">
        <v>20</v>
      </c>
      <c r="K56" s="15">
        <v>0</v>
      </c>
      <c r="L56" s="16">
        <v>0.26</v>
      </c>
    </row>
    <row r="57" spans="1:12" x14ac:dyDescent="0.25">
      <c r="A57" s="10" t="s">
        <v>20</v>
      </c>
      <c r="B57" s="11" t="s">
        <v>139</v>
      </c>
      <c r="C57" s="11" t="s">
        <v>20</v>
      </c>
      <c r="D57" s="11" t="s">
        <v>140</v>
      </c>
      <c r="E57" s="11" t="s">
        <v>41</v>
      </c>
      <c r="F57" s="12">
        <v>1877975</v>
      </c>
      <c r="G57" s="13">
        <v>16063.26</v>
      </c>
      <c r="H57" s="13">
        <v>0.26</v>
      </c>
      <c r="I57" s="14" t="s">
        <v>20</v>
      </c>
      <c r="J57" s="14" t="s">
        <v>20</v>
      </c>
      <c r="K57" s="15">
        <v>0</v>
      </c>
      <c r="L57" s="16">
        <v>0.26</v>
      </c>
    </row>
    <row r="58" spans="1:12" x14ac:dyDescent="0.25">
      <c r="A58" s="10" t="s">
        <v>20</v>
      </c>
      <c r="B58" s="11" t="s">
        <v>141</v>
      </c>
      <c r="C58" s="11" t="s">
        <v>20</v>
      </c>
      <c r="D58" s="11" t="s">
        <v>142</v>
      </c>
      <c r="E58" s="11" t="s">
        <v>114</v>
      </c>
      <c r="F58" s="12">
        <v>8385581</v>
      </c>
      <c r="G58" s="13">
        <v>15429.47</v>
      </c>
      <c r="H58" s="13">
        <v>0.25</v>
      </c>
      <c r="I58" s="14" t="s">
        <v>20</v>
      </c>
      <c r="J58" s="14" t="s">
        <v>20</v>
      </c>
      <c r="K58" s="15">
        <v>0.04</v>
      </c>
      <c r="L58" s="16">
        <v>0.22</v>
      </c>
    </row>
    <row r="59" spans="1:12" x14ac:dyDescent="0.25">
      <c r="A59" s="10" t="s">
        <v>20</v>
      </c>
      <c r="B59" s="11" t="s">
        <v>143</v>
      </c>
      <c r="C59" s="11" t="s">
        <v>20</v>
      </c>
      <c r="D59" s="11" t="s">
        <v>144</v>
      </c>
      <c r="E59" s="11" t="s">
        <v>44</v>
      </c>
      <c r="F59" s="12">
        <v>14834080</v>
      </c>
      <c r="G59" s="13">
        <v>14811.83</v>
      </c>
      <c r="H59" s="13">
        <v>0.24</v>
      </c>
      <c r="I59" s="14" t="s">
        <v>20</v>
      </c>
      <c r="J59" s="14" t="s">
        <v>20</v>
      </c>
      <c r="K59" s="15">
        <v>0</v>
      </c>
      <c r="L59" s="16">
        <v>0.24</v>
      </c>
    </row>
    <row r="60" spans="1:12" x14ac:dyDescent="0.25">
      <c r="A60" s="10" t="s">
        <v>20</v>
      </c>
      <c r="B60" s="11" t="s">
        <v>145</v>
      </c>
      <c r="C60" s="11" t="s">
        <v>20</v>
      </c>
      <c r="D60" s="11" t="s">
        <v>146</v>
      </c>
      <c r="E60" s="11" t="s">
        <v>147</v>
      </c>
      <c r="F60" s="12">
        <v>437000</v>
      </c>
      <c r="G60" s="13">
        <v>14759.02</v>
      </c>
      <c r="H60" s="13">
        <v>0.24</v>
      </c>
      <c r="I60" s="14" t="s">
        <v>20</v>
      </c>
      <c r="J60" s="14" t="s">
        <v>20</v>
      </c>
      <c r="K60" s="15">
        <v>0.24</v>
      </c>
      <c r="L60" s="16">
        <v>0</v>
      </c>
    </row>
    <row r="61" spans="1:12" x14ac:dyDescent="0.25">
      <c r="A61" s="10" t="s">
        <v>20</v>
      </c>
      <c r="B61" s="11" t="s">
        <v>148</v>
      </c>
      <c r="C61" s="11" t="s">
        <v>20</v>
      </c>
      <c r="D61" s="11" t="s">
        <v>149</v>
      </c>
      <c r="E61" s="11" t="s">
        <v>128</v>
      </c>
      <c r="F61" s="12">
        <v>10688305</v>
      </c>
      <c r="G61" s="13">
        <v>14675.04</v>
      </c>
      <c r="H61" s="13">
        <v>0.24</v>
      </c>
      <c r="I61" s="14" t="s">
        <v>20</v>
      </c>
      <c r="J61" s="14" t="s">
        <v>20</v>
      </c>
      <c r="K61" s="15">
        <v>0</v>
      </c>
      <c r="L61" s="16">
        <v>0.24</v>
      </c>
    </row>
    <row r="62" spans="1:12" x14ac:dyDescent="0.25">
      <c r="A62" s="10" t="s">
        <v>20</v>
      </c>
      <c r="B62" s="11" t="s">
        <v>150</v>
      </c>
      <c r="C62" s="11" t="s">
        <v>20</v>
      </c>
      <c r="D62" s="11" t="s">
        <v>151</v>
      </c>
      <c r="E62" s="11" t="s">
        <v>92</v>
      </c>
      <c r="F62" s="12">
        <v>351859</v>
      </c>
      <c r="G62" s="13">
        <v>13964.23</v>
      </c>
      <c r="H62" s="13">
        <v>0.23</v>
      </c>
      <c r="I62" s="14" t="s">
        <v>20</v>
      </c>
      <c r="J62" s="14" t="s">
        <v>20</v>
      </c>
      <c r="K62" s="15">
        <v>0</v>
      </c>
      <c r="L62" s="16">
        <v>0.23</v>
      </c>
    </row>
    <row r="63" spans="1:12" x14ac:dyDescent="0.25">
      <c r="A63" s="10" t="s">
        <v>20</v>
      </c>
      <c r="B63" s="11" t="s">
        <v>152</v>
      </c>
      <c r="C63" s="11" t="s">
        <v>20</v>
      </c>
      <c r="D63" s="11" t="s">
        <v>153</v>
      </c>
      <c r="E63" s="11" t="s">
        <v>41</v>
      </c>
      <c r="F63" s="12">
        <v>4980933</v>
      </c>
      <c r="G63" s="13">
        <v>13042.57</v>
      </c>
      <c r="H63" s="13">
        <v>0.22</v>
      </c>
      <c r="I63" s="14" t="s">
        <v>20</v>
      </c>
      <c r="J63" s="14" t="s">
        <v>20</v>
      </c>
      <c r="K63" s="15">
        <v>0</v>
      </c>
      <c r="L63" s="16">
        <v>0.22</v>
      </c>
    </row>
    <row r="64" spans="1:12" x14ac:dyDescent="0.25">
      <c r="A64" s="10" t="s">
        <v>20</v>
      </c>
      <c r="B64" s="11" t="s">
        <v>154</v>
      </c>
      <c r="C64" s="11" t="s">
        <v>20</v>
      </c>
      <c r="D64" s="11" t="s">
        <v>155</v>
      </c>
      <c r="E64" s="11" t="s">
        <v>98</v>
      </c>
      <c r="F64" s="12">
        <v>2107485</v>
      </c>
      <c r="G64" s="13">
        <v>13486.85</v>
      </c>
      <c r="H64" s="13">
        <v>0.22</v>
      </c>
      <c r="I64" s="14" t="s">
        <v>20</v>
      </c>
      <c r="J64" s="14" t="s">
        <v>20</v>
      </c>
      <c r="K64" s="15">
        <v>0</v>
      </c>
      <c r="L64" s="16">
        <v>0.22</v>
      </c>
    </row>
    <row r="65" spans="1:12" x14ac:dyDescent="0.25">
      <c r="A65" s="10" t="s">
        <v>20</v>
      </c>
      <c r="B65" s="11" t="s">
        <v>156</v>
      </c>
      <c r="C65" s="11" t="s">
        <v>20</v>
      </c>
      <c r="D65" s="11" t="s">
        <v>157</v>
      </c>
      <c r="E65" s="11" t="s">
        <v>75</v>
      </c>
      <c r="F65" s="12">
        <v>138500</v>
      </c>
      <c r="G65" s="13">
        <v>13601.74</v>
      </c>
      <c r="H65" s="13">
        <v>0.22</v>
      </c>
      <c r="I65" s="14" t="s">
        <v>20</v>
      </c>
      <c r="J65" s="14" t="s">
        <v>20</v>
      </c>
      <c r="K65" s="15">
        <v>0.22</v>
      </c>
      <c r="L65" s="16">
        <v>0</v>
      </c>
    </row>
    <row r="66" spans="1:12" x14ac:dyDescent="0.25">
      <c r="A66" s="10" t="s">
        <v>20</v>
      </c>
      <c r="B66" s="11" t="s">
        <v>158</v>
      </c>
      <c r="C66" s="11" t="s">
        <v>20</v>
      </c>
      <c r="D66" s="11" t="s">
        <v>159</v>
      </c>
      <c r="E66" s="11" t="s">
        <v>92</v>
      </c>
      <c r="F66" s="12">
        <v>1365949</v>
      </c>
      <c r="G66" s="13">
        <v>13436.84</v>
      </c>
      <c r="H66" s="13">
        <v>0.22</v>
      </c>
      <c r="I66" s="14" t="s">
        <v>20</v>
      </c>
      <c r="J66" s="14" t="s">
        <v>20</v>
      </c>
      <c r="K66" s="15">
        <v>0</v>
      </c>
      <c r="L66" s="16">
        <v>0.22</v>
      </c>
    </row>
    <row r="67" spans="1:12" x14ac:dyDescent="0.25">
      <c r="A67" s="10" t="s">
        <v>20</v>
      </c>
      <c r="B67" s="11" t="s">
        <v>160</v>
      </c>
      <c r="C67" s="11" t="s">
        <v>20</v>
      </c>
      <c r="D67" s="11" t="s">
        <v>161</v>
      </c>
      <c r="E67" s="11" t="s">
        <v>44</v>
      </c>
      <c r="F67" s="12">
        <v>2021606</v>
      </c>
      <c r="G67" s="13">
        <v>12819</v>
      </c>
      <c r="H67" s="13">
        <v>0.21</v>
      </c>
      <c r="I67" s="14" t="s">
        <v>20</v>
      </c>
      <c r="J67" s="14" t="s">
        <v>20</v>
      </c>
      <c r="K67" s="15">
        <v>0</v>
      </c>
      <c r="L67" s="16">
        <v>0.21</v>
      </c>
    </row>
    <row r="68" spans="1:12" x14ac:dyDescent="0.25">
      <c r="A68" s="10" t="s">
        <v>20</v>
      </c>
      <c r="B68" s="11" t="s">
        <v>162</v>
      </c>
      <c r="C68" s="11" t="s">
        <v>20</v>
      </c>
      <c r="D68" s="11" t="s">
        <v>163</v>
      </c>
      <c r="E68" s="11" t="s">
        <v>92</v>
      </c>
      <c r="F68" s="12">
        <v>11839244</v>
      </c>
      <c r="G68" s="13">
        <v>12626.55</v>
      </c>
      <c r="H68" s="13">
        <v>0.21</v>
      </c>
      <c r="I68" s="14" t="s">
        <v>20</v>
      </c>
      <c r="J68" s="14" t="s">
        <v>20</v>
      </c>
      <c r="K68" s="15">
        <v>0</v>
      </c>
      <c r="L68" s="16">
        <v>0.21</v>
      </c>
    </row>
    <row r="69" spans="1:12" x14ac:dyDescent="0.25">
      <c r="A69" s="10" t="s">
        <v>20</v>
      </c>
      <c r="B69" s="11" t="s">
        <v>164</v>
      </c>
      <c r="C69" s="11" t="s">
        <v>20</v>
      </c>
      <c r="D69" s="11" t="s">
        <v>165</v>
      </c>
      <c r="E69" s="11" t="s">
        <v>41</v>
      </c>
      <c r="F69" s="12">
        <v>18922753</v>
      </c>
      <c r="G69" s="13">
        <v>12148.41</v>
      </c>
      <c r="H69" s="13">
        <v>0.2</v>
      </c>
      <c r="I69" s="14" t="s">
        <v>20</v>
      </c>
      <c r="J69" s="14" t="s">
        <v>20</v>
      </c>
      <c r="K69" s="15">
        <v>0</v>
      </c>
      <c r="L69" s="16">
        <v>0.2</v>
      </c>
    </row>
    <row r="70" spans="1:12" x14ac:dyDescent="0.25">
      <c r="A70" s="10" t="s">
        <v>20</v>
      </c>
      <c r="B70" s="11" t="s">
        <v>166</v>
      </c>
      <c r="C70" s="11" t="s">
        <v>20</v>
      </c>
      <c r="D70" s="11" t="s">
        <v>167</v>
      </c>
      <c r="E70" s="11" t="s">
        <v>147</v>
      </c>
      <c r="F70" s="12">
        <v>386250</v>
      </c>
      <c r="G70" s="13">
        <v>11603.14</v>
      </c>
      <c r="H70" s="13">
        <v>0.19</v>
      </c>
      <c r="I70" s="14" t="s">
        <v>20</v>
      </c>
      <c r="J70" s="14" t="s">
        <v>20</v>
      </c>
      <c r="K70" s="15">
        <v>0.19</v>
      </c>
      <c r="L70" s="16">
        <v>0</v>
      </c>
    </row>
    <row r="71" spans="1:12" x14ac:dyDescent="0.25">
      <c r="A71" s="10" t="s">
        <v>20</v>
      </c>
      <c r="B71" s="11" t="s">
        <v>168</v>
      </c>
      <c r="C71" s="11" t="s">
        <v>20</v>
      </c>
      <c r="D71" s="11" t="s">
        <v>169</v>
      </c>
      <c r="E71" s="11" t="s">
        <v>61</v>
      </c>
      <c r="F71" s="12">
        <v>658626</v>
      </c>
      <c r="G71" s="13">
        <v>11178.2</v>
      </c>
      <c r="H71" s="13">
        <v>0.18</v>
      </c>
      <c r="I71" s="14" t="s">
        <v>20</v>
      </c>
      <c r="J71" s="14" t="s">
        <v>20</v>
      </c>
      <c r="K71" s="15">
        <v>0</v>
      </c>
      <c r="L71" s="16">
        <v>0.18</v>
      </c>
    </row>
    <row r="72" spans="1:12" x14ac:dyDescent="0.25">
      <c r="A72" s="10" t="s">
        <v>20</v>
      </c>
      <c r="B72" s="11" t="s">
        <v>170</v>
      </c>
      <c r="C72" s="11" t="s">
        <v>20</v>
      </c>
      <c r="D72" s="11" t="s">
        <v>171</v>
      </c>
      <c r="E72" s="11" t="s">
        <v>61</v>
      </c>
      <c r="F72" s="12">
        <v>936993</v>
      </c>
      <c r="G72" s="13">
        <v>11009.67</v>
      </c>
      <c r="H72" s="13">
        <v>0.18</v>
      </c>
      <c r="I72" s="14" t="s">
        <v>20</v>
      </c>
      <c r="J72" s="14" t="s">
        <v>20</v>
      </c>
      <c r="K72" s="15">
        <v>0.03</v>
      </c>
      <c r="L72" s="16">
        <v>0.15</v>
      </c>
    </row>
    <row r="73" spans="1:12" x14ac:dyDescent="0.25">
      <c r="A73" s="10" t="s">
        <v>20</v>
      </c>
      <c r="B73" s="11" t="s">
        <v>172</v>
      </c>
      <c r="C73" s="11" t="s">
        <v>20</v>
      </c>
      <c r="D73" s="11" t="s">
        <v>173</v>
      </c>
      <c r="E73" s="11" t="s">
        <v>35</v>
      </c>
      <c r="F73" s="12">
        <v>405600</v>
      </c>
      <c r="G73" s="13">
        <v>10386.6</v>
      </c>
      <c r="H73" s="13">
        <v>0.17</v>
      </c>
      <c r="I73" s="14" t="s">
        <v>20</v>
      </c>
      <c r="J73" s="14" t="s">
        <v>20</v>
      </c>
      <c r="K73" s="15">
        <v>0.17</v>
      </c>
      <c r="L73" s="16">
        <v>0</v>
      </c>
    </row>
    <row r="74" spans="1:12" x14ac:dyDescent="0.25">
      <c r="A74" s="10" t="s">
        <v>20</v>
      </c>
      <c r="B74" s="11" t="s">
        <v>174</v>
      </c>
      <c r="C74" s="11" t="s">
        <v>20</v>
      </c>
      <c r="D74" s="11" t="s">
        <v>175</v>
      </c>
      <c r="E74" s="11" t="s">
        <v>176</v>
      </c>
      <c r="F74" s="12">
        <v>6278237</v>
      </c>
      <c r="G74" s="13">
        <v>9910.2000000000007</v>
      </c>
      <c r="H74" s="13">
        <v>0.16</v>
      </c>
      <c r="I74" s="14" t="s">
        <v>20</v>
      </c>
      <c r="J74" s="14" t="s">
        <v>20</v>
      </c>
      <c r="K74" s="15">
        <v>0</v>
      </c>
      <c r="L74" s="16">
        <v>0.16</v>
      </c>
    </row>
    <row r="75" spans="1:12" x14ac:dyDescent="0.25">
      <c r="A75" s="10" t="s">
        <v>20</v>
      </c>
      <c r="B75" s="11" t="s">
        <v>177</v>
      </c>
      <c r="C75" s="11" t="s">
        <v>20</v>
      </c>
      <c r="D75" s="11" t="s">
        <v>178</v>
      </c>
      <c r="E75" s="11" t="s">
        <v>32</v>
      </c>
      <c r="F75" s="12">
        <v>7027000</v>
      </c>
      <c r="G75" s="13">
        <v>8207.5400000000009</v>
      </c>
      <c r="H75" s="13">
        <v>0.14000000000000001</v>
      </c>
      <c r="I75" s="14" t="s">
        <v>20</v>
      </c>
      <c r="J75" s="14" t="s">
        <v>20</v>
      </c>
      <c r="K75" s="15">
        <v>0</v>
      </c>
      <c r="L75" s="16">
        <v>0.14000000000000001</v>
      </c>
    </row>
    <row r="76" spans="1:12" x14ac:dyDescent="0.25">
      <c r="A76" s="10" t="s">
        <v>20</v>
      </c>
      <c r="B76" s="11" t="s">
        <v>179</v>
      </c>
      <c r="C76" s="11" t="s">
        <v>20</v>
      </c>
      <c r="D76" s="11" t="s">
        <v>180</v>
      </c>
      <c r="E76" s="11" t="s">
        <v>22</v>
      </c>
      <c r="F76" s="12">
        <v>409600</v>
      </c>
      <c r="G76" s="13">
        <v>7604.43</v>
      </c>
      <c r="H76" s="13">
        <v>0.13</v>
      </c>
      <c r="I76" s="14" t="s">
        <v>20</v>
      </c>
      <c r="J76" s="14" t="s">
        <v>20</v>
      </c>
      <c r="K76" s="15">
        <v>0.13</v>
      </c>
      <c r="L76" s="16">
        <v>0</v>
      </c>
    </row>
    <row r="77" spans="1:12" x14ac:dyDescent="0.25">
      <c r="A77" s="10" t="s">
        <v>20</v>
      </c>
      <c r="B77" s="11" t="s">
        <v>181</v>
      </c>
      <c r="C77" s="11" t="s">
        <v>20</v>
      </c>
      <c r="D77" s="11" t="s">
        <v>182</v>
      </c>
      <c r="E77" s="11" t="s">
        <v>101</v>
      </c>
      <c r="F77" s="12">
        <v>883200</v>
      </c>
      <c r="G77" s="13">
        <v>6869.97</v>
      </c>
      <c r="H77" s="13">
        <v>0.11</v>
      </c>
      <c r="I77" s="14" t="s">
        <v>20</v>
      </c>
      <c r="J77" s="14" t="s">
        <v>20</v>
      </c>
      <c r="K77" s="15">
        <v>0.11</v>
      </c>
      <c r="L77" s="16">
        <v>0</v>
      </c>
    </row>
    <row r="78" spans="1:12" x14ac:dyDescent="0.25">
      <c r="A78" s="10" t="s">
        <v>20</v>
      </c>
      <c r="B78" s="11" t="s">
        <v>183</v>
      </c>
      <c r="C78" s="11" t="s">
        <v>20</v>
      </c>
      <c r="D78" s="11" t="s">
        <v>184</v>
      </c>
      <c r="E78" s="11" t="s">
        <v>185</v>
      </c>
      <c r="F78" s="12">
        <v>1462378</v>
      </c>
      <c r="G78" s="13">
        <v>5990.63</v>
      </c>
      <c r="H78" s="13">
        <v>0.1</v>
      </c>
      <c r="I78" s="14" t="s">
        <v>20</v>
      </c>
      <c r="J78" s="14" t="s">
        <v>20</v>
      </c>
      <c r="K78" s="15">
        <v>0</v>
      </c>
      <c r="L78" s="16">
        <v>0.1</v>
      </c>
    </row>
    <row r="79" spans="1:12" x14ac:dyDescent="0.25">
      <c r="A79" s="10" t="s">
        <v>20</v>
      </c>
      <c r="B79" s="11" t="s">
        <v>186</v>
      </c>
      <c r="C79" s="11" t="s">
        <v>20</v>
      </c>
      <c r="D79" s="11" t="s">
        <v>187</v>
      </c>
      <c r="E79" s="11" t="s">
        <v>188</v>
      </c>
      <c r="F79" s="12">
        <v>105000</v>
      </c>
      <c r="G79" s="13">
        <v>5432.12</v>
      </c>
      <c r="H79" s="13">
        <v>0.09</v>
      </c>
      <c r="I79" s="14" t="s">
        <v>20</v>
      </c>
      <c r="J79" s="14" t="s">
        <v>20</v>
      </c>
      <c r="K79" s="15">
        <v>0.09</v>
      </c>
      <c r="L79" s="16">
        <v>0</v>
      </c>
    </row>
    <row r="80" spans="1:12" x14ac:dyDescent="0.25">
      <c r="A80" s="10" t="s">
        <v>20</v>
      </c>
      <c r="B80" s="11" t="s">
        <v>189</v>
      </c>
      <c r="C80" s="11" t="s">
        <v>20</v>
      </c>
      <c r="D80" s="11" t="s">
        <v>190</v>
      </c>
      <c r="E80" s="11" t="s">
        <v>191</v>
      </c>
      <c r="F80" s="12">
        <v>830700</v>
      </c>
      <c r="G80" s="13">
        <v>5189.38</v>
      </c>
      <c r="H80" s="13">
        <v>0.09</v>
      </c>
      <c r="I80" s="14" t="s">
        <v>20</v>
      </c>
      <c r="J80" s="14" t="s">
        <v>20</v>
      </c>
      <c r="K80" s="15">
        <v>0.08</v>
      </c>
      <c r="L80" s="16">
        <v>0</v>
      </c>
    </row>
    <row r="81" spans="1:12" x14ac:dyDescent="0.25">
      <c r="A81" s="10" t="s">
        <v>20</v>
      </c>
      <c r="B81" s="11" t="s">
        <v>192</v>
      </c>
      <c r="C81" s="11" t="s">
        <v>20</v>
      </c>
      <c r="D81" s="11" t="s">
        <v>193</v>
      </c>
      <c r="E81" s="11" t="s">
        <v>128</v>
      </c>
      <c r="F81" s="12">
        <v>758182</v>
      </c>
      <c r="G81" s="13">
        <v>4888.76</v>
      </c>
      <c r="H81" s="13">
        <v>0.08</v>
      </c>
      <c r="I81" s="14" t="s">
        <v>20</v>
      </c>
      <c r="J81" s="14" t="s">
        <v>20</v>
      </c>
      <c r="K81" s="15">
        <v>0</v>
      </c>
      <c r="L81" s="16">
        <v>0.08</v>
      </c>
    </row>
    <row r="82" spans="1:12" x14ac:dyDescent="0.25">
      <c r="A82" s="10" t="s">
        <v>20</v>
      </c>
      <c r="B82" s="11" t="s">
        <v>194</v>
      </c>
      <c r="C82" s="11" t="s">
        <v>20</v>
      </c>
      <c r="D82" s="11" t="s">
        <v>195</v>
      </c>
      <c r="E82" s="11" t="s">
        <v>38</v>
      </c>
      <c r="F82" s="12">
        <v>411000</v>
      </c>
      <c r="G82" s="13">
        <v>4584.71</v>
      </c>
      <c r="H82" s="13">
        <v>0.08</v>
      </c>
      <c r="I82" s="14" t="s">
        <v>20</v>
      </c>
      <c r="J82" s="14" t="s">
        <v>20</v>
      </c>
      <c r="K82" s="15">
        <v>0.08</v>
      </c>
      <c r="L82" s="16">
        <v>0</v>
      </c>
    </row>
    <row r="83" spans="1:12" x14ac:dyDescent="0.25">
      <c r="A83" s="10" t="s">
        <v>20</v>
      </c>
      <c r="B83" s="11" t="s">
        <v>196</v>
      </c>
      <c r="C83" s="11" t="s">
        <v>20</v>
      </c>
      <c r="D83" s="11" t="s">
        <v>197</v>
      </c>
      <c r="E83" s="11" t="s">
        <v>56</v>
      </c>
      <c r="F83" s="12">
        <v>904571</v>
      </c>
      <c r="G83" s="13">
        <v>4449.58</v>
      </c>
      <c r="H83" s="13">
        <v>7.0000000000000007E-2</v>
      </c>
      <c r="I83" s="14" t="s">
        <v>20</v>
      </c>
      <c r="J83" s="14" t="s">
        <v>20</v>
      </c>
      <c r="K83" s="15">
        <v>0</v>
      </c>
      <c r="L83" s="16">
        <v>7.0000000000000007E-2</v>
      </c>
    </row>
    <row r="84" spans="1:12" x14ac:dyDescent="0.25">
      <c r="A84" s="10" t="s">
        <v>20</v>
      </c>
      <c r="B84" s="11" t="s">
        <v>198</v>
      </c>
      <c r="C84" s="11" t="s">
        <v>20</v>
      </c>
      <c r="D84" s="11" t="s">
        <v>199</v>
      </c>
      <c r="E84" s="11" t="s">
        <v>200</v>
      </c>
      <c r="F84" s="12">
        <v>811800</v>
      </c>
      <c r="G84" s="13">
        <v>3758.63</v>
      </c>
      <c r="H84" s="13">
        <v>0.06</v>
      </c>
      <c r="I84" s="14" t="s">
        <v>20</v>
      </c>
      <c r="J84" s="14" t="s">
        <v>20</v>
      </c>
      <c r="K84" s="15">
        <v>0.06</v>
      </c>
      <c r="L84" s="16">
        <v>0</v>
      </c>
    </row>
    <row r="85" spans="1:12" x14ac:dyDescent="0.25">
      <c r="A85" s="10" t="s">
        <v>20</v>
      </c>
      <c r="B85" s="11" t="s">
        <v>201</v>
      </c>
      <c r="C85" s="11" t="s">
        <v>20</v>
      </c>
      <c r="D85" s="11" t="s">
        <v>202</v>
      </c>
      <c r="E85" s="11" t="s">
        <v>44</v>
      </c>
      <c r="F85" s="12">
        <v>800000</v>
      </c>
      <c r="G85" s="13">
        <v>3716</v>
      </c>
      <c r="H85" s="13">
        <v>0.06</v>
      </c>
      <c r="I85" s="14" t="s">
        <v>20</v>
      </c>
      <c r="J85" s="14" t="s">
        <v>20</v>
      </c>
      <c r="K85" s="15">
        <v>0</v>
      </c>
      <c r="L85" s="16">
        <v>0.06</v>
      </c>
    </row>
    <row r="86" spans="1:12" x14ac:dyDescent="0.25">
      <c r="A86" s="10" t="s">
        <v>20</v>
      </c>
      <c r="B86" s="11" t="s">
        <v>203</v>
      </c>
      <c r="C86" s="11" t="s">
        <v>20</v>
      </c>
      <c r="D86" s="11" t="s">
        <v>204</v>
      </c>
      <c r="E86" s="11" t="s">
        <v>200</v>
      </c>
      <c r="F86" s="12">
        <v>46300</v>
      </c>
      <c r="G86" s="13">
        <v>3851.3</v>
      </c>
      <c r="H86" s="13">
        <v>0.06</v>
      </c>
      <c r="I86" s="14" t="s">
        <v>20</v>
      </c>
      <c r="J86" s="14" t="s">
        <v>20</v>
      </c>
      <c r="K86" s="15">
        <v>0.06</v>
      </c>
      <c r="L86" s="16">
        <v>0</v>
      </c>
    </row>
    <row r="87" spans="1:12" x14ac:dyDescent="0.25">
      <c r="A87" s="10" t="s">
        <v>20</v>
      </c>
      <c r="B87" s="11" t="s">
        <v>205</v>
      </c>
      <c r="C87" s="11" t="s">
        <v>20</v>
      </c>
      <c r="D87" s="11" t="s">
        <v>206</v>
      </c>
      <c r="E87" s="11" t="s">
        <v>44</v>
      </c>
      <c r="F87" s="12">
        <v>11358810</v>
      </c>
      <c r="G87" s="13">
        <v>3004.41</v>
      </c>
      <c r="H87" s="13">
        <v>0.05</v>
      </c>
      <c r="I87" s="14" t="s">
        <v>20</v>
      </c>
      <c r="J87" s="14" t="s">
        <v>20</v>
      </c>
      <c r="K87" s="15">
        <v>0</v>
      </c>
      <c r="L87" s="16">
        <v>0.05</v>
      </c>
    </row>
    <row r="88" spans="1:12" x14ac:dyDescent="0.25">
      <c r="A88" s="10" t="s">
        <v>20</v>
      </c>
      <c r="B88" s="11" t="s">
        <v>207</v>
      </c>
      <c r="C88" s="11" t="s">
        <v>20</v>
      </c>
      <c r="D88" s="11" t="s">
        <v>208</v>
      </c>
      <c r="E88" s="11" t="s">
        <v>209</v>
      </c>
      <c r="F88" s="12">
        <v>359100</v>
      </c>
      <c r="G88" s="13">
        <v>2932.95</v>
      </c>
      <c r="H88" s="13">
        <v>0.05</v>
      </c>
      <c r="I88" s="14" t="s">
        <v>20</v>
      </c>
      <c r="J88" s="14" t="s">
        <v>20</v>
      </c>
      <c r="K88" s="15">
        <v>0.05</v>
      </c>
      <c r="L88" s="16">
        <v>0</v>
      </c>
    </row>
    <row r="89" spans="1:12" x14ac:dyDescent="0.25">
      <c r="A89" s="10" t="s">
        <v>20</v>
      </c>
      <c r="B89" s="11" t="s">
        <v>210</v>
      </c>
      <c r="C89" s="11" t="s">
        <v>20</v>
      </c>
      <c r="D89" s="11" t="s">
        <v>211</v>
      </c>
      <c r="E89" s="11" t="s">
        <v>212</v>
      </c>
      <c r="F89" s="12">
        <v>4587241</v>
      </c>
      <c r="G89" s="13">
        <v>2724.82</v>
      </c>
      <c r="H89" s="13">
        <v>0.04</v>
      </c>
      <c r="I89" s="14" t="s">
        <v>20</v>
      </c>
      <c r="J89" s="14" t="s">
        <v>20</v>
      </c>
      <c r="K89" s="15">
        <v>0</v>
      </c>
      <c r="L89" s="16">
        <v>0.04</v>
      </c>
    </row>
    <row r="90" spans="1:12" x14ac:dyDescent="0.25">
      <c r="A90" s="10" t="s">
        <v>20</v>
      </c>
      <c r="B90" s="11" t="s">
        <v>213</v>
      </c>
      <c r="C90" s="11" t="s">
        <v>20</v>
      </c>
      <c r="D90" s="11" t="s">
        <v>214</v>
      </c>
      <c r="E90" s="11" t="s">
        <v>61</v>
      </c>
      <c r="F90" s="12">
        <v>48125</v>
      </c>
      <c r="G90" s="13">
        <v>2714.47</v>
      </c>
      <c r="H90" s="13">
        <v>0.04</v>
      </c>
      <c r="I90" s="14" t="s">
        <v>20</v>
      </c>
      <c r="J90" s="14" t="s">
        <v>20</v>
      </c>
      <c r="K90" s="15">
        <v>0.05</v>
      </c>
      <c r="L90" s="16">
        <v>0</v>
      </c>
    </row>
    <row r="91" spans="1:12" x14ac:dyDescent="0.25">
      <c r="A91" s="10" t="s">
        <v>20</v>
      </c>
      <c r="B91" s="11" t="s">
        <v>215</v>
      </c>
      <c r="C91" s="11" t="s">
        <v>20</v>
      </c>
      <c r="D91" s="11" t="s">
        <v>216</v>
      </c>
      <c r="E91" s="11" t="s">
        <v>75</v>
      </c>
      <c r="F91" s="12">
        <v>64575</v>
      </c>
      <c r="G91" s="13">
        <v>2173.27</v>
      </c>
      <c r="H91" s="13">
        <v>0.04</v>
      </c>
      <c r="I91" s="14" t="s">
        <v>20</v>
      </c>
      <c r="J91" s="14" t="s">
        <v>20</v>
      </c>
      <c r="K91" s="15">
        <v>0.04</v>
      </c>
      <c r="L91" s="16">
        <v>0</v>
      </c>
    </row>
    <row r="92" spans="1:12" x14ac:dyDescent="0.25">
      <c r="A92" s="10" t="s">
        <v>20</v>
      </c>
      <c r="B92" s="11" t="s">
        <v>217</v>
      </c>
      <c r="C92" s="11" t="s">
        <v>20</v>
      </c>
      <c r="D92" s="11" t="s">
        <v>218</v>
      </c>
      <c r="E92" s="11" t="s">
        <v>38</v>
      </c>
      <c r="F92" s="12">
        <v>205800</v>
      </c>
      <c r="G92" s="13">
        <v>2298.17</v>
      </c>
      <c r="H92" s="13">
        <v>0.04</v>
      </c>
      <c r="I92" s="14" t="s">
        <v>20</v>
      </c>
      <c r="J92" s="14" t="s">
        <v>20</v>
      </c>
      <c r="K92" s="15">
        <v>0.04</v>
      </c>
      <c r="L92" s="16">
        <v>0</v>
      </c>
    </row>
    <row r="93" spans="1:12" x14ac:dyDescent="0.25">
      <c r="A93" s="10" t="s">
        <v>20</v>
      </c>
      <c r="B93" s="11" t="s">
        <v>219</v>
      </c>
      <c r="C93" s="11" t="s">
        <v>20</v>
      </c>
      <c r="D93" s="11" t="s">
        <v>220</v>
      </c>
      <c r="E93" s="11" t="s">
        <v>209</v>
      </c>
      <c r="F93" s="12">
        <v>2172500</v>
      </c>
      <c r="G93" s="13">
        <v>2675.43</v>
      </c>
      <c r="H93" s="13">
        <v>0.04</v>
      </c>
      <c r="I93" s="14" t="s">
        <v>20</v>
      </c>
      <c r="J93" s="14" t="s">
        <v>20</v>
      </c>
      <c r="K93" s="15">
        <v>0.04</v>
      </c>
      <c r="L93" s="16">
        <v>0</v>
      </c>
    </row>
    <row r="94" spans="1:12" x14ac:dyDescent="0.25">
      <c r="A94" s="10" t="s">
        <v>20</v>
      </c>
      <c r="B94" s="11" t="s">
        <v>221</v>
      </c>
      <c r="C94" s="11" t="s">
        <v>20</v>
      </c>
      <c r="D94" s="11" t="s">
        <v>222</v>
      </c>
      <c r="E94" s="11" t="s">
        <v>223</v>
      </c>
      <c r="F94" s="12">
        <v>69000</v>
      </c>
      <c r="G94" s="13">
        <v>1719.62</v>
      </c>
      <c r="H94" s="13">
        <v>0.03</v>
      </c>
      <c r="I94" s="14" t="s">
        <v>20</v>
      </c>
      <c r="J94" s="14" t="s">
        <v>20</v>
      </c>
      <c r="K94" s="15">
        <v>0.03</v>
      </c>
      <c r="L94" s="16">
        <v>0</v>
      </c>
    </row>
    <row r="95" spans="1:12" x14ac:dyDescent="0.25">
      <c r="A95" s="10" t="s">
        <v>20</v>
      </c>
      <c r="B95" s="11" t="s">
        <v>224</v>
      </c>
      <c r="C95" s="11" t="s">
        <v>20</v>
      </c>
      <c r="D95" s="11" t="s">
        <v>225</v>
      </c>
      <c r="E95" s="11" t="s">
        <v>41</v>
      </c>
      <c r="F95" s="12">
        <v>1113681</v>
      </c>
      <c r="G95" s="13">
        <v>1761.84</v>
      </c>
      <c r="H95" s="13">
        <v>0.03</v>
      </c>
      <c r="I95" s="14" t="s">
        <v>20</v>
      </c>
      <c r="J95" s="14" t="s">
        <v>20</v>
      </c>
      <c r="K95" s="15">
        <v>0</v>
      </c>
      <c r="L95" s="16">
        <v>0.03</v>
      </c>
    </row>
    <row r="96" spans="1:12" x14ac:dyDescent="0.25">
      <c r="A96" s="10" t="s">
        <v>20</v>
      </c>
      <c r="B96" s="11" t="s">
        <v>226</v>
      </c>
      <c r="C96" s="11" t="s">
        <v>20</v>
      </c>
      <c r="D96" s="11" t="s">
        <v>227</v>
      </c>
      <c r="E96" s="11" t="s">
        <v>95</v>
      </c>
      <c r="F96" s="12">
        <v>1648500</v>
      </c>
      <c r="G96" s="13">
        <v>1715.26</v>
      </c>
      <c r="H96" s="13">
        <v>0.03</v>
      </c>
      <c r="I96" s="14" t="s">
        <v>20</v>
      </c>
      <c r="J96" s="14" t="s">
        <v>20</v>
      </c>
      <c r="K96" s="15">
        <v>0.03</v>
      </c>
      <c r="L96" s="16">
        <v>0</v>
      </c>
    </row>
    <row r="97" spans="1:12" x14ac:dyDescent="0.25">
      <c r="A97" s="10" t="s">
        <v>20</v>
      </c>
      <c r="B97" s="11" t="s">
        <v>228</v>
      </c>
      <c r="C97" s="11" t="s">
        <v>20</v>
      </c>
      <c r="D97" s="11" t="s">
        <v>229</v>
      </c>
      <c r="E97" s="11" t="s">
        <v>136</v>
      </c>
      <c r="F97" s="12">
        <v>60300</v>
      </c>
      <c r="G97" s="13">
        <v>1563.52</v>
      </c>
      <c r="H97" s="13">
        <v>0.03</v>
      </c>
      <c r="I97" s="14" t="s">
        <v>20</v>
      </c>
      <c r="J97" s="14" t="s">
        <v>20</v>
      </c>
      <c r="K97" s="15">
        <v>0.03</v>
      </c>
      <c r="L97" s="16">
        <v>0</v>
      </c>
    </row>
    <row r="98" spans="1:12" x14ac:dyDescent="0.25">
      <c r="A98" s="10" t="s">
        <v>20</v>
      </c>
      <c r="B98" s="11" t="s">
        <v>230</v>
      </c>
      <c r="C98" s="11" t="s">
        <v>20</v>
      </c>
      <c r="D98" s="11" t="s">
        <v>231</v>
      </c>
      <c r="E98" s="11" t="s">
        <v>22</v>
      </c>
      <c r="F98" s="12">
        <v>3216000</v>
      </c>
      <c r="G98" s="13">
        <v>1989.1</v>
      </c>
      <c r="H98" s="13">
        <v>0.03</v>
      </c>
      <c r="I98" s="14" t="s">
        <v>20</v>
      </c>
      <c r="J98" s="14" t="s">
        <v>20</v>
      </c>
      <c r="K98" s="15">
        <v>0.03</v>
      </c>
      <c r="L98" s="16">
        <v>0</v>
      </c>
    </row>
    <row r="99" spans="1:12" x14ac:dyDescent="0.25">
      <c r="A99" s="10" t="s">
        <v>20</v>
      </c>
      <c r="B99" s="11" t="s">
        <v>232</v>
      </c>
      <c r="C99" s="11" t="s">
        <v>20</v>
      </c>
      <c r="D99" s="11" t="s">
        <v>233</v>
      </c>
      <c r="E99" s="11" t="s">
        <v>38</v>
      </c>
      <c r="F99" s="12">
        <v>569833</v>
      </c>
      <c r="G99" s="13">
        <v>1565.05</v>
      </c>
      <c r="H99" s="13">
        <v>0.03</v>
      </c>
      <c r="I99" s="14" t="s">
        <v>20</v>
      </c>
      <c r="J99" s="14" t="s">
        <v>20</v>
      </c>
      <c r="K99" s="15">
        <v>0</v>
      </c>
      <c r="L99" s="16">
        <v>0.03</v>
      </c>
    </row>
    <row r="100" spans="1:12" x14ac:dyDescent="0.25">
      <c r="A100" s="10" t="s">
        <v>20</v>
      </c>
      <c r="B100" s="11" t="s">
        <v>234</v>
      </c>
      <c r="C100" s="11" t="s">
        <v>20</v>
      </c>
      <c r="D100" s="11" t="s">
        <v>235</v>
      </c>
      <c r="E100" s="11" t="s">
        <v>200</v>
      </c>
      <c r="F100" s="12">
        <v>57000</v>
      </c>
      <c r="G100" s="13">
        <v>1150.2</v>
      </c>
      <c r="H100" s="13">
        <v>0.02</v>
      </c>
      <c r="I100" s="14" t="s">
        <v>20</v>
      </c>
      <c r="J100" s="14" t="s">
        <v>20</v>
      </c>
      <c r="K100" s="15">
        <v>0.02</v>
      </c>
      <c r="L100" s="16">
        <v>0</v>
      </c>
    </row>
    <row r="101" spans="1:12" x14ac:dyDescent="0.25">
      <c r="A101" s="10" t="s">
        <v>20</v>
      </c>
      <c r="B101" s="11" t="s">
        <v>236</v>
      </c>
      <c r="C101" s="11" t="s">
        <v>20</v>
      </c>
      <c r="D101" s="11" t="s">
        <v>237</v>
      </c>
      <c r="E101" s="11" t="s">
        <v>238</v>
      </c>
      <c r="F101" s="12">
        <v>24400</v>
      </c>
      <c r="G101" s="13">
        <v>1169.72</v>
      </c>
      <c r="H101" s="13">
        <v>0.02</v>
      </c>
      <c r="I101" s="14" t="s">
        <v>20</v>
      </c>
      <c r="J101" s="14" t="s">
        <v>20</v>
      </c>
      <c r="K101" s="15">
        <v>0.02</v>
      </c>
      <c r="L101" s="16">
        <v>0</v>
      </c>
    </row>
    <row r="102" spans="1:12" x14ac:dyDescent="0.25">
      <c r="A102" s="10" t="s">
        <v>20</v>
      </c>
      <c r="B102" s="11" t="s">
        <v>239</v>
      </c>
      <c r="C102" s="11" t="s">
        <v>20</v>
      </c>
      <c r="D102" s="11" t="s">
        <v>240</v>
      </c>
      <c r="E102" s="11" t="s">
        <v>147</v>
      </c>
      <c r="F102" s="12">
        <v>458949</v>
      </c>
      <c r="G102" s="13">
        <v>1386.71</v>
      </c>
      <c r="H102" s="13">
        <v>0.02</v>
      </c>
      <c r="I102" s="14" t="s">
        <v>20</v>
      </c>
      <c r="J102" s="14" t="s">
        <v>20</v>
      </c>
      <c r="K102" s="15">
        <v>0</v>
      </c>
      <c r="L102" s="16">
        <v>0.02</v>
      </c>
    </row>
    <row r="103" spans="1:12" x14ac:dyDescent="0.25">
      <c r="A103" s="10" t="s">
        <v>20</v>
      </c>
      <c r="B103" s="11" t="s">
        <v>241</v>
      </c>
      <c r="C103" s="11" t="s">
        <v>20</v>
      </c>
      <c r="D103" s="11" t="s">
        <v>242</v>
      </c>
      <c r="E103" s="11" t="s">
        <v>243</v>
      </c>
      <c r="F103" s="12">
        <v>272250</v>
      </c>
      <c r="G103" s="13">
        <v>1412.3</v>
      </c>
      <c r="H103" s="13">
        <v>0.02</v>
      </c>
      <c r="I103" s="14" t="s">
        <v>20</v>
      </c>
      <c r="J103" s="14" t="s">
        <v>20</v>
      </c>
      <c r="K103" s="15">
        <v>0.02</v>
      </c>
      <c r="L103" s="16">
        <v>0</v>
      </c>
    </row>
    <row r="104" spans="1:12" x14ac:dyDescent="0.25">
      <c r="A104" s="10" t="s">
        <v>20</v>
      </c>
      <c r="B104" s="11" t="s">
        <v>244</v>
      </c>
      <c r="C104" s="11" t="s">
        <v>20</v>
      </c>
      <c r="D104" s="11" t="s">
        <v>245</v>
      </c>
      <c r="E104" s="11" t="s">
        <v>98</v>
      </c>
      <c r="F104" s="12">
        <v>151800</v>
      </c>
      <c r="G104" s="13">
        <v>981.92</v>
      </c>
      <c r="H104" s="13">
        <v>0.02</v>
      </c>
      <c r="I104" s="14" t="s">
        <v>20</v>
      </c>
      <c r="J104" s="14" t="s">
        <v>20</v>
      </c>
      <c r="K104" s="15">
        <v>0.02</v>
      </c>
      <c r="L104" s="16">
        <v>0</v>
      </c>
    </row>
    <row r="105" spans="1:12" x14ac:dyDescent="0.25">
      <c r="A105" s="10" t="s">
        <v>20</v>
      </c>
      <c r="B105" s="11" t="s">
        <v>246</v>
      </c>
      <c r="C105" s="11" t="s">
        <v>20</v>
      </c>
      <c r="D105" s="11" t="s">
        <v>247</v>
      </c>
      <c r="E105" s="11" t="s">
        <v>98</v>
      </c>
      <c r="F105" s="12">
        <v>199500</v>
      </c>
      <c r="G105" s="13">
        <v>1156.0999999999999</v>
      </c>
      <c r="H105" s="13">
        <v>0.02</v>
      </c>
      <c r="I105" s="14" t="s">
        <v>20</v>
      </c>
      <c r="J105" s="14" t="s">
        <v>20</v>
      </c>
      <c r="K105" s="15">
        <v>0.02</v>
      </c>
      <c r="L105" s="16">
        <v>0</v>
      </c>
    </row>
    <row r="106" spans="1:12" x14ac:dyDescent="0.25">
      <c r="A106" s="10" t="s">
        <v>20</v>
      </c>
      <c r="B106" s="11" t="s">
        <v>248</v>
      </c>
      <c r="C106" s="11" t="s">
        <v>20</v>
      </c>
      <c r="D106" s="11" t="s">
        <v>249</v>
      </c>
      <c r="E106" s="11" t="s">
        <v>250</v>
      </c>
      <c r="F106" s="12">
        <v>232000</v>
      </c>
      <c r="G106" s="13">
        <v>916.63</v>
      </c>
      <c r="H106" s="13">
        <v>0.02</v>
      </c>
      <c r="I106" s="14" t="s">
        <v>20</v>
      </c>
      <c r="J106" s="14" t="s">
        <v>20</v>
      </c>
      <c r="K106" s="15">
        <v>0.02</v>
      </c>
      <c r="L106" s="16">
        <v>0</v>
      </c>
    </row>
    <row r="107" spans="1:12" x14ac:dyDescent="0.25">
      <c r="A107" s="10" t="s">
        <v>20</v>
      </c>
      <c r="B107" s="11" t="s">
        <v>251</v>
      </c>
      <c r="C107" s="11" t="s">
        <v>20</v>
      </c>
      <c r="D107" s="11" t="s">
        <v>252</v>
      </c>
      <c r="E107" s="11" t="s">
        <v>101</v>
      </c>
      <c r="F107" s="12">
        <v>8083148</v>
      </c>
      <c r="G107" s="13">
        <v>953.81</v>
      </c>
      <c r="H107" s="13">
        <v>0.02</v>
      </c>
      <c r="I107" s="14" t="s">
        <v>20</v>
      </c>
      <c r="J107" s="14" t="s">
        <v>20</v>
      </c>
      <c r="K107" s="15">
        <v>0</v>
      </c>
      <c r="L107" s="16">
        <v>0.02</v>
      </c>
    </row>
    <row r="108" spans="1:12" x14ac:dyDescent="0.25">
      <c r="A108" s="10" t="s">
        <v>20</v>
      </c>
      <c r="B108" s="11" t="s">
        <v>253</v>
      </c>
      <c r="C108" s="11" t="s">
        <v>20</v>
      </c>
      <c r="D108" s="11" t="s">
        <v>254</v>
      </c>
      <c r="E108" s="11" t="s">
        <v>32</v>
      </c>
      <c r="F108" s="12">
        <v>499500</v>
      </c>
      <c r="G108" s="13">
        <v>1182.32</v>
      </c>
      <c r="H108" s="13">
        <v>0.02</v>
      </c>
      <c r="I108" s="14" t="s">
        <v>20</v>
      </c>
      <c r="J108" s="14" t="s">
        <v>20</v>
      </c>
      <c r="K108" s="15">
        <v>0.02</v>
      </c>
      <c r="L108" s="16">
        <v>0</v>
      </c>
    </row>
    <row r="109" spans="1:12" x14ac:dyDescent="0.25">
      <c r="A109" s="10" t="s">
        <v>20</v>
      </c>
      <c r="B109" s="11" t="s">
        <v>255</v>
      </c>
      <c r="C109" s="11" t="s">
        <v>20</v>
      </c>
      <c r="D109" s="11" t="s">
        <v>256</v>
      </c>
      <c r="E109" s="11" t="s">
        <v>38</v>
      </c>
      <c r="F109" s="12">
        <v>360000</v>
      </c>
      <c r="G109" s="13">
        <v>1458.18</v>
      </c>
      <c r="H109" s="13">
        <v>0.02</v>
      </c>
      <c r="I109" s="14" t="s">
        <v>20</v>
      </c>
      <c r="J109" s="14" t="s">
        <v>20</v>
      </c>
      <c r="K109" s="15">
        <v>0.02</v>
      </c>
      <c r="L109" s="16">
        <v>0</v>
      </c>
    </row>
    <row r="110" spans="1:12" x14ac:dyDescent="0.25">
      <c r="A110" s="10" t="s">
        <v>20</v>
      </c>
      <c r="B110" s="11" t="s">
        <v>257</v>
      </c>
      <c r="C110" s="11" t="s">
        <v>20</v>
      </c>
      <c r="D110" s="11" t="s">
        <v>258</v>
      </c>
      <c r="E110" s="11" t="s">
        <v>75</v>
      </c>
      <c r="F110" s="12">
        <v>16500</v>
      </c>
      <c r="G110" s="13">
        <v>813.68</v>
      </c>
      <c r="H110" s="13">
        <v>0.01</v>
      </c>
      <c r="I110" s="14" t="s">
        <v>20</v>
      </c>
      <c r="J110" s="14" t="s">
        <v>20</v>
      </c>
      <c r="K110" s="15">
        <v>0.01</v>
      </c>
      <c r="L110" s="16">
        <v>0</v>
      </c>
    </row>
    <row r="111" spans="1:12" x14ac:dyDescent="0.25">
      <c r="A111" s="10" t="s">
        <v>20</v>
      </c>
      <c r="B111" s="11" t="s">
        <v>259</v>
      </c>
      <c r="C111" s="11" t="s">
        <v>20</v>
      </c>
      <c r="D111" s="11" t="s">
        <v>260</v>
      </c>
      <c r="E111" s="11" t="s">
        <v>261</v>
      </c>
      <c r="F111" s="12">
        <v>76250</v>
      </c>
      <c r="G111" s="13">
        <v>438.9</v>
      </c>
      <c r="H111" s="13">
        <v>0.01</v>
      </c>
      <c r="I111" s="14" t="s">
        <v>20</v>
      </c>
      <c r="J111" s="14" t="s">
        <v>20</v>
      </c>
      <c r="K111" s="15">
        <v>0.01</v>
      </c>
      <c r="L111" s="16">
        <v>0</v>
      </c>
    </row>
    <row r="112" spans="1:12" x14ac:dyDescent="0.25">
      <c r="A112" s="10" t="s">
        <v>20</v>
      </c>
      <c r="B112" s="11" t="s">
        <v>262</v>
      </c>
      <c r="C112" s="11" t="s">
        <v>20</v>
      </c>
      <c r="D112" s="11" t="s">
        <v>263</v>
      </c>
      <c r="E112" s="11" t="s">
        <v>261</v>
      </c>
      <c r="F112" s="12">
        <v>68000</v>
      </c>
      <c r="G112" s="13">
        <v>704.45</v>
      </c>
      <c r="H112" s="13">
        <v>0.01</v>
      </c>
      <c r="I112" s="14" t="s">
        <v>20</v>
      </c>
      <c r="J112" s="14" t="s">
        <v>20</v>
      </c>
      <c r="K112" s="15">
        <v>0.01</v>
      </c>
      <c r="L112" s="16">
        <v>0</v>
      </c>
    </row>
    <row r="113" spans="1:12" x14ac:dyDescent="0.25">
      <c r="A113" s="10" t="s">
        <v>20</v>
      </c>
      <c r="B113" s="11" t="s">
        <v>264</v>
      </c>
      <c r="C113" s="11" t="s">
        <v>20</v>
      </c>
      <c r="D113" s="11" t="s">
        <v>265</v>
      </c>
      <c r="E113" s="11" t="s">
        <v>47</v>
      </c>
      <c r="F113" s="12">
        <v>438750</v>
      </c>
      <c r="G113" s="13">
        <v>411.33</v>
      </c>
      <c r="H113" s="13">
        <v>0.01</v>
      </c>
      <c r="I113" s="14" t="s">
        <v>20</v>
      </c>
      <c r="J113" s="14" t="s">
        <v>20</v>
      </c>
      <c r="K113" s="15">
        <v>0.01</v>
      </c>
      <c r="L113" s="16">
        <v>0</v>
      </c>
    </row>
    <row r="114" spans="1:12" x14ac:dyDescent="0.25">
      <c r="A114" s="10" t="s">
        <v>20</v>
      </c>
      <c r="B114" s="11" t="s">
        <v>266</v>
      </c>
      <c r="C114" s="11" t="s">
        <v>20</v>
      </c>
      <c r="D114" s="11" t="s">
        <v>267</v>
      </c>
      <c r="E114" s="11" t="s">
        <v>238</v>
      </c>
      <c r="F114" s="12">
        <v>2280</v>
      </c>
      <c r="G114" s="13">
        <v>514.22</v>
      </c>
      <c r="H114" s="13">
        <v>0.01</v>
      </c>
      <c r="I114" s="14" t="s">
        <v>20</v>
      </c>
      <c r="J114" s="14" t="s">
        <v>20</v>
      </c>
      <c r="K114" s="15">
        <v>0.01</v>
      </c>
      <c r="L114" s="16">
        <v>0</v>
      </c>
    </row>
    <row r="115" spans="1:12" x14ac:dyDescent="0.25">
      <c r="A115" s="10" t="s">
        <v>20</v>
      </c>
      <c r="B115" s="11" t="s">
        <v>268</v>
      </c>
      <c r="C115" s="11" t="s">
        <v>20</v>
      </c>
      <c r="D115" s="11" t="s">
        <v>269</v>
      </c>
      <c r="E115" s="11" t="s">
        <v>41</v>
      </c>
      <c r="F115" s="12">
        <v>33000</v>
      </c>
      <c r="G115" s="13">
        <v>333.88</v>
      </c>
      <c r="H115" s="13">
        <v>0.01</v>
      </c>
      <c r="I115" s="14" t="s">
        <v>20</v>
      </c>
      <c r="J115" s="14" t="s">
        <v>20</v>
      </c>
      <c r="K115" s="15">
        <v>0.01</v>
      </c>
      <c r="L115" s="16">
        <v>0</v>
      </c>
    </row>
    <row r="116" spans="1:12" x14ac:dyDescent="0.25">
      <c r="A116" s="10" t="s">
        <v>20</v>
      </c>
      <c r="B116" s="11" t="s">
        <v>270</v>
      </c>
      <c r="C116" s="11" t="s">
        <v>20</v>
      </c>
      <c r="D116" s="11" t="s">
        <v>271</v>
      </c>
      <c r="E116" s="11" t="s">
        <v>32</v>
      </c>
      <c r="F116" s="12">
        <v>118800</v>
      </c>
      <c r="G116" s="13">
        <v>316.07</v>
      </c>
      <c r="H116" s="13">
        <v>0.01</v>
      </c>
      <c r="I116" s="14" t="s">
        <v>20</v>
      </c>
      <c r="J116" s="14" t="s">
        <v>20</v>
      </c>
      <c r="K116" s="15">
        <v>0.01</v>
      </c>
      <c r="L116" s="16">
        <v>0</v>
      </c>
    </row>
    <row r="117" spans="1:12" x14ac:dyDescent="0.25">
      <c r="A117" s="10" t="s">
        <v>20</v>
      </c>
      <c r="B117" s="11" t="s">
        <v>272</v>
      </c>
      <c r="C117" s="11" t="s">
        <v>20</v>
      </c>
      <c r="D117" s="11" t="s">
        <v>273</v>
      </c>
      <c r="E117" s="11" t="s">
        <v>274</v>
      </c>
      <c r="F117" s="12">
        <v>81900</v>
      </c>
      <c r="G117" s="13">
        <v>703.77</v>
      </c>
      <c r="H117" s="13">
        <v>0.01</v>
      </c>
      <c r="I117" s="14" t="s">
        <v>20</v>
      </c>
      <c r="J117" s="14" t="s">
        <v>20</v>
      </c>
      <c r="K117" s="15">
        <v>0.01</v>
      </c>
      <c r="L117" s="16">
        <v>0</v>
      </c>
    </row>
    <row r="118" spans="1:12" x14ac:dyDescent="0.25">
      <c r="A118" s="10" t="s">
        <v>20</v>
      </c>
      <c r="B118" s="11" t="s">
        <v>275</v>
      </c>
      <c r="C118" s="11" t="s">
        <v>20</v>
      </c>
      <c r="D118" s="11" t="s">
        <v>276</v>
      </c>
      <c r="E118" s="11" t="s">
        <v>128</v>
      </c>
      <c r="F118" s="12">
        <v>734</v>
      </c>
      <c r="G118" s="13">
        <v>14.46</v>
      </c>
      <c r="H118" s="13" t="s">
        <v>277</v>
      </c>
      <c r="I118" s="14" t="s">
        <v>20</v>
      </c>
      <c r="J118" s="14" t="s">
        <v>20</v>
      </c>
      <c r="K118" s="15" t="s">
        <v>277</v>
      </c>
      <c r="L118" s="16">
        <v>0</v>
      </c>
    </row>
    <row r="119" spans="1:12" x14ac:dyDescent="0.25">
      <c r="A119" s="10" t="s">
        <v>20</v>
      </c>
      <c r="B119" s="11" t="s">
        <v>278</v>
      </c>
      <c r="C119" s="11" t="s">
        <v>20</v>
      </c>
      <c r="D119" s="11" t="s">
        <v>279</v>
      </c>
      <c r="E119" s="11" t="s">
        <v>200</v>
      </c>
      <c r="F119" s="12">
        <v>11400</v>
      </c>
      <c r="G119" s="13">
        <v>210.84</v>
      </c>
      <c r="H119" s="13" t="s">
        <v>277</v>
      </c>
      <c r="I119" s="14" t="s">
        <v>20</v>
      </c>
      <c r="J119" s="14" t="s">
        <v>20</v>
      </c>
      <c r="K119" s="15" t="s">
        <v>277</v>
      </c>
      <c r="L119" s="16">
        <v>0</v>
      </c>
    </row>
    <row r="120" spans="1:12" x14ac:dyDescent="0.25">
      <c r="A120" s="10" t="s">
        <v>20</v>
      </c>
      <c r="B120" s="11" t="s">
        <v>280</v>
      </c>
      <c r="C120" s="11" t="s">
        <v>20</v>
      </c>
      <c r="D120" s="11" t="s">
        <v>281</v>
      </c>
      <c r="E120" s="11" t="s">
        <v>75</v>
      </c>
      <c r="F120" s="12">
        <v>8100</v>
      </c>
      <c r="G120" s="13">
        <v>259.5</v>
      </c>
      <c r="H120" s="13" t="s">
        <v>277</v>
      </c>
      <c r="I120" s="14" t="s">
        <v>20</v>
      </c>
      <c r="J120" s="14" t="s">
        <v>20</v>
      </c>
      <c r="K120" s="15" t="s">
        <v>277</v>
      </c>
      <c r="L120" s="16">
        <v>0</v>
      </c>
    </row>
    <row r="121" spans="1:12" x14ac:dyDescent="0.25">
      <c r="A121" s="10" t="s">
        <v>20</v>
      </c>
      <c r="B121" s="11" t="s">
        <v>282</v>
      </c>
      <c r="C121" s="11" t="s">
        <v>20</v>
      </c>
      <c r="D121" s="11" t="s">
        <v>283</v>
      </c>
      <c r="E121" s="11" t="s">
        <v>200</v>
      </c>
      <c r="F121" s="12">
        <v>17400</v>
      </c>
      <c r="G121" s="13">
        <v>38.18</v>
      </c>
      <c r="H121" s="13" t="s">
        <v>277</v>
      </c>
      <c r="I121" s="14" t="s">
        <v>20</v>
      </c>
      <c r="J121" s="14" t="s">
        <v>20</v>
      </c>
      <c r="K121" s="15" t="s">
        <v>277</v>
      </c>
      <c r="L121" s="16">
        <v>0</v>
      </c>
    </row>
    <row r="122" spans="1:12" x14ac:dyDescent="0.25">
      <c r="A122" s="10" t="s">
        <v>20</v>
      </c>
      <c r="B122" s="11" t="s">
        <v>284</v>
      </c>
      <c r="C122" s="11" t="s">
        <v>20</v>
      </c>
      <c r="D122" s="11" t="s">
        <v>285</v>
      </c>
      <c r="E122" s="11" t="s">
        <v>41</v>
      </c>
      <c r="F122" s="12">
        <v>14000</v>
      </c>
      <c r="G122" s="13">
        <v>58.44</v>
      </c>
      <c r="H122" s="13" t="s">
        <v>277</v>
      </c>
      <c r="I122" s="14" t="s">
        <v>20</v>
      </c>
      <c r="J122" s="14" t="s">
        <v>20</v>
      </c>
      <c r="K122" s="15" t="s">
        <v>277</v>
      </c>
      <c r="L122" s="16">
        <v>0</v>
      </c>
    </row>
    <row r="123" spans="1:12" x14ac:dyDescent="0.25">
      <c r="A123" s="10" t="s">
        <v>20</v>
      </c>
      <c r="B123" s="11" t="s">
        <v>286</v>
      </c>
      <c r="C123" s="11" t="s">
        <v>20</v>
      </c>
      <c r="D123" s="11" t="s">
        <v>287</v>
      </c>
      <c r="E123" s="11" t="s">
        <v>243</v>
      </c>
      <c r="F123" s="12">
        <v>9100</v>
      </c>
      <c r="G123" s="13">
        <v>101.88</v>
      </c>
      <c r="H123" s="13" t="s">
        <v>277</v>
      </c>
      <c r="I123" s="14" t="s">
        <v>20</v>
      </c>
      <c r="J123" s="14" t="s">
        <v>20</v>
      </c>
      <c r="K123" s="15" t="s">
        <v>277</v>
      </c>
      <c r="L123" s="16">
        <v>0</v>
      </c>
    </row>
    <row r="124" spans="1:12" x14ac:dyDescent="0.25">
      <c r="A124" s="10" t="s">
        <v>20</v>
      </c>
      <c r="B124" s="11" t="s">
        <v>288</v>
      </c>
      <c r="C124" s="11" t="s">
        <v>20</v>
      </c>
      <c r="D124" s="11" t="s">
        <v>289</v>
      </c>
      <c r="E124" s="11" t="s">
        <v>95</v>
      </c>
      <c r="F124" s="12">
        <v>5500</v>
      </c>
      <c r="G124" s="13">
        <v>219.07</v>
      </c>
      <c r="H124" s="13" t="s">
        <v>277</v>
      </c>
      <c r="I124" s="14" t="s">
        <v>20</v>
      </c>
      <c r="J124" s="14" t="s">
        <v>20</v>
      </c>
      <c r="K124" s="15" t="s">
        <v>277</v>
      </c>
      <c r="L124" s="16">
        <v>0</v>
      </c>
    </row>
    <row r="125" spans="1:12" x14ac:dyDescent="0.25">
      <c r="A125" s="10" t="s">
        <v>20</v>
      </c>
      <c r="B125" s="11" t="s">
        <v>290</v>
      </c>
      <c r="C125" s="11" t="s">
        <v>20</v>
      </c>
      <c r="D125" s="11" t="s">
        <v>291</v>
      </c>
      <c r="E125" s="11" t="s">
        <v>292</v>
      </c>
      <c r="F125" s="12">
        <v>16800</v>
      </c>
      <c r="G125" s="13">
        <v>170.66</v>
      </c>
      <c r="H125" s="13" t="s">
        <v>277</v>
      </c>
      <c r="I125" s="14" t="s">
        <v>20</v>
      </c>
      <c r="J125" s="14" t="s">
        <v>20</v>
      </c>
      <c r="K125" s="15" t="s">
        <v>277</v>
      </c>
      <c r="L125" s="16">
        <v>0</v>
      </c>
    </row>
    <row r="126" spans="1:12" x14ac:dyDescent="0.25">
      <c r="A126" s="17"/>
      <c r="B126" s="9" t="s">
        <v>293</v>
      </c>
      <c r="C126" s="17"/>
      <c r="D126" s="17"/>
      <c r="E126" s="17"/>
      <c r="F126" s="17"/>
      <c r="G126" s="18">
        <v>4120541.1</v>
      </c>
      <c r="H126" s="18">
        <v>67.890000000000029</v>
      </c>
      <c r="I126" s="17"/>
      <c r="J126" s="17"/>
      <c r="K126" s="17"/>
      <c r="L126" s="17"/>
    </row>
    <row r="127" spans="1:12" x14ac:dyDescent="0.25">
      <c r="A127" s="8"/>
      <c r="B127" s="9" t="s">
        <v>294</v>
      </c>
      <c r="C127" s="8"/>
      <c r="D127" s="8"/>
      <c r="E127" s="8"/>
      <c r="F127" s="8"/>
      <c r="G127" s="18">
        <v>4120541.1</v>
      </c>
      <c r="H127" s="18">
        <v>67.890000000000029</v>
      </c>
      <c r="I127" s="8"/>
      <c r="J127" s="8"/>
      <c r="K127" s="8"/>
      <c r="L127" s="8"/>
    </row>
    <row r="128" spans="1:12" x14ac:dyDescent="0.25">
      <c r="A128" s="8"/>
      <c r="B128" s="9" t="s">
        <v>295</v>
      </c>
      <c r="C128" s="8"/>
      <c r="D128" s="8"/>
      <c r="E128" s="8"/>
      <c r="F128" s="8"/>
      <c r="G128" s="8"/>
      <c r="H128" s="8"/>
      <c r="I128" s="8"/>
      <c r="J128" s="8"/>
      <c r="K128" s="8"/>
      <c r="L128" s="8"/>
    </row>
    <row r="129" spans="1:12" x14ac:dyDescent="0.25">
      <c r="A129" s="8"/>
      <c r="B129" s="9" t="s">
        <v>16</v>
      </c>
      <c r="C129" s="8"/>
      <c r="D129" s="8"/>
      <c r="E129" s="8"/>
      <c r="F129" s="8"/>
      <c r="G129" s="8"/>
      <c r="H129" s="8"/>
      <c r="I129" s="8"/>
      <c r="J129" s="8"/>
      <c r="K129" s="8"/>
      <c r="L129" s="8"/>
    </row>
    <row r="130" spans="1:12" x14ac:dyDescent="0.25">
      <c r="A130" s="8"/>
      <c r="B130" s="9" t="s">
        <v>296</v>
      </c>
      <c r="C130" s="8"/>
      <c r="D130" s="8"/>
      <c r="E130" s="8"/>
      <c r="F130" s="8"/>
      <c r="G130" s="8"/>
      <c r="H130" s="8"/>
      <c r="I130" s="8"/>
      <c r="J130" s="8"/>
      <c r="K130" s="8"/>
      <c r="L130" s="8"/>
    </row>
    <row r="131" spans="1:12" x14ac:dyDescent="0.25">
      <c r="A131" s="10" t="s">
        <v>18</v>
      </c>
      <c r="B131" s="11" t="s">
        <v>297</v>
      </c>
      <c r="C131" s="11">
        <v>7.38</v>
      </c>
      <c r="D131" s="11" t="s">
        <v>298</v>
      </c>
      <c r="E131" s="11" t="s">
        <v>299</v>
      </c>
      <c r="F131" s="12">
        <v>272081800</v>
      </c>
      <c r="G131" s="13">
        <v>274058.75</v>
      </c>
      <c r="H131" s="13">
        <v>4.5199999999999996</v>
      </c>
      <c r="I131" s="14">
        <v>7.2872000000000003</v>
      </c>
      <c r="J131" s="14" t="s">
        <v>20</v>
      </c>
      <c r="K131" s="15" t="s">
        <v>20</v>
      </c>
      <c r="L131" s="16" t="s">
        <v>20</v>
      </c>
    </row>
    <row r="132" spans="1:12" x14ac:dyDescent="0.25">
      <c r="A132" s="10" t="s">
        <v>20</v>
      </c>
      <c r="B132" s="11" t="s">
        <v>300</v>
      </c>
      <c r="C132" s="11">
        <v>7.1</v>
      </c>
      <c r="D132" s="11" t="s">
        <v>301</v>
      </c>
      <c r="E132" s="11" t="s">
        <v>299</v>
      </c>
      <c r="F132" s="12">
        <v>156500000</v>
      </c>
      <c r="G132" s="13">
        <v>155874.47</v>
      </c>
      <c r="H132" s="13">
        <v>2.57</v>
      </c>
      <c r="I132" s="14">
        <v>7.3121999999999998</v>
      </c>
      <c r="J132" s="14" t="s">
        <v>20</v>
      </c>
      <c r="K132" s="15" t="s">
        <v>20</v>
      </c>
      <c r="L132" s="16" t="s">
        <v>20</v>
      </c>
    </row>
    <row r="133" spans="1:12" x14ac:dyDescent="0.25">
      <c r="A133" s="10" t="s">
        <v>20</v>
      </c>
      <c r="B133" s="11" t="s">
        <v>302</v>
      </c>
      <c r="C133" s="11">
        <v>7.93</v>
      </c>
      <c r="D133" s="11" t="s">
        <v>303</v>
      </c>
      <c r="E133" s="11" t="s">
        <v>299</v>
      </c>
      <c r="F133" s="12">
        <v>150000000</v>
      </c>
      <c r="G133" s="13">
        <v>148354.65</v>
      </c>
      <c r="H133" s="13">
        <v>2.4500000000000002</v>
      </c>
      <c r="I133" s="14">
        <v>8.0272000000000006</v>
      </c>
      <c r="J133" s="14" t="s">
        <v>20</v>
      </c>
      <c r="K133" s="15" t="s">
        <v>20</v>
      </c>
      <c r="L133" s="16" t="s">
        <v>20</v>
      </c>
    </row>
    <row r="134" spans="1:12" x14ac:dyDescent="0.25">
      <c r="A134" s="10" t="s">
        <v>20</v>
      </c>
      <c r="B134" s="11" t="s">
        <v>304</v>
      </c>
      <c r="C134" s="11">
        <v>7.32</v>
      </c>
      <c r="D134" s="11" t="s">
        <v>305</v>
      </c>
      <c r="E134" s="11" t="s">
        <v>299</v>
      </c>
      <c r="F134" s="12">
        <v>80000000</v>
      </c>
      <c r="G134" s="13">
        <v>80168</v>
      </c>
      <c r="H134" s="13">
        <v>1.32</v>
      </c>
      <c r="I134" s="14">
        <v>6.8536000000000001</v>
      </c>
      <c r="J134" s="14" t="s">
        <v>20</v>
      </c>
      <c r="K134" s="15" t="s">
        <v>20</v>
      </c>
      <c r="L134" s="16" t="s">
        <v>20</v>
      </c>
    </row>
    <row r="135" spans="1:12" x14ac:dyDescent="0.25">
      <c r="A135" s="10" t="s">
        <v>20</v>
      </c>
      <c r="B135" s="11" t="s">
        <v>306</v>
      </c>
      <c r="C135" s="11">
        <v>7.26</v>
      </c>
      <c r="D135" s="11" t="s">
        <v>307</v>
      </c>
      <c r="E135" s="11" t="s">
        <v>299</v>
      </c>
      <c r="F135" s="12">
        <v>60558900</v>
      </c>
      <c r="G135" s="13">
        <v>60919.59</v>
      </c>
      <c r="H135" s="13">
        <v>1</v>
      </c>
      <c r="I135" s="14">
        <v>7.3009000000000004</v>
      </c>
      <c r="J135" s="14" t="s">
        <v>20</v>
      </c>
      <c r="K135" s="15" t="s">
        <v>20</v>
      </c>
      <c r="L135" s="16" t="s">
        <v>20</v>
      </c>
    </row>
    <row r="136" spans="1:12" x14ac:dyDescent="0.25">
      <c r="A136" s="10" t="s">
        <v>20</v>
      </c>
      <c r="B136" s="11" t="s">
        <v>308</v>
      </c>
      <c r="C136" s="11">
        <v>5.22</v>
      </c>
      <c r="D136" s="11" t="s">
        <v>309</v>
      </c>
      <c r="E136" s="11" t="s">
        <v>299</v>
      </c>
      <c r="F136" s="12">
        <v>61500000</v>
      </c>
      <c r="G136" s="13">
        <v>59544.3</v>
      </c>
      <c r="H136" s="13">
        <v>0.98</v>
      </c>
      <c r="I136" s="14">
        <v>7.1825000000000001</v>
      </c>
      <c r="J136" s="14" t="s">
        <v>20</v>
      </c>
      <c r="K136" s="15" t="s">
        <v>20</v>
      </c>
      <c r="L136" s="16" t="s">
        <v>20</v>
      </c>
    </row>
    <row r="137" spans="1:12" x14ac:dyDescent="0.25">
      <c r="A137" s="10" t="s">
        <v>20</v>
      </c>
      <c r="B137" s="11" t="s">
        <v>310</v>
      </c>
      <c r="C137" s="11">
        <v>7.26</v>
      </c>
      <c r="D137" s="11" t="s">
        <v>311</v>
      </c>
      <c r="E137" s="11" t="s">
        <v>299</v>
      </c>
      <c r="F137" s="12">
        <v>55000000</v>
      </c>
      <c r="G137" s="13">
        <v>55182.38</v>
      </c>
      <c r="H137" s="13">
        <v>0.91</v>
      </c>
      <c r="I137" s="14">
        <v>7.3384</v>
      </c>
      <c r="J137" s="14" t="s">
        <v>20</v>
      </c>
      <c r="K137" s="15" t="s">
        <v>20</v>
      </c>
      <c r="L137" s="16" t="s">
        <v>20</v>
      </c>
    </row>
    <row r="138" spans="1:12" x14ac:dyDescent="0.25">
      <c r="A138" s="10" t="s">
        <v>20</v>
      </c>
      <c r="B138" s="11" t="s">
        <v>312</v>
      </c>
      <c r="C138" s="11">
        <v>6.18</v>
      </c>
      <c r="D138" s="11" t="s">
        <v>313</v>
      </c>
      <c r="E138" s="11" t="s">
        <v>299</v>
      </c>
      <c r="F138" s="12">
        <v>42500000</v>
      </c>
      <c r="G138" s="13">
        <v>42083.5</v>
      </c>
      <c r="H138" s="13">
        <v>0.69</v>
      </c>
      <c r="I138" s="14">
        <v>7.1182999999999996</v>
      </c>
      <c r="J138" s="14" t="s">
        <v>20</v>
      </c>
      <c r="K138" s="15" t="s">
        <v>20</v>
      </c>
      <c r="L138" s="16" t="s">
        <v>20</v>
      </c>
    </row>
    <row r="139" spans="1:12" x14ac:dyDescent="0.25">
      <c r="A139" s="10" t="s">
        <v>20</v>
      </c>
      <c r="B139" s="11" t="s">
        <v>314</v>
      </c>
      <c r="C139" s="11">
        <v>7.17</v>
      </c>
      <c r="D139" s="11" t="s">
        <v>315</v>
      </c>
      <c r="E139" s="11" t="s">
        <v>299</v>
      </c>
      <c r="F139" s="12">
        <v>35457200</v>
      </c>
      <c r="G139" s="13">
        <v>35440.57</v>
      </c>
      <c r="H139" s="13">
        <v>0.57999999999999996</v>
      </c>
      <c r="I139" s="14">
        <v>7.3047000000000004</v>
      </c>
      <c r="J139" s="14" t="s">
        <v>20</v>
      </c>
      <c r="K139" s="15" t="s">
        <v>20</v>
      </c>
      <c r="L139" s="16" t="s">
        <v>20</v>
      </c>
    </row>
    <row r="140" spans="1:12" x14ac:dyDescent="0.25">
      <c r="A140" s="10" t="s">
        <v>20</v>
      </c>
      <c r="B140" s="11" t="s">
        <v>316</v>
      </c>
      <c r="C140" s="11">
        <v>4.4800000000000004</v>
      </c>
      <c r="D140" s="11" t="s">
        <v>317</v>
      </c>
      <c r="E140" s="11" t="s">
        <v>299</v>
      </c>
      <c r="F140" s="12">
        <v>20000000</v>
      </c>
      <c r="G140" s="13">
        <v>19888</v>
      </c>
      <c r="H140" s="13">
        <v>0.33</v>
      </c>
      <c r="I140" s="14">
        <v>6.6062000000000003</v>
      </c>
      <c r="J140" s="14" t="s">
        <v>20</v>
      </c>
      <c r="K140" s="15" t="s">
        <v>20</v>
      </c>
      <c r="L140" s="16" t="s">
        <v>20</v>
      </c>
    </row>
    <row r="141" spans="1:12" x14ac:dyDescent="0.25">
      <c r="A141" s="10" t="s">
        <v>20</v>
      </c>
      <c r="B141" s="11" t="s">
        <v>318</v>
      </c>
      <c r="C141" s="11">
        <v>5.74</v>
      </c>
      <c r="D141" s="11" t="s">
        <v>319</v>
      </c>
      <c r="E141" s="11" t="s">
        <v>299</v>
      </c>
      <c r="F141" s="12">
        <v>20500000</v>
      </c>
      <c r="G141" s="13">
        <v>19663.599999999999</v>
      </c>
      <c r="H141" s="13">
        <v>0.32</v>
      </c>
      <c r="I141" s="14">
        <v>7.2775999999999996</v>
      </c>
      <c r="J141" s="14" t="s">
        <v>20</v>
      </c>
      <c r="K141" s="15" t="s">
        <v>20</v>
      </c>
      <c r="L141" s="16" t="s">
        <v>20</v>
      </c>
    </row>
    <row r="142" spans="1:12" x14ac:dyDescent="0.25">
      <c r="A142" s="10" t="s">
        <v>20</v>
      </c>
      <c r="B142" s="11" t="s">
        <v>320</v>
      </c>
      <c r="C142" s="11">
        <v>7.06</v>
      </c>
      <c r="D142" s="11" t="s">
        <v>321</v>
      </c>
      <c r="E142" s="11" t="s">
        <v>299</v>
      </c>
      <c r="F142" s="12">
        <v>14500000</v>
      </c>
      <c r="G142" s="13">
        <v>14443.1</v>
      </c>
      <c r="H142" s="13">
        <v>0.24</v>
      </c>
      <c r="I142" s="14">
        <v>7.2842000000000002</v>
      </c>
      <c r="J142" s="14" t="s">
        <v>20</v>
      </c>
      <c r="K142" s="15" t="s">
        <v>20</v>
      </c>
      <c r="L142" s="16" t="s">
        <v>20</v>
      </c>
    </row>
    <row r="143" spans="1:12" x14ac:dyDescent="0.25">
      <c r="A143" s="10" t="s">
        <v>20</v>
      </c>
      <c r="B143" s="11" t="s">
        <v>322</v>
      </c>
      <c r="C143" s="11">
        <v>6.79</v>
      </c>
      <c r="D143" s="11" t="s">
        <v>323</v>
      </c>
      <c r="E143" s="11" t="s">
        <v>299</v>
      </c>
      <c r="F143" s="12">
        <v>6500000</v>
      </c>
      <c r="G143" s="13">
        <v>6418.91</v>
      </c>
      <c r="H143" s="13">
        <v>0.11</v>
      </c>
      <c r="I143" s="14">
        <v>7.2957999999999998</v>
      </c>
      <c r="J143" s="14" t="s">
        <v>20</v>
      </c>
      <c r="K143" s="15" t="s">
        <v>20</v>
      </c>
      <c r="L143" s="16" t="s">
        <v>20</v>
      </c>
    </row>
    <row r="144" spans="1:12" x14ac:dyDescent="0.25">
      <c r="A144" s="10" t="s">
        <v>20</v>
      </c>
      <c r="B144" s="11" t="s">
        <v>324</v>
      </c>
      <c r="C144" s="11">
        <v>7.35</v>
      </c>
      <c r="D144" s="11" t="s">
        <v>325</v>
      </c>
      <c r="E144" s="11" t="s">
        <v>299</v>
      </c>
      <c r="F144" s="12">
        <v>3000000</v>
      </c>
      <c r="G144" s="13">
        <v>3011.33</v>
      </c>
      <c r="H144" s="13">
        <v>0.05</v>
      </c>
      <c r="I144" s="14">
        <v>7.0126999999999997</v>
      </c>
      <c r="J144" s="14" t="s">
        <v>20</v>
      </c>
      <c r="K144" s="15" t="s">
        <v>20</v>
      </c>
      <c r="L144" s="16" t="s">
        <v>20</v>
      </c>
    </row>
    <row r="145" spans="1:12" x14ac:dyDescent="0.25">
      <c r="A145" s="10" t="s">
        <v>20</v>
      </c>
      <c r="B145" s="11" t="s">
        <v>326</v>
      </c>
      <c r="C145" s="11">
        <v>6.97</v>
      </c>
      <c r="D145" s="11" t="s">
        <v>327</v>
      </c>
      <c r="E145" s="11" t="s">
        <v>299</v>
      </c>
      <c r="F145" s="12">
        <v>2500000</v>
      </c>
      <c r="G145" s="13">
        <v>2489.5</v>
      </c>
      <c r="H145" s="13">
        <v>0.04</v>
      </c>
      <c r="I145" s="14">
        <v>7.2466999999999997</v>
      </c>
      <c r="J145" s="14" t="s">
        <v>20</v>
      </c>
      <c r="K145" s="15" t="s">
        <v>20</v>
      </c>
      <c r="L145" s="16" t="s">
        <v>20</v>
      </c>
    </row>
    <row r="146" spans="1:12" x14ac:dyDescent="0.25">
      <c r="A146" s="10" t="s">
        <v>20</v>
      </c>
      <c r="B146" s="11" t="s">
        <v>328</v>
      </c>
      <c r="C146" s="11" t="s">
        <v>20</v>
      </c>
      <c r="D146" s="11" t="s">
        <v>329</v>
      </c>
      <c r="E146" s="11" t="s">
        <v>299</v>
      </c>
      <c r="F146" s="12">
        <v>1897500</v>
      </c>
      <c r="G146" s="13">
        <v>1340.5</v>
      </c>
      <c r="H146" s="13">
        <v>0.02</v>
      </c>
      <c r="I146" s="14">
        <v>7.3841999999999999</v>
      </c>
      <c r="J146" s="14" t="s">
        <v>20</v>
      </c>
      <c r="K146" s="15" t="s">
        <v>20</v>
      </c>
      <c r="L146" s="16" t="s">
        <v>20</v>
      </c>
    </row>
    <row r="147" spans="1:12" x14ac:dyDescent="0.25">
      <c r="A147" s="8"/>
      <c r="B147" s="9" t="s">
        <v>330</v>
      </c>
      <c r="C147" s="8"/>
      <c r="D147" s="8"/>
      <c r="E147" s="8"/>
      <c r="F147" s="8"/>
      <c r="G147" s="8"/>
      <c r="H147" s="8"/>
      <c r="I147" s="8"/>
      <c r="J147" s="8"/>
      <c r="K147" s="8"/>
      <c r="L147" s="8"/>
    </row>
    <row r="148" spans="1:12" x14ac:dyDescent="0.25">
      <c r="A148" s="10" t="s">
        <v>20</v>
      </c>
      <c r="B148" s="11" t="s">
        <v>331</v>
      </c>
      <c r="C148" s="11">
        <v>6.43</v>
      </c>
      <c r="D148" s="11" t="s">
        <v>332</v>
      </c>
      <c r="E148" s="11" t="s">
        <v>333</v>
      </c>
      <c r="F148" s="12">
        <v>3200</v>
      </c>
      <c r="G148" s="13">
        <v>31162.27</v>
      </c>
      <c r="H148" s="13">
        <v>0.51</v>
      </c>
      <c r="I148" s="14">
        <v>7.7750000000000004</v>
      </c>
      <c r="J148" s="14" t="s">
        <v>20</v>
      </c>
      <c r="K148" s="15" t="s">
        <v>20</v>
      </c>
      <c r="L148" s="16" t="s">
        <v>20</v>
      </c>
    </row>
    <row r="149" spans="1:12" x14ac:dyDescent="0.25">
      <c r="A149" s="10" t="s">
        <v>20</v>
      </c>
      <c r="B149" s="11" t="s">
        <v>334</v>
      </c>
      <c r="C149" s="11">
        <v>7.97</v>
      </c>
      <c r="D149" s="11" t="s">
        <v>332</v>
      </c>
      <c r="E149" s="11" t="s">
        <v>333</v>
      </c>
      <c r="F149" s="12">
        <v>25000</v>
      </c>
      <c r="G149" s="13">
        <v>25257.15</v>
      </c>
      <c r="H149" s="13">
        <v>0.42</v>
      </c>
      <c r="I149" s="14">
        <v>7.8</v>
      </c>
      <c r="J149" s="14" t="s">
        <v>20</v>
      </c>
      <c r="K149" s="15" t="s">
        <v>20</v>
      </c>
      <c r="L149" s="16" t="s">
        <v>20</v>
      </c>
    </row>
    <row r="150" spans="1:12" x14ac:dyDescent="0.25">
      <c r="A150" s="10" t="s">
        <v>20</v>
      </c>
      <c r="B150" s="11" t="s">
        <v>335</v>
      </c>
      <c r="C150" s="11">
        <v>7.4</v>
      </c>
      <c r="D150" s="11" t="s">
        <v>336</v>
      </c>
      <c r="E150" s="11" t="s">
        <v>333</v>
      </c>
      <c r="F150" s="12">
        <v>2500</v>
      </c>
      <c r="G150" s="13">
        <v>24873.03</v>
      </c>
      <c r="H150" s="13">
        <v>0.41</v>
      </c>
      <c r="I150" s="14">
        <v>7.6</v>
      </c>
      <c r="J150" s="14" t="s">
        <v>20</v>
      </c>
      <c r="K150" s="15" t="s">
        <v>20</v>
      </c>
      <c r="L150" s="16" t="s">
        <v>20</v>
      </c>
    </row>
    <row r="151" spans="1:12" x14ac:dyDescent="0.25">
      <c r="A151" s="10" t="s">
        <v>20</v>
      </c>
      <c r="B151" s="11" t="s">
        <v>337</v>
      </c>
      <c r="C151" s="11">
        <v>7.54</v>
      </c>
      <c r="D151" s="11" t="s">
        <v>338</v>
      </c>
      <c r="E151" s="11" t="s">
        <v>339</v>
      </c>
      <c r="F151" s="12">
        <v>2500</v>
      </c>
      <c r="G151" s="13">
        <v>24971.35</v>
      </c>
      <c r="H151" s="13">
        <v>0.41</v>
      </c>
      <c r="I151" s="14">
        <v>7.5750000000000002</v>
      </c>
      <c r="J151" s="14" t="s">
        <v>20</v>
      </c>
      <c r="K151" s="15" t="s">
        <v>20</v>
      </c>
      <c r="L151" s="16" t="s">
        <v>20</v>
      </c>
    </row>
    <row r="152" spans="1:12" x14ac:dyDescent="0.25">
      <c r="A152" s="10" t="s">
        <v>20</v>
      </c>
      <c r="B152" s="11" t="s">
        <v>340</v>
      </c>
      <c r="C152" s="11">
        <v>8.99</v>
      </c>
      <c r="D152" s="11" t="s">
        <v>341</v>
      </c>
      <c r="E152" s="11" t="s">
        <v>342</v>
      </c>
      <c r="F152" s="12">
        <v>2110</v>
      </c>
      <c r="G152" s="13">
        <v>21291.59</v>
      </c>
      <c r="H152" s="13">
        <v>0.35</v>
      </c>
      <c r="I152" s="14">
        <v>8.9049999999999994</v>
      </c>
      <c r="J152" s="14">
        <v>8.2060999999999993</v>
      </c>
      <c r="K152" s="15" t="s">
        <v>20</v>
      </c>
      <c r="L152" s="16" t="s">
        <v>20</v>
      </c>
    </row>
    <row r="153" spans="1:12" x14ac:dyDescent="0.25">
      <c r="A153" s="10" t="s">
        <v>20</v>
      </c>
      <c r="B153" s="11" t="s">
        <v>343</v>
      </c>
      <c r="C153" s="11">
        <v>7.75</v>
      </c>
      <c r="D153" s="11" t="s">
        <v>344</v>
      </c>
      <c r="E153" s="11" t="s">
        <v>333</v>
      </c>
      <c r="F153" s="12">
        <v>2000</v>
      </c>
      <c r="G153" s="13">
        <v>20047.88</v>
      </c>
      <c r="H153" s="13">
        <v>0.33</v>
      </c>
      <c r="I153" s="14">
        <v>7.4749999999999996</v>
      </c>
      <c r="J153" s="14" t="s">
        <v>20</v>
      </c>
      <c r="K153" s="15" t="s">
        <v>20</v>
      </c>
      <c r="L153" s="16" t="s">
        <v>20</v>
      </c>
    </row>
    <row r="154" spans="1:12" x14ac:dyDescent="0.25">
      <c r="A154" s="10" t="s">
        <v>20</v>
      </c>
      <c r="B154" s="11" t="s">
        <v>345</v>
      </c>
      <c r="C154" s="11">
        <v>7.49</v>
      </c>
      <c r="D154" s="11" t="s">
        <v>336</v>
      </c>
      <c r="E154" s="11" t="s">
        <v>333</v>
      </c>
      <c r="F154" s="12">
        <v>20000</v>
      </c>
      <c r="G154" s="13">
        <v>19942.560000000001</v>
      </c>
      <c r="H154" s="13">
        <v>0.33</v>
      </c>
      <c r="I154" s="14">
        <v>7.6050000000000004</v>
      </c>
      <c r="J154" s="14" t="s">
        <v>20</v>
      </c>
      <c r="K154" s="15" t="s">
        <v>20</v>
      </c>
      <c r="L154" s="16" t="s">
        <v>20</v>
      </c>
    </row>
    <row r="155" spans="1:12" x14ac:dyDescent="0.25">
      <c r="A155" s="10" t="s">
        <v>20</v>
      </c>
      <c r="B155" s="11" t="s">
        <v>346</v>
      </c>
      <c r="C155" s="11">
        <v>8</v>
      </c>
      <c r="D155" s="11" t="s">
        <v>347</v>
      </c>
      <c r="E155" s="11" t="s">
        <v>333</v>
      </c>
      <c r="F155" s="12">
        <v>2000</v>
      </c>
      <c r="G155" s="13">
        <v>19992.64</v>
      </c>
      <c r="H155" s="13">
        <v>0.33</v>
      </c>
      <c r="I155" s="14">
        <v>7.9950000000000001</v>
      </c>
      <c r="J155" s="14" t="s">
        <v>20</v>
      </c>
      <c r="K155" s="15" t="s">
        <v>20</v>
      </c>
      <c r="L155" s="16" t="s">
        <v>20</v>
      </c>
    </row>
    <row r="156" spans="1:12" x14ac:dyDescent="0.25">
      <c r="A156" s="10" t="s">
        <v>20</v>
      </c>
      <c r="B156" s="11" t="s">
        <v>348</v>
      </c>
      <c r="C156" s="11">
        <v>7.7</v>
      </c>
      <c r="D156" s="11" t="s">
        <v>21</v>
      </c>
      <c r="E156" s="11" t="s">
        <v>333</v>
      </c>
      <c r="F156" s="12">
        <v>1500</v>
      </c>
      <c r="G156" s="13">
        <v>14966.49</v>
      </c>
      <c r="H156" s="13">
        <v>0.25</v>
      </c>
      <c r="I156" s="14">
        <v>7.78</v>
      </c>
      <c r="J156" s="14" t="s">
        <v>20</v>
      </c>
      <c r="K156" s="15" t="s">
        <v>20</v>
      </c>
      <c r="L156" s="16" t="s">
        <v>20</v>
      </c>
    </row>
    <row r="157" spans="1:12" x14ac:dyDescent="0.25">
      <c r="A157" s="10" t="s">
        <v>20</v>
      </c>
      <c r="B157" s="11" t="s">
        <v>349</v>
      </c>
      <c r="C157" s="11">
        <v>7.62</v>
      </c>
      <c r="D157" s="11" t="s">
        <v>350</v>
      </c>
      <c r="E157" s="11" t="s">
        <v>333</v>
      </c>
      <c r="F157" s="12">
        <v>15000</v>
      </c>
      <c r="G157" s="13">
        <v>14999.37</v>
      </c>
      <c r="H157" s="13">
        <v>0.25</v>
      </c>
      <c r="I157" s="14">
        <v>7.6</v>
      </c>
      <c r="J157" s="14" t="s">
        <v>20</v>
      </c>
      <c r="K157" s="15" t="s">
        <v>20</v>
      </c>
      <c r="L157" s="16" t="s">
        <v>20</v>
      </c>
    </row>
    <row r="158" spans="1:12" x14ac:dyDescent="0.25">
      <c r="A158" s="10" t="s">
        <v>20</v>
      </c>
      <c r="B158" s="11" t="s">
        <v>351</v>
      </c>
      <c r="C158" s="11">
        <v>8.9507999999999992</v>
      </c>
      <c r="D158" s="11" t="s">
        <v>352</v>
      </c>
      <c r="E158" s="11" t="s">
        <v>333</v>
      </c>
      <c r="F158" s="12">
        <v>1500</v>
      </c>
      <c r="G158" s="13">
        <v>15157.76</v>
      </c>
      <c r="H158" s="13">
        <v>0.25</v>
      </c>
      <c r="I158" s="14">
        <v>7.45</v>
      </c>
      <c r="J158" s="14" t="s">
        <v>20</v>
      </c>
      <c r="K158" s="15" t="s">
        <v>20</v>
      </c>
      <c r="L158" s="16" t="s">
        <v>20</v>
      </c>
    </row>
    <row r="159" spans="1:12" x14ac:dyDescent="0.25">
      <c r="A159" s="10" t="s">
        <v>20</v>
      </c>
      <c r="B159" s="11" t="s">
        <v>353</v>
      </c>
      <c r="C159" s="11">
        <v>7.55</v>
      </c>
      <c r="D159" s="11" t="s">
        <v>354</v>
      </c>
      <c r="E159" s="11" t="s">
        <v>333</v>
      </c>
      <c r="F159" s="12">
        <v>15000</v>
      </c>
      <c r="G159" s="13">
        <v>15020.78</v>
      </c>
      <c r="H159" s="13">
        <v>0.25</v>
      </c>
      <c r="I159" s="14">
        <v>7.49</v>
      </c>
      <c r="J159" s="14" t="s">
        <v>20</v>
      </c>
      <c r="K159" s="15" t="s">
        <v>20</v>
      </c>
      <c r="L159" s="16" t="s">
        <v>20</v>
      </c>
    </row>
    <row r="160" spans="1:12" x14ac:dyDescent="0.25">
      <c r="A160" s="10" t="s">
        <v>20</v>
      </c>
      <c r="B160" s="11" t="s">
        <v>355</v>
      </c>
      <c r="C160" s="11">
        <v>7.43</v>
      </c>
      <c r="D160" s="11" t="s">
        <v>338</v>
      </c>
      <c r="E160" s="11" t="s">
        <v>333</v>
      </c>
      <c r="F160" s="12">
        <v>12550</v>
      </c>
      <c r="G160" s="13">
        <v>12501.37</v>
      </c>
      <c r="H160" s="13">
        <v>0.21</v>
      </c>
      <c r="I160" s="14">
        <v>7.58</v>
      </c>
      <c r="J160" s="14" t="s">
        <v>20</v>
      </c>
      <c r="K160" s="15" t="s">
        <v>20</v>
      </c>
      <c r="L160" s="16" t="s">
        <v>20</v>
      </c>
    </row>
    <row r="161" spans="1:12" x14ac:dyDescent="0.25">
      <c r="A161" s="10" t="s">
        <v>20</v>
      </c>
      <c r="B161" s="11" t="s">
        <v>356</v>
      </c>
      <c r="C161" s="11">
        <v>7.96</v>
      </c>
      <c r="D161" s="11" t="s">
        <v>357</v>
      </c>
      <c r="E161" s="11" t="s">
        <v>333</v>
      </c>
      <c r="F161" s="12">
        <v>1099</v>
      </c>
      <c r="G161" s="13">
        <v>11203.55</v>
      </c>
      <c r="H161" s="13">
        <v>0.18</v>
      </c>
      <c r="I161" s="14">
        <v>7.58</v>
      </c>
      <c r="J161" s="14" t="s">
        <v>20</v>
      </c>
      <c r="K161" s="15" t="s">
        <v>20</v>
      </c>
      <c r="L161" s="16" t="s">
        <v>20</v>
      </c>
    </row>
    <row r="162" spans="1:12" x14ac:dyDescent="0.25">
      <c r="A162" s="10" t="s">
        <v>20</v>
      </c>
      <c r="B162" s="11" t="s">
        <v>358</v>
      </c>
      <c r="C162" s="11">
        <v>7.68</v>
      </c>
      <c r="D162" s="11" t="s">
        <v>359</v>
      </c>
      <c r="E162" s="11" t="s">
        <v>339</v>
      </c>
      <c r="F162" s="12">
        <v>10000</v>
      </c>
      <c r="G162" s="13">
        <v>10044.17</v>
      </c>
      <c r="H162" s="13">
        <v>0.17</v>
      </c>
      <c r="I162" s="14">
        <v>7.48</v>
      </c>
      <c r="J162" s="14" t="s">
        <v>20</v>
      </c>
      <c r="K162" s="15" t="s">
        <v>20</v>
      </c>
      <c r="L162" s="16" t="s">
        <v>20</v>
      </c>
    </row>
    <row r="163" spans="1:12" x14ac:dyDescent="0.25">
      <c r="A163" s="10" t="s">
        <v>20</v>
      </c>
      <c r="B163" s="11" t="s">
        <v>360</v>
      </c>
      <c r="C163" s="11">
        <v>7.82</v>
      </c>
      <c r="D163" s="11" t="s">
        <v>285</v>
      </c>
      <c r="E163" s="11" t="s">
        <v>333</v>
      </c>
      <c r="F163" s="12">
        <v>1000</v>
      </c>
      <c r="G163" s="13">
        <v>10013.629999999999</v>
      </c>
      <c r="H163" s="13">
        <v>0.17</v>
      </c>
      <c r="I163" s="14">
        <v>7.73</v>
      </c>
      <c r="J163" s="14" t="s">
        <v>20</v>
      </c>
      <c r="K163" s="15" t="s">
        <v>20</v>
      </c>
      <c r="L163" s="16" t="s">
        <v>20</v>
      </c>
    </row>
    <row r="164" spans="1:12" x14ac:dyDescent="0.25">
      <c r="A164" s="10" t="s">
        <v>20</v>
      </c>
      <c r="B164" s="11" t="s">
        <v>361</v>
      </c>
      <c r="C164" s="11">
        <v>7.75</v>
      </c>
      <c r="D164" s="11" t="s">
        <v>344</v>
      </c>
      <c r="E164" s="11" t="s">
        <v>333</v>
      </c>
      <c r="F164" s="12">
        <v>1000</v>
      </c>
      <c r="G164" s="13">
        <v>10011.58</v>
      </c>
      <c r="H164" s="13">
        <v>0.17</v>
      </c>
      <c r="I164" s="14">
        <v>7.7</v>
      </c>
      <c r="J164" s="14" t="s">
        <v>20</v>
      </c>
      <c r="K164" s="15" t="s">
        <v>20</v>
      </c>
      <c r="L164" s="16" t="s">
        <v>20</v>
      </c>
    </row>
    <row r="165" spans="1:12" x14ac:dyDescent="0.25">
      <c r="A165" s="10" t="s">
        <v>20</v>
      </c>
      <c r="B165" s="11" t="s">
        <v>362</v>
      </c>
      <c r="C165" s="11">
        <v>7.59</v>
      </c>
      <c r="D165" s="11" t="s">
        <v>40</v>
      </c>
      <c r="E165" s="11" t="s">
        <v>333</v>
      </c>
      <c r="F165" s="12">
        <v>1000</v>
      </c>
      <c r="G165" s="13">
        <v>10012.799999999999</v>
      </c>
      <c r="H165" s="13">
        <v>0.17</v>
      </c>
      <c r="I165" s="14">
        <v>7.5</v>
      </c>
      <c r="J165" s="14" t="s">
        <v>20</v>
      </c>
      <c r="K165" s="15" t="s">
        <v>20</v>
      </c>
      <c r="L165" s="16" t="s">
        <v>20</v>
      </c>
    </row>
    <row r="166" spans="1:12" x14ac:dyDescent="0.25">
      <c r="A166" s="10" t="s">
        <v>20</v>
      </c>
      <c r="B166" s="11" t="s">
        <v>363</v>
      </c>
      <c r="C166" s="11">
        <v>7.75</v>
      </c>
      <c r="D166" s="11" t="s">
        <v>338</v>
      </c>
      <c r="E166" s="11" t="s">
        <v>339</v>
      </c>
      <c r="F166" s="12">
        <v>1000</v>
      </c>
      <c r="G166" s="13">
        <v>10032.040000000001</v>
      </c>
      <c r="H166" s="13">
        <v>0.17</v>
      </c>
      <c r="I166" s="14">
        <v>7.57</v>
      </c>
      <c r="J166" s="14" t="s">
        <v>20</v>
      </c>
      <c r="K166" s="15" t="s">
        <v>20</v>
      </c>
      <c r="L166" s="16" t="s">
        <v>20</v>
      </c>
    </row>
    <row r="167" spans="1:12" x14ac:dyDescent="0.25">
      <c r="A167" s="10" t="s">
        <v>20</v>
      </c>
      <c r="B167" s="11" t="s">
        <v>364</v>
      </c>
      <c r="C167" s="11">
        <v>6.11</v>
      </c>
      <c r="D167" s="11" t="s">
        <v>365</v>
      </c>
      <c r="E167" s="11" t="s">
        <v>333</v>
      </c>
      <c r="F167" s="12">
        <v>1000</v>
      </c>
      <c r="G167" s="13">
        <v>9760.56</v>
      </c>
      <c r="H167" s="13">
        <v>0.16</v>
      </c>
      <c r="I167" s="14">
        <v>7.4850000000000003</v>
      </c>
      <c r="J167" s="14" t="s">
        <v>20</v>
      </c>
      <c r="K167" s="15" t="s">
        <v>20</v>
      </c>
      <c r="L167" s="16" t="s">
        <v>20</v>
      </c>
    </row>
    <row r="168" spans="1:12" x14ac:dyDescent="0.25">
      <c r="A168" s="10" t="s">
        <v>20</v>
      </c>
      <c r="B168" s="11" t="s">
        <v>366</v>
      </c>
      <c r="C168" s="11">
        <v>7.8</v>
      </c>
      <c r="D168" s="11" t="s">
        <v>21</v>
      </c>
      <c r="E168" s="11" t="s">
        <v>333</v>
      </c>
      <c r="F168" s="12">
        <v>10000</v>
      </c>
      <c r="G168" s="13">
        <v>9999.33</v>
      </c>
      <c r="H168" s="13">
        <v>0.16</v>
      </c>
      <c r="I168" s="14">
        <v>7.78</v>
      </c>
      <c r="J168" s="14" t="s">
        <v>20</v>
      </c>
      <c r="K168" s="15" t="s">
        <v>20</v>
      </c>
      <c r="L168" s="16" t="s">
        <v>20</v>
      </c>
    </row>
    <row r="169" spans="1:12" x14ac:dyDescent="0.25">
      <c r="A169" s="10" t="s">
        <v>20</v>
      </c>
      <c r="B169" s="11" t="s">
        <v>367</v>
      </c>
      <c r="C169" s="11">
        <v>8.1083999999999996</v>
      </c>
      <c r="D169" s="11" t="s">
        <v>368</v>
      </c>
      <c r="E169" s="11" t="s">
        <v>333</v>
      </c>
      <c r="F169" s="12">
        <v>9900</v>
      </c>
      <c r="G169" s="13">
        <v>9924.59</v>
      </c>
      <c r="H169" s="13">
        <v>0.16</v>
      </c>
      <c r="I169" s="14">
        <v>8.01</v>
      </c>
      <c r="J169" s="14" t="s">
        <v>20</v>
      </c>
      <c r="K169" s="15" t="s">
        <v>20</v>
      </c>
      <c r="L169" s="16" t="s">
        <v>20</v>
      </c>
    </row>
    <row r="170" spans="1:12" x14ac:dyDescent="0.25">
      <c r="A170" s="10" t="s">
        <v>20</v>
      </c>
      <c r="B170" s="11" t="s">
        <v>369</v>
      </c>
      <c r="C170" s="11">
        <v>7.7</v>
      </c>
      <c r="D170" s="11" t="s">
        <v>344</v>
      </c>
      <c r="E170" s="11" t="s">
        <v>333</v>
      </c>
      <c r="F170" s="12">
        <v>1000</v>
      </c>
      <c r="G170" s="13">
        <v>10003.09</v>
      </c>
      <c r="H170" s="13">
        <v>0.16</v>
      </c>
      <c r="I170" s="14">
        <v>7.68</v>
      </c>
      <c r="J170" s="14" t="s">
        <v>20</v>
      </c>
      <c r="K170" s="15" t="s">
        <v>20</v>
      </c>
      <c r="L170" s="16" t="s">
        <v>20</v>
      </c>
    </row>
    <row r="171" spans="1:12" x14ac:dyDescent="0.25">
      <c r="A171" s="10" t="s">
        <v>20</v>
      </c>
      <c r="B171" s="11" t="s">
        <v>370</v>
      </c>
      <c r="C171" s="11">
        <v>7.5</v>
      </c>
      <c r="D171" s="11" t="s">
        <v>336</v>
      </c>
      <c r="E171" s="11" t="s">
        <v>333</v>
      </c>
      <c r="F171" s="12">
        <v>10000</v>
      </c>
      <c r="G171" s="13">
        <v>9973.1200000000008</v>
      </c>
      <c r="H171" s="13">
        <v>0.16</v>
      </c>
      <c r="I171" s="14">
        <v>7.6050000000000004</v>
      </c>
      <c r="J171" s="14" t="s">
        <v>20</v>
      </c>
      <c r="K171" s="15" t="s">
        <v>20</v>
      </c>
      <c r="L171" s="16" t="s">
        <v>20</v>
      </c>
    </row>
    <row r="172" spans="1:12" x14ac:dyDescent="0.25">
      <c r="A172" s="10" t="s">
        <v>20</v>
      </c>
      <c r="B172" s="11" t="s">
        <v>371</v>
      </c>
      <c r="C172" s="11">
        <v>7.58</v>
      </c>
      <c r="D172" s="11" t="s">
        <v>336</v>
      </c>
      <c r="E172" s="11" t="s">
        <v>333</v>
      </c>
      <c r="F172" s="12">
        <v>10000</v>
      </c>
      <c r="G172" s="13">
        <v>9993.4500000000007</v>
      </c>
      <c r="H172" s="13">
        <v>0.16</v>
      </c>
      <c r="I172" s="14">
        <v>7.6050000000000004</v>
      </c>
      <c r="J172" s="14" t="s">
        <v>20</v>
      </c>
      <c r="K172" s="15" t="s">
        <v>20</v>
      </c>
      <c r="L172" s="16" t="s">
        <v>20</v>
      </c>
    </row>
    <row r="173" spans="1:12" x14ac:dyDescent="0.25">
      <c r="A173" s="10" t="s">
        <v>20</v>
      </c>
      <c r="B173" s="11" t="s">
        <v>372</v>
      </c>
      <c r="C173" s="11">
        <v>7.44</v>
      </c>
      <c r="D173" s="11" t="s">
        <v>357</v>
      </c>
      <c r="E173" s="11" t="s">
        <v>373</v>
      </c>
      <c r="F173" s="12">
        <v>10000</v>
      </c>
      <c r="G173" s="13">
        <v>9987.1</v>
      </c>
      <c r="H173" s="13">
        <v>0.16</v>
      </c>
      <c r="I173" s="14">
        <v>7.4850000000000003</v>
      </c>
      <c r="J173" s="14" t="s">
        <v>20</v>
      </c>
      <c r="K173" s="15" t="s">
        <v>20</v>
      </c>
      <c r="L173" s="16" t="s">
        <v>20</v>
      </c>
    </row>
    <row r="174" spans="1:12" x14ac:dyDescent="0.25">
      <c r="A174" s="10" t="s">
        <v>20</v>
      </c>
      <c r="B174" s="11" t="s">
        <v>374</v>
      </c>
      <c r="C174" s="11">
        <v>7.44</v>
      </c>
      <c r="D174" s="11" t="s">
        <v>338</v>
      </c>
      <c r="E174" s="11" t="s">
        <v>333</v>
      </c>
      <c r="F174" s="12">
        <v>10000</v>
      </c>
      <c r="G174" s="13">
        <v>9964.16</v>
      </c>
      <c r="H174" s="13">
        <v>0.16</v>
      </c>
      <c r="I174" s="14">
        <v>7.58</v>
      </c>
      <c r="J174" s="14" t="s">
        <v>20</v>
      </c>
      <c r="K174" s="15" t="s">
        <v>20</v>
      </c>
      <c r="L174" s="16" t="s">
        <v>20</v>
      </c>
    </row>
    <row r="175" spans="1:12" x14ac:dyDescent="0.25">
      <c r="A175" s="10" t="s">
        <v>20</v>
      </c>
      <c r="B175" s="11" t="s">
        <v>375</v>
      </c>
      <c r="C175" s="11">
        <v>6.24</v>
      </c>
      <c r="D175" s="11" t="s">
        <v>376</v>
      </c>
      <c r="E175" s="11" t="s">
        <v>333</v>
      </c>
      <c r="F175" s="12">
        <v>1000</v>
      </c>
      <c r="G175" s="13">
        <v>9663.41</v>
      </c>
      <c r="H175" s="13">
        <v>0.16</v>
      </c>
      <c r="I175" s="14">
        <v>6.85</v>
      </c>
      <c r="J175" s="14">
        <v>8.0030000000000001</v>
      </c>
      <c r="K175" s="15" t="s">
        <v>20</v>
      </c>
      <c r="L175" s="16" t="s">
        <v>20</v>
      </c>
    </row>
    <row r="176" spans="1:12" x14ac:dyDescent="0.25">
      <c r="A176" s="10" t="s">
        <v>20</v>
      </c>
      <c r="B176" s="11" t="s">
        <v>377</v>
      </c>
      <c r="C176" s="11">
        <v>5.83</v>
      </c>
      <c r="D176" s="11" t="s">
        <v>376</v>
      </c>
      <c r="E176" s="11" t="s">
        <v>333</v>
      </c>
      <c r="F176" s="12">
        <v>1000</v>
      </c>
      <c r="G176" s="13">
        <v>9563.32</v>
      </c>
      <c r="H176" s="13">
        <v>0.16</v>
      </c>
      <c r="I176" s="14">
        <v>6.6050000000000004</v>
      </c>
      <c r="J176" s="14">
        <v>8.0258000000000003</v>
      </c>
      <c r="K176" s="15" t="s">
        <v>20</v>
      </c>
      <c r="L176" s="16" t="s">
        <v>20</v>
      </c>
    </row>
    <row r="177" spans="1:12" x14ac:dyDescent="0.25">
      <c r="A177" s="10" t="s">
        <v>20</v>
      </c>
      <c r="B177" s="11" t="s">
        <v>378</v>
      </c>
      <c r="C177" s="11">
        <v>7.49</v>
      </c>
      <c r="D177" s="11" t="s">
        <v>379</v>
      </c>
      <c r="E177" s="11" t="s">
        <v>333</v>
      </c>
      <c r="F177" s="12">
        <v>750</v>
      </c>
      <c r="G177" s="13">
        <v>7505.87</v>
      </c>
      <c r="H177" s="13">
        <v>0.12</v>
      </c>
      <c r="I177" s="14">
        <v>7.4550000000000001</v>
      </c>
      <c r="J177" s="14" t="s">
        <v>20</v>
      </c>
      <c r="K177" s="15" t="s">
        <v>20</v>
      </c>
      <c r="L177" s="16" t="s">
        <v>20</v>
      </c>
    </row>
    <row r="178" spans="1:12" x14ac:dyDescent="0.25">
      <c r="A178" s="10" t="s">
        <v>20</v>
      </c>
      <c r="B178" s="11" t="s">
        <v>380</v>
      </c>
      <c r="C178" s="11">
        <v>9.6999999999999993</v>
      </c>
      <c r="D178" s="11" t="s">
        <v>381</v>
      </c>
      <c r="E178" s="11" t="s">
        <v>382</v>
      </c>
      <c r="F178" s="12">
        <v>750</v>
      </c>
      <c r="G178" s="13">
        <v>7508.26</v>
      </c>
      <c r="H178" s="13">
        <v>0.12</v>
      </c>
      <c r="I178" s="14">
        <v>7.3550000000000004</v>
      </c>
      <c r="J178" s="14" t="s">
        <v>20</v>
      </c>
      <c r="K178" s="15" t="s">
        <v>20</v>
      </c>
      <c r="L178" s="16" t="s">
        <v>20</v>
      </c>
    </row>
    <row r="179" spans="1:12" x14ac:dyDescent="0.25">
      <c r="A179" s="10" t="s">
        <v>20</v>
      </c>
      <c r="B179" s="11" t="s">
        <v>383</v>
      </c>
      <c r="C179" s="11">
        <v>7.89</v>
      </c>
      <c r="D179" s="11" t="s">
        <v>384</v>
      </c>
      <c r="E179" s="11" t="s">
        <v>333</v>
      </c>
      <c r="F179" s="12">
        <v>600</v>
      </c>
      <c r="G179" s="13">
        <v>6002.95</v>
      </c>
      <c r="H179" s="13">
        <v>0.1</v>
      </c>
      <c r="I179" s="14">
        <v>7.835</v>
      </c>
      <c r="J179" s="14" t="s">
        <v>20</v>
      </c>
      <c r="K179" s="15" t="s">
        <v>20</v>
      </c>
      <c r="L179" s="16" t="s">
        <v>20</v>
      </c>
    </row>
    <row r="180" spans="1:12" x14ac:dyDescent="0.25">
      <c r="A180" s="10" t="s">
        <v>20</v>
      </c>
      <c r="B180" s="11" t="s">
        <v>385</v>
      </c>
      <c r="C180" s="11">
        <v>8.4</v>
      </c>
      <c r="D180" s="11" t="s">
        <v>386</v>
      </c>
      <c r="E180" s="11" t="s">
        <v>333</v>
      </c>
      <c r="F180" s="12">
        <v>550</v>
      </c>
      <c r="G180" s="13">
        <v>5545.73</v>
      </c>
      <c r="H180" s="13">
        <v>0.09</v>
      </c>
      <c r="I180" s="14">
        <v>8.0250000000000004</v>
      </c>
      <c r="J180" s="14" t="s">
        <v>20</v>
      </c>
      <c r="K180" s="15" t="s">
        <v>20</v>
      </c>
      <c r="L180" s="16" t="s">
        <v>20</v>
      </c>
    </row>
    <row r="181" spans="1:12" x14ac:dyDescent="0.25">
      <c r="A181" s="10" t="s">
        <v>20</v>
      </c>
      <c r="B181" s="11" t="s">
        <v>387</v>
      </c>
      <c r="C181" s="11">
        <v>9.5</v>
      </c>
      <c r="D181" s="11" t="s">
        <v>388</v>
      </c>
      <c r="E181" s="11" t="s">
        <v>389</v>
      </c>
      <c r="F181" s="12">
        <v>500</v>
      </c>
      <c r="G181" s="13">
        <v>5237.84</v>
      </c>
      <c r="H181" s="13">
        <v>0.09</v>
      </c>
      <c r="I181" s="14">
        <v>9.0649999999999995</v>
      </c>
      <c r="J181" s="14">
        <v>7.7218999999999998</v>
      </c>
      <c r="K181" s="15" t="s">
        <v>20</v>
      </c>
      <c r="L181" s="16" t="s">
        <v>20</v>
      </c>
    </row>
    <row r="182" spans="1:12" x14ac:dyDescent="0.25">
      <c r="A182" s="10" t="s">
        <v>20</v>
      </c>
      <c r="B182" s="11" t="s">
        <v>390</v>
      </c>
      <c r="C182" s="11">
        <v>8.11</v>
      </c>
      <c r="D182" s="11" t="s">
        <v>391</v>
      </c>
      <c r="E182" s="11" t="s">
        <v>333</v>
      </c>
      <c r="F182" s="12">
        <v>500</v>
      </c>
      <c r="G182" s="13">
        <v>5049.6099999999997</v>
      </c>
      <c r="H182" s="13">
        <v>0.08</v>
      </c>
      <c r="I182" s="14">
        <v>7.3449999999999998</v>
      </c>
      <c r="J182" s="14" t="s">
        <v>20</v>
      </c>
      <c r="K182" s="15" t="s">
        <v>20</v>
      </c>
      <c r="L182" s="16" t="s">
        <v>20</v>
      </c>
    </row>
    <row r="183" spans="1:12" x14ac:dyDescent="0.25">
      <c r="A183" s="10" t="s">
        <v>20</v>
      </c>
      <c r="B183" s="11" t="s">
        <v>392</v>
      </c>
      <c r="C183" s="11">
        <v>7.5</v>
      </c>
      <c r="D183" s="11" t="s">
        <v>393</v>
      </c>
      <c r="E183" s="11" t="s">
        <v>333</v>
      </c>
      <c r="F183" s="12">
        <v>500</v>
      </c>
      <c r="G183" s="13">
        <v>4987.82</v>
      </c>
      <c r="H183" s="13">
        <v>0.08</v>
      </c>
      <c r="I183" s="14">
        <v>7.5650000000000004</v>
      </c>
      <c r="J183" s="14" t="s">
        <v>20</v>
      </c>
      <c r="K183" s="15" t="s">
        <v>20</v>
      </c>
      <c r="L183" s="16" t="s">
        <v>20</v>
      </c>
    </row>
    <row r="184" spans="1:12" x14ac:dyDescent="0.25">
      <c r="A184" s="10" t="s">
        <v>20</v>
      </c>
      <c r="B184" s="11" t="s">
        <v>394</v>
      </c>
      <c r="C184" s="11">
        <v>7.63</v>
      </c>
      <c r="D184" s="11" t="s">
        <v>393</v>
      </c>
      <c r="E184" s="11" t="s">
        <v>333</v>
      </c>
      <c r="F184" s="12">
        <v>500</v>
      </c>
      <c r="G184" s="13">
        <v>5008.55</v>
      </c>
      <c r="H184" s="13">
        <v>0.08</v>
      </c>
      <c r="I184" s="14">
        <v>7.5650000000000004</v>
      </c>
      <c r="J184" s="14" t="s">
        <v>20</v>
      </c>
      <c r="K184" s="15" t="s">
        <v>20</v>
      </c>
      <c r="L184" s="16" t="s">
        <v>20</v>
      </c>
    </row>
    <row r="185" spans="1:12" x14ac:dyDescent="0.25">
      <c r="A185" s="10" t="s">
        <v>20</v>
      </c>
      <c r="B185" s="11" t="s">
        <v>395</v>
      </c>
      <c r="C185" s="11">
        <v>7.45</v>
      </c>
      <c r="D185" s="11" t="s">
        <v>379</v>
      </c>
      <c r="E185" s="11" t="s">
        <v>333</v>
      </c>
      <c r="F185" s="12">
        <v>5000</v>
      </c>
      <c r="G185" s="13">
        <v>4999.03</v>
      </c>
      <c r="H185" s="13">
        <v>0.08</v>
      </c>
      <c r="I185" s="14">
        <v>7.47</v>
      </c>
      <c r="J185" s="14" t="s">
        <v>20</v>
      </c>
      <c r="K185" s="15" t="s">
        <v>20</v>
      </c>
      <c r="L185" s="16" t="s">
        <v>20</v>
      </c>
    </row>
    <row r="186" spans="1:12" x14ac:dyDescent="0.25">
      <c r="A186" s="10" t="s">
        <v>20</v>
      </c>
      <c r="B186" s="11" t="s">
        <v>396</v>
      </c>
      <c r="C186" s="11">
        <v>7.41</v>
      </c>
      <c r="D186" s="11" t="s">
        <v>379</v>
      </c>
      <c r="E186" s="11" t="s">
        <v>333</v>
      </c>
      <c r="F186" s="12">
        <v>5000</v>
      </c>
      <c r="G186" s="13">
        <v>5000.08</v>
      </c>
      <c r="H186" s="13">
        <v>0.08</v>
      </c>
      <c r="I186" s="14">
        <v>7.4349999999999996</v>
      </c>
      <c r="J186" s="14" t="s">
        <v>20</v>
      </c>
      <c r="K186" s="15" t="s">
        <v>20</v>
      </c>
      <c r="L186" s="16" t="s">
        <v>20</v>
      </c>
    </row>
    <row r="187" spans="1:12" x14ac:dyDescent="0.25">
      <c r="A187" s="10" t="s">
        <v>20</v>
      </c>
      <c r="B187" s="11" t="s">
        <v>397</v>
      </c>
      <c r="C187" s="11">
        <v>7.7</v>
      </c>
      <c r="D187" s="11" t="s">
        <v>354</v>
      </c>
      <c r="E187" s="11" t="s">
        <v>333</v>
      </c>
      <c r="F187" s="12">
        <v>5000</v>
      </c>
      <c r="G187" s="13">
        <v>5027.9799999999996</v>
      </c>
      <c r="H187" s="13">
        <v>0.08</v>
      </c>
      <c r="I187" s="14">
        <v>7.49</v>
      </c>
      <c r="J187" s="14" t="s">
        <v>20</v>
      </c>
      <c r="K187" s="15" t="s">
        <v>20</v>
      </c>
      <c r="L187" s="16" t="s">
        <v>20</v>
      </c>
    </row>
    <row r="188" spans="1:12" x14ac:dyDescent="0.25">
      <c r="A188" s="10" t="s">
        <v>20</v>
      </c>
      <c r="B188" s="11" t="s">
        <v>398</v>
      </c>
      <c r="C188" s="11">
        <v>7.3</v>
      </c>
      <c r="D188" s="11" t="s">
        <v>271</v>
      </c>
      <c r="E188" s="11" t="s">
        <v>333</v>
      </c>
      <c r="F188" s="12">
        <v>500</v>
      </c>
      <c r="G188" s="13">
        <v>4977.41</v>
      </c>
      <c r="H188" s="13">
        <v>0.08</v>
      </c>
      <c r="I188" s="14">
        <v>7.43</v>
      </c>
      <c r="J188" s="14" t="s">
        <v>20</v>
      </c>
      <c r="K188" s="15" t="s">
        <v>20</v>
      </c>
      <c r="L188" s="16" t="s">
        <v>20</v>
      </c>
    </row>
    <row r="189" spans="1:12" x14ac:dyDescent="0.25">
      <c r="A189" s="10" t="s">
        <v>20</v>
      </c>
      <c r="B189" s="11" t="s">
        <v>399</v>
      </c>
      <c r="C189" s="11">
        <v>7.99</v>
      </c>
      <c r="D189" s="11" t="s">
        <v>376</v>
      </c>
      <c r="E189" s="11" t="s">
        <v>333</v>
      </c>
      <c r="F189" s="12">
        <v>400</v>
      </c>
      <c r="G189" s="13">
        <v>3997.57</v>
      </c>
      <c r="H189" s="13">
        <v>7.0000000000000007E-2</v>
      </c>
      <c r="I189" s="14">
        <v>8</v>
      </c>
      <c r="J189" s="14">
        <v>8.0023999999999997</v>
      </c>
      <c r="K189" s="15" t="s">
        <v>20</v>
      </c>
      <c r="L189" s="16" t="s">
        <v>20</v>
      </c>
    </row>
    <row r="190" spans="1:12" x14ac:dyDescent="0.25">
      <c r="A190" s="10" t="s">
        <v>20</v>
      </c>
      <c r="B190" s="11" t="s">
        <v>400</v>
      </c>
      <c r="C190" s="11">
        <v>7.33</v>
      </c>
      <c r="D190" s="11" t="s">
        <v>344</v>
      </c>
      <c r="E190" s="11" t="s">
        <v>333</v>
      </c>
      <c r="F190" s="12">
        <v>250</v>
      </c>
      <c r="G190" s="13">
        <v>2486.09</v>
      </c>
      <c r="H190" s="13">
        <v>0.04</v>
      </c>
      <c r="I190" s="14">
        <v>7.68</v>
      </c>
      <c r="J190" s="14" t="s">
        <v>20</v>
      </c>
      <c r="K190" s="15" t="s">
        <v>20</v>
      </c>
      <c r="L190" s="16" t="s">
        <v>20</v>
      </c>
    </row>
    <row r="191" spans="1:12" x14ac:dyDescent="0.25">
      <c r="A191" s="10" t="s">
        <v>20</v>
      </c>
      <c r="B191" s="11" t="s">
        <v>401</v>
      </c>
      <c r="C191" s="11">
        <v>8.6999999999999993</v>
      </c>
      <c r="D191" s="11" t="s">
        <v>341</v>
      </c>
      <c r="E191" s="11" t="s">
        <v>342</v>
      </c>
      <c r="F191" s="12">
        <v>50</v>
      </c>
      <c r="G191" s="13">
        <v>502.4</v>
      </c>
      <c r="H191" s="13">
        <v>0.01</v>
      </c>
      <c r="I191" s="14">
        <v>8.6549999999999994</v>
      </c>
      <c r="J191" s="14">
        <v>8.2464999999999993</v>
      </c>
      <c r="K191" s="15" t="s">
        <v>20</v>
      </c>
      <c r="L191" s="16" t="s">
        <v>20</v>
      </c>
    </row>
    <row r="192" spans="1:12" x14ac:dyDescent="0.25">
      <c r="A192" s="17"/>
      <c r="B192" s="9" t="s">
        <v>293</v>
      </c>
      <c r="C192" s="17"/>
      <c r="D192" s="17"/>
      <c r="E192" s="17"/>
      <c r="F192" s="17"/>
      <c r="G192" s="18">
        <v>1473052.4800000009</v>
      </c>
      <c r="H192" s="18">
        <v>24.26</v>
      </c>
      <c r="I192" s="17"/>
      <c r="J192" s="17"/>
      <c r="K192" s="17"/>
      <c r="L192" s="17"/>
    </row>
    <row r="193" spans="1:12" x14ac:dyDescent="0.25">
      <c r="A193" s="8"/>
      <c r="B193" s="9" t="s">
        <v>294</v>
      </c>
      <c r="C193" s="8"/>
      <c r="D193" s="8"/>
      <c r="E193" s="8"/>
      <c r="F193" s="8"/>
      <c r="G193" s="18">
        <v>1473052.4800000009</v>
      </c>
      <c r="H193" s="18">
        <v>24.26</v>
      </c>
      <c r="I193" s="8"/>
      <c r="J193" s="8"/>
      <c r="K193" s="8"/>
      <c r="L193" s="8"/>
    </row>
    <row r="194" spans="1:12" x14ac:dyDescent="0.25">
      <c r="A194" s="8"/>
      <c r="B194" s="9" t="s">
        <v>402</v>
      </c>
      <c r="C194" s="8"/>
      <c r="D194" s="8"/>
      <c r="E194" s="8"/>
      <c r="F194" s="8"/>
      <c r="G194" s="8"/>
      <c r="H194" s="8"/>
      <c r="I194" s="8"/>
      <c r="J194" s="8"/>
      <c r="K194" s="8"/>
      <c r="L194" s="8"/>
    </row>
    <row r="195" spans="1:12" x14ac:dyDescent="0.25">
      <c r="A195" s="8"/>
      <c r="B195" s="9" t="s">
        <v>403</v>
      </c>
      <c r="C195" s="8"/>
      <c r="D195" s="8"/>
      <c r="E195" s="8"/>
      <c r="F195" s="8"/>
      <c r="G195" s="8"/>
      <c r="H195" s="8"/>
      <c r="I195" s="8"/>
      <c r="J195" s="8"/>
      <c r="K195" s="8"/>
      <c r="L195" s="8"/>
    </row>
    <row r="196" spans="1:12" x14ac:dyDescent="0.25">
      <c r="A196" s="10" t="s">
        <v>20</v>
      </c>
      <c r="B196" s="11" t="s">
        <v>404</v>
      </c>
      <c r="C196" s="11" t="s">
        <v>20</v>
      </c>
      <c r="D196" s="11" t="s">
        <v>405</v>
      </c>
      <c r="E196" s="11" t="s">
        <v>32</v>
      </c>
      <c r="F196" s="12">
        <v>23593900</v>
      </c>
      <c r="G196" s="13">
        <v>27951.69</v>
      </c>
      <c r="H196" s="13">
        <v>0.46</v>
      </c>
      <c r="I196" s="14" t="s">
        <v>20</v>
      </c>
      <c r="J196" s="14" t="s">
        <v>20</v>
      </c>
      <c r="K196" s="15" t="s">
        <v>20</v>
      </c>
      <c r="L196" s="16" t="s">
        <v>20</v>
      </c>
    </row>
    <row r="197" spans="1:12" x14ac:dyDescent="0.25">
      <c r="A197" s="8"/>
      <c r="B197" s="9" t="s">
        <v>406</v>
      </c>
      <c r="C197" s="8"/>
      <c r="D197" s="8"/>
      <c r="E197" s="8"/>
      <c r="F197" s="8"/>
      <c r="G197" s="8"/>
      <c r="H197" s="8"/>
      <c r="I197" s="8"/>
      <c r="J197" s="8"/>
      <c r="K197" s="8"/>
      <c r="L197" s="8"/>
    </row>
    <row r="198" spans="1:12" x14ac:dyDescent="0.25">
      <c r="A198" s="10" t="s">
        <v>20</v>
      </c>
      <c r="B198" s="11" t="s">
        <v>407</v>
      </c>
      <c r="C198" s="11" t="s">
        <v>20</v>
      </c>
      <c r="D198" s="11" t="s">
        <v>408</v>
      </c>
      <c r="E198" s="11" t="s">
        <v>243</v>
      </c>
      <c r="F198" s="12">
        <v>15567000</v>
      </c>
      <c r="G198" s="13">
        <v>41115.56</v>
      </c>
      <c r="H198" s="13">
        <v>0.68</v>
      </c>
      <c r="I198" s="14" t="s">
        <v>20</v>
      </c>
      <c r="J198" s="14" t="s">
        <v>20</v>
      </c>
      <c r="K198" s="15" t="s">
        <v>20</v>
      </c>
      <c r="L198" s="16" t="s">
        <v>20</v>
      </c>
    </row>
    <row r="199" spans="1:12" x14ac:dyDescent="0.25">
      <c r="A199" s="10" t="s">
        <v>20</v>
      </c>
      <c r="B199" s="11" t="s">
        <v>409</v>
      </c>
      <c r="C199" s="11" t="s">
        <v>20</v>
      </c>
      <c r="D199" s="11" t="s">
        <v>410</v>
      </c>
      <c r="E199" s="11" t="s">
        <v>243</v>
      </c>
      <c r="F199" s="12">
        <v>11403400</v>
      </c>
      <c r="G199" s="13">
        <v>35576.33</v>
      </c>
      <c r="H199" s="13">
        <v>0.59</v>
      </c>
      <c r="I199" s="14" t="s">
        <v>20</v>
      </c>
      <c r="J199" s="14" t="s">
        <v>20</v>
      </c>
      <c r="K199" s="15" t="s">
        <v>20</v>
      </c>
      <c r="L199" s="16" t="s">
        <v>20</v>
      </c>
    </row>
    <row r="200" spans="1:12" x14ac:dyDescent="0.25">
      <c r="A200" s="17"/>
      <c r="B200" s="9" t="s">
        <v>293</v>
      </c>
      <c r="C200" s="17"/>
      <c r="D200" s="17"/>
      <c r="E200" s="17"/>
      <c r="F200" s="17"/>
      <c r="G200" s="18">
        <v>104643.58</v>
      </c>
      <c r="H200" s="18">
        <v>1.73</v>
      </c>
      <c r="I200" s="17"/>
      <c r="J200" s="17"/>
      <c r="K200" s="17"/>
      <c r="L200" s="17"/>
    </row>
    <row r="201" spans="1:12" x14ac:dyDescent="0.25">
      <c r="A201" s="8"/>
      <c r="B201" s="9" t="s">
        <v>294</v>
      </c>
      <c r="C201" s="8"/>
      <c r="D201" s="8"/>
      <c r="E201" s="8"/>
      <c r="F201" s="8"/>
      <c r="G201" s="18">
        <v>104643.58</v>
      </c>
      <c r="H201" s="18">
        <v>1.73</v>
      </c>
      <c r="I201" s="8"/>
      <c r="J201" s="8"/>
      <c r="K201" s="8"/>
      <c r="L201" s="8"/>
    </row>
    <row r="202" spans="1:12" x14ac:dyDescent="0.25">
      <c r="A202" s="8"/>
      <c r="B202" s="9" t="s">
        <v>411</v>
      </c>
      <c r="C202" s="8"/>
      <c r="D202" s="8"/>
      <c r="E202" s="8"/>
      <c r="F202" s="8"/>
      <c r="G202" s="8"/>
      <c r="H202" s="8"/>
      <c r="I202" s="8"/>
      <c r="J202" s="8"/>
      <c r="K202" s="8"/>
      <c r="L202" s="8"/>
    </row>
    <row r="203" spans="1:12" x14ac:dyDescent="0.25">
      <c r="A203" s="8"/>
      <c r="B203" s="9" t="s">
        <v>412</v>
      </c>
      <c r="C203" s="8"/>
      <c r="D203" s="8"/>
      <c r="E203" s="8"/>
      <c r="F203" s="8"/>
      <c r="G203" s="8"/>
      <c r="H203" s="8"/>
      <c r="I203" s="8"/>
      <c r="J203" s="8"/>
      <c r="K203" s="8"/>
      <c r="L203" s="8"/>
    </row>
    <row r="204" spans="1:12" x14ac:dyDescent="0.25">
      <c r="A204" s="10" t="s">
        <v>20</v>
      </c>
      <c r="B204" s="11" t="s">
        <v>413</v>
      </c>
      <c r="C204" s="11" t="s">
        <v>20</v>
      </c>
      <c r="D204" s="11" t="s">
        <v>338</v>
      </c>
      <c r="E204" s="11" t="s">
        <v>414</v>
      </c>
      <c r="F204" s="12">
        <v>4000</v>
      </c>
      <c r="G204" s="13">
        <v>19253.88</v>
      </c>
      <c r="H204" s="13">
        <v>0.32</v>
      </c>
      <c r="I204" s="14">
        <v>7.18</v>
      </c>
      <c r="J204" s="14" t="s">
        <v>20</v>
      </c>
      <c r="K204" s="15" t="s">
        <v>20</v>
      </c>
      <c r="L204" s="16" t="s">
        <v>20</v>
      </c>
    </row>
    <row r="205" spans="1:12" x14ac:dyDescent="0.25">
      <c r="A205" s="10" t="s">
        <v>20</v>
      </c>
      <c r="B205" s="11" t="s">
        <v>415</v>
      </c>
      <c r="C205" s="11" t="s">
        <v>20</v>
      </c>
      <c r="D205" s="11" t="s">
        <v>416</v>
      </c>
      <c r="E205" s="11" t="s">
        <v>414</v>
      </c>
      <c r="F205" s="12">
        <v>4000</v>
      </c>
      <c r="G205" s="13">
        <v>18903.68</v>
      </c>
      <c r="H205" s="13">
        <v>0.31</v>
      </c>
      <c r="I205" s="14">
        <v>7.35</v>
      </c>
      <c r="J205" s="14" t="s">
        <v>20</v>
      </c>
      <c r="K205" s="15" t="s">
        <v>20</v>
      </c>
      <c r="L205" s="16" t="s">
        <v>20</v>
      </c>
    </row>
    <row r="206" spans="1:12" x14ac:dyDescent="0.25">
      <c r="A206" s="10" t="s">
        <v>20</v>
      </c>
      <c r="B206" s="11" t="s">
        <v>417</v>
      </c>
      <c r="C206" s="11" t="s">
        <v>20</v>
      </c>
      <c r="D206" s="11" t="s">
        <v>418</v>
      </c>
      <c r="E206" s="11" t="s">
        <v>414</v>
      </c>
      <c r="F206" s="12">
        <v>3000</v>
      </c>
      <c r="G206" s="13">
        <v>14386.74</v>
      </c>
      <c r="H206" s="13">
        <v>0.24</v>
      </c>
      <c r="I206" s="14">
        <v>7.17</v>
      </c>
      <c r="J206" s="14" t="s">
        <v>20</v>
      </c>
      <c r="K206" s="15" t="s">
        <v>20</v>
      </c>
      <c r="L206" s="16" t="s">
        <v>20</v>
      </c>
    </row>
    <row r="207" spans="1:12" x14ac:dyDescent="0.25">
      <c r="A207" s="10" t="s">
        <v>20</v>
      </c>
      <c r="B207" s="11" t="s">
        <v>419</v>
      </c>
      <c r="C207" s="11" t="s">
        <v>20</v>
      </c>
      <c r="D207" s="11" t="s">
        <v>416</v>
      </c>
      <c r="E207" s="11" t="s">
        <v>414</v>
      </c>
      <c r="F207" s="12">
        <v>2000</v>
      </c>
      <c r="G207" s="13">
        <v>9772.3700000000008</v>
      </c>
      <c r="H207" s="13">
        <v>0.16</v>
      </c>
      <c r="I207" s="14">
        <v>7.085</v>
      </c>
      <c r="J207" s="14" t="s">
        <v>20</v>
      </c>
      <c r="K207" s="15" t="s">
        <v>20</v>
      </c>
      <c r="L207" s="16" t="s">
        <v>20</v>
      </c>
    </row>
    <row r="208" spans="1:12" x14ac:dyDescent="0.25">
      <c r="A208" s="10" t="s">
        <v>20</v>
      </c>
      <c r="B208" s="11" t="s">
        <v>420</v>
      </c>
      <c r="C208" s="11" t="s">
        <v>20</v>
      </c>
      <c r="D208" s="11" t="s">
        <v>421</v>
      </c>
      <c r="E208" s="11" t="s">
        <v>422</v>
      </c>
      <c r="F208" s="12">
        <v>2000</v>
      </c>
      <c r="G208" s="13">
        <v>9800.9</v>
      </c>
      <c r="H208" s="13">
        <v>0.16</v>
      </c>
      <c r="I208" s="14">
        <v>6.9950000000000001</v>
      </c>
      <c r="J208" s="14" t="s">
        <v>20</v>
      </c>
      <c r="K208" s="15" t="s">
        <v>20</v>
      </c>
      <c r="L208" s="16" t="s">
        <v>20</v>
      </c>
    </row>
    <row r="209" spans="1:12" x14ac:dyDescent="0.25">
      <c r="A209" s="10" t="s">
        <v>20</v>
      </c>
      <c r="B209" s="11" t="s">
        <v>423</v>
      </c>
      <c r="C209" s="11" t="s">
        <v>20</v>
      </c>
      <c r="D209" s="11" t="s">
        <v>421</v>
      </c>
      <c r="E209" s="11" t="s">
        <v>414</v>
      </c>
      <c r="F209" s="12">
        <v>2000</v>
      </c>
      <c r="G209" s="13">
        <v>9773.3700000000008</v>
      </c>
      <c r="H209" s="13">
        <v>0.16</v>
      </c>
      <c r="I209" s="14">
        <v>6.9950000000000001</v>
      </c>
      <c r="J209" s="14" t="s">
        <v>20</v>
      </c>
      <c r="K209" s="15" t="s">
        <v>20</v>
      </c>
      <c r="L209" s="16" t="s">
        <v>20</v>
      </c>
    </row>
    <row r="210" spans="1:12" x14ac:dyDescent="0.25">
      <c r="A210" s="10" t="s">
        <v>20</v>
      </c>
      <c r="B210" s="11" t="s">
        <v>424</v>
      </c>
      <c r="C210" s="11" t="s">
        <v>20</v>
      </c>
      <c r="D210" s="11" t="s">
        <v>391</v>
      </c>
      <c r="E210" s="11" t="s">
        <v>414</v>
      </c>
      <c r="F210" s="12">
        <v>2000</v>
      </c>
      <c r="G210" s="13">
        <v>9576.34</v>
      </c>
      <c r="H210" s="13">
        <v>0.16</v>
      </c>
      <c r="I210" s="14">
        <v>7.1449999999999996</v>
      </c>
      <c r="J210" s="14" t="s">
        <v>20</v>
      </c>
      <c r="K210" s="15" t="s">
        <v>20</v>
      </c>
      <c r="L210" s="16" t="s">
        <v>20</v>
      </c>
    </row>
    <row r="211" spans="1:12" x14ac:dyDescent="0.25">
      <c r="A211" s="8"/>
      <c r="B211" s="9" t="s">
        <v>425</v>
      </c>
      <c r="C211" s="8"/>
      <c r="D211" s="8"/>
      <c r="E211" s="8"/>
      <c r="F211" s="8"/>
      <c r="G211" s="8"/>
      <c r="H211" s="8"/>
      <c r="I211" s="8"/>
      <c r="J211" s="8"/>
      <c r="K211" s="8"/>
      <c r="L211" s="8"/>
    </row>
    <row r="212" spans="1:12" x14ac:dyDescent="0.25">
      <c r="A212" s="10" t="s">
        <v>20</v>
      </c>
      <c r="B212" s="11" t="s">
        <v>20</v>
      </c>
      <c r="C212" s="11" t="s">
        <v>20</v>
      </c>
      <c r="D212" s="11" t="s">
        <v>425</v>
      </c>
      <c r="E212" s="11" t="s">
        <v>20</v>
      </c>
      <c r="F212" s="12" t="s">
        <v>20</v>
      </c>
      <c r="G212" s="13">
        <v>116149.51</v>
      </c>
      <c r="H212" s="13">
        <v>1.92</v>
      </c>
      <c r="I212" s="14">
        <v>6.3601999999999999</v>
      </c>
      <c r="J212" s="14" t="s">
        <v>20</v>
      </c>
      <c r="K212" s="15" t="s">
        <v>20</v>
      </c>
      <c r="L212" s="16" t="s">
        <v>20</v>
      </c>
    </row>
    <row r="213" spans="1:12" x14ac:dyDescent="0.25">
      <c r="A213" s="8"/>
      <c r="B213" s="9" t="s">
        <v>426</v>
      </c>
      <c r="C213" s="8"/>
      <c r="D213" s="8"/>
      <c r="E213" s="8"/>
      <c r="F213" s="8"/>
      <c r="G213" s="8"/>
      <c r="H213" s="8"/>
      <c r="I213" s="8"/>
      <c r="J213" s="8"/>
      <c r="K213" s="8"/>
      <c r="L213" s="8"/>
    </row>
    <row r="214" spans="1:12" x14ac:dyDescent="0.25">
      <c r="A214" s="10" t="s">
        <v>20</v>
      </c>
      <c r="B214" s="11" t="s">
        <v>20</v>
      </c>
      <c r="C214" s="11" t="s">
        <v>20</v>
      </c>
      <c r="D214" s="11" t="s">
        <v>426</v>
      </c>
      <c r="E214" s="11" t="s">
        <v>20</v>
      </c>
      <c r="F214" s="12" t="s">
        <v>20</v>
      </c>
      <c r="G214" s="13">
        <v>124462.12</v>
      </c>
      <c r="H214" s="13">
        <v>2.0499999999999998</v>
      </c>
      <c r="I214" s="14">
        <v>6.5141999999999998</v>
      </c>
      <c r="J214" s="14" t="s">
        <v>20</v>
      </c>
      <c r="K214" s="15" t="s">
        <v>20</v>
      </c>
      <c r="L214" s="16" t="s">
        <v>20</v>
      </c>
    </row>
    <row r="215" spans="1:12" x14ac:dyDescent="0.25">
      <c r="A215" s="17"/>
      <c r="B215" s="9" t="s">
        <v>293</v>
      </c>
      <c r="C215" s="17"/>
      <c r="D215" s="17"/>
      <c r="E215" s="17"/>
      <c r="F215" s="17"/>
      <c r="G215" s="18">
        <v>332078.90999999997</v>
      </c>
      <c r="H215" s="18">
        <v>5.4799999999999995</v>
      </c>
      <c r="I215" s="17"/>
      <c r="J215" s="17"/>
      <c r="K215" s="17"/>
      <c r="L215" s="17"/>
    </row>
    <row r="216" spans="1:12" x14ac:dyDescent="0.25">
      <c r="A216" s="8"/>
      <c r="B216" s="9" t="s">
        <v>294</v>
      </c>
      <c r="C216" s="8"/>
      <c r="D216" s="8"/>
      <c r="E216" s="8"/>
      <c r="F216" s="8"/>
      <c r="G216" s="18">
        <v>332078.90999999997</v>
      </c>
      <c r="H216" s="18">
        <v>5.4799999999999995</v>
      </c>
      <c r="I216" s="8"/>
      <c r="J216" s="8"/>
      <c r="K216" s="8"/>
      <c r="L216" s="8"/>
    </row>
    <row r="217" spans="1:12" x14ac:dyDescent="0.25">
      <c r="A217" s="8"/>
      <c r="B217" s="9" t="s">
        <v>427</v>
      </c>
      <c r="C217" s="8"/>
      <c r="D217" s="8"/>
      <c r="E217" s="8"/>
      <c r="F217" s="8"/>
      <c r="G217" s="8"/>
      <c r="H217" s="8"/>
      <c r="I217" s="8"/>
      <c r="J217" s="8"/>
      <c r="K217" s="8"/>
      <c r="L217" s="8"/>
    </row>
    <row r="218" spans="1:12" x14ac:dyDescent="0.25">
      <c r="A218" s="8"/>
      <c r="B218" s="9" t="s">
        <v>428</v>
      </c>
      <c r="C218" s="8"/>
      <c r="D218" s="8"/>
      <c r="E218" s="8"/>
      <c r="F218" s="8"/>
      <c r="G218" s="8"/>
      <c r="H218" s="8"/>
      <c r="I218" s="8"/>
      <c r="J218" s="8"/>
      <c r="K218" s="8"/>
      <c r="L218" s="8"/>
    </row>
    <row r="219" spans="1:12" x14ac:dyDescent="0.25">
      <c r="A219" s="10" t="s">
        <v>20</v>
      </c>
      <c r="B219" s="11" t="s">
        <v>20</v>
      </c>
      <c r="C219" s="11" t="s">
        <v>20</v>
      </c>
      <c r="D219" s="11" t="s">
        <v>428</v>
      </c>
      <c r="E219" s="11" t="s">
        <v>20</v>
      </c>
      <c r="F219" s="12" t="s">
        <v>20</v>
      </c>
      <c r="G219" s="13">
        <v>33777.71</v>
      </c>
      <c r="H219" s="13">
        <v>0.64</v>
      </c>
      <c r="I219" s="14" t="s">
        <v>20</v>
      </c>
      <c r="J219" s="14" t="s">
        <v>20</v>
      </c>
      <c r="K219" s="15" t="s">
        <v>20</v>
      </c>
      <c r="L219" s="16" t="s">
        <v>20</v>
      </c>
    </row>
    <row r="220" spans="1:12" x14ac:dyDescent="0.25">
      <c r="A220" s="17"/>
      <c r="B220" s="9" t="s">
        <v>293</v>
      </c>
      <c r="C220" s="17"/>
      <c r="D220" s="17"/>
      <c r="E220" s="17"/>
      <c r="F220" s="17"/>
      <c r="G220" s="18">
        <v>33777.71</v>
      </c>
      <c r="H220" s="18">
        <v>0.64</v>
      </c>
      <c r="I220" s="17"/>
      <c r="J220" s="17"/>
      <c r="K220" s="17"/>
      <c r="L220" s="17"/>
    </row>
    <row r="221" spans="1:12" x14ac:dyDescent="0.25">
      <c r="A221" s="8"/>
      <c r="B221" s="9" t="s">
        <v>294</v>
      </c>
      <c r="C221" s="8"/>
      <c r="D221" s="8"/>
      <c r="E221" s="8"/>
      <c r="F221" s="8"/>
      <c r="G221" s="18">
        <v>33777.71</v>
      </c>
      <c r="H221" s="18">
        <v>0.64</v>
      </c>
      <c r="I221" s="8"/>
      <c r="J221" s="8"/>
      <c r="K221" s="8"/>
      <c r="L221" s="8"/>
    </row>
    <row r="222" spans="1:12" x14ac:dyDescent="0.25">
      <c r="A222" s="4"/>
      <c r="B222" s="4"/>
      <c r="C222" s="4"/>
      <c r="D222" s="4"/>
      <c r="E222" s="4"/>
      <c r="F222" s="4"/>
      <c r="G222" s="4"/>
      <c r="H222" s="4"/>
      <c r="I222" s="4"/>
      <c r="J222" s="4"/>
      <c r="K222" s="4"/>
      <c r="L222" s="4"/>
    </row>
    <row r="223" spans="1:12" x14ac:dyDescent="0.25">
      <c r="A223" s="4"/>
      <c r="B223" s="19" t="s">
        <v>429</v>
      </c>
      <c r="C223" s="4"/>
      <c r="D223" s="4"/>
      <c r="E223" s="4"/>
      <c r="F223" s="4"/>
      <c r="G223" s="20">
        <v>6064093.7800000003</v>
      </c>
      <c r="H223" s="20">
        <v>99.999999999999943</v>
      </c>
      <c r="I223" s="4"/>
      <c r="J223" s="4"/>
      <c r="K223" s="4"/>
      <c r="L223" s="4"/>
    </row>
    <row r="224" spans="1:12" x14ac:dyDescent="0.25">
      <c r="A224" s="10" t="s">
        <v>18</v>
      </c>
      <c r="B224" s="52" t="s">
        <v>430</v>
      </c>
      <c r="C224" s="52" t="s">
        <v>430</v>
      </c>
      <c r="D224" s="52" t="s">
        <v>430</v>
      </c>
      <c r="E224" s="52" t="s">
        <v>430</v>
      </c>
      <c r="F224" s="52" t="s">
        <v>430</v>
      </c>
      <c r="G224" s="11"/>
      <c r="H224" s="11"/>
      <c r="I224" s="11"/>
      <c r="J224" s="11"/>
      <c r="K224" s="11"/>
      <c r="L224" s="11"/>
    </row>
    <row r="225" spans="1:12" x14ac:dyDescent="0.25">
      <c r="A225" s="11"/>
      <c r="B225" s="47" t="s">
        <v>431</v>
      </c>
      <c r="C225" s="47" t="s">
        <v>431</v>
      </c>
      <c r="D225" s="47" t="s">
        <v>431</v>
      </c>
      <c r="E225" s="47" t="s">
        <v>431</v>
      </c>
      <c r="F225" s="47" t="s">
        <v>431</v>
      </c>
      <c r="G225" s="11"/>
      <c r="H225" s="11"/>
      <c r="I225" s="11"/>
      <c r="J225" s="11"/>
      <c r="K225" s="11"/>
      <c r="L225" s="11"/>
    </row>
    <row r="226" spans="1:12" x14ac:dyDescent="0.25">
      <c r="A226" s="11"/>
      <c r="B226" s="47" t="s">
        <v>432</v>
      </c>
      <c r="C226" s="47" t="s">
        <v>432</v>
      </c>
      <c r="D226" s="47" t="s">
        <v>432</v>
      </c>
      <c r="E226" s="47" t="s">
        <v>432</v>
      </c>
      <c r="F226" s="47" t="s">
        <v>432</v>
      </c>
      <c r="G226" s="11"/>
      <c r="H226" s="11"/>
      <c r="I226" s="11"/>
      <c r="J226" s="11"/>
      <c r="K226" s="11"/>
      <c r="L226" s="11"/>
    </row>
    <row r="227" spans="1:12" x14ac:dyDescent="0.25">
      <c r="A227" s="11"/>
      <c r="B227" s="47" t="s">
        <v>433</v>
      </c>
      <c r="C227" s="47" t="s">
        <v>433</v>
      </c>
      <c r="D227" s="47" t="s">
        <v>433</v>
      </c>
      <c r="E227" s="47" t="s">
        <v>433</v>
      </c>
      <c r="F227" s="47" t="s">
        <v>433</v>
      </c>
      <c r="G227" s="11"/>
      <c r="H227" s="11"/>
      <c r="I227" s="11"/>
      <c r="J227" s="11"/>
      <c r="K227" s="11"/>
      <c r="L227" s="11"/>
    </row>
    <row r="228" spans="1:12" x14ac:dyDescent="0.25">
      <c r="A228" s="11"/>
      <c r="B228" s="47" t="s">
        <v>434</v>
      </c>
      <c r="C228" s="47" t="s">
        <v>434</v>
      </c>
      <c r="D228" s="47" t="s">
        <v>434</v>
      </c>
      <c r="E228" s="47" t="s">
        <v>434</v>
      </c>
      <c r="F228" s="47" t="s">
        <v>434</v>
      </c>
      <c r="G228" s="11"/>
      <c r="H228" s="11"/>
      <c r="I228" s="11"/>
      <c r="J228" s="11"/>
      <c r="K228" s="11"/>
      <c r="L228" s="11"/>
    </row>
    <row r="229" spans="1:12" x14ac:dyDescent="0.25">
      <c r="A229" s="11"/>
      <c r="B229" s="47" t="s">
        <v>435</v>
      </c>
      <c r="C229" s="47" t="s">
        <v>435</v>
      </c>
      <c r="D229" s="47" t="s">
        <v>435</v>
      </c>
      <c r="E229" s="47" t="s">
        <v>435</v>
      </c>
      <c r="F229" s="47" t="s">
        <v>435</v>
      </c>
      <c r="G229" s="11"/>
      <c r="H229" s="11"/>
      <c r="I229" s="11"/>
      <c r="J229" s="11"/>
      <c r="K229" s="11"/>
      <c r="L229" s="11"/>
    </row>
    <row r="230" spans="1:12" x14ac:dyDescent="0.25">
      <c r="A230" s="11"/>
      <c r="B230" s="47" t="s">
        <v>436</v>
      </c>
      <c r="C230" s="47" t="s">
        <v>436</v>
      </c>
      <c r="D230" s="47" t="s">
        <v>436</v>
      </c>
      <c r="E230" s="47" t="s">
        <v>436</v>
      </c>
      <c r="F230" s="47" t="s">
        <v>436</v>
      </c>
      <c r="G230" s="11"/>
      <c r="H230" s="11"/>
      <c r="I230" s="11"/>
      <c r="J230" s="11"/>
      <c r="K230" s="11"/>
      <c r="L230" s="11"/>
    </row>
    <row r="231" spans="1:12" x14ac:dyDescent="0.25">
      <c r="A231" s="11"/>
      <c r="B231" s="47" t="s">
        <v>437</v>
      </c>
      <c r="C231" s="47" t="s">
        <v>437</v>
      </c>
      <c r="D231" s="47" t="s">
        <v>437</v>
      </c>
      <c r="E231" s="47" t="s">
        <v>437</v>
      </c>
      <c r="F231" s="47" t="s">
        <v>437</v>
      </c>
      <c r="G231" s="11"/>
      <c r="H231" s="11"/>
      <c r="I231" s="11"/>
      <c r="J231" s="11"/>
      <c r="K231" s="11"/>
      <c r="L231" s="11"/>
    </row>
    <row r="232" spans="1:12" ht="30" customHeight="1" x14ac:dyDescent="0.25">
      <c r="A232" s="11"/>
      <c r="B232" s="48" t="s">
        <v>438</v>
      </c>
      <c r="C232" s="48" t="s">
        <v>438</v>
      </c>
      <c r="D232" s="48" t="s">
        <v>438</v>
      </c>
      <c r="E232" s="48" t="s">
        <v>438</v>
      </c>
      <c r="F232" s="48" t="s">
        <v>438</v>
      </c>
      <c r="G232" s="11"/>
      <c r="H232" s="11"/>
      <c r="I232" s="11"/>
      <c r="J232" s="11"/>
      <c r="K232" s="11"/>
      <c r="L232" s="11"/>
    </row>
    <row r="233" spans="1:12" x14ac:dyDescent="0.25">
      <c r="A233" s="11"/>
      <c r="B233" s="11"/>
      <c r="C233" s="11"/>
      <c r="D233" s="11"/>
      <c r="E233" s="11"/>
      <c r="F233" s="11"/>
      <c r="G233" s="11"/>
      <c r="H233" s="11"/>
    </row>
    <row r="234" spans="1:12" x14ac:dyDescent="0.25">
      <c r="A234" s="21"/>
      <c r="B234" s="21" t="s">
        <v>439</v>
      </c>
      <c r="C234" s="21"/>
      <c r="D234" s="21"/>
      <c r="E234" s="11"/>
      <c r="F234" s="11"/>
      <c r="G234" s="11"/>
      <c r="H234" s="11"/>
    </row>
    <row r="235" spans="1:12" x14ac:dyDescent="0.25">
      <c r="A235" s="21"/>
      <c r="B235" s="22" t="s">
        <v>17</v>
      </c>
      <c r="C235" s="22"/>
      <c r="D235" s="23">
        <v>60.64</v>
      </c>
      <c r="E235" s="11"/>
      <c r="F235" s="11"/>
      <c r="G235" s="11"/>
      <c r="H235" s="11"/>
    </row>
    <row r="236" spans="1:12" x14ac:dyDescent="0.25">
      <c r="A236" s="21"/>
      <c r="B236" s="22" t="s">
        <v>440</v>
      </c>
      <c r="C236" s="22"/>
      <c r="D236" s="23">
        <v>7.2499999999999956</v>
      </c>
      <c r="E236" s="11"/>
      <c r="F236" s="11"/>
      <c r="G236" s="11"/>
      <c r="H236" s="11"/>
    </row>
    <row r="237" spans="1:12" x14ac:dyDescent="0.25">
      <c r="A237" s="21"/>
      <c r="B237" s="22" t="s">
        <v>403</v>
      </c>
      <c r="C237" s="22"/>
      <c r="D237" s="23">
        <v>0.46</v>
      </c>
      <c r="E237" s="11"/>
      <c r="F237" s="11"/>
      <c r="G237" s="11"/>
      <c r="H237" s="11"/>
    </row>
    <row r="238" spans="1:12" x14ac:dyDescent="0.25">
      <c r="A238" s="21"/>
      <c r="B238" s="22" t="s">
        <v>406</v>
      </c>
      <c r="C238" s="22"/>
      <c r="D238" s="23">
        <v>1.27</v>
      </c>
      <c r="E238" s="11"/>
      <c r="F238" s="11"/>
      <c r="G238" s="11"/>
      <c r="H238" s="11"/>
    </row>
    <row r="239" spans="1:12" x14ac:dyDescent="0.25">
      <c r="A239" s="21"/>
      <c r="B239" s="22" t="s">
        <v>441</v>
      </c>
      <c r="C239" s="22"/>
      <c r="D239" s="23">
        <v>16.13</v>
      </c>
      <c r="E239" s="11"/>
      <c r="F239" s="11"/>
      <c r="G239" s="11"/>
      <c r="H239" s="11"/>
    </row>
    <row r="240" spans="1:12" x14ac:dyDescent="0.25">
      <c r="A240" s="21"/>
      <c r="B240" s="22" t="s">
        <v>442</v>
      </c>
      <c r="C240" s="22"/>
      <c r="D240" s="23">
        <v>1.51</v>
      </c>
      <c r="E240" s="11"/>
      <c r="F240" s="11"/>
      <c r="G240" s="11"/>
      <c r="H240" s="11"/>
    </row>
    <row r="241" spans="1:8" x14ac:dyDescent="0.25">
      <c r="A241" s="21"/>
      <c r="B241" s="22" t="s">
        <v>443</v>
      </c>
      <c r="C241" s="22"/>
      <c r="D241" s="23">
        <v>8.1300000000000008</v>
      </c>
      <c r="E241" s="11"/>
      <c r="F241" s="11"/>
      <c r="G241" s="11"/>
      <c r="H241" s="11"/>
    </row>
    <row r="242" spans="1:8" x14ac:dyDescent="0.25">
      <c r="A242" s="21"/>
      <c r="B242" s="22" t="s">
        <v>444</v>
      </c>
      <c r="C242" s="22"/>
      <c r="D242" s="23">
        <v>4.6099999999999994</v>
      </c>
      <c r="E242" s="11"/>
      <c r="F242" s="11"/>
      <c r="G242" s="11"/>
      <c r="H242" s="11"/>
    </row>
    <row r="243" spans="1:8" x14ac:dyDescent="0.25">
      <c r="A243" s="21"/>
      <c r="B243" s="21" t="s">
        <v>445</v>
      </c>
      <c r="C243" s="21"/>
      <c r="D243" s="21"/>
      <c r="E243" s="11"/>
      <c r="F243" s="11"/>
      <c r="G243" s="11"/>
      <c r="H243" s="11"/>
    </row>
    <row r="244" spans="1:8" x14ac:dyDescent="0.25">
      <c r="A244" s="21"/>
      <c r="B244" s="22" t="s">
        <v>17</v>
      </c>
      <c r="C244" s="22"/>
      <c r="D244" s="23">
        <v>67.889999999999972</v>
      </c>
      <c r="E244" s="11"/>
      <c r="F244" s="11"/>
      <c r="G244" s="11"/>
      <c r="H244" s="11"/>
    </row>
    <row r="245" spans="1:8" x14ac:dyDescent="0.25">
      <c r="A245" s="21"/>
      <c r="B245" s="22" t="s">
        <v>403</v>
      </c>
      <c r="C245" s="22"/>
      <c r="D245" s="23">
        <v>0.46</v>
      </c>
      <c r="E245" s="11"/>
      <c r="F245" s="11"/>
      <c r="G245" s="11"/>
      <c r="H245" s="11"/>
    </row>
    <row r="246" spans="1:8" x14ac:dyDescent="0.25">
      <c r="A246" s="21"/>
      <c r="B246" s="22" t="s">
        <v>406</v>
      </c>
      <c r="C246" s="22"/>
      <c r="D246" s="23">
        <v>1.27</v>
      </c>
      <c r="E246" s="11"/>
      <c r="F246" s="11"/>
      <c r="G246" s="11"/>
      <c r="H246" s="11"/>
    </row>
    <row r="247" spans="1:8" x14ac:dyDescent="0.25">
      <c r="A247" s="21"/>
      <c r="B247" s="22" t="s">
        <v>299</v>
      </c>
      <c r="C247" s="22"/>
      <c r="D247" s="23">
        <v>16.13</v>
      </c>
      <c r="E247" s="11"/>
      <c r="F247" s="11"/>
      <c r="G247" s="11"/>
      <c r="H247" s="11"/>
    </row>
    <row r="248" spans="1:8" x14ac:dyDescent="0.25">
      <c r="A248" s="21"/>
      <c r="B248" s="22" t="s">
        <v>446</v>
      </c>
      <c r="C248" s="22"/>
      <c r="D248" s="23">
        <v>9.0700000000000021</v>
      </c>
      <c r="E248" s="11"/>
      <c r="F248" s="11"/>
      <c r="G248" s="11"/>
      <c r="H248" s="11"/>
    </row>
    <row r="249" spans="1:8" x14ac:dyDescent="0.25">
      <c r="A249" s="21"/>
      <c r="B249" s="22" t="s">
        <v>447</v>
      </c>
      <c r="C249" s="22"/>
      <c r="D249" s="23">
        <v>0.36</v>
      </c>
      <c r="E249" s="11"/>
      <c r="F249" s="11"/>
      <c r="G249" s="11"/>
      <c r="H249" s="11"/>
    </row>
    <row r="250" spans="1:8" x14ac:dyDescent="0.25">
      <c r="A250" s="21"/>
      <c r="B250" s="22" t="s">
        <v>448</v>
      </c>
      <c r="C250" s="22"/>
      <c r="D250" s="23">
        <v>0.21</v>
      </c>
      <c r="E250" s="11"/>
      <c r="F250" s="11"/>
      <c r="G250" s="11"/>
      <c r="H250" s="11"/>
    </row>
    <row r="251" spans="1:8" x14ac:dyDescent="0.25">
      <c r="A251" s="21"/>
      <c r="B251" s="22" t="s">
        <v>444</v>
      </c>
      <c r="C251" s="22"/>
      <c r="D251" s="23">
        <v>4.6099999999999994</v>
      </c>
      <c r="E251" s="11"/>
      <c r="F251" s="11"/>
      <c r="G251" s="11"/>
      <c r="H251" s="11"/>
    </row>
    <row r="252" spans="1:8" x14ac:dyDescent="0.25">
      <c r="A252" s="24"/>
      <c r="B252" s="21" t="s">
        <v>449</v>
      </c>
      <c r="C252" s="24"/>
      <c r="D252" s="24"/>
      <c r="E252" s="11"/>
      <c r="F252" s="11"/>
      <c r="G252" s="11"/>
      <c r="H252" s="11"/>
    </row>
    <row r="253" spans="1:8" x14ac:dyDescent="0.25">
      <c r="A253" s="24"/>
      <c r="B253" s="25" t="s">
        <v>22</v>
      </c>
      <c r="C253" s="22"/>
      <c r="D253" s="26">
        <v>16.2</v>
      </c>
      <c r="E253" s="11"/>
      <c r="F253" s="11"/>
      <c r="G253" s="11"/>
      <c r="H253" s="11"/>
    </row>
    <row r="254" spans="1:8" x14ac:dyDescent="0.25">
      <c r="A254" s="24"/>
      <c r="B254" s="25" t="s">
        <v>41</v>
      </c>
      <c r="C254" s="22"/>
      <c r="D254" s="26">
        <v>5.5</v>
      </c>
      <c r="E254" s="11"/>
      <c r="F254" s="11"/>
      <c r="G254" s="11"/>
      <c r="H254" s="11"/>
    </row>
    <row r="255" spans="1:8" x14ac:dyDescent="0.25">
      <c r="A255" s="24"/>
      <c r="B255" s="25" t="s">
        <v>32</v>
      </c>
      <c r="C255" s="22"/>
      <c r="D255" s="26">
        <v>4.9300000000000006</v>
      </c>
      <c r="E255" s="11"/>
      <c r="F255" s="11"/>
      <c r="G255" s="11"/>
      <c r="H255" s="11"/>
    </row>
    <row r="256" spans="1:8" x14ac:dyDescent="0.25">
      <c r="A256" s="24"/>
      <c r="B256" s="25" t="s">
        <v>47</v>
      </c>
      <c r="C256" s="22"/>
      <c r="D256" s="26">
        <v>3.7699999999999996</v>
      </c>
      <c r="E256" s="11"/>
      <c r="F256" s="11"/>
      <c r="G256" s="11"/>
      <c r="H256" s="11"/>
    </row>
    <row r="257" spans="1:8" x14ac:dyDescent="0.25">
      <c r="A257" s="24"/>
      <c r="B257" s="25" t="s">
        <v>44</v>
      </c>
      <c r="C257" s="22"/>
      <c r="D257" s="26">
        <v>3.7199999999999998</v>
      </c>
      <c r="E257" s="11"/>
      <c r="F257" s="11"/>
      <c r="G257" s="11"/>
      <c r="H257" s="11"/>
    </row>
    <row r="258" spans="1:8" x14ac:dyDescent="0.25">
      <c r="A258" s="24"/>
      <c r="B258" s="25" t="s">
        <v>29</v>
      </c>
      <c r="C258" s="22"/>
      <c r="D258" s="26">
        <v>3.71</v>
      </c>
      <c r="E258" s="11"/>
      <c r="F258" s="11"/>
      <c r="G258" s="11"/>
      <c r="H258" s="11"/>
    </row>
    <row r="259" spans="1:8" x14ac:dyDescent="0.25">
      <c r="A259" s="24"/>
      <c r="B259" s="25" t="s">
        <v>38</v>
      </c>
      <c r="C259" s="22"/>
      <c r="D259" s="26">
        <v>3.63</v>
      </c>
      <c r="E259" s="11"/>
      <c r="F259" s="11"/>
      <c r="G259" s="11"/>
      <c r="H259" s="11"/>
    </row>
    <row r="260" spans="1:8" x14ac:dyDescent="0.25">
      <c r="A260" s="24"/>
      <c r="B260" s="25" t="s">
        <v>35</v>
      </c>
      <c r="C260" s="22"/>
      <c r="D260" s="26">
        <v>3.18</v>
      </c>
      <c r="E260" s="11"/>
      <c r="F260" s="11"/>
      <c r="G260" s="11"/>
      <c r="H260" s="11"/>
    </row>
    <row r="261" spans="1:8" x14ac:dyDescent="0.25">
      <c r="A261" s="24"/>
      <c r="B261" s="25" t="s">
        <v>61</v>
      </c>
      <c r="C261" s="22"/>
      <c r="D261" s="26">
        <v>3.11</v>
      </c>
      <c r="E261" s="11"/>
      <c r="F261" s="11"/>
      <c r="G261" s="11"/>
      <c r="H261" s="11"/>
    </row>
    <row r="262" spans="1:8" x14ac:dyDescent="0.25">
      <c r="A262" s="24"/>
      <c r="B262" s="25" t="s">
        <v>72</v>
      </c>
      <c r="C262" s="22"/>
      <c r="D262" s="26">
        <v>2.95</v>
      </c>
      <c r="E262" s="11"/>
      <c r="F262" s="11"/>
      <c r="G262" s="11"/>
      <c r="H262" s="11"/>
    </row>
    <row r="263" spans="1:8" x14ac:dyDescent="0.25">
      <c r="A263" s="24"/>
      <c r="B263" s="25" t="s">
        <v>92</v>
      </c>
      <c r="C263" s="22"/>
      <c r="D263" s="26">
        <v>1.67</v>
      </c>
      <c r="E263" s="11"/>
      <c r="F263" s="11"/>
      <c r="G263" s="11"/>
      <c r="H263" s="11"/>
    </row>
    <row r="264" spans="1:8" x14ac:dyDescent="0.25">
      <c r="A264" s="24"/>
      <c r="B264" s="25" t="s">
        <v>56</v>
      </c>
      <c r="C264" s="22"/>
      <c r="D264" s="26">
        <v>1.4000000000000001</v>
      </c>
      <c r="E264" s="11"/>
      <c r="F264" s="11"/>
      <c r="G264" s="11"/>
      <c r="H264" s="11"/>
    </row>
    <row r="265" spans="1:8" x14ac:dyDescent="0.25">
      <c r="A265" s="24"/>
      <c r="B265" s="25" t="s">
        <v>64</v>
      </c>
      <c r="C265" s="22"/>
      <c r="D265" s="26">
        <v>1.17</v>
      </c>
      <c r="E265" s="11"/>
      <c r="F265" s="11"/>
      <c r="G265" s="11"/>
      <c r="H265" s="11"/>
    </row>
    <row r="266" spans="1:8" x14ac:dyDescent="0.25">
      <c r="A266" s="24"/>
      <c r="B266" s="25" t="s">
        <v>75</v>
      </c>
      <c r="C266" s="22"/>
      <c r="D266" s="26">
        <v>1.01</v>
      </c>
      <c r="E266" s="11"/>
      <c r="F266" s="11"/>
      <c r="G266" s="11"/>
      <c r="H266" s="11"/>
    </row>
    <row r="267" spans="1:8" x14ac:dyDescent="0.25">
      <c r="A267" s="24"/>
      <c r="B267" s="25" t="s">
        <v>69</v>
      </c>
      <c r="C267" s="22"/>
      <c r="D267" s="26">
        <v>0.83</v>
      </c>
      <c r="E267" s="11"/>
      <c r="F267" s="11"/>
      <c r="G267" s="11"/>
      <c r="H267" s="11"/>
    </row>
    <row r="268" spans="1:8" x14ac:dyDescent="0.25">
      <c r="A268" s="24"/>
      <c r="B268" s="25" t="s">
        <v>98</v>
      </c>
      <c r="C268" s="22"/>
      <c r="D268" s="26">
        <v>0.7599999999999999</v>
      </c>
      <c r="E268" s="11"/>
      <c r="F268" s="11"/>
      <c r="G268" s="11"/>
      <c r="H268" s="11"/>
    </row>
    <row r="269" spans="1:8" x14ac:dyDescent="0.25">
      <c r="A269" s="24"/>
      <c r="B269" s="25" t="s">
        <v>128</v>
      </c>
      <c r="C269" s="22"/>
      <c r="D269" s="26">
        <v>0.61</v>
      </c>
      <c r="E269" s="11"/>
      <c r="F269" s="11"/>
      <c r="G269" s="11"/>
      <c r="H269" s="11"/>
    </row>
    <row r="270" spans="1:8" x14ac:dyDescent="0.25">
      <c r="A270" s="24"/>
      <c r="B270" s="25" t="s">
        <v>95</v>
      </c>
      <c r="C270" s="22"/>
      <c r="D270" s="26">
        <v>0.6</v>
      </c>
      <c r="E270" s="11"/>
      <c r="F270" s="11"/>
      <c r="G270" s="11"/>
      <c r="H270" s="11"/>
    </row>
    <row r="271" spans="1:8" x14ac:dyDescent="0.25">
      <c r="A271" s="24"/>
      <c r="B271" s="25" t="s">
        <v>101</v>
      </c>
      <c r="C271" s="22"/>
      <c r="D271" s="26">
        <v>0.59</v>
      </c>
      <c r="E271" s="11"/>
      <c r="F271" s="11"/>
      <c r="G271" s="11"/>
      <c r="H271" s="11"/>
    </row>
    <row r="272" spans="1:8" x14ac:dyDescent="0.25">
      <c r="A272" s="24"/>
      <c r="B272" s="25" t="s">
        <v>114</v>
      </c>
      <c r="C272" s="22"/>
      <c r="D272" s="26">
        <v>0.57999999999999996</v>
      </c>
      <c r="E272" s="11"/>
      <c r="F272" s="11"/>
      <c r="G272" s="11"/>
      <c r="H272" s="11"/>
    </row>
    <row r="273" spans="1:8" x14ac:dyDescent="0.25">
      <c r="A273" s="24"/>
      <c r="B273" s="25" t="s">
        <v>123</v>
      </c>
      <c r="C273" s="22"/>
      <c r="D273" s="26">
        <v>0.33</v>
      </c>
      <c r="E273" s="11"/>
      <c r="F273" s="11"/>
      <c r="G273" s="11"/>
      <c r="H273" s="11"/>
    </row>
    <row r="274" spans="1:8" x14ac:dyDescent="0.25">
      <c r="A274" s="24"/>
      <c r="B274" s="25" t="s">
        <v>133</v>
      </c>
      <c r="C274" s="22"/>
      <c r="D274" s="26">
        <v>0.26</v>
      </c>
      <c r="E274" s="11"/>
      <c r="F274" s="11"/>
      <c r="G274" s="11"/>
      <c r="H274" s="11"/>
    </row>
    <row r="275" spans="1:8" x14ac:dyDescent="0.25">
      <c r="A275" s="24"/>
      <c r="B275" s="25" t="s">
        <v>136</v>
      </c>
      <c r="C275" s="22"/>
      <c r="D275" s="26">
        <v>0.26</v>
      </c>
      <c r="E275" s="11"/>
      <c r="F275" s="11"/>
      <c r="G275" s="11"/>
      <c r="H275" s="11"/>
    </row>
    <row r="276" spans="1:8" x14ac:dyDescent="0.25">
      <c r="A276" s="24"/>
      <c r="B276" s="25" t="s">
        <v>176</v>
      </c>
      <c r="C276" s="22"/>
      <c r="D276" s="26">
        <v>0.16</v>
      </c>
      <c r="E276" s="11"/>
      <c r="F276" s="11"/>
      <c r="G276" s="11"/>
      <c r="H276" s="11"/>
    </row>
    <row r="277" spans="1:8" x14ac:dyDescent="0.25">
      <c r="A277" s="24"/>
      <c r="B277" s="25" t="s">
        <v>185</v>
      </c>
      <c r="C277" s="22"/>
      <c r="D277" s="26">
        <v>0.1</v>
      </c>
      <c r="E277" s="11"/>
      <c r="F277" s="11"/>
      <c r="G277" s="11"/>
      <c r="H277" s="11"/>
    </row>
    <row r="278" spans="1:8" x14ac:dyDescent="0.25">
      <c r="A278" s="24"/>
      <c r="B278" s="25" t="s">
        <v>212</v>
      </c>
      <c r="C278" s="22"/>
      <c r="D278" s="26">
        <v>0.04</v>
      </c>
      <c r="E278" s="11"/>
      <c r="F278" s="11"/>
      <c r="G278" s="11"/>
      <c r="H278" s="11"/>
    </row>
    <row r="279" spans="1:8" x14ac:dyDescent="0.25">
      <c r="A279" s="24"/>
      <c r="B279" s="25" t="s">
        <v>147</v>
      </c>
      <c r="C279" s="22"/>
      <c r="D279" s="26">
        <v>0.02</v>
      </c>
      <c r="E279" s="11"/>
      <c r="F279" s="11"/>
      <c r="G279" s="11"/>
      <c r="H279" s="11"/>
    </row>
    <row r="280" spans="1:8" x14ac:dyDescent="0.25">
      <c r="A280" s="24"/>
      <c r="B280" s="25" t="s">
        <v>191</v>
      </c>
      <c r="C280" s="22"/>
      <c r="D280" s="26">
        <v>9.999999999999995E-3</v>
      </c>
      <c r="E280" s="11"/>
      <c r="F280" s="11"/>
      <c r="G280" s="11"/>
      <c r="H280" s="11"/>
    </row>
    <row r="281" spans="1:8" x14ac:dyDescent="0.25">
      <c r="A281" s="24"/>
      <c r="B281" s="25" t="s">
        <v>274</v>
      </c>
      <c r="C281" s="22"/>
      <c r="D281" s="26">
        <v>0</v>
      </c>
      <c r="E281" s="11"/>
      <c r="F281" s="11"/>
      <c r="G281" s="11"/>
      <c r="H281" s="11"/>
    </row>
    <row r="282" spans="1:8" x14ac:dyDescent="0.25">
      <c r="A282" s="24"/>
      <c r="B282" s="25" t="s">
        <v>292</v>
      </c>
      <c r="C282" s="22"/>
      <c r="D282" s="26">
        <v>0</v>
      </c>
      <c r="E282" s="11"/>
      <c r="F282" s="11"/>
      <c r="G282" s="11"/>
      <c r="H282" s="11"/>
    </row>
    <row r="283" spans="1:8" x14ac:dyDescent="0.25">
      <c r="A283" s="24"/>
      <c r="B283" s="25" t="s">
        <v>200</v>
      </c>
      <c r="C283" s="22"/>
      <c r="D283" s="26">
        <v>0</v>
      </c>
      <c r="E283" s="11"/>
      <c r="F283" s="11"/>
      <c r="G283" s="11"/>
      <c r="H283" s="11"/>
    </row>
    <row r="284" spans="1:8" x14ac:dyDescent="0.25">
      <c r="A284" s="24"/>
      <c r="B284" s="25" t="s">
        <v>209</v>
      </c>
      <c r="C284" s="22"/>
      <c r="D284" s="26">
        <v>0</v>
      </c>
      <c r="E284" s="11"/>
      <c r="F284" s="11"/>
      <c r="G284" s="11"/>
      <c r="H284" s="11"/>
    </row>
    <row r="285" spans="1:8" x14ac:dyDescent="0.25">
      <c r="A285" s="24"/>
      <c r="B285" s="25" t="s">
        <v>238</v>
      </c>
      <c r="C285" s="22"/>
      <c r="D285" s="26">
        <v>0</v>
      </c>
      <c r="E285" s="11"/>
      <c r="F285" s="11"/>
      <c r="G285" s="11"/>
      <c r="H285" s="11"/>
    </row>
    <row r="286" spans="1:8" x14ac:dyDescent="0.25">
      <c r="A286" s="24"/>
      <c r="B286" s="25" t="s">
        <v>188</v>
      </c>
      <c r="C286" s="22"/>
      <c r="D286" s="26">
        <v>0</v>
      </c>
      <c r="E286" s="11"/>
      <c r="F286" s="11"/>
      <c r="G286" s="11"/>
      <c r="H286" s="11"/>
    </row>
    <row r="287" spans="1:8" x14ac:dyDescent="0.25">
      <c r="A287" s="24"/>
      <c r="B287" s="25" t="s">
        <v>250</v>
      </c>
      <c r="C287" s="22"/>
      <c r="D287" s="26">
        <v>0</v>
      </c>
      <c r="E287" s="11"/>
      <c r="F287" s="11"/>
      <c r="G287" s="11"/>
      <c r="H287" s="11"/>
    </row>
    <row r="288" spans="1:8" x14ac:dyDescent="0.25">
      <c r="A288" s="24"/>
      <c r="B288" s="25" t="s">
        <v>223</v>
      </c>
      <c r="C288" s="22"/>
      <c r="D288" s="26">
        <v>0</v>
      </c>
      <c r="E288" s="11"/>
      <c r="F288" s="11"/>
      <c r="G288" s="11"/>
      <c r="H288" s="11"/>
    </row>
    <row r="289" spans="1:8" x14ac:dyDescent="0.25">
      <c r="A289" s="24"/>
      <c r="B289" s="25" t="s">
        <v>261</v>
      </c>
      <c r="C289" s="22"/>
      <c r="D289" s="26">
        <v>0</v>
      </c>
      <c r="E289" s="11"/>
      <c r="F289" s="11"/>
      <c r="G289" s="11"/>
      <c r="H289" s="11"/>
    </row>
    <row r="290" spans="1:8" x14ac:dyDescent="0.25">
      <c r="A290" s="24"/>
      <c r="B290" s="25" t="s">
        <v>243</v>
      </c>
      <c r="C290" s="22"/>
      <c r="D290" s="26">
        <v>1.27</v>
      </c>
      <c r="E290" s="11"/>
      <c r="F290" s="11"/>
      <c r="G290" s="11"/>
      <c r="H290" s="11"/>
    </row>
    <row r="291" spans="1:8" x14ac:dyDescent="0.25">
      <c r="A291" s="24"/>
      <c r="B291" s="25" t="s">
        <v>440</v>
      </c>
      <c r="C291" s="22"/>
      <c r="D291" s="26">
        <v>7.2499999999999956</v>
      </c>
      <c r="E291" s="11"/>
      <c r="F291" s="11"/>
      <c r="G291" s="11"/>
      <c r="H291" s="11"/>
    </row>
    <row r="292" spans="1:8" x14ac:dyDescent="0.25">
      <c r="A292" s="24"/>
      <c r="B292" s="25" t="s">
        <v>441</v>
      </c>
      <c r="C292" s="22"/>
      <c r="D292" s="26">
        <v>16.13</v>
      </c>
      <c r="E292" s="11"/>
      <c r="F292" s="11"/>
      <c r="G292" s="11"/>
      <c r="H292" s="11"/>
    </row>
    <row r="293" spans="1:8" x14ac:dyDescent="0.25">
      <c r="A293" s="24"/>
      <c r="B293" s="25" t="s">
        <v>442</v>
      </c>
      <c r="C293" s="22"/>
      <c r="D293" s="26">
        <v>1.51</v>
      </c>
      <c r="E293" s="11"/>
      <c r="F293" s="11"/>
      <c r="G293" s="11"/>
      <c r="H293" s="11"/>
    </row>
    <row r="294" spans="1:8" x14ac:dyDescent="0.25">
      <c r="A294" s="24"/>
      <c r="B294" s="25" t="s">
        <v>443</v>
      </c>
      <c r="C294" s="22"/>
      <c r="D294" s="26">
        <v>8.1300000000000008</v>
      </c>
      <c r="E294" s="11"/>
      <c r="F294" s="11"/>
      <c r="G294" s="11"/>
      <c r="H294" s="11"/>
    </row>
    <row r="295" spans="1:8" x14ac:dyDescent="0.25">
      <c r="A295" s="24"/>
      <c r="B295" s="25" t="s">
        <v>444</v>
      </c>
      <c r="C295" s="22"/>
      <c r="D295" s="26">
        <v>4.6099999999999994</v>
      </c>
      <c r="E295" s="11"/>
      <c r="F295" s="11"/>
      <c r="G295" s="11"/>
      <c r="H295" s="11"/>
    </row>
    <row r="296" spans="1:8" x14ac:dyDescent="0.25">
      <c r="A296" s="27"/>
      <c r="B296" s="27"/>
      <c r="C296" s="27"/>
      <c r="D296" s="27"/>
      <c r="E296" s="27"/>
      <c r="F296" s="27"/>
      <c r="G296" s="27"/>
      <c r="H296" s="27"/>
    </row>
    <row r="297" spans="1:8" x14ac:dyDescent="0.25">
      <c r="A297" s="27"/>
      <c r="B297" s="8" t="s">
        <v>450</v>
      </c>
      <c r="C297" s="27"/>
      <c r="D297" s="27"/>
      <c r="E297" s="27"/>
      <c r="F297" s="27"/>
      <c r="G297" s="27"/>
      <c r="H297" s="27"/>
    </row>
    <row r="298" spans="1:8" x14ac:dyDescent="0.25">
      <c r="A298" s="11"/>
      <c r="B298" s="11" t="s">
        <v>451</v>
      </c>
      <c r="C298" s="11"/>
      <c r="D298" s="11"/>
      <c r="E298" s="11"/>
      <c r="F298" s="11"/>
      <c r="G298" s="11"/>
      <c r="H298" s="27"/>
    </row>
    <row r="299" spans="1:8" x14ac:dyDescent="0.25">
      <c r="A299" s="11"/>
      <c r="B299" s="28" t="s">
        <v>452</v>
      </c>
      <c r="C299" s="29" t="s">
        <v>453</v>
      </c>
      <c r="D299" s="28" t="s">
        <v>454</v>
      </c>
      <c r="E299" s="11"/>
      <c r="F299" s="11"/>
      <c r="G299" s="11"/>
      <c r="H299" s="27"/>
    </row>
    <row r="300" spans="1:8" x14ac:dyDescent="0.25">
      <c r="A300" s="11"/>
      <c r="B300" s="8" t="s">
        <v>455</v>
      </c>
      <c r="C300" s="30">
        <v>32.329000000000001</v>
      </c>
      <c r="D300" s="30">
        <v>31.135000000000002</v>
      </c>
      <c r="E300" s="11"/>
      <c r="F300" s="11"/>
      <c r="G300" s="11"/>
      <c r="H300" s="27"/>
    </row>
    <row r="301" spans="1:8" x14ac:dyDescent="0.25">
      <c r="A301" s="11"/>
      <c r="B301" s="8" t="s">
        <v>456</v>
      </c>
      <c r="C301" s="30">
        <v>36.572000000000003</v>
      </c>
      <c r="D301" s="30">
        <v>35.173999999999999</v>
      </c>
      <c r="E301" s="11"/>
      <c r="F301" s="11"/>
      <c r="G301" s="11"/>
      <c r="H301" s="27"/>
    </row>
    <row r="302" spans="1:8" x14ac:dyDescent="0.25">
      <c r="A302" s="11"/>
      <c r="B302" s="8" t="s">
        <v>457</v>
      </c>
      <c r="C302" s="30">
        <v>368.02800000000002</v>
      </c>
      <c r="D302" s="30">
        <v>351.90300000000002</v>
      </c>
      <c r="E302" s="11"/>
      <c r="F302" s="11"/>
      <c r="G302" s="11"/>
      <c r="H302" s="27"/>
    </row>
    <row r="303" spans="1:8" x14ac:dyDescent="0.25">
      <c r="A303" s="11"/>
      <c r="B303" s="8" t="s">
        <v>458</v>
      </c>
      <c r="C303" s="30">
        <v>393.03199999999998</v>
      </c>
      <c r="D303" s="30">
        <v>375.62099999999998</v>
      </c>
      <c r="E303" s="11"/>
      <c r="F303" s="11"/>
      <c r="G303" s="11"/>
      <c r="H303" s="27"/>
    </row>
    <row r="304" spans="1:8" x14ac:dyDescent="0.25">
      <c r="A304" s="11"/>
      <c r="B304" s="8" t="s">
        <v>20</v>
      </c>
      <c r="C304" s="11"/>
      <c r="D304" s="11"/>
      <c r="E304" s="11"/>
      <c r="F304" s="11"/>
      <c r="G304" s="11"/>
      <c r="H304" s="27"/>
    </row>
    <row r="305" spans="1:8" x14ac:dyDescent="0.25">
      <c r="A305" s="11"/>
      <c r="B305" s="11"/>
      <c r="C305" s="11"/>
      <c r="D305" s="11"/>
      <c r="E305" s="11"/>
      <c r="F305" s="11"/>
      <c r="G305" s="11"/>
      <c r="H305" s="27"/>
    </row>
    <row r="306" spans="1:8" x14ac:dyDescent="0.25">
      <c r="A306" s="11"/>
      <c r="B306" s="11" t="s">
        <v>459</v>
      </c>
      <c r="C306" s="11"/>
      <c r="D306" s="11"/>
      <c r="E306" s="11"/>
      <c r="F306" s="11"/>
      <c r="G306" s="11"/>
      <c r="H306" s="27"/>
    </row>
    <row r="307" spans="1:8" x14ac:dyDescent="0.25">
      <c r="A307" s="11"/>
      <c r="B307" s="31" t="s">
        <v>20</v>
      </c>
      <c r="C307" s="32" t="s">
        <v>20</v>
      </c>
      <c r="D307" s="32" t="s">
        <v>20</v>
      </c>
      <c r="E307" s="49" t="s">
        <v>460</v>
      </c>
      <c r="F307" s="49" t="s">
        <v>460</v>
      </c>
      <c r="G307" s="11"/>
      <c r="H307" s="27"/>
    </row>
    <row r="308" spans="1:8" x14ac:dyDescent="0.25">
      <c r="A308" s="11"/>
      <c r="B308" s="33" t="s">
        <v>461</v>
      </c>
      <c r="C308" s="33" t="s">
        <v>462</v>
      </c>
      <c r="D308" s="33" t="s">
        <v>463</v>
      </c>
      <c r="E308" s="28" t="s">
        <v>464</v>
      </c>
      <c r="F308" s="28" t="s">
        <v>465</v>
      </c>
      <c r="G308" s="11"/>
      <c r="H308" s="27"/>
    </row>
    <row r="309" spans="1:8" x14ac:dyDescent="0.25">
      <c r="A309" s="11"/>
      <c r="B309" s="11" t="s">
        <v>455</v>
      </c>
      <c r="C309" s="34" t="s">
        <v>466</v>
      </c>
      <c r="D309" s="30">
        <v>32.106000000000002</v>
      </c>
      <c r="E309" s="30">
        <v>0.23</v>
      </c>
      <c r="F309" s="30">
        <v>0.23</v>
      </c>
      <c r="G309" s="11"/>
      <c r="H309" s="27"/>
    </row>
    <row r="310" spans="1:8" x14ac:dyDescent="0.25">
      <c r="A310" s="11"/>
      <c r="B310" s="11" t="s">
        <v>456</v>
      </c>
      <c r="C310" s="34" t="s">
        <v>466</v>
      </c>
      <c r="D310" s="30">
        <v>36.286000000000001</v>
      </c>
      <c r="E310" s="30">
        <v>0.23</v>
      </c>
      <c r="F310" s="30">
        <v>0.23</v>
      </c>
      <c r="G310" s="11"/>
      <c r="H310" s="27"/>
    </row>
    <row r="311" spans="1:8" x14ac:dyDescent="0.25">
      <c r="A311" s="11"/>
      <c r="B311" s="11"/>
      <c r="C311" s="11"/>
      <c r="D311" s="11"/>
      <c r="E311" s="11"/>
      <c r="F311" s="11"/>
      <c r="G311" s="11"/>
      <c r="H311" s="27"/>
    </row>
    <row r="312" spans="1:8" x14ac:dyDescent="0.25">
      <c r="A312" s="11"/>
      <c r="B312" s="11" t="s">
        <v>467</v>
      </c>
      <c r="C312" s="11"/>
      <c r="D312" s="11"/>
      <c r="E312" s="11"/>
      <c r="F312" s="11"/>
      <c r="G312" s="11"/>
      <c r="H312" s="27"/>
    </row>
    <row r="313" spans="1:8" x14ac:dyDescent="0.25">
      <c r="A313" s="27"/>
      <c r="B313" s="27"/>
      <c r="C313" s="27"/>
      <c r="D313" s="27"/>
      <c r="E313" s="27"/>
      <c r="F313" s="27"/>
      <c r="G313" s="27"/>
      <c r="H313" s="27"/>
    </row>
    <row r="314" spans="1:8" x14ac:dyDescent="0.25">
      <c r="A314" s="11"/>
      <c r="B314" s="11" t="s">
        <v>468</v>
      </c>
      <c r="C314" s="11"/>
      <c r="D314" s="11"/>
      <c r="E314" s="11"/>
      <c r="F314" s="11"/>
      <c r="G314" s="11"/>
      <c r="H314" s="11"/>
    </row>
    <row r="315" spans="1:8" x14ac:dyDescent="0.25">
      <c r="A315" s="11"/>
      <c r="B315" s="11" t="s">
        <v>469</v>
      </c>
      <c r="C315" s="11"/>
      <c r="D315" s="11"/>
      <c r="E315" s="11"/>
      <c r="F315" s="11"/>
      <c r="G315" s="11"/>
      <c r="H315" s="27"/>
    </row>
    <row r="316" spans="1:8" x14ac:dyDescent="0.25">
      <c r="A316" s="11"/>
      <c r="B316" s="11" t="s">
        <v>470</v>
      </c>
      <c r="C316" s="11"/>
      <c r="D316" s="11"/>
      <c r="E316" s="11"/>
      <c r="F316" s="11"/>
      <c r="G316" s="11"/>
      <c r="H316" s="27"/>
    </row>
    <row r="317" spans="1:8" ht="24" x14ac:dyDescent="0.25">
      <c r="A317" s="11"/>
      <c r="B317" s="35" t="s">
        <v>471</v>
      </c>
      <c r="C317" s="36" t="s">
        <v>472</v>
      </c>
      <c r="D317" s="36" t="s">
        <v>473</v>
      </c>
      <c r="E317" s="36" t="s">
        <v>474</v>
      </c>
      <c r="F317" s="37" t="s">
        <v>475</v>
      </c>
      <c r="G317" s="11"/>
      <c r="H317" s="27"/>
    </row>
    <row r="318" spans="1:8" x14ac:dyDescent="0.25">
      <c r="A318" s="11"/>
      <c r="B318" s="38" t="s">
        <v>476</v>
      </c>
      <c r="C318" s="39">
        <v>13992.409597</v>
      </c>
      <c r="D318" s="40">
        <v>45135</v>
      </c>
      <c r="E318" s="40">
        <v>45138</v>
      </c>
      <c r="F318" s="41">
        <v>2.326707041788877E-3</v>
      </c>
      <c r="G318" s="11"/>
      <c r="H318" s="27"/>
    </row>
    <row r="319" spans="1:8" x14ac:dyDescent="0.25">
      <c r="A319" s="11"/>
      <c r="B319" s="42"/>
      <c r="C319" s="43"/>
      <c r="D319" s="44"/>
      <c r="E319" s="44"/>
      <c r="F319" s="45"/>
      <c r="G319" s="11"/>
      <c r="H319" s="27"/>
    </row>
    <row r="320" spans="1:8" x14ac:dyDescent="0.25">
      <c r="A320" s="11"/>
      <c r="B320" s="11" t="s">
        <v>477</v>
      </c>
      <c r="C320" s="11"/>
      <c r="D320" s="11"/>
      <c r="E320" s="11"/>
      <c r="F320" s="11"/>
      <c r="G320" s="11"/>
      <c r="H320" s="27"/>
    </row>
    <row r="321" spans="1:8" x14ac:dyDescent="0.25">
      <c r="A321" s="11"/>
      <c r="B321" s="11" t="s">
        <v>478</v>
      </c>
      <c r="C321" s="11"/>
      <c r="D321" s="11"/>
      <c r="E321" s="11"/>
      <c r="F321" s="11"/>
      <c r="G321" s="11"/>
      <c r="H321" s="27"/>
    </row>
    <row r="322" spans="1:8" x14ac:dyDescent="0.25">
      <c r="A322" s="11"/>
      <c r="B322" s="11" t="s">
        <v>479</v>
      </c>
      <c r="C322" s="11"/>
      <c r="D322" s="11"/>
      <c r="E322" s="11"/>
      <c r="F322" s="11"/>
      <c r="G322" s="11"/>
      <c r="H322" s="27"/>
    </row>
    <row r="323" spans="1:8" x14ac:dyDescent="0.25">
      <c r="A323" s="11"/>
      <c r="B323" s="11" t="s">
        <v>480</v>
      </c>
      <c r="C323" s="11"/>
      <c r="D323" s="11"/>
      <c r="E323" s="11"/>
      <c r="F323" s="11"/>
      <c r="G323" s="11"/>
      <c r="H323" s="27"/>
    </row>
    <row r="324" spans="1:8" x14ac:dyDescent="0.25">
      <c r="A324" s="11"/>
      <c r="B324" s="11" t="s">
        <v>481</v>
      </c>
      <c r="C324" s="11"/>
      <c r="D324" s="11"/>
      <c r="E324" s="11"/>
      <c r="F324" s="11"/>
      <c r="G324" s="11"/>
      <c r="H324" s="27"/>
    </row>
    <row r="325" spans="1:8" x14ac:dyDescent="0.25">
      <c r="A325" s="11"/>
      <c r="B325" s="11" t="s">
        <v>482</v>
      </c>
      <c r="C325" s="11"/>
      <c r="D325" s="11"/>
      <c r="E325" s="11"/>
      <c r="F325" s="11"/>
      <c r="G325" s="11"/>
      <c r="H325" s="27"/>
    </row>
    <row r="326" spans="1:8" x14ac:dyDescent="0.25">
      <c r="A326" s="11"/>
      <c r="B326" s="11" t="s">
        <v>483</v>
      </c>
      <c r="C326" s="11"/>
      <c r="D326" s="11"/>
      <c r="E326" s="11"/>
      <c r="F326" s="11"/>
      <c r="G326" s="11"/>
      <c r="H326" s="27"/>
    </row>
    <row r="327" spans="1:8" x14ac:dyDescent="0.25">
      <c r="A327" s="11"/>
      <c r="B327" s="11" t="s">
        <v>484</v>
      </c>
      <c r="C327" s="11"/>
      <c r="D327" s="11"/>
      <c r="E327" s="11"/>
      <c r="F327" s="11"/>
      <c r="G327" s="11"/>
      <c r="H327" s="27"/>
    </row>
    <row r="329" spans="1:8" x14ac:dyDescent="0.25">
      <c r="B329" s="46" t="s">
        <v>485</v>
      </c>
    </row>
    <row r="345" spans="2:2" x14ac:dyDescent="0.25">
      <c r="B345" s="46" t="s">
        <v>486</v>
      </c>
    </row>
  </sheetData>
  <mergeCells count="12">
    <mergeCell ref="E307:F307"/>
    <mergeCell ref="A1:J1"/>
    <mergeCell ref="A2:J2"/>
    <mergeCell ref="B224:F224"/>
    <mergeCell ref="B225:F225"/>
    <mergeCell ref="B226:F226"/>
    <mergeCell ref="B227:F227"/>
    <mergeCell ref="B228:F228"/>
    <mergeCell ref="B229:F229"/>
    <mergeCell ref="B230:F230"/>
    <mergeCell ref="B231:F231"/>
    <mergeCell ref="B232:F2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dimension ref="A2:H77"/>
  <sheetViews>
    <sheetView workbookViewId="0"/>
  </sheetViews>
  <sheetFormatPr defaultColWidth="9.140625" defaultRowHeight="12.75" x14ac:dyDescent="0.2"/>
  <cols>
    <col min="1" max="1" width="46.5703125" style="53" customWidth="1"/>
    <col min="2" max="2" width="41.28515625" style="53" bestFit="1" customWidth="1"/>
    <col min="3" max="3" width="32.42578125" style="53" customWidth="1"/>
    <col min="4" max="4" width="22.7109375" style="53" customWidth="1"/>
    <col min="5" max="5" width="18.7109375" style="53" customWidth="1"/>
    <col min="6" max="6" width="16.140625" style="53" customWidth="1"/>
    <col min="7" max="7" width="13.7109375" style="53" customWidth="1"/>
    <col min="8" max="8" width="38.5703125" style="53" customWidth="1"/>
    <col min="9" max="9" width="9.140625" style="53" customWidth="1"/>
    <col min="10" max="10" width="11.7109375" style="53" customWidth="1"/>
    <col min="11" max="11" width="12.7109375" style="53" customWidth="1"/>
    <col min="12" max="12" width="27.28515625" style="53" customWidth="1"/>
    <col min="13" max="14" width="9.140625" style="53" customWidth="1"/>
    <col min="15" max="15" width="10.7109375" style="53" customWidth="1"/>
    <col min="16" max="16384" width="9.140625" style="53"/>
  </cols>
  <sheetData>
    <row r="2" spans="1:8" x14ac:dyDescent="0.2">
      <c r="G2" s="54"/>
    </row>
    <row r="3" spans="1:8" x14ac:dyDescent="0.2">
      <c r="A3" s="55" t="s">
        <v>487</v>
      </c>
      <c r="B3" s="55"/>
      <c r="C3" s="55"/>
      <c r="D3" s="55"/>
      <c r="E3" s="55"/>
      <c r="F3" s="55"/>
      <c r="G3" s="55"/>
    </row>
    <row r="5" spans="1:8" x14ac:dyDescent="0.2">
      <c r="A5" s="53" t="s">
        <v>488</v>
      </c>
    </row>
    <row r="7" spans="1:8" ht="12.75" customHeight="1" x14ac:dyDescent="0.2">
      <c r="A7" s="56" t="s">
        <v>489</v>
      </c>
      <c r="B7" s="56"/>
      <c r="C7" s="56"/>
      <c r="D7" s="56"/>
      <c r="E7" s="56"/>
      <c r="F7" s="56"/>
    </row>
    <row r="8" spans="1:8" ht="38.25" x14ac:dyDescent="0.2">
      <c r="A8" s="57" t="s">
        <v>490</v>
      </c>
      <c r="B8" s="58" t="s">
        <v>491</v>
      </c>
      <c r="C8" s="58" t="s">
        <v>492</v>
      </c>
      <c r="D8" s="58" t="s">
        <v>493</v>
      </c>
      <c r="E8" s="58" t="s">
        <v>494</v>
      </c>
      <c r="F8" s="58" t="s">
        <v>495</v>
      </c>
      <c r="G8" s="58" t="s">
        <v>496</v>
      </c>
      <c r="H8" s="59" t="s">
        <v>497</v>
      </c>
    </row>
    <row r="9" spans="1:8" x14ac:dyDescent="0.2">
      <c r="A9" s="60" t="s">
        <v>498</v>
      </c>
      <c r="B9" s="61" t="s">
        <v>235</v>
      </c>
      <c r="C9" s="61" t="s">
        <v>200</v>
      </c>
      <c r="D9" s="62">
        <v>-57000</v>
      </c>
      <c r="E9" s="63">
        <v>1921.2449384210527</v>
      </c>
      <c r="F9" s="64">
        <v>2036.45</v>
      </c>
      <c r="G9" s="64">
        <v>230.2661775</v>
      </c>
      <c r="H9" s="65">
        <f>(D9*F9)/100000</f>
        <v>-1160.7764999999999</v>
      </c>
    </row>
    <row r="10" spans="1:8" x14ac:dyDescent="0.2">
      <c r="A10" s="66"/>
      <c r="B10" s="61" t="s">
        <v>499</v>
      </c>
      <c r="C10" s="61" t="s">
        <v>223</v>
      </c>
      <c r="D10" s="62">
        <v>-69000</v>
      </c>
      <c r="E10" s="63">
        <v>2455.4648200000001</v>
      </c>
      <c r="F10" s="64">
        <v>2518.9</v>
      </c>
      <c r="G10" s="64">
        <v>1126.6882350000001</v>
      </c>
      <c r="H10" s="65">
        <f t="shared" ref="H10:H75" si="0">(D10*F10)/100000</f>
        <v>-1738.0409999999999</v>
      </c>
    </row>
    <row r="11" spans="1:8" x14ac:dyDescent="0.2">
      <c r="A11" s="66"/>
      <c r="B11" s="61" t="s">
        <v>187</v>
      </c>
      <c r="C11" s="61" t="s">
        <v>188</v>
      </c>
      <c r="D11" s="62">
        <v>-105000</v>
      </c>
      <c r="E11" s="63">
        <v>5249.5887235238097</v>
      </c>
      <c r="F11" s="64">
        <v>5212.3999999999996</v>
      </c>
      <c r="G11" s="64">
        <v>1009.8102</v>
      </c>
      <c r="H11" s="65">
        <f t="shared" si="0"/>
        <v>-5473.02</v>
      </c>
    </row>
    <row r="12" spans="1:8" x14ac:dyDescent="0.2">
      <c r="A12" s="66"/>
      <c r="B12" s="61" t="s">
        <v>500</v>
      </c>
      <c r="C12" s="61" t="s">
        <v>114</v>
      </c>
      <c r="D12" s="62">
        <v>-1215000</v>
      </c>
      <c r="E12" s="63">
        <v>184.62649999999999</v>
      </c>
      <c r="F12" s="64">
        <v>185.65</v>
      </c>
      <c r="G12" s="64">
        <v>439.8026625</v>
      </c>
      <c r="H12" s="65">
        <f t="shared" si="0"/>
        <v>-2255.6475</v>
      </c>
    </row>
    <row r="13" spans="1:8" x14ac:dyDescent="0.2">
      <c r="A13" s="66"/>
      <c r="B13" s="61" t="s">
        <v>501</v>
      </c>
      <c r="C13" s="61" t="s">
        <v>147</v>
      </c>
      <c r="D13" s="62">
        <v>-437000</v>
      </c>
      <c r="E13" s="63">
        <v>3423.3319200000001</v>
      </c>
      <c r="F13" s="64">
        <v>3398.25</v>
      </c>
      <c r="G13" s="64">
        <v>2621.6012375</v>
      </c>
      <c r="H13" s="65">
        <f t="shared" si="0"/>
        <v>-14850.352500000001</v>
      </c>
    </row>
    <row r="14" spans="1:8" x14ac:dyDescent="0.2">
      <c r="A14" s="66"/>
      <c r="B14" s="61" t="s">
        <v>502</v>
      </c>
      <c r="C14" s="61" t="s">
        <v>128</v>
      </c>
      <c r="D14" s="62">
        <v>-734</v>
      </c>
      <c r="E14" s="63">
        <v>1910.0250000000001</v>
      </c>
      <c r="F14" s="64">
        <v>1985.3</v>
      </c>
      <c r="G14" s="64">
        <v>2.9484436000000001</v>
      </c>
      <c r="H14" s="65">
        <f t="shared" si="0"/>
        <v>-14.572101999999999</v>
      </c>
    </row>
    <row r="15" spans="1:8" x14ac:dyDescent="0.2">
      <c r="A15" s="66"/>
      <c r="B15" s="61" t="s">
        <v>503</v>
      </c>
      <c r="C15" s="61" t="s">
        <v>75</v>
      </c>
      <c r="D15" s="62">
        <v>-16500</v>
      </c>
      <c r="E15" s="63">
        <v>4913.6718896969696</v>
      </c>
      <c r="F15" s="64">
        <v>4975.3999999999996</v>
      </c>
      <c r="G15" s="64">
        <v>144.61408499999999</v>
      </c>
      <c r="H15" s="65">
        <f t="shared" si="0"/>
        <v>-820.94100000000003</v>
      </c>
    </row>
    <row r="16" spans="1:8" x14ac:dyDescent="0.2">
      <c r="A16" s="66"/>
      <c r="B16" s="61" t="s">
        <v>504</v>
      </c>
      <c r="C16" s="61" t="s">
        <v>41</v>
      </c>
      <c r="D16" s="62">
        <v>-370875</v>
      </c>
      <c r="E16" s="63">
        <v>7649.3667547556452</v>
      </c>
      <c r="F16" s="64">
        <v>7368.55</v>
      </c>
      <c r="G16" s="64">
        <v>5252.7369333999995</v>
      </c>
      <c r="H16" s="65">
        <f t="shared" si="0"/>
        <v>-27328.109812499999</v>
      </c>
    </row>
    <row r="17" spans="1:8" x14ac:dyDescent="0.2">
      <c r="A17" s="66"/>
      <c r="B17" s="61" t="s">
        <v>58</v>
      </c>
      <c r="C17" s="61" t="s">
        <v>22</v>
      </c>
      <c r="D17" s="62">
        <v>-87750</v>
      </c>
      <c r="E17" s="63">
        <v>203.09330005698007</v>
      </c>
      <c r="F17" s="64">
        <v>204</v>
      </c>
      <c r="G17" s="64">
        <v>40.259700000000002</v>
      </c>
      <c r="H17" s="65">
        <f t="shared" si="0"/>
        <v>-179.01</v>
      </c>
    </row>
    <row r="18" spans="1:8" x14ac:dyDescent="0.2">
      <c r="A18" s="66"/>
      <c r="B18" s="61" t="s">
        <v>103</v>
      </c>
      <c r="C18" s="61" t="s">
        <v>41</v>
      </c>
      <c r="D18" s="62">
        <v>-1761000</v>
      </c>
      <c r="E18" s="63">
        <v>1651.3635057353777</v>
      </c>
      <c r="F18" s="64">
        <v>1613.2</v>
      </c>
      <c r="G18" s="64">
        <v>5348.8966200000004</v>
      </c>
      <c r="H18" s="65">
        <f t="shared" si="0"/>
        <v>-28408.452000000001</v>
      </c>
    </row>
    <row r="19" spans="1:8" x14ac:dyDescent="0.2">
      <c r="A19" s="66"/>
      <c r="B19" s="61" t="s">
        <v>227</v>
      </c>
      <c r="C19" s="61" t="s">
        <v>95</v>
      </c>
      <c r="D19" s="62">
        <v>-1648500</v>
      </c>
      <c r="E19" s="63">
        <v>98.107299999999995</v>
      </c>
      <c r="F19" s="64">
        <v>104.8</v>
      </c>
      <c r="G19" s="64">
        <v>431.21463</v>
      </c>
      <c r="H19" s="65">
        <f t="shared" si="0"/>
        <v>-1727.6279999999999</v>
      </c>
    </row>
    <row r="20" spans="1:8" x14ac:dyDescent="0.2">
      <c r="A20" s="66"/>
      <c r="B20" s="61" t="s">
        <v>85</v>
      </c>
      <c r="C20" s="61" t="s">
        <v>47</v>
      </c>
      <c r="D20" s="62">
        <v>-693000</v>
      </c>
      <c r="E20" s="63">
        <v>380.88249999999999</v>
      </c>
      <c r="F20" s="64">
        <v>377.4</v>
      </c>
      <c r="G20" s="64">
        <v>464.09517</v>
      </c>
      <c r="H20" s="65">
        <f t="shared" si="0"/>
        <v>-2615.3819999999996</v>
      </c>
    </row>
    <row r="21" spans="1:8" x14ac:dyDescent="0.2">
      <c r="A21" s="66"/>
      <c r="B21" s="61" t="s">
        <v>237</v>
      </c>
      <c r="C21" s="61" t="s">
        <v>238</v>
      </c>
      <c r="D21" s="62">
        <v>-24400</v>
      </c>
      <c r="E21" s="63">
        <v>5070.9626983606558</v>
      </c>
      <c r="F21" s="64">
        <v>4812.3500000000004</v>
      </c>
      <c r="G21" s="64">
        <v>207.68358899999998</v>
      </c>
      <c r="H21" s="65">
        <f t="shared" si="0"/>
        <v>-1174.2134000000001</v>
      </c>
    </row>
    <row r="22" spans="1:8" x14ac:dyDescent="0.2">
      <c r="A22" s="66"/>
      <c r="B22" s="61" t="s">
        <v>171</v>
      </c>
      <c r="C22" s="61" t="s">
        <v>61</v>
      </c>
      <c r="D22" s="62">
        <v>-139100</v>
      </c>
      <c r="E22" s="63">
        <v>1061.1697999999999</v>
      </c>
      <c r="F22" s="64">
        <v>1184</v>
      </c>
      <c r="G22" s="64">
        <v>290.41298</v>
      </c>
      <c r="H22" s="65">
        <f t="shared" si="0"/>
        <v>-1646.944</v>
      </c>
    </row>
    <row r="23" spans="1:8" x14ac:dyDescent="0.2">
      <c r="A23" s="66"/>
      <c r="B23" s="61" t="s">
        <v>260</v>
      </c>
      <c r="C23" s="61" t="s">
        <v>261</v>
      </c>
      <c r="D23" s="62">
        <v>-76250</v>
      </c>
      <c r="E23" s="63">
        <v>579.4606</v>
      </c>
      <c r="F23" s="64">
        <v>579.70000000000005</v>
      </c>
      <c r="G23" s="64">
        <v>77.972873800000002</v>
      </c>
      <c r="H23" s="65">
        <f t="shared" si="0"/>
        <v>-442.02125000000001</v>
      </c>
    </row>
    <row r="24" spans="1:8" x14ac:dyDescent="0.2">
      <c r="A24" s="66"/>
      <c r="B24" s="61" t="s">
        <v>505</v>
      </c>
      <c r="C24" s="61" t="s">
        <v>243</v>
      </c>
      <c r="D24" s="62">
        <v>-272250</v>
      </c>
      <c r="E24" s="63">
        <v>497.44630001836549</v>
      </c>
      <c r="F24" s="64">
        <v>521.75</v>
      </c>
      <c r="G24" s="64">
        <v>298.87945309999998</v>
      </c>
      <c r="H24" s="65">
        <f t="shared" si="0"/>
        <v>-1420.464375</v>
      </c>
    </row>
    <row r="25" spans="1:8" x14ac:dyDescent="0.2">
      <c r="A25" s="66"/>
      <c r="B25" s="61" t="s">
        <v>506</v>
      </c>
      <c r="C25" s="61" t="s">
        <v>61</v>
      </c>
      <c r="D25" s="62">
        <v>-48125</v>
      </c>
      <c r="E25" s="63">
        <v>5435.8974246233765</v>
      </c>
      <c r="F25" s="64">
        <v>5684.15</v>
      </c>
      <c r="G25" s="64">
        <v>482.34978159999997</v>
      </c>
      <c r="H25" s="65">
        <f t="shared" si="0"/>
        <v>-2735.4971875000001</v>
      </c>
    </row>
    <row r="26" spans="1:8" x14ac:dyDescent="0.2">
      <c r="A26" s="66"/>
      <c r="B26" s="61" t="s">
        <v>216</v>
      </c>
      <c r="C26" s="61" t="s">
        <v>75</v>
      </c>
      <c r="D26" s="62">
        <v>-64575</v>
      </c>
      <c r="E26" s="63">
        <v>3339.0626000774291</v>
      </c>
      <c r="F26" s="64">
        <v>3351.7</v>
      </c>
      <c r="G26" s="64">
        <v>391.49206960000004</v>
      </c>
      <c r="H26" s="65">
        <f t="shared" si="0"/>
        <v>-2164.360275</v>
      </c>
    </row>
    <row r="27" spans="1:8" x14ac:dyDescent="0.2">
      <c r="A27" s="66"/>
      <c r="B27" s="61" t="s">
        <v>263</v>
      </c>
      <c r="C27" s="61" t="s">
        <v>261</v>
      </c>
      <c r="D27" s="62">
        <v>-68000</v>
      </c>
      <c r="E27" s="63">
        <v>1047.4691</v>
      </c>
      <c r="F27" s="64">
        <v>1045.3499999999999</v>
      </c>
      <c r="G27" s="64">
        <v>125.20653</v>
      </c>
      <c r="H27" s="65">
        <f t="shared" si="0"/>
        <v>-710.83799999999997</v>
      </c>
    </row>
    <row r="28" spans="1:8" x14ac:dyDescent="0.2">
      <c r="A28" s="66"/>
      <c r="B28" s="61" t="s">
        <v>279</v>
      </c>
      <c r="C28" s="61" t="s">
        <v>200</v>
      </c>
      <c r="D28" s="62">
        <v>-11400</v>
      </c>
      <c r="E28" s="63">
        <v>1821.375</v>
      </c>
      <c r="F28" s="64">
        <v>1851.25</v>
      </c>
      <c r="G28" s="64">
        <v>37.412947500000001</v>
      </c>
      <c r="H28" s="65">
        <f t="shared" si="0"/>
        <v>-211.04249999999999</v>
      </c>
    </row>
    <row r="29" spans="1:8" x14ac:dyDescent="0.2">
      <c r="A29" s="66"/>
      <c r="B29" s="61" t="s">
        <v>199</v>
      </c>
      <c r="C29" s="61" t="s">
        <v>200</v>
      </c>
      <c r="D29" s="62">
        <v>-811800</v>
      </c>
      <c r="E29" s="63">
        <v>448.99290000000002</v>
      </c>
      <c r="F29" s="64">
        <v>467.35</v>
      </c>
      <c r="G29" s="64">
        <v>945.31877550000002</v>
      </c>
      <c r="H29" s="65">
        <f t="shared" si="0"/>
        <v>-3793.9472999999998</v>
      </c>
    </row>
    <row r="30" spans="1:8" x14ac:dyDescent="0.2">
      <c r="A30" s="66"/>
      <c r="B30" s="61" t="s">
        <v>218</v>
      </c>
      <c r="C30" s="61" t="s">
        <v>38</v>
      </c>
      <c r="D30" s="62">
        <v>-205800</v>
      </c>
      <c r="E30" s="63">
        <v>1123.3528326530611</v>
      </c>
      <c r="F30" s="64">
        <v>1126.3</v>
      </c>
      <c r="G30" s="64">
        <v>408.43170900000001</v>
      </c>
      <c r="H30" s="65">
        <f t="shared" si="0"/>
        <v>-2317.9254000000001</v>
      </c>
    </row>
    <row r="31" spans="1:8" x14ac:dyDescent="0.2">
      <c r="A31" s="66"/>
      <c r="B31" s="61" t="s">
        <v>507</v>
      </c>
      <c r="C31" s="61" t="s">
        <v>22</v>
      </c>
      <c r="D31" s="62">
        <v>-2807750</v>
      </c>
      <c r="E31" s="63">
        <v>1697.9808650342802</v>
      </c>
      <c r="F31" s="64">
        <v>1667.35</v>
      </c>
      <c r="G31" s="64">
        <v>8241.2305869000011</v>
      </c>
      <c r="H31" s="65">
        <f t="shared" si="0"/>
        <v>-46815.019625000001</v>
      </c>
    </row>
    <row r="32" spans="1:8" x14ac:dyDescent="0.2">
      <c r="A32" s="66"/>
      <c r="B32" s="61" t="s">
        <v>508</v>
      </c>
      <c r="C32" s="61" t="s">
        <v>98</v>
      </c>
      <c r="D32" s="62">
        <v>-151800</v>
      </c>
      <c r="E32" s="63">
        <v>654.62281811594198</v>
      </c>
      <c r="F32" s="64">
        <v>652.9</v>
      </c>
      <c r="G32" s="64">
        <v>187.27793699999998</v>
      </c>
      <c r="H32" s="65">
        <f t="shared" si="0"/>
        <v>-991.10220000000004</v>
      </c>
    </row>
    <row r="33" spans="1:8" x14ac:dyDescent="0.2">
      <c r="A33" s="66"/>
      <c r="B33" s="61" t="s">
        <v>281</v>
      </c>
      <c r="C33" s="61" t="s">
        <v>75</v>
      </c>
      <c r="D33" s="62">
        <v>-8100</v>
      </c>
      <c r="E33" s="63">
        <v>3138.7795999999998</v>
      </c>
      <c r="F33" s="64">
        <v>3212.4</v>
      </c>
      <c r="G33" s="64">
        <v>46.064214000000007</v>
      </c>
      <c r="H33" s="65">
        <f t="shared" si="0"/>
        <v>-260.20440000000002</v>
      </c>
    </row>
    <row r="34" spans="1:8" x14ac:dyDescent="0.2">
      <c r="A34" s="66"/>
      <c r="B34" s="61" t="s">
        <v>509</v>
      </c>
      <c r="C34" s="61" t="s">
        <v>47</v>
      </c>
      <c r="D34" s="62">
        <v>-218700</v>
      </c>
      <c r="E34" s="63">
        <v>305.5172</v>
      </c>
      <c r="F34" s="64">
        <v>285.2</v>
      </c>
      <c r="G34" s="64">
        <v>125.188254</v>
      </c>
      <c r="H34" s="65">
        <f t="shared" si="0"/>
        <v>-623.73239999999998</v>
      </c>
    </row>
    <row r="35" spans="1:8" x14ac:dyDescent="0.2">
      <c r="A35" s="66"/>
      <c r="B35" s="61" t="s">
        <v>173</v>
      </c>
      <c r="C35" s="61" t="s">
        <v>35</v>
      </c>
      <c r="D35" s="62">
        <v>-405600</v>
      </c>
      <c r="E35" s="63">
        <v>2585.2394798816567</v>
      </c>
      <c r="F35" s="64">
        <v>2582.9499999999998</v>
      </c>
      <c r="G35" s="64">
        <v>1845.898782</v>
      </c>
      <c r="H35" s="65">
        <f t="shared" si="0"/>
        <v>-10476.445199999998</v>
      </c>
    </row>
    <row r="36" spans="1:8" x14ac:dyDescent="0.2">
      <c r="A36" s="66"/>
      <c r="B36" s="61" t="s">
        <v>24</v>
      </c>
      <c r="C36" s="61" t="s">
        <v>22</v>
      </c>
      <c r="D36" s="62">
        <v>-4884600</v>
      </c>
      <c r="E36" s="63">
        <v>957.86940543135574</v>
      </c>
      <c r="F36" s="64">
        <v>996.8</v>
      </c>
      <c r="G36" s="64">
        <v>8648.5750680000001</v>
      </c>
      <c r="H36" s="65">
        <f t="shared" si="0"/>
        <v>-48689.692799999997</v>
      </c>
    </row>
    <row r="37" spans="1:8" x14ac:dyDescent="0.2">
      <c r="A37" s="66"/>
      <c r="B37" s="61" t="s">
        <v>247</v>
      </c>
      <c r="C37" s="61" t="s">
        <v>98</v>
      </c>
      <c r="D37" s="62">
        <v>-199500</v>
      </c>
      <c r="E37" s="63">
        <v>579.68299999999999</v>
      </c>
      <c r="F37" s="64">
        <v>583.6</v>
      </c>
      <c r="G37" s="64">
        <v>227.28236999999999</v>
      </c>
      <c r="H37" s="65">
        <f t="shared" si="0"/>
        <v>-1164.2819999999999</v>
      </c>
    </row>
    <row r="38" spans="1:8" x14ac:dyDescent="0.2">
      <c r="A38" s="66"/>
      <c r="B38" s="61" t="s">
        <v>510</v>
      </c>
      <c r="C38" s="61" t="s">
        <v>250</v>
      </c>
      <c r="D38" s="62">
        <v>-232000</v>
      </c>
      <c r="E38" s="63">
        <v>392.05509999999998</v>
      </c>
      <c r="F38" s="64">
        <v>398.15</v>
      </c>
      <c r="G38" s="64">
        <v>186.19218000000001</v>
      </c>
      <c r="H38" s="65">
        <f t="shared" si="0"/>
        <v>-923.70799999999997</v>
      </c>
    </row>
    <row r="39" spans="1:8" x14ac:dyDescent="0.2">
      <c r="A39" s="66"/>
      <c r="B39" s="61" t="s">
        <v>283</v>
      </c>
      <c r="C39" s="61" t="s">
        <v>200</v>
      </c>
      <c r="D39" s="62">
        <v>-17400</v>
      </c>
      <c r="E39" s="63">
        <v>212.60830000000001</v>
      </c>
      <c r="F39" s="64">
        <v>221.75</v>
      </c>
      <c r="G39" s="64">
        <v>9.7703175000000009</v>
      </c>
      <c r="H39" s="65">
        <f t="shared" si="0"/>
        <v>-38.584499999999998</v>
      </c>
    </row>
    <row r="40" spans="1:8" x14ac:dyDescent="0.2">
      <c r="A40" s="66"/>
      <c r="B40" s="61" t="s">
        <v>107</v>
      </c>
      <c r="C40" s="61" t="s">
        <v>22</v>
      </c>
      <c r="D40" s="62">
        <v>-1755500</v>
      </c>
      <c r="E40" s="63">
        <v>1432.9579547137569</v>
      </c>
      <c r="F40" s="64">
        <v>1427.9</v>
      </c>
      <c r="G40" s="64">
        <v>5327.1788575</v>
      </c>
      <c r="H40" s="65">
        <f t="shared" si="0"/>
        <v>-25066.784500000002</v>
      </c>
    </row>
    <row r="41" spans="1:8" x14ac:dyDescent="0.2">
      <c r="A41" s="66"/>
      <c r="B41" s="61" t="s">
        <v>511</v>
      </c>
      <c r="C41" s="61" t="s">
        <v>38</v>
      </c>
      <c r="D41" s="62">
        <v>-1540000</v>
      </c>
      <c r="E41" s="63">
        <v>1362.4347202337663</v>
      </c>
      <c r="F41" s="64">
        <v>1367.25</v>
      </c>
      <c r="G41" s="64">
        <v>3741.0257499999998</v>
      </c>
      <c r="H41" s="65">
        <f t="shared" si="0"/>
        <v>-21055.65</v>
      </c>
    </row>
    <row r="42" spans="1:8" x14ac:dyDescent="0.2">
      <c r="A42" s="66"/>
      <c r="B42" s="61" t="s">
        <v>229</v>
      </c>
      <c r="C42" s="61" t="s">
        <v>136</v>
      </c>
      <c r="D42" s="62">
        <v>-60300</v>
      </c>
      <c r="E42" s="63">
        <v>2615.7393000000002</v>
      </c>
      <c r="F42" s="64">
        <v>2615.15</v>
      </c>
      <c r="G42" s="64">
        <v>306.85479079999999</v>
      </c>
      <c r="H42" s="65">
        <f t="shared" si="0"/>
        <v>-1576.9354499999999</v>
      </c>
    </row>
    <row r="43" spans="1:8" x14ac:dyDescent="0.2">
      <c r="A43" s="66"/>
      <c r="B43" s="61" t="s">
        <v>265</v>
      </c>
      <c r="C43" s="61" t="s">
        <v>47</v>
      </c>
      <c r="D43" s="62">
        <v>-438750</v>
      </c>
      <c r="E43" s="63">
        <v>100.41437333333333</v>
      </c>
      <c r="F43" s="64">
        <v>94.7</v>
      </c>
      <c r="G43" s="64">
        <v>73.115498799999997</v>
      </c>
      <c r="H43" s="65">
        <f t="shared" si="0"/>
        <v>-415.49624999999997</v>
      </c>
    </row>
    <row r="44" spans="1:8" x14ac:dyDescent="0.2">
      <c r="A44" s="66"/>
      <c r="B44" s="61" t="s">
        <v>34</v>
      </c>
      <c r="C44" s="61" t="s">
        <v>35</v>
      </c>
      <c r="D44" s="62">
        <v>-120000</v>
      </c>
      <c r="E44" s="63">
        <v>464.81267200000002</v>
      </c>
      <c r="F44" s="64">
        <v>468.75</v>
      </c>
      <c r="G44" s="64">
        <v>99.271500000000003</v>
      </c>
      <c r="H44" s="65">
        <f t="shared" si="0"/>
        <v>-562.5</v>
      </c>
    </row>
    <row r="45" spans="1:8" x14ac:dyDescent="0.2">
      <c r="A45" s="66"/>
      <c r="B45" s="61" t="s">
        <v>208</v>
      </c>
      <c r="C45" s="61" t="s">
        <v>209</v>
      </c>
      <c r="D45" s="62">
        <v>-359100</v>
      </c>
      <c r="E45" s="63">
        <v>797.60939512670564</v>
      </c>
      <c r="F45" s="64">
        <v>821.75</v>
      </c>
      <c r="G45" s="64">
        <v>555.71173880000003</v>
      </c>
      <c r="H45" s="65">
        <f t="shared" si="0"/>
        <v>-2950.90425</v>
      </c>
    </row>
    <row r="46" spans="1:8" x14ac:dyDescent="0.2">
      <c r="A46" s="66"/>
      <c r="B46" s="61" t="s">
        <v>512</v>
      </c>
      <c r="C46" s="61" t="s">
        <v>22</v>
      </c>
      <c r="D46" s="62">
        <v>-409600</v>
      </c>
      <c r="E46" s="63">
        <v>1898.0420250976563</v>
      </c>
      <c r="F46" s="64">
        <v>1870.8</v>
      </c>
      <c r="G46" s="64">
        <v>1351.180288</v>
      </c>
      <c r="H46" s="65">
        <f t="shared" si="0"/>
        <v>-7662.7968000000001</v>
      </c>
    </row>
    <row r="47" spans="1:8" x14ac:dyDescent="0.2">
      <c r="A47" s="66"/>
      <c r="B47" s="61" t="s">
        <v>513</v>
      </c>
      <c r="C47" s="61" t="s">
        <v>44</v>
      </c>
      <c r="D47" s="62">
        <v>-267600</v>
      </c>
      <c r="E47" s="63">
        <v>2647.6972000000001</v>
      </c>
      <c r="F47" s="64">
        <v>2668.35</v>
      </c>
      <c r="G47" s="64">
        <v>1271.7750209999999</v>
      </c>
      <c r="H47" s="65">
        <f t="shared" si="0"/>
        <v>-7140.5046000000002</v>
      </c>
    </row>
    <row r="48" spans="1:8" x14ac:dyDescent="0.2">
      <c r="A48" s="66"/>
      <c r="B48" s="61" t="s">
        <v>285</v>
      </c>
      <c r="C48" s="61" t="s">
        <v>41</v>
      </c>
      <c r="D48" s="62">
        <v>-14000</v>
      </c>
      <c r="E48" s="63">
        <v>398.85</v>
      </c>
      <c r="F48" s="64">
        <v>421.1</v>
      </c>
      <c r="G48" s="64">
        <v>11.95299</v>
      </c>
      <c r="H48" s="65">
        <f t="shared" si="0"/>
        <v>-58.954000000000001</v>
      </c>
    </row>
    <row r="49" spans="1:8" x14ac:dyDescent="0.2">
      <c r="A49" s="66"/>
      <c r="B49" s="61" t="s">
        <v>66</v>
      </c>
      <c r="C49" s="61" t="s">
        <v>61</v>
      </c>
      <c r="D49" s="62">
        <v>-3400</v>
      </c>
      <c r="E49" s="63">
        <v>959.8</v>
      </c>
      <c r="F49" s="64">
        <v>993.25</v>
      </c>
      <c r="G49" s="64">
        <v>6.1507275000000003</v>
      </c>
      <c r="H49" s="65">
        <f t="shared" si="0"/>
        <v>-33.770499999999998</v>
      </c>
    </row>
    <row r="50" spans="1:8" x14ac:dyDescent="0.2">
      <c r="A50" s="66"/>
      <c r="B50" s="61" t="s">
        <v>74</v>
      </c>
      <c r="C50" s="61" t="s">
        <v>75</v>
      </c>
      <c r="D50" s="62">
        <v>-331100</v>
      </c>
      <c r="E50" s="63">
        <v>1568.376079704017</v>
      </c>
      <c r="F50" s="64">
        <v>1487.45</v>
      </c>
      <c r="G50" s="64">
        <v>867.98113330000001</v>
      </c>
      <c r="H50" s="65">
        <f t="shared" si="0"/>
        <v>-4924.9469499999996</v>
      </c>
    </row>
    <row r="51" spans="1:8" x14ac:dyDescent="0.2">
      <c r="A51" s="66"/>
      <c r="B51" s="61" t="s">
        <v>514</v>
      </c>
      <c r="C51" s="61" t="s">
        <v>75</v>
      </c>
      <c r="D51" s="62">
        <v>-138500</v>
      </c>
      <c r="E51" s="63">
        <v>9750.4901244765351</v>
      </c>
      <c r="F51" s="64">
        <v>9808.65</v>
      </c>
      <c r="G51" s="64">
        <v>2412.5768588000001</v>
      </c>
      <c r="H51" s="65">
        <f t="shared" si="0"/>
        <v>-13584.980250000001</v>
      </c>
    </row>
    <row r="52" spans="1:8" x14ac:dyDescent="0.2">
      <c r="A52" s="66"/>
      <c r="B52" s="61" t="s">
        <v>515</v>
      </c>
      <c r="C52" s="61" t="s">
        <v>292</v>
      </c>
      <c r="D52" s="62">
        <v>-16800</v>
      </c>
      <c r="E52" s="63">
        <v>999.30200000000002</v>
      </c>
      <c r="F52" s="64">
        <v>1022.55</v>
      </c>
      <c r="G52" s="64">
        <v>30.317153999999999</v>
      </c>
      <c r="H52" s="65">
        <f t="shared" si="0"/>
        <v>-171.7884</v>
      </c>
    </row>
    <row r="53" spans="1:8" x14ac:dyDescent="0.2">
      <c r="A53" s="66"/>
      <c r="B53" s="61" t="s">
        <v>516</v>
      </c>
      <c r="C53" s="61" t="s">
        <v>101</v>
      </c>
      <c r="D53" s="62">
        <v>-883200</v>
      </c>
      <c r="E53" s="63">
        <v>740.46153442028981</v>
      </c>
      <c r="F53" s="64">
        <v>784.85</v>
      </c>
      <c r="G53" s="64">
        <v>1828.9283519999999</v>
      </c>
      <c r="H53" s="65">
        <f t="shared" si="0"/>
        <v>-6931.7951999999996</v>
      </c>
    </row>
    <row r="54" spans="1:8" x14ac:dyDescent="0.2">
      <c r="A54" s="66"/>
      <c r="B54" s="61" t="s">
        <v>267</v>
      </c>
      <c r="C54" s="61" t="s">
        <v>238</v>
      </c>
      <c r="D54" s="62">
        <v>-2280</v>
      </c>
      <c r="E54" s="63">
        <v>23053.43770614035</v>
      </c>
      <c r="F54" s="64">
        <v>22720.95</v>
      </c>
      <c r="G54" s="64">
        <v>91.364238100000009</v>
      </c>
      <c r="H54" s="65">
        <f t="shared" si="0"/>
        <v>-518.03765999999996</v>
      </c>
    </row>
    <row r="55" spans="1:8" x14ac:dyDescent="0.2">
      <c r="A55" s="66"/>
      <c r="B55" s="61" t="s">
        <v>517</v>
      </c>
      <c r="C55" s="61" t="s">
        <v>41</v>
      </c>
      <c r="D55" s="62">
        <v>-33000</v>
      </c>
      <c r="E55" s="63">
        <v>1096.5726999999999</v>
      </c>
      <c r="F55" s="64">
        <v>1005.2</v>
      </c>
      <c r="G55" s="64">
        <v>84.160560000000004</v>
      </c>
      <c r="H55" s="65">
        <f t="shared" si="0"/>
        <v>-331.71600000000001</v>
      </c>
    </row>
    <row r="56" spans="1:8" x14ac:dyDescent="0.2">
      <c r="A56" s="66"/>
      <c r="B56" s="61" t="s">
        <v>518</v>
      </c>
      <c r="C56" s="61" t="s">
        <v>518</v>
      </c>
      <c r="D56" s="62">
        <v>-550000</v>
      </c>
      <c r="E56" s="63">
        <v>19863.743999999999</v>
      </c>
      <c r="F56" s="64">
        <v>19843.95</v>
      </c>
      <c r="G56" s="64">
        <v>12301.6795</v>
      </c>
      <c r="H56" s="65">
        <f t="shared" si="0"/>
        <v>-109141.72500000001</v>
      </c>
    </row>
    <row r="57" spans="1:8" x14ac:dyDescent="0.2">
      <c r="A57" s="66"/>
      <c r="B57" s="61" t="s">
        <v>519</v>
      </c>
      <c r="C57" s="61" t="s">
        <v>32</v>
      </c>
      <c r="D57" s="62">
        <v>-6903000</v>
      </c>
      <c r="E57" s="63">
        <v>197.57155575836592</v>
      </c>
      <c r="F57" s="64">
        <v>216.6</v>
      </c>
      <c r="G57" s="64">
        <v>2670.1494299999999</v>
      </c>
      <c r="H57" s="65">
        <f t="shared" si="0"/>
        <v>-14951.897999999999</v>
      </c>
    </row>
    <row r="58" spans="1:8" x14ac:dyDescent="0.2">
      <c r="A58" s="66"/>
      <c r="B58" s="61" t="s">
        <v>287</v>
      </c>
      <c r="C58" s="61" t="s">
        <v>243</v>
      </c>
      <c r="D58" s="62">
        <v>-9100</v>
      </c>
      <c r="E58" s="63">
        <v>1118.3576</v>
      </c>
      <c r="F58" s="64">
        <v>1130.5</v>
      </c>
      <c r="G58" s="64">
        <v>21.342912500000001</v>
      </c>
      <c r="H58" s="65">
        <f t="shared" si="0"/>
        <v>-102.8755</v>
      </c>
    </row>
    <row r="59" spans="1:8" x14ac:dyDescent="0.2">
      <c r="A59" s="66"/>
      <c r="B59" s="61" t="s">
        <v>132</v>
      </c>
      <c r="C59" s="61" t="s">
        <v>133</v>
      </c>
      <c r="D59" s="62">
        <v>-558250</v>
      </c>
      <c r="E59" s="63">
        <v>173.02928827586206</v>
      </c>
      <c r="F59" s="64">
        <v>177.85</v>
      </c>
      <c r="G59" s="64">
        <v>188.77084690000001</v>
      </c>
      <c r="H59" s="65">
        <f t="shared" si="0"/>
        <v>-992.84762499999999</v>
      </c>
    </row>
    <row r="60" spans="1:8" x14ac:dyDescent="0.2">
      <c r="A60" s="66"/>
      <c r="B60" s="61" t="s">
        <v>231</v>
      </c>
      <c r="C60" s="61" t="s">
        <v>22</v>
      </c>
      <c r="D60" s="62">
        <v>-3216000</v>
      </c>
      <c r="E60" s="63">
        <v>63.694499999999998</v>
      </c>
      <c r="F60" s="64">
        <v>62.45</v>
      </c>
      <c r="G60" s="64">
        <v>509.04858000000002</v>
      </c>
      <c r="H60" s="65">
        <f t="shared" si="0"/>
        <v>-2008.3920000000001</v>
      </c>
    </row>
    <row r="61" spans="1:8" x14ac:dyDescent="0.2">
      <c r="A61" s="66"/>
      <c r="B61" s="61" t="s">
        <v>271</v>
      </c>
      <c r="C61" s="61" t="s">
        <v>32</v>
      </c>
      <c r="D61" s="62">
        <v>-118800</v>
      </c>
      <c r="E61" s="63">
        <v>246.47384545454545</v>
      </c>
      <c r="F61" s="64">
        <v>267.64999999999998</v>
      </c>
      <c r="G61" s="64">
        <v>56.142206999999999</v>
      </c>
      <c r="H61" s="65">
        <f t="shared" si="0"/>
        <v>-317.96819999999997</v>
      </c>
    </row>
    <row r="62" spans="1:8" x14ac:dyDescent="0.2">
      <c r="A62" s="66"/>
      <c r="B62" s="61" t="s">
        <v>97</v>
      </c>
      <c r="C62" s="61" t="s">
        <v>98</v>
      </c>
      <c r="D62" s="62">
        <v>-185250</v>
      </c>
      <c r="E62" s="63">
        <v>1306.0511870445343</v>
      </c>
      <c r="F62" s="64">
        <v>1289.7</v>
      </c>
      <c r="G62" s="64">
        <v>421.88742380000002</v>
      </c>
      <c r="H62" s="65">
        <f t="shared" si="0"/>
        <v>-2389.1692499999999</v>
      </c>
    </row>
    <row r="63" spans="1:8" x14ac:dyDescent="0.2">
      <c r="A63" s="66"/>
      <c r="B63" s="61" t="s">
        <v>289</v>
      </c>
      <c r="C63" s="61" t="s">
        <v>95</v>
      </c>
      <c r="D63" s="62">
        <v>-5500</v>
      </c>
      <c r="E63" s="63">
        <v>3664.6975000000002</v>
      </c>
      <c r="F63" s="64">
        <v>4023.4</v>
      </c>
      <c r="G63" s="64">
        <v>38.948194999999998</v>
      </c>
      <c r="H63" s="65">
        <f t="shared" si="0"/>
        <v>-221.28700000000001</v>
      </c>
    </row>
    <row r="64" spans="1:8" x14ac:dyDescent="0.2">
      <c r="A64" s="66"/>
      <c r="B64" s="61" t="s">
        <v>26</v>
      </c>
      <c r="C64" s="61" t="s">
        <v>22</v>
      </c>
      <c r="D64" s="62">
        <v>-2548500</v>
      </c>
      <c r="E64" s="63">
        <v>624.34090000000003</v>
      </c>
      <c r="F64" s="64">
        <v>624.1</v>
      </c>
      <c r="G64" s="64">
        <v>2807.7716475000002</v>
      </c>
      <c r="H64" s="65">
        <f t="shared" si="0"/>
        <v>-15905.1885</v>
      </c>
    </row>
    <row r="65" spans="1:8" x14ac:dyDescent="0.2">
      <c r="A65" s="66"/>
      <c r="B65" s="61" t="s">
        <v>60</v>
      </c>
      <c r="C65" s="61" t="s">
        <v>61</v>
      </c>
      <c r="D65" s="62">
        <v>-462700</v>
      </c>
      <c r="E65" s="63">
        <v>1111.6762323751891</v>
      </c>
      <c r="F65" s="64">
        <v>1150.5</v>
      </c>
      <c r="G65" s="64">
        <v>939.77840249999997</v>
      </c>
      <c r="H65" s="65">
        <f t="shared" si="0"/>
        <v>-5323.3635000000004</v>
      </c>
    </row>
    <row r="66" spans="1:8" x14ac:dyDescent="0.2">
      <c r="A66" s="66"/>
      <c r="B66" s="61" t="s">
        <v>520</v>
      </c>
      <c r="C66" s="61" t="s">
        <v>32</v>
      </c>
      <c r="D66" s="62">
        <v>-499500</v>
      </c>
      <c r="E66" s="63">
        <v>222.53710000000001</v>
      </c>
      <c r="F66" s="64">
        <v>238.95</v>
      </c>
      <c r="G66" s="64">
        <v>238.2277838</v>
      </c>
      <c r="H66" s="65">
        <f t="shared" si="0"/>
        <v>-1193.5552499999999</v>
      </c>
    </row>
    <row r="67" spans="1:8" x14ac:dyDescent="0.2">
      <c r="A67" s="66"/>
      <c r="B67" s="61" t="s">
        <v>521</v>
      </c>
      <c r="C67" s="61" t="s">
        <v>522</v>
      </c>
      <c r="D67" s="62">
        <v>-81900</v>
      </c>
      <c r="E67" s="63">
        <v>861.31529999999998</v>
      </c>
      <c r="F67" s="64">
        <v>864.8</v>
      </c>
      <c r="G67" s="64">
        <v>125.01871199999999</v>
      </c>
      <c r="H67" s="65">
        <f t="shared" si="0"/>
        <v>-708.27120000000002</v>
      </c>
    </row>
    <row r="68" spans="1:8" x14ac:dyDescent="0.2">
      <c r="A68" s="66"/>
      <c r="B68" s="61" t="s">
        <v>53</v>
      </c>
      <c r="C68" s="61" t="s">
        <v>38</v>
      </c>
      <c r="D68" s="62">
        <v>-179025</v>
      </c>
      <c r="E68" s="63">
        <v>3408.0555397290882</v>
      </c>
      <c r="F68" s="64">
        <v>3443.4</v>
      </c>
      <c r="G68" s="64">
        <v>1088.0942598000001</v>
      </c>
      <c r="H68" s="65">
        <f t="shared" si="0"/>
        <v>-6164.5468499999997</v>
      </c>
    </row>
    <row r="69" spans="1:8" x14ac:dyDescent="0.2">
      <c r="A69" s="66"/>
      <c r="B69" s="61" t="s">
        <v>195</v>
      </c>
      <c r="C69" s="61" t="s">
        <v>38</v>
      </c>
      <c r="D69" s="62">
        <v>-411000</v>
      </c>
      <c r="E69" s="63">
        <v>1160.2001518248176</v>
      </c>
      <c r="F69" s="64">
        <v>1124.2</v>
      </c>
      <c r="G69" s="64">
        <v>851.00427000000002</v>
      </c>
      <c r="H69" s="65">
        <f t="shared" si="0"/>
        <v>-4620.4620000000004</v>
      </c>
    </row>
    <row r="70" spans="1:8" x14ac:dyDescent="0.2">
      <c r="A70" s="66"/>
      <c r="B70" s="61" t="s">
        <v>81</v>
      </c>
      <c r="C70" s="61" t="s">
        <v>75</v>
      </c>
      <c r="D70" s="62">
        <v>-4233675</v>
      </c>
      <c r="E70" s="63">
        <v>639.34707610527494</v>
      </c>
      <c r="F70" s="64">
        <v>648.4</v>
      </c>
      <c r="G70" s="64">
        <v>5774.0553145000003</v>
      </c>
      <c r="H70" s="65">
        <f t="shared" si="0"/>
        <v>-27451.148700000002</v>
      </c>
    </row>
    <row r="71" spans="1:8" x14ac:dyDescent="0.2">
      <c r="A71" s="66"/>
      <c r="B71" s="61" t="s">
        <v>220</v>
      </c>
      <c r="C71" s="61" t="s">
        <v>209</v>
      </c>
      <c r="D71" s="62">
        <v>-2172500</v>
      </c>
      <c r="E71" s="63">
        <v>120.55268101265823</v>
      </c>
      <c r="F71" s="64">
        <v>124.25</v>
      </c>
      <c r="G71" s="64">
        <v>545.70484380000005</v>
      </c>
      <c r="H71" s="65">
        <f t="shared" si="0"/>
        <v>-2699.3312500000002</v>
      </c>
    </row>
    <row r="72" spans="1:8" x14ac:dyDescent="0.2">
      <c r="A72" s="66"/>
      <c r="B72" s="61" t="s">
        <v>167</v>
      </c>
      <c r="C72" s="61" t="s">
        <v>147</v>
      </c>
      <c r="D72" s="62">
        <v>-386250</v>
      </c>
      <c r="E72" s="63">
        <v>3014.4361545631068</v>
      </c>
      <c r="F72" s="64">
        <v>3026.5</v>
      </c>
      <c r="G72" s="64">
        <v>2061.6383488000001</v>
      </c>
      <c r="H72" s="65">
        <f t="shared" si="0"/>
        <v>-11689.856250000001</v>
      </c>
    </row>
    <row r="73" spans="1:8" x14ac:dyDescent="0.2">
      <c r="A73" s="66"/>
      <c r="B73" s="61" t="s">
        <v>523</v>
      </c>
      <c r="C73" s="61" t="s">
        <v>200</v>
      </c>
      <c r="D73" s="62">
        <v>-46300</v>
      </c>
      <c r="E73" s="63">
        <v>8299.2629319654425</v>
      </c>
      <c r="F73" s="64">
        <v>8393.5499999999993</v>
      </c>
      <c r="G73" s="64">
        <v>684.47801779999998</v>
      </c>
      <c r="H73" s="65">
        <f t="shared" si="0"/>
        <v>-3886.2136499999992</v>
      </c>
    </row>
    <row r="74" spans="1:8" x14ac:dyDescent="0.2">
      <c r="A74" s="66"/>
      <c r="B74" s="61" t="s">
        <v>190</v>
      </c>
      <c r="C74" s="61" t="s">
        <v>191</v>
      </c>
      <c r="D74" s="62">
        <v>-830700</v>
      </c>
      <c r="E74" s="63">
        <v>629.51647809076678</v>
      </c>
      <c r="F74" s="64">
        <v>619.15</v>
      </c>
      <c r="G74" s="64">
        <v>919.08855680000011</v>
      </c>
      <c r="H74" s="65">
        <f t="shared" si="0"/>
        <v>-5143.2790500000001</v>
      </c>
    </row>
    <row r="75" spans="1:8" x14ac:dyDescent="0.2">
      <c r="A75" s="66"/>
      <c r="B75" s="61" t="s">
        <v>49</v>
      </c>
      <c r="C75" s="61" t="s">
        <v>22</v>
      </c>
      <c r="D75" s="62">
        <v>-2747500</v>
      </c>
      <c r="E75" s="63">
        <v>971.02671974522298</v>
      </c>
      <c r="F75" s="64">
        <v>960.55</v>
      </c>
      <c r="G75" s="64">
        <v>4656.1676438000004</v>
      </c>
      <c r="H75" s="65">
        <f t="shared" si="0"/>
        <v>-26391.111250000002</v>
      </c>
    </row>
    <row r="76" spans="1:8" x14ac:dyDescent="0.2">
      <c r="A76" s="66"/>
      <c r="B76" s="61" t="s">
        <v>256</v>
      </c>
      <c r="C76" s="61" t="s">
        <v>38</v>
      </c>
      <c r="D76" s="62">
        <v>-360000</v>
      </c>
      <c r="E76" s="63">
        <v>409.31954000000002</v>
      </c>
      <c r="F76" s="64">
        <v>408.05</v>
      </c>
      <c r="G76" s="64">
        <v>259.09829999999999</v>
      </c>
      <c r="H76" s="65">
        <f t="shared" ref="H76:H77" si="1">(D76*F76)/100000</f>
        <v>-1468.98</v>
      </c>
    </row>
    <row r="77" spans="1:8" x14ac:dyDescent="0.2">
      <c r="A77" s="67"/>
      <c r="B77" s="61" t="s">
        <v>122</v>
      </c>
      <c r="C77" s="61" t="s">
        <v>123</v>
      </c>
      <c r="D77" s="62">
        <v>-300000</v>
      </c>
      <c r="E77" s="63">
        <v>226.04949999999999</v>
      </c>
      <c r="F77" s="64">
        <v>244.75</v>
      </c>
      <c r="G77" s="64">
        <v>221.58750000000001</v>
      </c>
      <c r="H77" s="65">
        <f t="shared" si="1"/>
        <v>-734.25</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2023-08-08T11:40:42Z</dcterms:created>
  <dcterms:modified xsi:type="dcterms:W3CDTF">2023-08-08T11:49:32Z</dcterms:modified>
</cp:coreProperties>
</file>