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DerivativeHDFCGR!$A$8:$K$88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0" i="2" l="1"/>
  <c r="F90" i="2"/>
  <c r="E90" i="2"/>
  <c r="D90" i="2"/>
  <c r="I88" i="2"/>
  <c r="H88" i="2"/>
  <c r="I87" i="2"/>
  <c r="H87" i="2"/>
  <c r="I86" i="2"/>
  <c r="H86" i="2"/>
  <c r="I85" i="2"/>
  <c r="H85" i="2"/>
  <c r="I84" i="2"/>
  <c r="H84" i="2"/>
  <c r="I83" i="2"/>
  <c r="H83" i="2"/>
  <c r="I82" i="2"/>
  <c r="H82" i="2"/>
  <c r="I81"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H9" i="2"/>
  <c r="H90" i="2" s="1"/>
  <c r="A7" i="2"/>
  <c r="I168" i="1" l="1"/>
</calcChain>
</file>

<file path=xl/sharedStrings.xml><?xml version="1.0" encoding="utf-8"?>
<sst xmlns="http://schemas.openxmlformats.org/spreadsheetml/2006/main" count="2495" uniqueCount="692">
  <si>
    <t>HDFC Balanced Advantage Fund (An open ended Balanced Advantage Fund)</t>
  </si>
  <si>
    <t>Income</t>
  </si>
  <si>
    <t>Hybrid</t>
  </si>
  <si>
    <t>Portfolio as on 31-Mar-2025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</si>
  <si>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</si>
  <si>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</si>
  <si>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</si>
  <si>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</si>
  <si>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</si>
  <si>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</si>
  <si>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</si>
  <si>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</si>
  <si>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</si>
  <si>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</si>
  <si>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</si>
  <si>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</si>
  <si>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</si>
  <si>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</si>
  <si>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</si>
  <si>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</si>
  <si>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</si>
  <si>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</si>
  <si>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</si>
  <si>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</si>
  <si>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</si>
  <si>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INE002A01018</t>
  </si>
  <si>
    <t>Reliance Industries Ltd.</t>
  </si>
  <si>
    <t>Petroleum Products</t>
  </si>
  <si>
    <t>INE009A01021</t>
  </si>
  <si>
    <t>Infosys Limited</t>
  </si>
  <si>
    <t>IT - Software</t>
  </si>
  <si>
    <t>INE062A01020</t>
  </si>
  <si>
    <t>State Bank of India</t>
  </si>
  <si>
    <t>INE397D01024</t>
  </si>
  <si>
    <t>Bharti Airtel Ltd.</t>
  </si>
  <si>
    <t>Telecom - Services</t>
  </si>
  <si>
    <t>INE733E01010</t>
  </si>
  <si>
    <t>NTPC Limited</t>
  </si>
  <si>
    <t>Power</t>
  </si>
  <si>
    <t>INE018A01030</t>
  </si>
  <si>
    <t>Larsen and Toubro Ltd.</t>
  </si>
  <si>
    <t>Construction</t>
  </si>
  <si>
    <t>INE522F01014</t>
  </si>
  <si>
    <t>Coal India Ltd.</t>
  </si>
  <si>
    <t>Consumable Fuels</t>
  </si>
  <si>
    <t>INE238A01034</t>
  </si>
  <si>
    <t>Axis Bank Ltd.</t>
  </si>
  <si>
    <t>INE154A01025</t>
  </si>
  <si>
    <t>ITC LIMITED</t>
  </si>
  <si>
    <t>Diversified FMCG</t>
  </si>
  <si>
    <t>INE467B01029</t>
  </si>
  <si>
    <t>Tata Consultancy Services Ltd.</t>
  </si>
  <si>
    <t>INE044A01036</t>
  </si>
  <si>
    <t>Sun Pharmaceutical Industries Ltd.</t>
  </si>
  <si>
    <t>Pharmaceuticals &amp; Biotechnology</t>
  </si>
  <si>
    <t>INE326A01037</t>
  </si>
  <si>
    <t>Lupin Ltd.</t>
  </si>
  <si>
    <t>INE585B01010</t>
  </si>
  <si>
    <t>Maruti Suzuki India Limited</t>
  </si>
  <si>
    <t>Automobiles</t>
  </si>
  <si>
    <t>INE860A01027</t>
  </si>
  <si>
    <t>HCL Technologies Ltd.</t>
  </si>
  <si>
    <t>INE134E01011</t>
  </si>
  <si>
    <t>Power Finance Corporation Ltd.</t>
  </si>
  <si>
    <t>Finance</t>
  </si>
  <si>
    <t>INE237A01028</t>
  </si>
  <si>
    <t>Kotak Mahindra Bank Limited</t>
  </si>
  <si>
    <t>INE020B01018</t>
  </si>
  <si>
    <t>REC Limited.</t>
  </si>
  <si>
    <t>INE101A01026</t>
  </si>
  <si>
    <t>Mahindra &amp; Mahindra Ltd.</t>
  </si>
  <si>
    <t>INE123W01016</t>
  </si>
  <si>
    <t>SBI Life Insurance Company Ltd.</t>
  </si>
  <si>
    <t>Insurance</t>
  </si>
  <si>
    <t>INE646L01027</t>
  </si>
  <si>
    <t>InterGlobe Aviation Ltd.</t>
  </si>
  <si>
    <t>Transport Services</t>
  </si>
  <si>
    <t>INE028A01039</t>
  </si>
  <si>
    <t>Bank of Baroda</t>
  </si>
  <si>
    <t>INE0V6F01027</t>
  </si>
  <si>
    <t>Hyundai Motor India Limited</t>
  </si>
  <si>
    <t>INE029A01011</t>
  </si>
  <si>
    <t>Bharat Petroleum Corporation Ltd.</t>
  </si>
  <si>
    <t>INE129A01019</t>
  </si>
  <si>
    <t>GAIL (India) Ltd.</t>
  </si>
  <si>
    <t>Gas</t>
  </si>
  <si>
    <t>INE296A01024</t>
  </si>
  <si>
    <t>Bajaj Finance Ltd.</t>
  </si>
  <si>
    <t>INE094A01015</t>
  </si>
  <si>
    <t>Hindustan Petroleum Corp. Ltd.</t>
  </si>
  <si>
    <t>INE918I01026</t>
  </si>
  <si>
    <t>Bajaj Finserv Ltd.</t>
  </si>
  <si>
    <t>INE081A01020</t>
  </si>
  <si>
    <t>Tata Steel Ltd.</t>
  </si>
  <si>
    <t>Ferrous Metals</t>
  </si>
  <si>
    <t>INE171Z01026</t>
  </si>
  <si>
    <t>Bharat Dynamics Limited</t>
  </si>
  <si>
    <t>Aerospace &amp; Defense</t>
  </si>
  <si>
    <t>INE758T01015</t>
  </si>
  <si>
    <t>Zomato Ltd</t>
  </si>
  <si>
    <t>Retailing</t>
  </si>
  <si>
    <t>INE095A01012</t>
  </si>
  <si>
    <t>Indusind Bank Ltd.</t>
  </si>
  <si>
    <t>INE066F01020</t>
  </si>
  <si>
    <t>Hindustan Aeronautics Limited</t>
  </si>
  <si>
    <t>INE285K01026</t>
  </si>
  <si>
    <t>Techno Electric &amp; Engin. Co. Ltd.</t>
  </si>
  <si>
    <t>INE361B01024</t>
  </si>
  <si>
    <t>Divis Laboratories Ltd.</t>
  </si>
  <si>
    <t>INE438A01022</t>
  </si>
  <si>
    <t>Apollo Tyres Ltd.</t>
  </si>
  <si>
    <t>Auto Components</t>
  </si>
  <si>
    <t>INE949L01017</t>
  </si>
  <si>
    <t>Au Small Finance Bank Ltd.</t>
  </si>
  <si>
    <t>INE571A01038</t>
  </si>
  <si>
    <t>Ipca Laboratories Ltd.</t>
  </si>
  <si>
    <t>INE258A01016</t>
  </si>
  <si>
    <t>BEML Limited</t>
  </si>
  <si>
    <t>Agricultural, Commercial &amp; Construction Vehicles</t>
  </si>
  <si>
    <t>INE406A01037</t>
  </si>
  <si>
    <t>Aurobindo Pharma Ltd.</t>
  </si>
  <si>
    <t>INE213A01029</t>
  </si>
  <si>
    <t>Oil &amp; Natural Gas Corporation Ltd.</t>
  </si>
  <si>
    <t>Oil</t>
  </si>
  <si>
    <t>INE615H01020</t>
  </si>
  <si>
    <t>Titagarh Wagons Limited</t>
  </si>
  <si>
    <t>Industrial Manufacturing</t>
  </si>
  <si>
    <t>INE372A01015</t>
  </si>
  <si>
    <t>Apar Industries Limited</t>
  </si>
  <si>
    <t>Electrical Equipment</t>
  </si>
  <si>
    <t>INE917I01010</t>
  </si>
  <si>
    <t>Bajaj Auto Limited</t>
  </si>
  <si>
    <t>INE517F01014</t>
  </si>
  <si>
    <t>Gujarat Pipavav Port Ltd.</t>
  </si>
  <si>
    <t>Transport Infrastructure</t>
  </si>
  <si>
    <t>INE093A01041</t>
  </si>
  <si>
    <t>Hexaware Technologies Ltd.</t>
  </si>
  <si>
    <t>INE576I01022</t>
  </si>
  <si>
    <t>J.Kumar Infraprojects Ltd.</t>
  </si>
  <si>
    <t>INE931S01010</t>
  </si>
  <si>
    <t>Adani Energy Solutions  Limited</t>
  </si>
  <si>
    <t>INE030A01027</t>
  </si>
  <si>
    <t>Hindustan Unilever Ltd.</t>
  </si>
  <si>
    <t>INE749A01030</t>
  </si>
  <si>
    <t>Jindal Steel &amp; Power Ltd.</t>
  </si>
  <si>
    <t>INE442H01029</t>
  </si>
  <si>
    <t>Ashoka Buildcon Ltd.</t>
  </si>
  <si>
    <t>INE602A01031</t>
  </si>
  <si>
    <t>PCBL Chemical Limited</t>
  </si>
  <si>
    <t>Chemicals &amp; Petrochemicals</t>
  </si>
  <si>
    <t>INE216A01030</t>
  </si>
  <si>
    <t>Britannia Industries Ltd.</t>
  </si>
  <si>
    <t>Food Products</t>
  </si>
  <si>
    <t>INE848E01016</t>
  </si>
  <si>
    <t>NHPC Ltd.</t>
  </si>
  <si>
    <t>INE508G01029</t>
  </si>
  <si>
    <t>Time Technoplast Limited</t>
  </si>
  <si>
    <t>Industrial Products</t>
  </si>
  <si>
    <t>INE059A01026</t>
  </si>
  <si>
    <t>Cipla Ltd.</t>
  </si>
  <si>
    <t>INE742F01042</t>
  </si>
  <si>
    <t>Adani Ports &amp; Special Economic Zone</t>
  </si>
  <si>
    <t>INE099Z01011</t>
  </si>
  <si>
    <t>Mishra Dhatu Nigam Ltd.</t>
  </si>
  <si>
    <t>INE465A01025</t>
  </si>
  <si>
    <t>Bharat Forge Ltd.</t>
  </si>
  <si>
    <t>INE221B01012</t>
  </si>
  <si>
    <t>Dynamatic Technologies Ltd.</t>
  </si>
  <si>
    <t>INE484J01027</t>
  </si>
  <si>
    <t>Godrej Properties Ltd.</t>
  </si>
  <si>
    <t>Realty</t>
  </si>
  <si>
    <t>INE269B01029</t>
  </si>
  <si>
    <t>LMW Limited</t>
  </si>
  <si>
    <t>INE155A01022</t>
  </si>
  <si>
    <t>Tata Motors Ltd.</t>
  </si>
  <si>
    <t>INE854D01024</t>
  </si>
  <si>
    <t>United Spirits Limited</t>
  </si>
  <si>
    <t>Beverages</t>
  </si>
  <si>
    <t>INE486A01021</t>
  </si>
  <si>
    <t>CESC Ltd.</t>
  </si>
  <si>
    <t>INE382Z01011</t>
  </si>
  <si>
    <t>Garden Reach Shipbuilders &amp; Engineers Limited</t>
  </si>
  <si>
    <t>INE795G01014</t>
  </si>
  <si>
    <t>HDFC Life Insurance Company Limited</t>
  </si>
  <si>
    <t>INE220B01022</t>
  </si>
  <si>
    <t>Kalpataru Projects International Ltd</t>
  </si>
  <si>
    <t>INE011K01018</t>
  </si>
  <si>
    <t>TEGA INDUSTRIES LIMITED</t>
  </si>
  <si>
    <t>INE079A01024</t>
  </si>
  <si>
    <t>Ambuja Cements Ltd.</t>
  </si>
  <si>
    <t>Cement &amp; Cement Products</t>
  </si>
  <si>
    <t>INE0J1Y01017</t>
  </si>
  <si>
    <t>Life Insurance Corporation of India</t>
  </si>
  <si>
    <t>INE035D01020</t>
  </si>
  <si>
    <t>Savita Oil Technologies Ltd.</t>
  </si>
  <si>
    <t>INE018E01016</t>
  </si>
  <si>
    <t>SBI CARDS AND PAYMENT SERVICES LIMITED</t>
  </si>
  <si>
    <t>INE849A01020</t>
  </si>
  <si>
    <t>Trent Ltd.</t>
  </si>
  <si>
    <t>INE280A01028</t>
  </si>
  <si>
    <t>Titan Company Ltd.</t>
  </si>
  <si>
    <t>Consumer Durables</t>
  </si>
  <si>
    <t>INE935A01035</t>
  </si>
  <si>
    <t>Glenmark Pharmaceuticals Ltd.</t>
  </si>
  <si>
    <t>INE203G01027</t>
  </si>
  <si>
    <t>Indraprastha Gas Ltd.</t>
  </si>
  <si>
    <t>INE192R01011</t>
  </si>
  <si>
    <t>Avenue Supermarts Ltd.</t>
  </si>
  <si>
    <t>IN9397D01014</t>
  </si>
  <si>
    <t>Bharti Airtel Ltd. - PARTLY PAID UP SHARES</t>
  </si>
  <si>
    <t>INE162A01010</t>
  </si>
  <si>
    <t>Gujarat Industries Power Co. Ltd.</t>
  </si>
  <si>
    <t>INE758E01017</t>
  </si>
  <si>
    <t>Jio Financial Services Limited</t>
  </si>
  <si>
    <t>INE721A01047</t>
  </si>
  <si>
    <t>Shriram Finance Ltd.</t>
  </si>
  <si>
    <t>INE437A01024</t>
  </si>
  <si>
    <t>Apollo Hospitals Enterprise Ltd.</t>
  </si>
  <si>
    <t>Healthcare Services</t>
  </si>
  <si>
    <t>INE208A01029</t>
  </si>
  <si>
    <t>Ashok Leyland  Ltd</t>
  </si>
  <si>
    <t>INE323A01026</t>
  </si>
  <si>
    <t>Bosch Limited</t>
  </si>
  <si>
    <t>INE121E01018</t>
  </si>
  <si>
    <t>JSW Energy Ltd.</t>
  </si>
  <si>
    <t>INE752E01010</t>
  </si>
  <si>
    <t>Power Grid Corporation of India Ltd.</t>
  </si>
  <si>
    <t>INE128S01021</t>
  </si>
  <si>
    <t>Five-Star Business Finance Limited</t>
  </si>
  <si>
    <t>INE038A01020</t>
  </si>
  <si>
    <t>Hindalco Industries Ltd.</t>
  </si>
  <si>
    <t>Non - Ferrous Metals</t>
  </si>
  <si>
    <t>INE621L01012</t>
  </si>
  <si>
    <t>Texmaco Rail &amp; Engineering Ltd.</t>
  </si>
  <si>
    <t>INE379A01028</t>
  </si>
  <si>
    <t>ITC Hotels Limited</t>
  </si>
  <si>
    <t>Leisure Services</t>
  </si>
  <si>
    <t>INE647A01010</t>
  </si>
  <si>
    <t>SRF Ltd.</t>
  </si>
  <si>
    <t>INE404A01024</t>
  </si>
  <si>
    <t>ADITYA BIRLA SUN LIFE AMC LIMITED</t>
  </si>
  <si>
    <t>Capital Markets</t>
  </si>
  <si>
    <t>INE813H01021</t>
  </si>
  <si>
    <t>Torrent Power Ltd.</t>
  </si>
  <si>
    <t>INE256A01028</t>
  </si>
  <si>
    <t>Zee Entertainment Enterprises Ltd.</t>
  </si>
  <si>
    <t>Entertainment</t>
  </si>
  <si>
    <t>INE031A01017</t>
  </si>
  <si>
    <t>Housing and Urban Development Corporation Ltd.</t>
  </si>
  <si>
    <t>INE628A01036</t>
  </si>
  <si>
    <t>UPL Ltd.</t>
  </si>
  <si>
    <t>Fertilizers &amp; Agrochemicals</t>
  </si>
  <si>
    <t>INE423A01024</t>
  </si>
  <si>
    <t>ADANI ENTERPRISES LIMTIED</t>
  </si>
  <si>
    <t>Metals &amp; Minerals Trading</t>
  </si>
  <si>
    <t>INE545U01014</t>
  </si>
  <si>
    <t>Bandhan Bank Ltd.</t>
  </si>
  <si>
    <t>INE343G01021</t>
  </si>
  <si>
    <t>Bharti Hexacom Limited</t>
  </si>
  <si>
    <t>INE259A01022</t>
  </si>
  <si>
    <t>Colgate-Palmolive ( I ) Ltd.</t>
  </si>
  <si>
    <t>Personal Products</t>
  </si>
  <si>
    <t>INE356A01018</t>
  </si>
  <si>
    <t>MphasiS Limited.</t>
  </si>
  <si>
    <t>INE743M01012</t>
  </si>
  <si>
    <t>RHI MAGNESITA INDIA Limited</t>
  </si>
  <si>
    <t>INE540L01014</t>
  </si>
  <si>
    <t>Alkem Laboratories Ltd.</t>
  </si>
  <si>
    <t>INE061F01013</t>
  </si>
  <si>
    <t>Fortis Healthcare Limited</t>
  </si>
  <si>
    <t>INE377Y01014</t>
  </si>
  <si>
    <t>Bajaj Housing Finance Ltd.</t>
  </si>
  <si>
    <t>INE476A01022</t>
  </si>
  <si>
    <t>Canara Bank</t>
  </si>
  <si>
    <t>INE053A01029</t>
  </si>
  <si>
    <t>Indian Hotels Company Ltd.</t>
  </si>
  <si>
    <t>INE053F01010</t>
  </si>
  <si>
    <t>Indian Railways Finance Corp. Ltd.</t>
  </si>
  <si>
    <t>INE121J01017</t>
  </si>
  <si>
    <t>Indus Towers Limited</t>
  </si>
  <si>
    <t>INE663F01024</t>
  </si>
  <si>
    <t>INFO EDGE (INDIA) LIMITED</t>
  </si>
  <si>
    <t>INE669E01016</t>
  </si>
  <si>
    <t>VODAFONE IDEA LIMITED</t>
  </si>
  <si>
    <t>INE0N7W01012</t>
  </si>
  <si>
    <t>BEML Land Assets Limited</t>
  </si>
  <si>
    <t>INE066A01021</t>
  </si>
  <si>
    <t>Eicher Motors Ltd.</t>
  </si>
  <si>
    <t>INE017A01032</t>
  </si>
  <si>
    <t>Great Eastern Shipping Company Ltd.</t>
  </si>
  <si>
    <t>INE140A01024</t>
  </si>
  <si>
    <t>Piramal Enterprises Limited</t>
  </si>
  <si>
    <t>INE246B01019</t>
  </si>
  <si>
    <t>Ramco Systems Ltd.</t>
  </si>
  <si>
    <t>INE245A01021</t>
  </si>
  <si>
    <t>The Tata Power Company Ltd.</t>
  </si>
  <si>
    <t>INE205A01025</t>
  </si>
  <si>
    <t>Vedanta Ltd.</t>
  </si>
  <si>
    <t>Diversified Metals</t>
  </si>
  <si>
    <t>INE01EA01019</t>
  </si>
  <si>
    <t>Vishal Mega Mart Limited</t>
  </si>
  <si>
    <t>INE769A01020</t>
  </si>
  <si>
    <t>Aarti Industries Ltd.</t>
  </si>
  <si>
    <t>INE278Y01022</t>
  </si>
  <si>
    <t>Campus Activewear Limited</t>
  </si>
  <si>
    <t>INE298A01020</t>
  </si>
  <si>
    <t>Cummins India Ltd.</t>
  </si>
  <si>
    <t>INE271C01023</t>
  </si>
  <si>
    <t>DLF LIMITED</t>
  </si>
  <si>
    <t>INE168P01015</t>
  </si>
  <si>
    <t>Emcure Pharmaceuticals Limited</t>
  </si>
  <si>
    <t>INE042A01014</t>
  </si>
  <si>
    <t>ESCORTS KUBOTA LIMITED</t>
  </si>
  <si>
    <t>INE302A01020</t>
  </si>
  <si>
    <t>Exide Industries Ltd.</t>
  </si>
  <si>
    <t>INE047A01021</t>
  </si>
  <si>
    <t>Grasim Industries Ltd.</t>
  </si>
  <si>
    <t>INE498L01015</t>
  </si>
  <si>
    <t>L&amp;T Finance Ltd.</t>
  </si>
  <si>
    <t>INE318A01026</t>
  </si>
  <si>
    <t>Pidilite Industries Ltd.</t>
  </si>
  <si>
    <t>INE455K01017</t>
  </si>
  <si>
    <t>Polycab India Limited</t>
  </si>
  <si>
    <t>INE320J01015</t>
  </si>
  <si>
    <t>RITES Limited</t>
  </si>
  <si>
    <t>INE151A01013</t>
  </si>
  <si>
    <t>Tata Communications Limited</t>
  </si>
  <si>
    <t>INE692A01016</t>
  </si>
  <si>
    <t>Union Bank of India</t>
  </si>
  <si>
    <t>IN9628A01026</t>
  </si>
  <si>
    <t>INE200M01039</t>
  </si>
  <si>
    <t>Varun Beverages Ltd</t>
  </si>
  <si>
    <t>INE583L01014</t>
  </si>
  <si>
    <t>AGS Transact Technologies Limited</t>
  </si>
  <si>
    <t>Financial Technology (Fintech)</t>
  </si>
  <si>
    <t>@</t>
  </si>
  <si>
    <t>INE021A01026</t>
  </si>
  <si>
    <t>Asian Paints Limited</t>
  </si>
  <si>
    <t>INE787D01026</t>
  </si>
  <si>
    <t>Balkrishna Industries Ltd.</t>
  </si>
  <si>
    <t>INE299U01018</t>
  </si>
  <si>
    <t>Crompton Greaves Consumer Elec. Ltd.</t>
  </si>
  <si>
    <t>INE016A01026</t>
  </si>
  <si>
    <t>Dabur India Ltd.</t>
  </si>
  <si>
    <t>INE158A01026</t>
  </si>
  <si>
    <t>Hero MotoCorp Ltd.</t>
  </si>
  <si>
    <t>INE022Q01020</t>
  </si>
  <si>
    <t>Indian Energy Exchange Limited</t>
  </si>
  <si>
    <t>INE242A01010</t>
  </si>
  <si>
    <t>Indian Oil Corporation Ltd.</t>
  </si>
  <si>
    <t>INE335Y01020</t>
  </si>
  <si>
    <t>Indian Railway Catering And Tourism Corp Ltd</t>
  </si>
  <si>
    <t>INE947Q01028</t>
  </si>
  <si>
    <t>Laurus Labs Ltd.</t>
  </si>
  <si>
    <t>INE115A01026</t>
  </si>
  <si>
    <t>LIC Housing Finance Ltd.</t>
  </si>
  <si>
    <t>INE776I01010</t>
  </si>
  <si>
    <t>MEP Infrastructure Developers Ltd.</t>
  </si>
  <si>
    <t>INE139A01034</t>
  </si>
  <si>
    <t>National Aluminium Co. Ltd.</t>
  </si>
  <si>
    <t>INE262H01021</t>
  </si>
  <si>
    <t>Persistent Systems Limited</t>
  </si>
  <si>
    <t>INE347G01014</t>
  </si>
  <si>
    <t>Petronet LNG Ltd.</t>
  </si>
  <si>
    <t>INE114A01011</t>
  </si>
  <si>
    <t>Steel Authority Of India Ltd.</t>
  </si>
  <si>
    <t>INE192A01025</t>
  </si>
  <si>
    <t>Tata Consumer Products Limited</t>
  </si>
  <si>
    <t>Agricultural Food &amp; Other Products</t>
  </si>
  <si>
    <t>INE669C01036</t>
  </si>
  <si>
    <t>Tech Mahindra Ltd.</t>
  </si>
  <si>
    <t>INE685A01028</t>
  </si>
  <si>
    <t>Torrent Pharmaceuticals Ltd.</t>
  </si>
  <si>
    <t>Sub Total</t>
  </si>
  <si>
    <t>(b) Compulsorily Convertible Debentures</t>
  </si>
  <si>
    <t>Compulsorily Convertible Debenture</t>
  </si>
  <si>
    <t>INE121A08PJ0</t>
  </si>
  <si>
    <t>Cholamandalam Investment &amp; Finance Co. Ltd.</t>
  </si>
  <si>
    <t>Total</t>
  </si>
  <si>
    <t>DEBT INSTRUMENTS</t>
  </si>
  <si>
    <t>Government Securities (Central/State)</t>
  </si>
  <si>
    <t>IN0020230085</t>
  </si>
  <si>
    <t>7.18% GOI MAT 140833</t>
  </si>
  <si>
    <t>Sovereign</t>
  </si>
  <si>
    <t>IN0020210137</t>
  </si>
  <si>
    <t>Floating Rate GOI 2034</t>
  </si>
  <si>
    <t>IN0020240019</t>
  </si>
  <si>
    <t>7.1% GOI MAT 080434</t>
  </si>
  <si>
    <t>IN0020230077</t>
  </si>
  <si>
    <t>7.18% GOI MAT 240737</t>
  </si>
  <si>
    <t>IN0020240035</t>
  </si>
  <si>
    <t>7.34% GOI MAT 220464</t>
  </si>
  <si>
    <t>IN0020220151</t>
  </si>
  <si>
    <t>7.26% GOI MAT 060233</t>
  </si>
  <si>
    <t>IN0020220060</t>
  </si>
  <si>
    <t>7.26% GOI MAT 220832</t>
  </si>
  <si>
    <t>IN0020240126</t>
  </si>
  <si>
    <t>6.79% GOI MAT 071034</t>
  </si>
  <si>
    <t>IN0020230051</t>
  </si>
  <si>
    <t>7.3% GOI MAT 190653</t>
  </si>
  <si>
    <t>IN0020240118</t>
  </si>
  <si>
    <t>7.09% GOI MAT 050854</t>
  </si>
  <si>
    <t>IN0020240027</t>
  </si>
  <si>
    <t>7.23% GOI MAT 150439</t>
  </si>
  <si>
    <t>IN0020220011</t>
  </si>
  <si>
    <t>7.1% GOI MAT 180429</t>
  </si>
  <si>
    <t>IN1520230203</t>
  </si>
  <si>
    <t>7.64% Gujarat SDL ISD 170124 MAT 170133^</t>
  </si>
  <si>
    <t>IN1520230229</t>
  </si>
  <si>
    <t>7.63% Gujarat SDL ISD 240124 Mat 240133^</t>
  </si>
  <si>
    <t>IN3320230318</t>
  </si>
  <si>
    <t>7.48% Uttar Pradesh SDL ISD 200324 Mat 200336^</t>
  </si>
  <si>
    <t>IN1520230211</t>
  </si>
  <si>
    <t>7.64% % Gujarat SDL ISD 170124 Mat 170134^</t>
  </si>
  <si>
    <t>IN0020230044</t>
  </si>
  <si>
    <t>7.25% GOI MAT 120663</t>
  </si>
  <si>
    <t>IN1520230237</t>
  </si>
  <si>
    <t>7.63% Gujarat SDL ISD 240124 Mat 240134^</t>
  </si>
  <si>
    <t>IN2220230345</t>
  </si>
  <si>
    <t>7.45% Maharashtra ISD 220324 Mat 220339^</t>
  </si>
  <si>
    <t>IN000628C031</t>
  </si>
  <si>
    <t>GOI STRIPS - Mat 170628^</t>
  </si>
  <si>
    <t>IN0020200252</t>
  </si>
  <si>
    <t>6.67% GOI MAT 171250</t>
  </si>
  <si>
    <t>IN0020210194</t>
  </si>
  <si>
    <t>6.99% GOI MAT 151251</t>
  </si>
  <si>
    <t>IN2220230196</t>
  </si>
  <si>
    <t>7.63% Maharashtra SDL Mat 310135^</t>
  </si>
  <si>
    <t>IN0020230036</t>
  </si>
  <si>
    <t>7.17% GOI MAT 170430</t>
  </si>
  <si>
    <t>IN3520230282</t>
  </si>
  <si>
    <t>7.47% Chhattisgarh SDL ISD 200324 MAT 200334^</t>
  </si>
  <si>
    <t>IN2020160049</t>
  </si>
  <si>
    <t>8.07% Kerala SDL Mat 150626^</t>
  </si>
  <si>
    <t>Non-Convertible debentures / Bonds</t>
  </si>
  <si>
    <t>INE062A08454</t>
  </si>
  <si>
    <t>State Bank of India (Tier 2 - Basel III)^</t>
  </si>
  <si>
    <t>CRISIL - AAA</t>
  </si>
  <si>
    <t>INE115A07QY1</t>
  </si>
  <si>
    <t>LIC Housing Finance Ltd.^</t>
  </si>
  <si>
    <t>INE062A08447</t>
  </si>
  <si>
    <t>State Bank of India (Tier 2 - Basel III)</t>
  </si>
  <si>
    <t>ICRA - AAA</t>
  </si>
  <si>
    <t>INE01XX07034</t>
  </si>
  <si>
    <t>Pipeline Infrastructure Pvt. Ltd.^</t>
  </si>
  <si>
    <t>INE556F08KW0</t>
  </si>
  <si>
    <t>Small Industries Development Bank^</t>
  </si>
  <si>
    <t>INE020B08DA7</t>
  </si>
  <si>
    <t>REC Limited.^</t>
  </si>
  <si>
    <t>INE556F08KL3</t>
  </si>
  <si>
    <t>INE040A08773</t>
  </si>
  <si>
    <t>HDFC Bank Ltd.£^</t>
  </si>
  <si>
    <t>INE053F08395</t>
  </si>
  <si>
    <t>Indian Railways Finance Corp. Ltd.^</t>
  </si>
  <si>
    <t>INE031A08939</t>
  </si>
  <si>
    <t>Housing and Urban Development Corporation Ltd.^</t>
  </si>
  <si>
    <t>CARE - AAA</t>
  </si>
  <si>
    <t>INE296A07SV1</t>
  </si>
  <si>
    <t>INE040A08AF2</t>
  </si>
  <si>
    <t>INE040A08849</t>
  </si>
  <si>
    <t>INE261F08DO9</t>
  </si>
  <si>
    <t>National Bank for Agri &amp; Rural Dev.</t>
  </si>
  <si>
    <t>INE936D07182</t>
  </si>
  <si>
    <t>Jamnagar Utilities &amp; Power Pvt. Limited^</t>
  </si>
  <si>
    <t>INE377Y07508</t>
  </si>
  <si>
    <t>Bajaj Housing Finance Ltd.^</t>
  </si>
  <si>
    <t>INE115A07QP9</t>
  </si>
  <si>
    <t>INE261F08EM1</t>
  </si>
  <si>
    <t>INE160A08324</t>
  </si>
  <si>
    <t>Punjab National Bank^</t>
  </si>
  <si>
    <t>INE377Y07532</t>
  </si>
  <si>
    <t>INE028A08315</t>
  </si>
  <si>
    <t>Bank of Baroda (Tier 2 - Basel III)^</t>
  </si>
  <si>
    <t>INE756I07EU9</t>
  </si>
  <si>
    <t>HDB Financial Services Ltd.^</t>
  </si>
  <si>
    <t>INE556F08KF5</t>
  </si>
  <si>
    <t>Small Industries Development Bank</t>
  </si>
  <si>
    <t>INE062A08405</t>
  </si>
  <si>
    <t>INE121A08PP7</t>
  </si>
  <si>
    <t>Cholamandalam Investment &amp; Finance Co. Ltd.^</t>
  </si>
  <si>
    <t>ICRA - AA+</t>
  </si>
  <si>
    <t>INE053F08353</t>
  </si>
  <si>
    <t>INE115A07QX3</t>
  </si>
  <si>
    <t>INE153A08170</t>
  </si>
  <si>
    <t>Mahanagar Telephone Nigam  Ltd.</t>
  </si>
  <si>
    <t>CARE - AAA(CE)</t>
  </si>
  <si>
    <t>INE261F08EL3</t>
  </si>
  <si>
    <t>INE261F08EB4</t>
  </si>
  <si>
    <t>National Bank for Agri &amp; Rural Dev.^</t>
  </si>
  <si>
    <t>INE557F08FZ1</t>
  </si>
  <si>
    <t>National Housing Bank^</t>
  </si>
  <si>
    <t>INE692Q07399</t>
  </si>
  <si>
    <t>Toyota Financial Services India Ltd.^</t>
  </si>
  <si>
    <t>INE557F08GD6</t>
  </si>
  <si>
    <t>National Housing Bank</t>
  </si>
  <si>
    <t>INE020B08FE4</t>
  </si>
  <si>
    <t>INE261F08EF5</t>
  </si>
  <si>
    <t>INE053F08478</t>
  </si>
  <si>
    <t>INE936D07190</t>
  </si>
  <si>
    <t>INE115A07QO2</t>
  </si>
  <si>
    <t>INE115A07RC5</t>
  </si>
  <si>
    <t>INE261F08DV4</t>
  </si>
  <si>
    <t>INE134E08ML8</t>
  </si>
  <si>
    <t>Power Finance Corporation Ltd.^</t>
  </si>
  <si>
    <t>INE556F08KM1</t>
  </si>
  <si>
    <t>INE033L07HU0</t>
  </si>
  <si>
    <t>TATA Capital Housing Finance Ltd.^</t>
  </si>
  <si>
    <t>INE031A08947</t>
  </si>
  <si>
    <t>INE556F08KH1</t>
  </si>
  <si>
    <t>INE01XX07042</t>
  </si>
  <si>
    <t>INE134E08NM4</t>
  </si>
  <si>
    <t>INE020B08CX1</t>
  </si>
  <si>
    <t>INE296A07TE5</t>
  </si>
  <si>
    <t>Bajaj Finance Ltd.^</t>
  </si>
  <si>
    <t>INE029A08065</t>
  </si>
  <si>
    <t>Bharat Petroleum Corporation Ltd.^</t>
  </si>
  <si>
    <t>INE031A08871</t>
  </si>
  <si>
    <t>INE053F08411</t>
  </si>
  <si>
    <t>INE975F07IP2</t>
  </si>
  <si>
    <t>Kotak Mahindra Investments Ltd.^</t>
  </si>
  <si>
    <t>INE115A07QQ7</t>
  </si>
  <si>
    <t>INE115A07QJ2</t>
  </si>
  <si>
    <t>INE115A07NP6</t>
  </si>
  <si>
    <t>INE115A07MQ6</t>
  </si>
  <si>
    <t>INE261F08EA6</t>
  </si>
  <si>
    <t>INE261F08DX0</t>
  </si>
  <si>
    <t>INE261F08EJ7</t>
  </si>
  <si>
    <t>INE261F08EN9</t>
  </si>
  <si>
    <t>INE557F08FY4</t>
  </si>
  <si>
    <t>INE557F08FX6</t>
  </si>
  <si>
    <t>INE134E08NN2</t>
  </si>
  <si>
    <t>INE134E08MT1</t>
  </si>
  <si>
    <t>INE134E08NO0</t>
  </si>
  <si>
    <t>INE020B08EL2</t>
  </si>
  <si>
    <t>INE020B08EM0</t>
  </si>
  <si>
    <t>INE556F08KI9</t>
  </si>
  <si>
    <t>INE556F08KD0</t>
  </si>
  <si>
    <t>INE556F08KK5</t>
  </si>
  <si>
    <t>INE692Q07449</t>
  </si>
  <si>
    <t>INE975F07IJ5</t>
  </si>
  <si>
    <t>INE115A07PN6</t>
  </si>
  <si>
    <t>INE020B08FB0</t>
  </si>
  <si>
    <t>INE053F08387</t>
  </si>
  <si>
    <t>INE053F07AA7</t>
  </si>
  <si>
    <t>INE476A08050</t>
  </si>
  <si>
    <t>Canara Bank (Tier 2 - Basel III)^</t>
  </si>
  <si>
    <t>INE040A08864</t>
  </si>
  <si>
    <t>INE306N07NF5</t>
  </si>
  <si>
    <t>Tata Capital Ltd.^</t>
  </si>
  <si>
    <t>INE377Y07375</t>
  </si>
  <si>
    <t>INE047A08190</t>
  </si>
  <si>
    <t>Grasim Industries Ltd.^</t>
  </si>
  <si>
    <t>INE047A08208</t>
  </si>
  <si>
    <t>INE040A08955</t>
  </si>
  <si>
    <t>INE040A08666</t>
  </si>
  <si>
    <t>INE242A08569</t>
  </si>
  <si>
    <t>Indian Oil Corporation Ltd.^</t>
  </si>
  <si>
    <t>INE053F08403</t>
  </si>
  <si>
    <t>INE053F08320</t>
  </si>
  <si>
    <t>INE053F08312</t>
  </si>
  <si>
    <t>INE115A07PV9</t>
  </si>
  <si>
    <t>INE115A07QD5</t>
  </si>
  <si>
    <t>INE261F08ED0</t>
  </si>
  <si>
    <t>INE134E08MK0</t>
  </si>
  <si>
    <t>INE752E07OF7</t>
  </si>
  <si>
    <t>Power Grid Corporation of India Ltd.^</t>
  </si>
  <si>
    <t>INE556F08KV2</t>
  </si>
  <si>
    <t>INE556F08KJ7</t>
  </si>
  <si>
    <t>INE667F07IN0</t>
  </si>
  <si>
    <t>Sundaram Home Finance Limited^</t>
  </si>
  <si>
    <t>INE692A08029</t>
  </si>
  <si>
    <t>Union Bank of India (Perpetual) (AT1) (Basel III)^</t>
  </si>
  <si>
    <t>CARE - AA+</t>
  </si>
  <si>
    <t>INE040A08690</t>
  </si>
  <si>
    <t>INE115A07RF8</t>
  </si>
  <si>
    <t>INE261F08EI9</t>
  </si>
  <si>
    <t>INE020B08BC7</t>
  </si>
  <si>
    <t>INE040A08831</t>
  </si>
  <si>
    <t>(c) Securitized Debt Instruments</t>
  </si>
  <si>
    <t>Securitized Debt Instruments</t>
  </si>
  <si>
    <t>INE1CBK15037</t>
  </si>
  <si>
    <t>India Universal Trust AL2 (PTC backed by loan receivables originated by HDFC Bank Limited) £^</t>
  </si>
  <si>
    <t>CRISIL - AAA(SO)</t>
  </si>
  <si>
    <t>INE1CBK15029</t>
  </si>
  <si>
    <t>INE0QTL15013</t>
  </si>
  <si>
    <t>Sansar Trust July 2023 II (PTC backed by loan receivables originated by Shriram Finance Limited)^</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</si>
  <si>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</si>
  <si>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</si>
  <si>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</si>
  <si>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</si>
  <si>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</si>
  <si>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</si>
  <si>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</si>
  <si>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</si>
  <si>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</si>
  <si>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</si>
  <si>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</si>
  <si>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</si>
  <si>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</si>
  <si>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</si>
  <si>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</si>
  <si>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</si>
  <si>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</si>
  <si>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</si>
  <si>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</si>
  <si>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</si>
  <si>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</si>
  <si>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</si>
  <si>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</si>
  <si>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</si>
  <si>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</si>
  <si>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</si>
  <si>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</si>
  <si>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</si>
  <si>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</si>
  <si>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</si>
  <si>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</si>
  <si>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</si>
  <si>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</si>
  <si>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</si>
  <si>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</si>
  <si>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</si>
  <si>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</si>
  <si>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March 31, 2025</t>
  </si>
  <si>
    <t>February 28, 2025</t>
  </si>
  <si>
    <t>IDCW Plan</t>
  </si>
  <si>
    <t>IDCW Plan - Direct Plan</t>
  </si>
  <si>
    <t>Growth Plan</t>
  </si>
  <si>
    <t>Growth Plan - Direct Plan</t>
  </si>
  <si>
    <t>Dividend History - Dividend declared during the month ended March 31, 2025 :</t>
  </si>
  <si>
    <t xml:space="preserve">Dividend Per Unit (Rs) for </t>
  </si>
  <si>
    <t>Plan Name</t>
  </si>
  <si>
    <t>Record Date</t>
  </si>
  <si>
    <t>Nav as on Record Date</t>
  </si>
  <si>
    <t>Individuals and HUF</t>
  </si>
  <si>
    <t>Others</t>
  </si>
  <si>
    <t>25-Mar-2025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</si>
  <si>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</si>
  <si>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</si>
  <si>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</si>
  <si>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</si>
  <si>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Rs. (7,12,526.86) Lacs</t>
  </si>
  <si>
    <t>6) Portfolio Turnover Ratio : 28.88%</t>
  </si>
  <si>
    <t>7) Annualised Portfolio YTM : 7.18%</t>
  </si>
  <si>
    <t>8) Macaulay Duration : 1629.22 Days</t>
  </si>
  <si>
    <t>9) Residual Maturity (Average Portfolio Maturity-other than equity investments) : 2674.74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</si>
  <si>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</si>
  <si>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</si>
  <si>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Mar 31, 2025</t>
  </si>
  <si>
    <t>Scheme Riskometer:</t>
  </si>
  <si>
    <t>Benchmark Riskometer:</t>
  </si>
  <si>
    <t>DERIVATIVE DISCLOSURE - HDFC Balanced Advantage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</si>
  <si>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</si>
  <si>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</si>
  <si>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</si>
  <si>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</si>
  <si>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</si>
  <si>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</si>
  <si>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</si>
  <si>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</si>
  <si>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</si>
  <si>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</si>
  <si>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Adani Enterprises Ltd.</t>
  </si>
  <si>
    <t>Asian Paints Ltd.</t>
  </si>
  <si>
    <t>Bajaj Auto Ltd.</t>
  </si>
  <si>
    <t>Crompton Greaves Consumer Electricals Ltd.</t>
  </si>
  <si>
    <t>Divi's Laboratories Ltd.</t>
  </si>
  <si>
    <t>DLF Ltd.</t>
  </si>
  <si>
    <t>Escorts Kubota Ltd.</t>
  </si>
  <si>
    <t>Hindustan Aeronautics Ltd.</t>
  </si>
  <si>
    <t>HDFC Bank Ltd.</t>
  </si>
  <si>
    <t>HDFC Life Insurance Company Ltd.</t>
  </si>
  <si>
    <t>Hindustan Petroleum Corporation Ltd.</t>
  </si>
  <si>
    <t>Indian Hotels Co. Ltd.</t>
  </si>
  <si>
    <t>Indian Energy Exchange Ltd.</t>
  </si>
  <si>
    <t>Infosys Ltd.</t>
  </si>
  <si>
    <t>Indus Towers Ltd.</t>
  </si>
  <si>
    <t>Indian Railway Catering And Tourism Corporation Ltd.</t>
  </si>
  <si>
    <t>Kotak Mahindra Bank Ltd.</t>
  </si>
  <si>
    <t>Larsen &amp; Toubro Ltd.</t>
  </si>
  <si>
    <t>Maruti Suzuki India Ltd.</t>
  </si>
  <si>
    <t>United Spirits Ltd.</t>
  </si>
  <si>
    <t>MphasiS Ltd.</t>
  </si>
  <si>
    <t>Adani Ports and Special Economic Zone Ltd.</t>
  </si>
  <si>
    <t>Info Edge (India) Ltd.</t>
  </si>
  <si>
    <t>Piramal Enterprises Ltd.</t>
  </si>
  <si>
    <t>NTPC Ltd.</t>
  </si>
  <si>
    <t>Persistent Systems Ltd.</t>
  </si>
  <si>
    <t>Polycab India Ltd.</t>
  </si>
  <si>
    <t>Steel Authority of India Ltd.</t>
  </si>
  <si>
    <t>Tata Power Co. Ltd.</t>
  </si>
  <si>
    <t>Tata Communications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</si>
</sst>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0.000"/>
    <numFmt numFmtId="166" formatCode="[$-409]mmm\-yy;@"/>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4">
    <xf numFmtId="0" fontId="0" fillId="0" borderId="0"/>
    <xf numFmtId="43" fontId="12" fillId="0" borderId="0" applyFont="0" applyFill="0" applyBorder="0" applyAlignment="0" applyProtection="0"/>
    <xf numFmtId="0" fontId="13" fillId="0" borderId="0"/>
    <xf numFmtId="43"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4" fontId="13" fillId="0" borderId="0" xfId="2" applyNumberFormat="1" applyFont="1" applyFill="1" applyBorder="1" applyAlignment="1"/>
    <xf numFmtId="0" fontId="13" fillId="0" borderId="0" xfId="2" applyFont="1" applyFill="1" applyBorder="1" applyAlignment="1">
      <alignment horizontal="right"/>
    </xf>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1" xfId="2" applyFont="1" applyFill="1" applyBorder="1" applyAlignment="1">
      <alignment wrapText="1"/>
    </xf>
    <xf numFmtId="43" fontId="16" fillId="0" borderId="1" xfId="1" applyFont="1" applyBorder="1" applyAlignment="1">
      <alignment vertical="center" wrapText="1"/>
    </xf>
    <xf numFmtId="0" fontId="13" fillId="0" borderId="2" xfId="2" applyFont="1" applyFill="1" applyBorder="1" applyAlignment="1">
      <alignment vertical="top"/>
    </xf>
    <xf numFmtId="0" fontId="17" fillId="0" borderId="1" xfId="2" applyFont="1" applyFill="1" applyBorder="1" applyAlignment="1">
      <alignment vertical="top"/>
    </xf>
    <xf numFmtId="43" fontId="17" fillId="0" borderId="1" xfId="3" applyNumberFormat="1" applyFont="1" applyFill="1" applyBorder="1" applyAlignment="1">
      <alignment horizontal="right" vertical="center"/>
    </xf>
    <xf numFmtId="43" fontId="17" fillId="0" borderId="1" xfId="1" applyFont="1" applyFill="1" applyBorder="1" applyAlignment="1">
      <alignment horizontal="right" vertical="top"/>
    </xf>
    <xf numFmtId="43" fontId="13" fillId="0" borderId="1" xfId="1" applyFont="1" applyFill="1" applyBorder="1" applyAlignment="1"/>
    <xf numFmtId="15" fontId="13" fillId="0" borderId="0" xfId="1" quotePrefix="1" applyNumberFormat="1" applyFont="1" applyFill="1" applyBorder="1" applyAlignment="1"/>
    <xf numFmtId="0" fontId="13" fillId="0" borderId="3" xfId="2" applyFont="1" applyFill="1" applyBorder="1" applyAlignment="1">
      <alignment vertical="top"/>
    </xf>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438</xdr:row>
      <xdr:rowOff>0</xdr:rowOff>
    </xdr:from>
    <xdr:to>
      <xdr:col>2</xdr:col>
      <xdr:colOff>1384300</xdr:colOff>
      <xdr:row>451</xdr:row>
      <xdr:rowOff>146050</xdr:rowOff>
    </xdr:to>
    <xdr:pic>
      <xdr:nvPicPr>
        <xdr:cNvPr id="2" name="Picture 1">
          <a:extLst>
            <a:ext uri="{FF2B5EF4-FFF2-40B4-BE49-F238E27FC236}">
              <a16:creationId xmlns:a16="http://schemas.microsoft.com/office/drawing/2014/main" id="{00000000-0008-0000-3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4191475"/>
          <a:ext cx="3613150" cy="2622550"/>
        </a:xfrm>
        <a:prstGeom prst="rect">
          <a:avLst/>
        </a:prstGeom>
      </xdr:spPr>
    </xdr:pic>
    <xdr:clientData/>
  </xdr:twoCellAnchor>
  <xdr:twoCellAnchor editAs="oneCell">
    <xdr:from>
      <xdr:col>1</xdr:col>
      <xdr:colOff>0</xdr:colOff>
      <xdr:row>454</xdr:row>
      <xdr:rowOff>0</xdr:rowOff>
    </xdr:from>
    <xdr:to>
      <xdr:col>2</xdr:col>
      <xdr:colOff>1384300</xdr:colOff>
      <xdr:row>467</xdr:row>
      <xdr:rowOff>146050</xdr:rowOff>
    </xdr:to>
    <xdr:pic>
      <xdr:nvPicPr>
        <xdr:cNvPr id="3" name="Picture 2">
          <a:extLst>
            <a:ext uri="{FF2B5EF4-FFF2-40B4-BE49-F238E27FC236}">
              <a16:creationId xmlns:a16="http://schemas.microsoft.com/office/drawing/2014/main" id="{00000000-0008-0000-3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72394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rch%202025%20-%20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SMAETF"/>
      <sheetName val="HDFCNPSBET"/>
      <sheetName val="HDFCBKEXTF"/>
      <sheetName val="HDFCNITETF"/>
      <sheetName val="HDFCBKGFSF"/>
      <sheetName val="HDFCNPBETF"/>
      <sheetName val="HDFCREALIF"/>
      <sheetName val="HDFCDFNFND"/>
      <sheetName val="HDFCSX"/>
      <sheetName val="HDFCSXEXTF"/>
      <sheetName val="HDFCV20ETF"/>
      <sheetName val="HDFCTECHFD"/>
      <sheetName val="HDFCG15ETF"/>
      <sheetName val="HDFCNY"/>
      <sheetName val="HDFCNYEXTF"/>
      <sheetName val="HDFCPHARHC"/>
      <sheetName val="HDFCN100ET"/>
      <sheetName val="HDFCNY100F"/>
      <sheetName val="HDFCTRALFD"/>
      <sheetName val="HDFCTS"/>
      <sheetName val="HDFCHOF117"/>
      <sheetName val="HDFCT2"/>
      <sheetName val="HDFCEQ"/>
      <sheetName val="HDFCCS"/>
      <sheetName val="HDFCRETEQP"/>
      <sheetName val="HDFCMY"/>
      <sheetName val="HDFCPM"/>
      <sheetName val="HDFCBUSICY"/>
      <sheetName val="HDFCMNCFND"/>
      <sheetName val="HDFCCB"/>
      <sheetName val="HDFCNCCFND"/>
      <sheetName val="HDFC500ETF"/>
      <sheetName val="HDFC500IDF"/>
      <sheetName val="HDFCNYDGTF"/>
      <sheetName val="HDINFG"/>
      <sheetName val="HDFCRETHEP"/>
      <sheetName val="HDFCGF"/>
      <sheetName val="HDFCAR"/>
      <sheetName val="MY2005"/>
      <sheetName val="HDFCM30IDF"/>
      <sheetName val="HDFCM30ETF"/>
      <sheetName val="HDFCDIVYLD"/>
      <sheetName val="HDFCSMALLF"/>
      <sheetName val="HDFCQ30ETF"/>
      <sheetName val="HDFCQ30IDF"/>
      <sheetName val="HDFCMANFFN"/>
      <sheetName val="HDFCLM250F"/>
      <sheetName val="HDFCNY500M"/>
      <sheetName val="HDFCGR"/>
      <sheetName val="HDFCLARGEF"/>
      <sheetName val="HDFCNY20EW"/>
      <sheetName val="HDFCNY50ET"/>
      <sheetName val="HDFCNYNX50"/>
      <sheetName val="HDFCMULCAP"/>
      <sheetName val="MIDCAP"/>
      <sheetName val="HDFCL30ETF"/>
      <sheetName val="HDFCL30IDF"/>
      <sheetName val="HDFCMIDIDF"/>
      <sheetName val="HDFCMIDETF"/>
      <sheetName val="HDFCNY50EW"/>
      <sheetName val="HDFCSMAIDF"/>
      <sheetName val="HDFCN100EW"/>
      <sheetName val="HDGETF"/>
      <sheetName val="HSILVERETF"/>
      <sheetName val="HSILVERFOF"/>
      <sheetName val="HDFCGOLD"/>
      <sheetName val="HDFCDWIFOF"/>
      <sheetName val="DerivativeHDFCAR"/>
      <sheetName val="DerivativeHDFCGR"/>
      <sheetName val="DerivativeHDFCMY"/>
      <sheetName val="DerivativeMY2005"/>
      <sheetName val="DerivativeHDFCEQ"/>
      <sheetName val="DerivativeHDFCRETEQP"/>
      <sheetName val="DerivativeHDFC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ow r="7">
          <cell r="A7" t="str">
            <v>A.  Hedging Positions through Futures as on March 31, 2025</v>
          </cell>
        </row>
      </sheetData>
      <sheetData sheetId="68"/>
      <sheetData sheetId="69"/>
      <sheetData sheetId="70"/>
      <sheetData sheetId="71"/>
      <sheetData sheetId="72"/>
      <sheetData sheetId="7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L45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 customHeight="1" x14ac:dyDescent="0.3">
      <c r="A1" s="40" t="s">
        <v>0</v>
      </c>
      <c r="B1" s="40" t="s">
        <v>0</v>
      </c>
      <c r="C1" s="40" t="s">
        <v>0</v>
      </c>
      <c r="D1" s="40" t="s">
        <v>0</v>
      </c>
      <c r="E1" s="40" t="s">
        <v>0</v>
      </c>
      <c r="F1" s="40" t="s">
        <v>0</v>
      </c>
      <c r="G1" s="40" t="s">
        <v>0</v>
      </c>
      <c r="H1" s="40" t="s">
        <v>0</v>
      </c>
      <c r="I1" s="40" t="s">
        <v>0</v>
      </c>
      <c r="J1" s="40" t="s">
        <v>0</v>
      </c>
      <c r="K1" s="1" t="s">
        <v>1</v>
      </c>
      <c r="L1" s="2" t="s">
        <v>2</v>
      </c>
    </row>
    <row r="2" spans="1:12" x14ac:dyDescent="0.25">
      <c r="A2" s="41" t="s">
        <v>3</v>
      </c>
      <c r="B2" s="41" t="s">
        <v>3</v>
      </c>
      <c r="C2" s="41" t="s">
        <v>3</v>
      </c>
      <c r="D2" s="41" t="s">
        <v>3</v>
      </c>
      <c r="E2" s="41" t="s">
        <v>3</v>
      </c>
      <c r="F2" s="41" t="s">
        <v>3</v>
      </c>
      <c r="G2" s="41" t="s">
        <v>3</v>
      </c>
      <c r="H2" s="41" t="s">
        <v>3</v>
      </c>
      <c r="I2" s="41" t="s">
        <v>3</v>
      </c>
      <c r="J2" s="4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27904351</v>
      </c>
      <c r="G9" s="13">
        <v>510147.34</v>
      </c>
      <c r="H9" s="13">
        <v>5.38</v>
      </c>
      <c r="I9" s="14" t="s">
        <v>20</v>
      </c>
      <c r="J9" s="14" t="s">
        <v>20</v>
      </c>
      <c r="K9" s="15">
        <v>0.81</v>
      </c>
      <c r="L9" s="16">
        <v>4.58</v>
      </c>
    </row>
    <row r="10" spans="1:12" x14ac:dyDescent="0.25">
      <c r="A10" s="10" t="s">
        <v>18</v>
      </c>
      <c r="B10" s="11" t="s">
        <v>23</v>
      </c>
      <c r="C10" s="11" t="s">
        <v>20</v>
      </c>
      <c r="D10" s="11" t="s">
        <v>24</v>
      </c>
      <c r="E10" s="11" t="s">
        <v>22</v>
      </c>
      <c r="F10" s="12">
        <v>27699224</v>
      </c>
      <c r="G10" s="13">
        <v>373482.49</v>
      </c>
      <c r="H10" s="13">
        <v>3.94</v>
      </c>
      <c r="I10" s="14" t="s">
        <v>20</v>
      </c>
      <c r="J10" s="14" t="s">
        <v>20</v>
      </c>
      <c r="K10" s="15">
        <v>0.6</v>
      </c>
      <c r="L10" s="16">
        <v>3.34</v>
      </c>
    </row>
    <row r="11" spans="1:12" x14ac:dyDescent="0.25">
      <c r="A11" s="10" t="s">
        <v>18</v>
      </c>
      <c r="B11" s="11" t="s">
        <v>25</v>
      </c>
      <c r="C11" s="11" t="s">
        <v>20</v>
      </c>
      <c r="D11" s="11" t="s">
        <v>26</v>
      </c>
      <c r="E11" s="11" t="s">
        <v>27</v>
      </c>
      <c r="F11" s="12">
        <v>24664288</v>
      </c>
      <c r="G11" s="13">
        <v>314494.34000000003</v>
      </c>
      <c r="H11" s="13">
        <v>3.32</v>
      </c>
      <c r="I11" s="14" t="s">
        <v>20</v>
      </c>
      <c r="J11" s="14" t="s">
        <v>20</v>
      </c>
      <c r="K11" s="15">
        <v>0.81</v>
      </c>
      <c r="L11" s="16">
        <v>2.5099999999999998</v>
      </c>
    </row>
    <row r="12" spans="1:12" x14ac:dyDescent="0.25">
      <c r="A12" s="10" t="s">
        <v>18</v>
      </c>
      <c r="B12" s="11" t="s">
        <v>28</v>
      </c>
      <c r="C12" s="11" t="s">
        <v>20</v>
      </c>
      <c r="D12" s="11" t="s">
        <v>29</v>
      </c>
      <c r="E12" s="11" t="s">
        <v>30</v>
      </c>
      <c r="F12" s="12">
        <v>19590088</v>
      </c>
      <c r="G12" s="13">
        <v>307691.71999999997</v>
      </c>
      <c r="H12" s="13">
        <v>3.24</v>
      </c>
      <c r="I12" s="14" t="s">
        <v>20</v>
      </c>
      <c r="J12" s="14" t="s">
        <v>20</v>
      </c>
      <c r="K12" s="15">
        <v>0.56000000000000005</v>
      </c>
      <c r="L12" s="16">
        <v>2.68</v>
      </c>
    </row>
    <row r="13" spans="1:12" x14ac:dyDescent="0.25">
      <c r="A13" s="10" t="s">
        <v>18</v>
      </c>
      <c r="B13" s="11" t="s">
        <v>31</v>
      </c>
      <c r="C13" s="11" t="s">
        <v>20</v>
      </c>
      <c r="D13" s="11" t="s">
        <v>32</v>
      </c>
      <c r="E13" s="11" t="s">
        <v>22</v>
      </c>
      <c r="F13" s="12">
        <v>38406500</v>
      </c>
      <c r="G13" s="13">
        <v>296306.15000000002</v>
      </c>
      <c r="H13" s="13">
        <v>3.12</v>
      </c>
      <c r="I13" s="14" t="s">
        <v>20</v>
      </c>
      <c r="J13" s="14" t="s">
        <v>20</v>
      </c>
      <c r="K13" s="15">
        <v>0.28000000000000003</v>
      </c>
      <c r="L13" s="16">
        <v>2.85</v>
      </c>
    </row>
    <row r="14" spans="1:12" x14ac:dyDescent="0.25">
      <c r="A14" s="10" t="s">
        <v>18</v>
      </c>
      <c r="B14" s="11" t="s">
        <v>33</v>
      </c>
      <c r="C14" s="11" t="s">
        <v>20</v>
      </c>
      <c r="D14" s="11" t="s">
        <v>34</v>
      </c>
      <c r="E14" s="11" t="s">
        <v>35</v>
      </c>
      <c r="F14" s="12">
        <v>14479354</v>
      </c>
      <c r="G14" s="13">
        <v>250985.12</v>
      </c>
      <c r="H14" s="13">
        <v>2.65</v>
      </c>
      <c r="I14" s="14" t="s">
        <v>20</v>
      </c>
      <c r="J14" s="14" t="s">
        <v>20</v>
      </c>
      <c r="K14" s="15">
        <v>0.28000000000000003</v>
      </c>
      <c r="L14" s="16">
        <v>2.37</v>
      </c>
    </row>
    <row r="15" spans="1:12" x14ac:dyDescent="0.25">
      <c r="A15" s="10" t="s">
        <v>18</v>
      </c>
      <c r="B15" s="11" t="s">
        <v>36</v>
      </c>
      <c r="C15" s="11" t="s">
        <v>20</v>
      </c>
      <c r="D15" s="11" t="s">
        <v>37</v>
      </c>
      <c r="E15" s="11" t="s">
        <v>38</v>
      </c>
      <c r="F15" s="12">
        <v>70337915</v>
      </c>
      <c r="G15" s="13">
        <v>251528.38</v>
      </c>
      <c r="H15" s="13">
        <v>2.65</v>
      </c>
      <c r="I15" s="14" t="s">
        <v>20</v>
      </c>
      <c r="J15" s="14" t="s">
        <v>20</v>
      </c>
      <c r="K15" s="15">
        <v>0.15</v>
      </c>
      <c r="L15" s="16">
        <v>2.5099999999999998</v>
      </c>
    </row>
    <row r="16" spans="1:12" x14ac:dyDescent="0.25">
      <c r="A16" s="10" t="s">
        <v>18</v>
      </c>
      <c r="B16" s="11" t="s">
        <v>39</v>
      </c>
      <c r="C16" s="11" t="s">
        <v>20</v>
      </c>
      <c r="D16" s="11" t="s">
        <v>40</v>
      </c>
      <c r="E16" s="11" t="s">
        <v>41</v>
      </c>
      <c r="F16" s="12">
        <v>6645683</v>
      </c>
      <c r="G16" s="13">
        <v>232087.19</v>
      </c>
      <c r="H16" s="13">
        <v>2.4500000000000002</v>
      </c>
      <c r="I16" s="14" t="s">
        <v>20</v>
      </c>
      <c r="J16" s="14" t="s">
        <v>20</v>
      </c>
      <c r="K16" s="15">
        <v>0.02</v>
      </c>
      <c r="L16" s="16">
        <v>2.42</v>
      </c>
    </row>
    <row r="17" spans="1:12" x14ac:dyDescent="0.25">
      <c r="A17" s="10" t="s">
        <v>18</v>
      </c>
      <c r="B17" s="11" t="s">
        <v>42</v>
      </c>
      <c r="C17" s="11" t="s">
        <v>20</v>
      </c>
      <c r="D17" s="11" t="s">
        <v>43</v>
      </c>
      <c r="E17" s="11" t="s">
        <v>44</v>
      </c>
      <c r="F17" s="12">
        <v>55854731</v>
      </c>
      <c r="G17" s="13">
        <v>222413.54</v>
      </c>
      <c r="H17" s="13">
        <v>2.35</v>
      </c>
      <c r="I17" s="14" t="s">
        <v>20</v>
      </c>
      <c r="J17" s="14" t="s">
        <v>20</v>
      </c>
      <c r="K17" s="15">
        <v>0.05</v>
      </c>
      <c r="L17" s="16">
        <v>2.2999999999999998</v>
      </c>
    </row>
    <row r="18" spans="1:12" x14ac:dyDescent="0.25">
      <c r="A18" s="10" t="s">
        <v>20</v>
      </c>
      <c r="B18" s="11" t="s">
        <v>45</v>
      </c>
      <c r="C18" s="11" t="s">
        <v>20</v>
      </c>
      <c r="D18" s="11" t="s">
        <v>46</v>
      </c>
      <c r="E18" s="11" t="s">
        <v>22</v>
      </c>
      <c r="F18" s="12">
        <v>19827457</v>
      </c>
      <c r="G18" s="13">
        <v>218498.58</v>
      </c>
      <c r="H18" s="13">
        <v>2.2999999999999998</v>
      </c>
      <c r="I18" s="14" t="s">
        <v>20</v>
      </c>
      <c r="J18" s="14" t="s">
        <v>20</v>
      </c>
      <c r="K18" s="15">
        <v>0</v>
      </c>
      <c r="L18" s="16">
        <v>2.2999999999999998</v>
      </c>
    </row>
    <row r="19" spans="1:12" x14ac:dyDescent="0.25">
      <c r="A19" s="10" t="s">
        <v>20</v>
      </c>
      <c r="B19" s="11" t="s">
        <v>47</v>
      </c>
      <c r="C19" s="11" t="s">
        <v>20</v>
      </c>
      <c r="D19" s="11" t="s">
        <v>48</v>
      </c>
      <c r="E19" s="11" t="s">
        <v>49</v>
      </c>
      <c r="F19" s="12">
        <v>41476926</v>
      </c>
      <c r="G19" s="13">
        <v>169951.7</v>
      </c>
      <c r="H19" s="13">
        <v>1.79</v>
      </c>
      <c r="I19" s="14" t="s">
        <v>20</v>
      </c>
      <c r="J19" s="14" t="s">
        <v>20</v>
      </c>
      <c r="K19" s="15">
        <v>0</v>
      </c>
      <c r="L19" s="16">
        <v>1.79</v>
      </c>
    </row>
    <row r="20" spans="1:12" x14ac:dyDescent="0.25">
      <c r="A20" s="10" t="s">
        <v>20</v>
      </c>
      <c r="B20" s="11" t="s">
        <v>50</v>
      </c>
      <c r="C20" s="11" t="s">
        <v>20</v>
      </c>
      <c r="D20" s="11" t="s">
        <v>51</v>
      </c>
      <c r="E20" s="11" t="s">
        <v>30</v>
      </c>
      <c r="F20" s="12">
        <v>4351297</v>
      </c>
      <c r="G20" s="13">
        <v>156914.29999999999</v>
      </c>
      <c r="H20" s="13">
        <v>1.65</v>
      </c>
      <c r="I20" s="14" t="s">
        <v>20</v>
      </c>
      <c r="J20" s="14" t="s">
        <v>20</v>
      </c>
      <c r="K20" s="15">
        <v>0.22</v>
      </c>
      <c r="L20" s="16">
        <v>1.44</v>
      </c>
    </row>
    <row r="21" spans="1:12" x14ac:dyDescent="0.25">
      <c r="A21" s="10" t="s">
        <v>20</v>
      </c>
      <c r="B21" s="11" t="s">
        <v>52</v>
      </c>
      <c r="C21" s="11" t="s">
        <v>20</v>
      </c>
      <c r="D21" s="11" t="s">
        <v>53</v>
      </c>
      <c r="E21" s="11" t="s">
        <v>54</v>
      </c>
      <c r="F21" s="12">
        <v>7229834</v>
      </c>
      <c r="G21" s="13">
        <v>125415.93</v>
      </c>
      <c r="H21" s="13">
        <v>1.32</v>
      </c>
      <c r="I21" s="14" t="s">
        <v>20</v>
      </c>
      <c r="J21" s="14" t="s">
        <v>20</v>
      </c>
      <c r="K21" s="15">
        <v>0.19</v>
      </c>
      <c r="L21" s="16">
        <v>1.1299999999999999</v>
      </c>
    </row>
    <row r="22" spans="1:12" x14ac:dyDescent="0.25">
      <c r="A22" s="10" t="s">
        <v>20</v>
      </c>
      <c r="B22" s="11" t="s">
        <v>55</v>
      </c>
      <c r="C22" s="11" t="s">
        <v>20</v>
      </c>
      <c r="D22" s="11" t="s">
        <v>56</v>
      </c>
      <c r="E22" s="11" t="s">
        <v>54</v>
      </c>
      <c r="F22" s="12">
        <v>5630582</v>
      </c>
      <c r="G22" s="13">
        <v>114185.39</v>
      </c>
      <c r="H22" s="13">
        <v>1.2</v>
      </c>
      <c r="I22" s="14" t="s">
        <v>20</v>
      </c>
      <c r="J22" s="14" t="s">
        <v>20</v>
      </c>
      <c r="K22" s="15">
        <v>0</v>
      </c>
      <c r="L22" s="16">
        <v>1.2</v>
      </c>
    </row>
    <row r="23" spans="1:12" x14ac:dyDescent="0.25">
      <c r="A23" s="10" t="s">
        <v>20</v>
      </c>
      <c r="B23" s="11" t="s">
        <v>57</v>
      </c>
      <c r="C23" s="11" t="s">
        <v>20</v>
      </c>
      <c r="D23" s="11" t="s">
        <v>58</v>
      </c>
      <c r="E23" s="11" t="s">
        <v>59</v>
      </c>
      <c r="F23" s="12">
        <v>942263</v>
      </c>
      <c r="G23" s="13">
        <v>108568.96000000001</v>
      </c>
      <c r="H23" s="13">
        <v>1.1399999999999999</v>
      </c>
      <c r="I23" s="14" t="s">
        <v>20</v>
      </c>
      <c r="J23" s="14" t="s">
        <v>20</v>
      </c>
      <c r="K23" s="15">
        <v>0.19</v>
      </c>
      <c r="L23" s="16">
        <v>0.95</v>
      </c>
    </row>
    <row r="24" spans="1:12" x14ac:dyDescent="0.25">
      <c r="A24" s="10" t="s">
        <v>20</v>
      </c>
      <c r="B24" s="11" t="s">
        <v>60</v>
      </c>
      <c r="C24" s="11" t="s">
        <v>20</v>
      </c>
      <c r="D24" s="11" t="s">
        <v>61</v>
      </c>
      <c r="E24" s="11" t="s">
        <v>30</v>
      </c>
      <c r="F24" s="12">
        <v>6126624</v>
      </c>
      <c r="G24" s="13">
        <v>97566.49</v>
      </c>
      <c r="H24" s="13">
        <v>1.03</v>
      </c>
      <c r="I24" s="14" t="s">
        <v>20</v>
      </c>
      <c r="J24" s="14" t="s">
        <v>20</v>
      </c>
      <c r="K24" s="15">
        <v>0</v>
      </c>
      <c r="L24" s="16">
        <v>1.03</v>
      </c>
    </row>
    <row r="25" spans="1:12" x14ac:dyDescent="0.25">
      <c r="A25" s="10" t="s">
        <v>20</v>
      </c>
      <c r="B25" s="11" t="s">
        <v>62</v>
      </c>
      <c r="C25" s="11" t="s">
        <v>20</v>
      </c>
      <c r="D25" s="11" t="s">
        <v>63</v>
      </c>
      <c r="E25" s="11" t="s">
        <v>64</v>
      </c>
      <c r="F25" s="12">
        <v>23000000</v>
      </c>
      <c r="G25" s="13">
        <v>95277.5</v>
      </c>
      <c r="H25" s="13">
        <v>1</v>
      </c>
      <c r="I25" s="14" t="s">
        <v>20</v>
      </c>
      <c r="J25" s="14" t="s">
        <v>20</v>
      </c>
      <c r="K25" s="15">
        <v>0</v>
      </c>
      <c r="L25" s="16">
        <v>1</v>
      </c>
    </row>
    <row r="26" spans="1:12" x14ac:dyDescent="0.25">
      <c r="A26" s="10" t="s">
        <v>20</v>
      </c>
      <c r="B26" s="11" t="s">
        <v>65</v>
      </c>
      <c r="C26" s="11" t="s">
        <v>20</v>
      </c>
      <c r="D26" s="11" t="s">
        <v>66</v>
      </c>
      <c r="E26" s="11" t="s">
        <v>22</v>
      </c>
      <c r="F26" s="12">
        <v>3929954</v>
      </c>
      <c r="G26" s="13">
        <v>85327.16</v>
      </c>
      <c r="H26" s="13">
        <v>0.9</v>
      </c>
      <c r="I26" s="14" t="s">
        <v>20</v>
      </c>
      <c r="J26" s="14" t="s">
        <v>20</v>
      </c>
      <c r="K26" s="15">
        <v>0.2</v>
      </c>
      <c r="L26" s="16">
        <v>0.7</v>
      </c>
    </row>
    <row r="27" spans="1:12" x14ac:dyDescent="0.25">
      <c r="A27" s="10" t="s">
        <v>20</v>
      </c>
      <c r="B27" s="11" t="s">
        <v>67</v>
      </c>
      <c r="C27" s="11" t="s">
        <v>20</v>
      </c>
      <c r="D27" s="11" t="s">
        <v>68</v>
      </c>
      <c r="E27" s="11" t="s">
        <v>64</v>
      </c>
      <c r="F27" s="12">
        <v>19000000</v>
      </c>
      <c r="G27" s="13">
        <v>81548</v>
      </c>
      <c r="H27" s="13">
        <v>0.86</v>
      </c>
      <c r="I27" s="14" t="s">
        <v>20</v>
      </c>
      <c r="J27" s="14" t="s">
        <v>20</v>
      </c>
      <c r="K27" s="15">
        <v>0</v>
      </c>
      <c r="L27" s="16">
        <v>0.86</v>
      </c>
    </row>
    <row r="28" spans="1:12" x14ac:dyDescent="0.25">
      <c r="A28" s="10" t="s">
        <v>20</v>
      </c>
      <c r="B28" s="11" t="s">
        <v>69</v>
      </c>
      <c r="C28" s="11" t="s">
        <v>20</v>
      </c>
      <c r="D28" s="11" t="s">
        <v>70</v>
      </c>
      <c r="E28" s="11" t="s">
        <v>59</v>
      </c>
      <c r="F28" s="12">
        <v>2915613</v>
      </c>
      <c r="G28" s="13">
        <v>77724.41</v>
      </c>
      <c r="H28" s="13">
        <v>0.82</v>
      </c>
      <c r="I28" s="14" t="s">
        <v>20</v>
      </c>
      <c r="J28" s="14" t="s">
        <v>20</v>
      </c>
      <c r="K28" s="15">
        <v>0.02</v>
      </c>
      <c r="L28" s="16">
        <v>0.8</v>
      </c>
    </row>
    <row r="29" spans="1:12" x14ac:dyDescent="0.25">
      <c r="A29" s="10" t="s">
        <v>20</v>
      </c>
      <c r="B29" s="11" t="s">
        <v>71</v>
      </c>
      <c r="C29" s="11" t="s">
        <v>20</v>
      </c>
      <c r="D29" s="11" t="s">
        <v>72</v>
      </c>
      <c r="E29" s="11" t="s">
        <v>73</v>
      </c>
      <c r="F29" s="12">
        <v>4938689</v>
      </c>
      <c r="G29" s="13">
        <v>76443.5</v>
      </c>
      <c r="H29" s="13">
        <v>0.81</v>
      </c>
      <c r="I29" s="14" t="s">
        <v>20</v>
      </c>
      <c r="J29" s="14" t="s">
        <v>20</v>
      </c>
      <c r="K29" s="15">
        <v>0.11</v>
      </c>
      <c r="L29" s="16">
        <v>0.69</v>
      </c>
    </row>
    <row r="30" spans="1:12" x14ac:dyDescent="0.25">
      <c r="A30" s="10" t="s">
        <v>20</v>
      </c>
      <c r="B30" s="11" t="s">
        <v>74</v>
      </c>
      <c r="C30" s="11" t="s">
        <v>20</v>
      </c>
      <c r="D30" s="11" t="s">
        <v>75</v>
      </c>
      <c r="E30" s="11" t="s">
        <v>76</v>
      </c>
      <c r="F30" s="12">
        <v>1380991</v>
      </c>
      <c r="G30" s="13">
        <v>70642.52</v>
      </c>
      <c r="H30" s="13">
        <v>0.74</v>
      </c>
      <c r="I30" s="14" t="s">
        <v>20</v>
      </c>
      <c r="J30" s="14" t="s">
        <v>20</v>
      </c>
      <c r="K30" s="15">
        <v>0.23</v>
      </c>
      <c r="L30" s="16">
        <v>0.51</v>
      </c>
    </row>
    <row r="31" spans="1:12" x14ac:dyDescent="0.25">
      <c r="A31" s="10" t="s">
        <v>20</v>
      </c>
      <c r="B31" s="11" t="s">
        <v>77</v>
      </c>
      <c r="C31" s="11" t="s">
        <v>20</v>
      </c>
      <c r="D31" s="11" t="s">
        <v>78</v>
      </c>
      <c r="E31" s="11" t="s">
        <v>22</v>
      </c>
      <c r="F31" s="12">
        <v>30000000</v>
      </c>
      <c r="G31" s="13">
        <v>68559</v>
      </c>
      <c r="H31" s="13">
        <v>0.72</v>
      </c>
      <c r="I31" s="14" t="s">
        <v>20</v>
      </c>
      <c r="J31" s="14" t="s">
        <v>20</v>
      </c>
      <c r="K31" s="15">
        <v>0</v>
      </c>
      <c r="L31" s="16">
        <v>0.72</v>
      </c>
    </row>
    <row r="32" spans="1:12" x14ac:dyDescent="0.25">
      <c r="A32" s="10" t="s">
        <v>20</v>
      </c>
      <c r="B32" s="11" t="s">
        <v>79</v>
      </c>
      <c r="C32" s="11" t="s">
        <v>20</v>
      </c>
      <c r="D32" s="11" t="s">
        <v>80</v>
      </c>
      <c r="E32" s="11" t="s">
        <v>59</v>
      </c>
      <c r="F32" s="12">
        <v>3973073</v>
      </c>
      <c r="G32" s="13">
        <v>67846.179999999993</v>
      </c>
      <c r="H32" s="13">
        <v>0.72</v>
      </c>
      <c r="I32" s="14" t="s">
        <v>20</v>
      </c>
      <c r="J32" s="14" t="s">
        <v>20</v>
      </c>
      <c r="K32" s="15">
        <v>0</v>
      </c>
      <c r="L32" s="16">
        <v>0.72</v>
      </c>
    </row>
    <row r="33" spans="1:12" x14ac:dyDescent="0.25">
      <c r="A33" s="10" t="s">
        <v>20</v>
      </c>
      <c r="B33" s="11" t="s">
        <v>81</v>
      </c>
      <c r="C33" s="11" t="s">
        <v>20</v>
      </c>
      <c r="D33" s="11" t="s">
        <v>82</v>
      </c>
      <c r="E33" s="11" t="s">
        <v>27</v>
      </c>
      <c r="F33" s="12">
        <v>22818329</v>
      </c>
      <c r="G33" s="13">
        <v>63542.2</v>
      </c>
      <c r="H33" s="13">
        <v>0.67</v>
      </c>
      <c r="I33" s="14" t="s">
        <v>20</v>
      </c>
      <c r="J33" s="14" t="s">
        <v>20</v>
      </c>
      <c r="K33" s="15">
        <v>0.05</v>
      </c>
      <c r="L33" s="16">
        <v>0.62</v>
      </c>
    </row>
    <row r="34" spans="1:12" x14ac:dyDescent="0.25">
      <c r="A34" s="10" t="s">
        <v>20</v>
      </c>
      <c r="B34" s="11" t="s">
        <v>83</v>
      </c>
      <c r="C34" s="11" t="s">
        <v>20</v>
      </c>
      <c r="D34" s="11" t="s">
        <v>84</v>
      </c>
      <c r="E34" s="11" t="s">
        <v>85</v>
      </c>
      <c r="F34" s="12">
        <v>34000000</v>
      </c>
      <c r="G34" s="13">
        <v>62233.599999999999</v>
      </c>
      <c r="H34" s="13">
        <v>0.66</v>
      </c>
      <c r="I34" s="14" t="s">
        <v>20</v>
      </c>
      <c r="J34" s="14" t="s">
        <v>20</v>
      </c>
      <c r="K34" s="15">
        <v>0</v>
      </c>
      <c r="L34" s="16">
        <v>0.66</v>
      </c>
    </row>
    <row r="35" spans="1:12" x14ac:dyDescent="0.25">
      <c r="A35" s="10" t="s">
        <v>20</v>
      </c>
      <c r="B35" s="11" t="s">
        <v>86</v>
      </c>
      <c r="C35" s="11" t="s">
        <v>20</v>
      </c>
      <c r="D35" s="11" t="s">
        <v>87</v>
      </c>
      <c r="E35" s="11" t="s">
        <v>64</v>
      </c>
      <c r="F35" s="12">
        <v>687500</v>
      </c>
      <c r="G35" s="13">
        <v>61501</v>
      </c>
      <c r="H35" s="13">
        <v>0.65</v>
      </c>
      <c r="I35" s="14" t="s">
        <v>20</v>
      </c>
      <c r="J35" s="14" t="s">
        <v>20</v>
      </c>
      <c r="K35" s="15">
        <v>0.65</v>
      </c>
      <c r="L35" s="16">
        <v>0</v>
      </c>
    </row>
    <row r="36" spans="1:12" x14ac:dyDescent="0.25">
      <c r="A36" s="10" t="s">
        <v>20</v>
      </c>
      <c r="B36" s="11" t="s">
        <v>88</v>
      </c>
      <c r="C36" s="11" t="s">
        <v>20</v>
      </c>
      <c r="D36" s="11" t="s">
        <v>89</v>
      </c>
      <c r="E36" s="11" t="s">
        <v>27</v>
      </c>
      <c r="F36" s="12">
        <v>16862867</v>
      </c>
      <c r="G36" s="13">
        <v>60765.34</v>
      </c>
      <c r="H36" s="13">
        <v>0.64</v>
      </c>
      <c r="I36" s="14" t="s">
        <v>20</v>
      </c>
      <c r="J36" s="14" t="s">
        <v>20</v>
      </c>
      <c r="K36" s="15">
        <v>0.03</v>
      </c>
      <c r="L36" s="16">
        <v>0.61</v>
      </c>
    </row>
    <row r="37" spans="1:12" x14ac:dyDescent="0.25">
      <c r="A37" s="10" t="s">
        <v>20</v>
      </c>
      <c r="B37" s="11" t="s">
        <v>90</v>
      </c>
      <c r="C37" s="11" t="s">
        <v>20</v>
      </c>
      <c r="D37" s="11" t="s">
        <v>91</v>
      </c>
      <c r="E37" s="11" t="s">
        <v>64</v>
      </c>
      <c r="F37" s="12">
        <v>2891000</v>
      </c>
      <c r="G37" s="13">
        <v>58032.49</v>
      </c>
      <c r="H37" s="13">
        <v>0.61</v>
      </c>
      <c r="I37" s="14" t="s">
        <v>20</v>
      </c>
      <c r="J37" s="14" t="s">
        <v>20</v>
      </c>
      <c r="K37" s="15">
        <v>0.4</v>
      </c>
      <c r="L37" s="16">
        <v>0.21</v>
      </c>
    </row>
    <row r="38" spans="1:12" x14ac:dyDescent="0.25">
      <c r="A38" s="10" t="s">
        <v>20</v>
      </c>
      <c r="B38" s="11" t="s">
        <v>92</v>
      </c>
      <c r="C38" s="11" t="s">
        <v>20</v>
      </c>
      <c r="D38" s="11" t="s">
        <v>93</v>
      </c>
      <c r="E38" s="11" t="s">
        <v>94</v>
      </c>
      <c r="F38" s="12">
        <v>37085014</v>
      </c>
      <c r="G38" s="13">
        <v>57199.93</v>
      </c>
      <c r="H38" s="13">
        <v>0.6</v>
      </c>
      <c r="I38" s="14" t="s">
        <v>20</v>
      </c>
      <c r="J38" s="14" t="s">
        <v>20</v>
      </c>
      <c r="K38" s="15">
        <v>0.05</v>
      </c>
      <c r="L38" s="16">
        <v>0.55000000000000004</v>
      </c>
    </row>
    <row r="39" spans="1:12" x14ac:dyDescent="0.25">
      <c r="A39" s="10" t="s">
        <v>20</v>
      </c>
      <c r="B39" s="11" t="s">
        <v>95</v>
      </c>
      <c r="C39" s="11" t="s">
        <v>20</v>
      </c>
      <c r="D39" s="11" t="s">
        <v>96</v>
      </c>
      <c r="E39" s="11" t="s">
        <v>97</v>
      </c>
      <c r="F39" s="12">
        <v>3890000</v>
      </c>
      <c r="G39" s="13">
        <v>49846.46</v>
      </c>
      <c r="H39" s="13">
        <v>0.53</v>
      </c>
      <c r="I39" s="14" t="s">
        <v>20</v>
      </c>
      <c r="J39" s="14" t="s">
        <v>20</v>
      </c>
      <c r="K39" s="15">
        <v>0</v>
      </c>
      <c r="L39" s="16">
        <v>0.53</v>
      </c>
    </row>
    <row r="40" spans="1:12" x14ac:dyDescent="0.25">
      <c r="A40" s="10" t="s">
        <v>20</v>
      </c>
      <c r="B40" s="11" t="s">
        <v>98</v>
      </c>
      <c r="C40" s="11" t="s">
        <v>20</v>
      </c>
      <c r="D40" s="11" t="s">
        <v>99</v>
      </c>
      <c r="E40" s="11" t="s">
        <v>100</v>
      </c>
      <c r="F40" s="12">
        <v>23474637</v>
      </c>
      <c r="G40" s="13">
        <v>47348.34</v>
      </c>
      <c r="H40" s="13">
        <v>0.5</v>
      </c>
      <c r="I40" s="14" t="s">
        <v>20</v>
      </c>
      <c r="J40" s="14" t="s">
        <v>20</v>
      </c>
      <c r="K40" s="15">
        <v>0</v>
      </c>
      <c r="L40" s="16">
        <v>0.5</v>
      </c>
    </row>
    <row r="41" spans="1:12" x14ac:dyDescent="0.25">
      <c r="A41" s="10" t="s">
        <v>20</v>
      </c>
      <c r="B41" s="11" t="s">
        <v>101</v>
      </c>
      <c r="C41" s="11" t="s">
        <v>20</v>
      </c>
      <c r="D41" s="11" t="s">
        <v>102</v>
      </c>
      <c r="E41" s="11" t="s">
        <v>22</v>
      </c>
      <c r="F41" s="12">
        <v>6708756</v>
      </c>
      <c r="G41" s="13">
        <v>43596.85</v>
      </c>
      <c r="H41" s="13">
        <v>0.46</v>
      </c>
      <c r="I41" s="14" t="s">
        <v>20</v>
      </c>
      <c r="J41" s="14" t="s">
        <v>20</v>
      </c>
      <c r="K41" s="15">
        <v>0</v>
      </c>
      <c r="L41" s="16">
        <v>0.46</v>
      </c>
    </row>
    <row r="42" spans="1:12" x14ac:dyDescent="0.25">
      <c r="A42" s="10" t="s">
        <v>20</v>
      </c>
      <c r="B42" s="11" t="s">
        <v>103</v>
      </c>
      <c r="C42" s="11" t="s">
        <v>20</v>
      </c>
      <c r="D42" s="11" t="s">
        <v>104</v>
      </c>
      <c r="E42" s="11" t="s">
        <v>97</v>
      </c>
      <c r="F42" s="12">
        <v>1027150</v>
      </c>
      <c r="G42" s="13">
        <v>42908.68</v>
      </c>
      <c r="H42" s="13">
        <v>0.45</v>
      </c>
      <c r="I42" s="14" t="s">
        <v>20</v>
      </c>
      <c r="J42" s="14" t="s">
        <v>20</v>
      </c>
      <c r="K42" s="15">
        <v>0.01</v>
      </c>
      <c r="L42" s="16">
        <v>0.44</v>
      </c>
    </row>
    <row r="43" spans="1:12" x14ac:dyDescent="0.25">
      <c r="A43" s="10" t="s">
        <v>20</v>
      </c>
      <c r="B43" s="11" t="s">
        <v>105</v>
      </c>
      <c r="C43" s="11" t="s">
        <v>20</v>
      </c>
      <c r="D43" s="11" t="s">
        <v>106</v>
      </c>
      <c r="E43" s="11" t="s">
        <v>41</v>
      </c>
      <c r="F43" s="12">
        <v>4300000</v>
      </c>
      <c r="G43" s="13">
        <v>43137.599999999999</v>
      </c>
      <c r="H43" s="13">
        <v>0.45</v>
      </c>
      <c r="I43" s="14" t="s">
        <v>20</v>
      </c>
      <c r="J43" s="14" t="s">
        <v>20</v>
      </c>
      <c r="K43" s="15">
        <v>0</v>
      </c>
      <c r="L43" s="16">
        <v>0.45</v>
      </c>
    </row>
    <row r="44" spans="1:12" x14ac:dyDescent="0.25">
      <c r="A44" s="10" t="s">
        <v>20</v>
      </c>
      <c r="B44" s="11" t="s">
        <v>107</v>
      </c>
      <c r="C44" s="11" t="s">
        <v>20</v>
      </c>
      <c r="D44" s="11" t="s">
        <v>108</v>
      </c>
      <c r="E44" s="11" t="s">
        <v>54</v>
      </c>
      <c r="F44" s="12">
        <v>686861</v>
      </c>
      <c r="G44" s="13">
        <v>39669.31</v>
      </c>
      <c r="H44" s="13">
        <v>0.42</v>
      </c>
      <c r="I44" s="14" t="s">
        <v>20</v>
      </c>
      <c r="J44" s="14" t="s">
        <v>20</v>
      </c>
      <c r="K44" s="15">
        <v>0.01</v>
      </c>
      <c r="L44" s="16">
        <v>0.41</v>
      </c>
    </row>
    <row r="45" spans="1:12" x14ac:dyDescent="0.25">
      <c r="A45" s="10" t="s">
        <v>20</v>
      </c>
      <c r="B45" s="11" t="s">
        <v>109</v>
      </c>
      <c r="C45" s="11" t="s">
        <v>20</v>
      </c>
      <c r="D45" s="11" t="s">
        <v>110</v>
      </c>
      <c r="E45" s="11" t="s">
        <v>111</v>
      </c>
      <c r="F45" s="12">
        <v>9000000</v>
      </c>
      <c r="G45" s="13">
        <v>38344.5</v>
      </c>
      <c r="H45" s="13">
        <v>0.4</v>
      </c>
      <c r="I45" s="14" t="s">
        <v>20</v>
      </c>
      <c r="J45" s="14" t="s">
        <v>20</v>
      </c>
      <c r="K45" s="15">
        <v>0</v>
      </c>
      <c r="L45" s="16">
        <v>0.4</v>
      </c>
    </row>
    <row r="46" spans="1:12" x14ac:dyDescent="0.25">
      <c r="A46" s="10" t="s">
        <v>20</v>
      </c>
      <c r="B46" s="11" t="s">
        <v>112</v>
      </c>
      <c r="C46" s="11" t="s">
        <v>20</v>
      </c>
      <c r="D46" s="11" t="s">
        <v>113</v>
      </c>
      <c r="E46" s="11" t="s">
        <v>22</v>
      </c>
      <c r="F46" s="12">
        <v>7026927</v>
      </c>
      <c r="G46" s="13">
        <v>37565.949999999997</v>
      </c>
      <c r="H46" s="13">
        <v>0.4</v>
      </c>
      <c r="I46" s="14" t="s">
        <v>20</v>
      </c>
      <c r="J46" s="14" t="s">
        <v>20</v>
      </c>
      <c r="K46" s="15">
        <v>0</v>
      </c>
      <c r="L46" s="16">
        <v>0.4</v>
      </c>
    </row>
    <row r="47" spans="1:12" x14ac:dyDescent="0.25">
      <c r="A47" s="10" t="s">
        <v>20</v>
      </c>
      <c r="B47" s="11" t="s">
        <v>114</v>
      </c>
      <c r="C47" s="11" t="s">
        <v>20</v>
      </c>
      <c r="D47" s="11" t="s">
        <v>115</v>
      </c>
      <c r="E47" s="11" t="s">
        <v>54</v>
      </c>
      <c r="F47" s="12">
        <v>2447056</v>
      </c>
      <c r="G47" s="13">
        <v>36752.33</v>
      </c>
      <c r="H47" s="13">
        <v>0.39</v>
      </c>
      <c r="I47" s="14" t="s">
        <v>20</v>
      </c>
      <c r="J47" s="14" t="s">
        <v>20</v>
      </c>
      <c r="K47" s="15">
        <v>0</v>
      </c>
      <c r="L47" s="16">
        <v>0.39</v>
      </c>
    </row>
    <row r="48" spans="1:12" x14ac:dyDescent="0.25">
      <c r="A48" s="10" t="s">
        <v>20</v>
      </c>
      <c r="B48" s="11" t="s">
        <v>116</v>
      </c>
      <c r="C48" s="11" t="s">
        <v>20</v>
      </c>
      <c r="D48" s="11" t="s">
        <v>117</v>
      </c>
      <c r="E48" s="11" t="s">
        <v>118</v>
      </c>
      <c r="F48" s="12">
        <v>1071533</v>
      </c>
      <c r="G48" s="13">
        <v>34498.54</v>
      </c>
      <c r="H48" s="13">
        <v>0.36</v>
      </c>
      <c r="I48" s="14" t="s">
        <v>20</v>
      </c>
      <c r="J48" s="14" t="s">
        <v>20</v>
      </c>
      <c r="K48" s="15">
        <v>0</v>
      </c>
      <c r="L48" s="16">
        <v>0.36</v>
      </c>
    </row>
    <row r="49" spans="1:12" x14ac:dyDescent="0.25">
      <c r="A49" s="10" t="s">
        <v>20</v>
      </c>
      <c r="B49" s="11" t="s">
        <v>119</v>
      </c>
      <c r="C49" s="11" t="s">
        <v>20</v>
      </c>
      <c r="D49" s="11" t="s">
        <v>120</v>
      </c>
      <c r="E49" s="11" t="s">
        <v>54</v>
      </c>
      <c r="F49" s="12">
        <v>2891712</v>
      </c>
      <c r="G49" s="13">
        <v>33558.32</v>
      </c>
      <c r="H49" s="13">
        <v>0.35</v>
      </c>
      <c r="I49" s="14" t="s">
        <v>20</v>
      </c>
      <c r="J49" s="14" t="s">
        <v>20</v>
      </c>
      <c r="K49" s="15">
        <v>0.02</v>
      </c>
      <c r="L49" s="16">
        <v>0.33</v>
      </c>
    </row>
    <row r="50" spans="1:12" x14ac:dyDescent="0.25">
      <c r="A50" s="10" t="s">
        <v>20</v>
      </c>
      <c r="B50" s="11" t="s">
        <v>121</v>
      </c>
      <c r="C50" s="11" t="s">
        <v>20</v>
      </c>
      <c r="D50" s="11" t="s">
        <v>122</v>
      </c>
      <c r="E50" s="11" t="s">
        <v>123</v>
      </c>
      <c r="F50" s="12">
        <v>13409626</v>
      </c>
      <c r="G50" s="13">
        <v>33038.639999999999</v>
      </c>
      <c r="H50" s="13">
        <v>0.35</v>
      </c>
      <c r="I50" s="14" t="s">
        <v>20</v>
      </c>
      <c r="J50" s="14" t="s">
        <v>20</v>
      </c>
      <c r="K50" s="15">
        <v>0.01</v>
      </c>
      <c r="L50" s="16">
        <v>0.34</v>
      </c>
    </row>
    <row r="51" spans="1:12" x14ac:dyDescent="0.25">
      <c r="A51" s="10" t="s">
        <v>20</v>
      </c>
      <c r="B51" s="11" t="s">
        <v>124</v>
      </c>
      <c r="C51" s="11" t="s">
        <v>20</v>
      </c>
      <c r="D51" s="11" t="s">
        <v>125</v>
      </c>
      <c r="E51" s="11" t="s">
        <v>126</v>
      </c>
      <c r="F51" s="12">
        <v>4200000</v>
      </c>
      <c r="G51" s="13">
        <v>33442.5</v>
      </c>
      <c r="H51" s="13">
        <v>0.35</v>
      </c>
      <c r="I51" s="14" t="s">
        <v>20</v>
      </c>
      <c r="J51" s="14" t="s">
        <v>20</v>
      </c>
      <c r="K51" s="15">
        <v>0</v>
      </c>
      <c r="L51" s="16">
        <v>0.35</v>
      </c>
    </row>
    <row r="52" spans="1:12" x14ac:dyDescent="0.25">
      <c r="A52" s="10" t="s">
        <v>20</v>
      </c>
      <c r="B52" s="11" t="s">
        <v>127</v>
      </c>
      <c r="C52" s="11" t="s">
        <v>20</v>
      </c>
      <c r="D52" s="11" t="s">
        <v>128</v>
      </c>
      <c r="E52" s="11" t="s">
        <v>129</v>
      </c>
      <c r="F52" s="12">
        <v>570000</v>
      </c>
      <c r="G52" s="13">
        <v>31577.72</v>
      </c>
      <c r="H52" s="13">
        <v>0.33</v>
      </c>
      <c r="I52" s="14" t="s">
        <v>20</v>
      </c>
      <c r="J52" s="14" t="s">
        <v>20</v>
      </c>
      <c r="K52" s="15">
        <v>0</v>
      </c>
      <c r="L52" s="16">
        <v>0.33</v>
      </c>
    </row>
    <row r="53" spans="1:12" x14ac:dyDescent="0.25">
      <c r="A53" s="10" t="s">
        <v>20</v>
      </c>
      <c r="B53" s="11" t="s">
        <v>130</v>
      </c>
      <c r="C53" s="11" t="s">
        <v>20</v>
      </c>
      <c r="D53" s="11" t="s">
        <v>131</v>
      </c>
      <c r="E53" s="11" t="s">
        <v>59</v>
      </c>
      <c r="F53" s="12">
        <v>391861</v>
      </c>
      <c r="G53" s="13">
        <v>30874.14</v>
      </c>
      <c r="H53" s="13">
        <v>0.33</v>
      </c>
      <c r="I53" s="14" t="s">
        <v>20</v>
      </c>
      <c r="J53" s="14" t="s">
        <v>20</v>
      </c>
      <c r="K53" s="15">
        <v>0</v>
      </c>
      <c r="L53" s="16">
        <v>0.33</v>
      </c>
    </row>
    <row r="54" spans="1:12" x14ac:dyDescent="0.25">
      <c r="A54" s="10" t="s">
        <v>20</v>
      </c>
      <c r="B54" s="11" t="s">
        <v>132</v>
      </c>
      <c r="C54" s="11" t="s">
        <v>20</v>
      </c>
      <c r="D54" s="11" t="s">
        <v>133</v>
      </c>
      <c r="E54" s="11" t="s">
        <v>134</v>
      </c>
      <c r="F54" s="12">
        <v>23000000</v>
      </c>
      <c r="G54" s="13">
        <v>31760.7</v>
      </c>
      <c r="H54" s="13">
        <v>0.33</v>
      </c>
      <c r="I54" s="14" t="s">
        <v>20</v>
      </c>
      <c r="J54" s="14" t="s">
        <v>20</v>
      </c>
      <c r="K54" s="15">
        <v>0</v>
      </c>
      <c r="L54" s="16">
        <v>0.33</v>
      </c>
    </row>
    <row r="55" spans="1:12" x14ac:dyDescent="0.25">
      <c r="A55" s="10" t="s">
        <v>20</v>
      </c>
      <c r="B55" s="11" t="s">
        <v>135</v>
      </c>
      <c r="C55" s="11" t="s">
        <v>20</v>
      </c>
      <c r="D55" s="11" t="s">
        <v>136</v>
      </c>
      <c r="E55" s="11" t="s">
        <v>30</v>
      </c>
      <c r="F55" s="12">
        <v>4433175</v>
      </c>
      <c r="G55" s="13">
        <v>31065.47</v>
      </c>
      <c r="H55" s="13">
        <v>0.33</v>
      </c>
      <c r="I55" s="14" t="s">
        <v>20</v>
      </c>
      <c r="J55" s="14" t="s">
        <v>20</v>
      </c>
      <c r="K55" s="15">
        <v>0</v>
      </c>
      <c r="L55" s="16">
        <v>0.33</v>
      </c>
    </row>
    <row r="56" spans="1:12" x14ac:dyDescent="0.25">
      <c r="A56" s="10" t="s">
        <v>20</v>
      </c>
      <c r="B56" s="11" t="s">
        <v>137</v>
      </c>
      <c r="C56" s="11" t="s">
        <v>20</v>
      </c>
      <c r="D56" s="11" t="s">
        <v>138</v>
      </c>
      <c r="E56" s="11" t="s">
        <v>41</v>
      </c>
      <c r="F56" s="12">
        <v>4957308</v>
      </c>
      <c r="G56" s="13">
        <v>31449.16</v>
      </c>
      <c r="H56" s="13">
        <v>0.33</v>
      </c>
      <c r="I56" s="14" t="s">
        <v>20</v>
      </c>
      <c r="J56" s="14" t="s">
        <v>20</v>
      </c>
      <c r="K56" s="15">
        <v>0</v>
      </c>
      <c r="L56" s="16">
        <v>0.33</v>
      </c>
    </row>
    <row r="57" spans="1:12" x14ac:dyDescent="0.25">
      <c r="A57" s="10" t="s">
        <v>20</v>
      </c>
      <c r="B57" s="11" t="s">
        <v>139</v>
      </c>
      <c r="C57" s="11" t="s">
        <v>20</v>
      </c>
      <c r="D57" s="11" t="s">
        <v>140</v>
      </c>
      <c r="E57" s="11" t="s">
        <v>38</v>
      </c>
      <c r="F57" s="12">
        <v>3488831</v>
      </c>
      <c r="G57" s="13">
        <v>30422.61</v>
      </c>
      <c r="H57" s="13">
        <v>0.32</v>
      </c>
      <c r="I57" s="14" t="s">
        <v>20</v>
      </c>
      <c r="J57" s="14" t="s">
        <v>20</v>
      </c>
      <c r="K57" s="15">
        <v>0</v>
      </c>
      <c r="L57" s="16">
        <v>0.32</v>
      </c>
    </row>
    <row r="58" spans="1:12" x14ac:dyDescent="0.25">
      <c r="A58" s="10" t="s">
        <v>20</v>
      </c>
      <c r="B58" s="11" t="s">
        <v>141</v>
      </c>
      <c r="C58" s="11" t="s">
        <v>20</v>
      </c>
      <c r="D58" s="11" t="s">
        <v>142</v>
      </c>
      <c r="E58" s="11" t="s">
        <v>49</v>
      </c>
      <c r="F58" s="12">
        <v>1322419</v>
      </c>
      <c r="G58" s="13">
        <v>29871.46</v>
      </c>
      <c r="H58" s="13">
        <v>0.32</v>
      </c>
      <c r="I58" s="14" t="s">
        <v>20</v>
      </c>
      <c r="J58" s="14" t="s">
        <v>20</v>
      </c>
      <c r="K58" s="15">
        <v>0.05</v>
      </c>
      <c r="L58" s="16">
        <v>0.27</v>
      </c>
    </row>
    <row r="59" spans="1:12" x14ac:dyDescent="0.25">
      <c r="A59" s="10" t="s">
        <v>20</v>
      </c>
      <c r="B59" s="11" t="s">
        <v>143</v>
      </c>
      <c r="C59" s="11" t="s">
        <v>20</v>
      </c>
      <c r="D59" s="11" t="s">
        <v>144</v>
      </c>
      <c r="E59" s="11" t="s">
        <v>94</v>
      </c>
      <c r="F59" s="12">
        <v>3313806</v>
      </c>
      <c r="G59" s="13">
        <v>30231.85</v>
      </c>
      <c r="H59" s="13">
        <v>0.32</v>
      </c>
      <c r="I59" s="14" t="s">
        <v>20</v>
      </c>
      <c r="J59" s="14" t="s">
        <v>20</v>
      </c>
      <c r="K59" s="15">
        <v>0.01</v>
      </c>
      <c r="L59" s="16">
        <v>0.31</v>
      </c>
    </row>
    <row r="60" spans="1:12" x14ac:dyDescent="0.25">
      <c r="A60" s="10" t="s">
        <v>20</v>
      </c>
      <c r="B60" s="11" t="s">
        <v>145</v>
      </c>
      <c r="C60" s="11" t="s">
        <v>20</v>
      </c>
      <c r="D60" s="11" t="s">
        <v>146</v>
      </c>
      <c r="E60" s="11" t="s">
        <v>41</v>
      </c>
      <c r="F60" s="12">
        <v>14834080</v>
      </c>
      <c r="G60" s="13">
        <v>28557.09</v>
      </c>
      <c r="H60" s="13">
        <v>0.3</v>
      </c>
      <c r="I60" s="14" t="s">
        <v>20</v>
      </c>
      <c r="J60" s="14" t="s">
        <v>20</v>
      </c>
      <c r="K60" s="15">
        <v>0</v>
      </c>
      <c r="L60" s="16">
        <v>0.3</v>
      </c>
    </row>
    <row r="61" spans="1:12" x14ac:dyDescent="0.25">
      <c r="A61" s="10" t="s">
        <v>20</v>
      </c>
      <c r="B61" s="11" t="s">
        <v>147</v>
      </c>
      <c r="C61" s="11" t="s">
        <v>20</v>
      </c>
      <c r="D61" s="11" t="s">
        <v>148</v>
      </c>
      <c r="E61" s="11" t="s">
        <v>149</v>
      </c>
      <c r="F61" s="12">
        <v>6278237</v>
      </c>
      <c r="G61" s="13">
        <v>26578.92</v>
      </c>
      <c r="H61" s="13">
        <v>0.28000000000000003</v>
      </c>
      <c r="I61" s="14" t="s">
        <v>20</v>
      </c>
      <c r="J61" s="14" t="s">
        <v>20</v>
      </c>
      <c r="K61" s="15">
        <v>0</v>
      </c>
      <c r="L61" s="16">
        <v>0.28000000000000003</v>
      </c>
    </row>
    <row r="62" spans="1:12" x14ac:dyDescent="0.25">
      <c r="A62" s="10" t="s">
        <v>20</v>
      </c>
      <c r="B62" s="11" t="s">
        <v>150</v>
      </c>
      <c r="C62" s="11" t="s">
        <v>20</v>
      </c>
      <c r="D62" s="11" t="s">
        <v>151</v>
      </c>
      <c r="E62" s="11" t="s">
        <v>152</v>
      </c>
      <c r="F62" s="12">
        <v>500844</v>
      </c>
      <c r="G62" s="13">
        <v>24726.17</v>
      </c>
      <c r="H62" s="13">
        <v>0.26</v>
      </c>
      <c r="I62" s="14" t="s">
        <v>20</v>
      </c>
      <c r="J62" s="14" t="s">
        <v>20</v>
      </c>
      <c r="K62" s="15">
        <v>0</v>
      </c>
      <c r="L62" s="16">
        <v>0.26</v>
      </c>
    </row>
    <row r="63" spans="1:12" x14ac:dyDescent="0.25">
      <c r="A63" s="10" t="s">
        <v>20</v>
      </c>
      <c r="B63" s="11" t="s">
        <v>153</v>
      </c>
      <c r="C63" s="11" t="s">
        <v>20</v>
      </c>
      <c r="D63" s="11" t="s">
        <v>154</v>
      </c>
      <c r="E63" s="11" t="s">
        <v>38</v>
      </c>
      <c r="F63" s="12">
        <v>29879361</v>
      </c>
      <c r="G63" s="13">
        <v>24560.83</v>
      </c>
      <c r="H63" s="13">
        <v>0.26</v>
      </c>
      <c r="I63" s="14" t="s">
        <v>20</v>
      </c>
      <c r="J63" s="14" t="s">
        <v>20</v>
      </c>
      <c r="K63" s="15">
        <v>0</v>
      </c>
      <c r="L63" s="16">
        <v>0.26</v>
      </c>
    </row>
    <row r="64" spans="1:12" x14ac:dyDescent="0.25">
      <c r="A64" s="10" t="s">
        <v>20</v>
      </c>
      <c r="B64" s="11" t="s">
        <v>155</v>
      </c>
      <c r="C64" s="11" t="s">
        <v>20</v>
      </c>
      <c r="D64" s="11" t="s">
        <v>156</v>
      </c>
      <c r="E64" s="11" t="s">
        <v>157</v>
      </c>
      <c r="F64" s="12">
        <v>6000000</v>
      </c>
      <c r="G64" s="13">
        <v>25062</v>
      </c>
      <c r="H64" s="13">
        <v>0.26</v>
      </c>
      <c r="I64" s="14" t="s">
        <v>20</v>
      </c>
      <c r="J64" s="14" t="s">
        <v>20</v>
      </c>
      <c r="K64" s="15">
        <v>0</v>
      </c>
      <c r="L64" s="16">
        <v>0.26</v>
      </c>
    </row>
    <row r="65" spans="1:12" x14ac:dyDescent="0.25">
      <c r="A65" s="10" t="s">
        <v>20</v>
      </c>
      <c r="B65" s="11" t="s">
        <v>158</v>
      </c>
      <c r="C65" s="11" t="s">
        <v>20</v>
      </c>
      <c r="D65" s="11" t="s">
        <v>159</v>
      </c>
      <c r="E65" s="11" t="s">
        <v>54</v>
      </c>
      <c r="F65" s="12">
        <v>1657318</v>
      </c>
      <c r="G65" s="13">
        <v>23901.84</v>
      </c>
      <c r="H65" s="13">
        <v>0.25</v>
      </c>
      <c r="I65" s="14" t="s">
        <v>20</v>
      </c>
      <c r="J65" s="14" t="s">
        <v>20</v>
      </c>
      <c r="K65" s="15">
        <v>0.1</v>
      </c>
      <c r="L65" s="16">
        <v>0.15</v>
      </c>
    </row>
    <row r="66" spans="1:12" x14ac:dyDescent="0.25">
      <c r="A66" s="10" t="s">
        <v>20</v>
      </c>
      <c r="B66" s="11" t="s">
        <v>160</v>
      </c>
      <c r="C66" s="11" t="s">
        <v>20</v>
      </c>
      <c r="D66" s="11" t="s">
        <v>161</v>
      </c>
      <c r="E66" s="11" t="s">
        <v>134</v>
      </c>
      <c r="F66" s="12">
        <v>1894431</v>
      </c>
      <c r="G66" s="13">
        <v>22410.17</v>
      </c>
      <c r="H66" s="13">
        <v>0.24</v>
      </c>
      <c r="I66" s="14" t="s">
        <v>20</v>
      </c>
      <c r="J66" s="14" t="s">
        <v>20</v>
      </c>
      <c r="K66" s="15">
        <v>0.21</v>
      </c>
      <c r="L66" s="16">
        <v>0.03</v>
      </c>
    </row>
    <row r="67" spans="1:12" x14ac:dyDescent="0.25">
      <c r="A67" s="10" t="s">
        <v>20</v>
      </c>
      <c r="B67" s="11" t="s">
        <v>162</v>
      </c>
      <c r="C67" s="11" t="s">
        <v>20</v>
      </c>
      <c r="D67" s="11" t="s">
        <v>163</v>
      </c>
      <c r="E67" s="11" t="s">
        <v>97</v>
      </c>
      <c r="F67" s="12">
        <v>8388984</v>
      </c>
      <c r="G67" s="13">
        <v>22808.81</v>
      </c>
      <c r="H67" s="13">
        <v>0.24</v>
      </c>
      <c r="I67" s="14" t="s">
        <v>20</v>
      </c>
      <c r="J67" s="14" t="s">
        <v>20</v>
      </c>
      <c r="K67" s="15">
        <v>0</v>
      </c>
      <c r="L67" s="16">
        <v>0.24</v>
      </c>
    </row>
    <row r="68" spans="1:12" x14ac:dyDescent="0.25">
      <c r="A68" s="10" t="s">
        <v>20</v>
      </c>
      <c r="B68" s="11" t="s">
        <v>164</v>
      </c>
      <c r="C68" s="11" t="s">
        <v>20</v>
      </c>
      <c r="D68" s="11" t="s">
        <v>165</v>
      </c>
      <c r="E68" s="11" t="s">
        <v>111</v>
      </c>
      <c r="F68" s="12">
        <v>1869073</v>
      </c>
      <c r="G68" s="13">
        <v>21852.27</v>
      </c>
      <c r="H68" s="13">
        <v>0.23</v>
      </c>
      <c r="I68" s="14" t="s">
        <v>20</v>
      </c>
      <c r="J68" s="14" t="s">
        <v>20</v>
      </c>
      <c r="K68" s="15">
        <v>0</v>
      </c>
      <c r="L68" s="16">
        <v>0.23</v>
      </c>
    </row>
    <row r="69" spans="1:12" x14ac:dyDescent="0.25">
      <c r="A69" s="10" t="s">
        <v>20</v>
      </c>
      <c r="B69" s="11" t="s">
        <v>166</v>
      </c>
      <c r="C69" s="11" t="s">
        <v>20</v>
      </c>
      <c r="D69" s="11" t="s">
        <v>167</v>
      </c>
      <c r="E69" s="11" t="s">
        <v>126</v>
      </c>
      <c r="F69" s="12">
        <v>351859</v>
      </c>
      <c r="G69" s="13">
        <v>21859.94</v>
      </c>
      <c r="H69" s="13">
        <v>0.23</v>
      </c>
      <c r="I69" s="14" t="s">
        <v>20</v>
      </c>
      <c r="J69" s="14" t="s">
        <v>20</v>
      </c>
      <c r="K69" s="15">
        <v>0</v>
      </c>
      <c r="L69" s="16">
        <v>0.23</v>
      </c>
    </row>
    <row r="70" spans="1:12" x14ac:dyDescent="0.25">
      <c r="A70" s="10" t="s">
        <v>20</v>
      </c>
      <c r="B70" s="11" t="s">
        <v>168</v>
      </c>
      <c r="C70" s="11" t="s">
        <v>20</v>
      </c>
      <c r="D70" s="11" t="s">
        <v>169</v>
      </c>
      <c r="E70" s="11" t="s">
        <v>170</v>
      </c>
      <c r="F70" s="12">
        <v>1035100</v>
      </c>
      <c r="G70" s="13">
        <v>22043.49</v>
      </c>
      <c r="H70" s="13">
        <v>0.23</v>
      </c>
      <c r="I70" s="14" t="s">
        <v>20</v>
      </c>
      <c r="J70" s="14" t="s">
        <v>20</v>
      </c>
      <c r="K70" s="15">
        <v>0.01</v>
      </c>
      <c r="L70" s="16">
        <v>0.22</v>
      </c>
    </row>
    <row r="71" spans="1:12" x14ac:dyDescent="0.25">
      <c r="A71" s="10" t="s">
        <v>20</v>
      </c>
      <c r="B71" s="11" t="s">
        <v>171</v>
      </c>
      <c r="C71" s="11" t="s">
        <v>20</v>
      </c>
      <c r="D71" s="11" t="s">
        <v>172</v>
      </c>
      <c r="E71" s="11" t="s">
        <v>126</v>
      </c>
      <c r="F71" s="12">
        <v>137268</v>
      </c>
      <c r="G71" s="13">
        <v>21942.7</v>
      </c>
      <c r="H71" s="13">
        <v>0.23</v>
      </c>
      <c r="I71" s="14" t="s">
        <v>20</v>
      </c>
      <c r="J71" s="14" t="s">
        <v>20</v>
      </c>
      <c r="K71" s="15">
        <v>0</v>
      </c>
      <c r="L71" s="16">
        <v>0.23</v>
      </c>
    </row>
    <row r="72" spans="1:12" x14ac:dyDescent="0.25">
      <c r="A72" s="10" t="s">
        <v>20</v>
      </c>
      <c r="B72" s="11" t="s">
        <v>173</v>
      </c>
      <c r="C72" s="11" t="s">
        <v>20</v>
      </c>
      <c r="D72" s="11" t="s">
        <v>174</v>
      </c>
      <c r="E72" s="11" t="s">
        <v>59</v>
      </c>
      <c r="F72" s="12">
        <v>3060906</v>
      </c>
      <c r="G72" s="13">
        <v>20644.28</v>
      </c>
      <c r="H72" s="13">
        <v>0.22</v>
      </c>
      <c r="I72" s="14" t="s">
        <v>20</v>
      </c>
      <c r="J72" s="14" t="s">
        <v>20</v>
      </c>
      <c r="K72" s="15">
        <v>0.01</v>
      </c>
      <c r="L72" s="16">
        <v>0.21</v>
      </c>
    </row>
    <row r="73" spans="1:12" x14ac:dyDescent="0.25">
      <c r="A73" s="10" t="s">
        <v>20</v>
      </c>
      <c r="B73" s="11" t="s">
        <v>175</v>
      </c>
      <c r="C73" s="11" t="s">
        <v>20</v>
      </c>
      <c r="D73" s="11" t="s">
        <v>176</v>
      </c>
      <c r="E73" s="11" t="s">
        <v>177</v>
      </c>
      <c r="F73" s="12">
        <v>1456357</v>
      </c>
      <c r="G73" s="13">
        <v>20407.93</v>
      </c>
      <c r="H73" s="13">
        <v>0.22</v>
      </c>
      <c r="I73" s="14" t="s">
        <v>20</v>
      </c>
      <c r="J73" s="14" t="s">
        <v>20</v>
      </c>
      <c r="K73" s="15">
        <v>0</v>
      </c>
      <c r="L73" s="16">
        <v>0.21</v>
      </c>
    </row>
    <row r="74" spans="1:12" x14ac:dyDescent="0.25">
      <c r="A74" s="10" t="s">
        <v>20</v>
      </c>
      <c r="B74" s="11" t="s">
        <v>178</v>
      </c>
      <c r="C74" s="11" t="s">
        <v>20</v>
      </c>
      <c r="D74" s="11" t="s">
        <v>179</v>
      </c>
      <c r="E74" s="11" t="s">
        <v>38</v>
      </c>
      <c r="F74" s="12">
        <v>12780789</v>
      </c>
      <c r="G74" s="13">
        <v>19664.52</v>
      </c>
      <c r="H74" s="13">
        <v>0.21</v>
      </c>
      <c r="I74" s="14" t="s">
        <v>20</v>
      </c>
      <c r="J74" s="14" t="s">
        <v>20</v>
      </c>
      <c r="K74" s="15">
        <v>0</v>
      </c>
      <c r="L74" s="16">
        <v>0.21</v>
      </c>
    </row>
    <row r="75" spans="1:12" x14ac:dyDescent="0.25">
      <c r="A75" s="10" t="s">
        <v>20</v>
      </c>
      <c r="B75" s="11" t="s">
        <v>180</v>
      </c>
      <c r="C75" s="11" t="s">
        <v>20</v>
      </c>
      <c r="D75" s="11" t="s">
        <v>181</v>
      </c>
      <c r="E75" s="11" t="s">
        <v>97</v>
      </c>
      <c r="F75" s="12">
        <v>1200000</v>
      </c>
      <c r="G75" s="13">
        <v>20228.400000000001</v>
      </c>
      <c r="H75" s="13">
        <v>0.21</v>
      </c>
      <c r="I75" s="14" t="s">
        <v>20</v>
      </c>
      <c r="J75" s="14" t="s">
        <v>20</v>
      </c>
      <c r="K75" s="15">
        <v>0</v>
      </c>
      <c r="L75" s="16">
        <v>0.21</v>
      </c>
    </row>
    <row r="76" spans="1:12" x14ac:dyDescent="0.25">
      <c r="A76" s="10" t="s">
        <v>20</v>
      </c>
      <c r="B76" s="11" t="s">
        <v>182</v>
      </c>
      <c r="C76" s="11" t="s">
        <v>20</v>
      </c>
      <c r="D76" s="11" t="s">
        <v>183</v>
      </c>
      <c r="E76" s="11" t="s">
        <v>73</v>
      </c>
      <c r="F76" s="12">
        <v>2790766</v>
      </c>
      <c r="G76" s="13">
        <v>19136.28</v>
      </c>
      <c r="H76" s="13">
        <v>0.2</v>
      </c>
      <c r="I76" s="14" t="s">
        <v>20</v>
      </c>
      <c r="J76" s="14" t="s">
        <v>20</v>
      </c>
      <c r="K76" s="15">
        <v>0.06</v>
      </c>
      <c r="L76" s="16">
        <v>0.14000000000000001</v>
      </c>
    </row>
    <row r="77" spans="1:12" x14ac:dyDescent="0.25">
      <c r="A77" s="10" t="s">
        <v>20</v>
      </c>
      <c r="B77" s="11" t="s">
        <v>184</v>
      </c>
      <c r="C77" s="11" t="s">
        <v>20</v>
      </c>
      <c r="D77" s="11" t="s">
        <v>185</v>
      </c>
      <c r="E77" s="11" t="s">
        <v>41</v>
      </c>
      <c r="F77" s="12">
        <v>1946606</v>
      </c>
      <c r="G77" s="13">
        <v>18969.68</v>
      </c>
      <c r="H77" s="13">
        <v>0.2</v>
      </c>
      <c r="I77" s="14" t="s">
        <v>20</v>
      </c>
      <c r="J77" s="14" t="s">
        <v>20</v>
      </c>
      <c r="K77" s="15">
        <v>0</v>
      </c>
      <c r="L77" s="16">
        <v>0.2</v>
      </c>
    </row>
    <row r="78" spans="1:12" x14ac:dyDescent="0.25">
      <c r="A78" s="10" t="s">
        <v>20</v>
      </c>
      <c r="B78" s="11" t="s">
        <v>186</v>
      </c>
      <c r="C78" s="11" t="s">
        <v>20</v>
      </c>
      <c r="D78" s="11" t="s">
        <v>187</v>
      </c>
      <c r="E78" s="11" t="s">
        <v>126</v>
      </c>
      <c r="F78" s="12">
        <v>1274336</v>
      </c>
      <c r="G78" s="13">
        <v>18805.38</v>
      </c>
      <c r="H78" s="13">
        <v>0.2</v>
      </c>
      <c r="I78" s="14" t="s">
        <v>20</v>
      </c>
      <c r="J78" s="14" t="s">
        <v>20</v>
      </c>
      <c r="K78" s="15">
        <v>0</v>
      </c>
      <c r="L78" s="16">
        <v>0.2</v>
      </c>
    </row>
    <row r="79" spans="1:12" x14ac:dyDescent="0.25">
      <c r="A79" s="10" t="s">
        <v>20</v>
      </c>
      <c r="B79" s="11" t="s">
        <v>188</v>
      </c>
      <c r="C79" s="11" t="s">
        <v>20</v>
      </c>
      <c r="D79" s="11" t="s">
        <v>189</v>
      </c>
      <c r="E79" s="11" t="s">
        <v>190</v>
      </c>
      <c r="F79" s="12">
        <v>3218356</v>
      </c>
      <c r="G79" s="13">
        <v>17326.02</v>
      </c>
      <c r="H79" s="13">
        <v>0.18</v>
      </c>
      <c r="I79" s="14" t="s">
        <v>20</v>
      </c>
      <c r="J79" s="14" t="s">
        <v>20</v>
      </c>
      <c r="K79" s="15">
        <v>0.03</v>
      </c>
      <c r="L79" s="16">
        <v>0.16</v>
      </c>
    </row>
    <row r="80" spans="1:12" x14ac:dyDescent="0.25">
      <c r="A80" s="10" t="s">
        <v>20</v>
      </c>
      <c r="B80" s="11" t="s">
        <v>191</v>
      </c>
      <c r="C80" s="11" t="s">
        <v>20</v>
      </c>
      <c r="D80" s="11" t="s">
        <v>192</v>
      </c>
      <c r="E80" s="11" t="s">
        <v>73</v>
      </c>
      <c r="F80" s="12">
        <v>2107485</v>
      </c>
      <c r="G80" s="13">
        <v>16847.240000000002</v>
      </c>
      <c r="H80" s="13">
        <v>0.18</v>
      </c>
      <c r="I80" s="14" t="s">
        <v>20</v>
      </c>
      <c r="J80" s="14" t="s">
        <v>20</v>
      </c>
      <c r="K80" s="15">
        <v>0</v>
      </c>
      <c r="L80" s="16">
        <v>0.18</v>
      </c>
    </row>
    <row r="81" spans="1:12" x14ac:dyDescent="0.25">
      <c r="A81" s="10" t="s">
        <v>20</v>
      </c>
      <c r="B81" s="11" t="s">
        <v>193</v>
      </c>
      <c r="C81" s="11" t="s">
        <v>20</v>
      </c>
      <c r="D81" s="11" t="s">
        <v>194</v>
      </c>
      <c r="E81" s="11" t="s">
        <v>27</v>
      </c>
      <c r="F81" s="12">
        <v>4486192</v>
      </c>
      <c r="G81" s="13">
        <v>16540.59</v>
      </c>
      <c r="H81" s="13">
        <v>0.17</v>
      </c>
      <c r="I81" s="14" t="s">
        <v>20</v>
      </c>
      <c r="J81" s="14" t="s">
        <v>20</v>
      </c>
      <c r="K81" s="15">
        <v>0</v>
      </c>
      <c r="L81" s="16">
        <v>0.17</v>
      </c>
    </row>
    <row r="82" spans="1:12" x14ac:dyDescent="0.25">
      <c r="A82" s="10" t="s">
        <v>20</v>
      </c>
      <c r="B82" s="11" t="s">
        <v>195</v>
      </c>
      <c r="C82" s="11" t="s">
        <v>20</v>
      </c>
      <c r="D82" s="11" t="s">
        <v>196</v>
      </c>
      <c r="E82" s="11" t="s">
        <v>64</v>
      </c>
      <c r="F82" s="12">
        <v>1877975</v>
      </c>
      <c r="G82" s="13">
        <v>16546.84</v>
      </c>
      <c r="H82" s="13">
        <v>0.17</v>
      </c>
      <c r="I82" s="14" t="s">
        <v>20</v>
      </c>
      <c r="J82" s="14" t="s">
        <v>20</v>
      </c>
      <c r="K82" s="15">
        <v>0</v>
      </c>
      <c r="L82" s="16">
        <v>0.17</v>
      </c>
    </row>
    <row r="83" spans="1:12" x14ac:dyDescent="0.25">
      <c r="A83" s="10" t="s">
        <v>20</v>
      </c>
      <c r="B83" s="11" t="s">
        <v>197</v>
      </c>
      <c r="C83" s="11" t="s">
        <v>20</v>
      </c>
      <c r="D83" s="11" t="s">
        <v>198</v>
      </c>
      <c r="E83" s="11" t="s">
        <v>100</v>
      </c>
      <c r="F83" s="12">
        <v>304735</v>
      </c>
      <c r="G83" s="13">
        <v>16227.6</v>
      </c>
      <c r="H83" s="13">
        <v>0.17</v>
      </c>
      <c r="I83" s="14" t="s">
        <v>20</v>
      </c>
      <c r="J83" s="14" t="s">
        <v>20</v>
      </c>
      <c r="K83" s="15">
        <v>0</v>
      </c>
      <c r="L83" s="16">
        <v>0.17</v>
      </c>
    </row>
    <row r="84" spans="1:12" x14ac:dyDescent="0.25">
      <c r="A84" s="10" t="s">
        <v>20</v>
      </c>
      <c r="B84" s="11" t="s">
        <v>199</v>
      </c>
      <c r="C84" s="11" t="s">
        <v>20</v>
      </c>
      <c r="D84" s="11" t="s">
        <v>200</v>
      </c>
      <c r="E84" s="11" t="s">
        <v>201</v>
      </c>
      <c r="F84" s="12">
        <v>462875</v>
      </c>
      <c r="G84" s="13">
        <v>14179.48</v>
      </c>
      <c r="H84" s="13">
        <v>0.15</v>
      </c>
      <c r="I84" s="14" t="s">
        <v>20</v>
      </c>
      <c r="J84" s="14" t="s">
        <v>20</v>
      </c>
      <c r="K84" s="15">
        <v>0.15</v>
      </c>
      <c r="L84" s="16">
        <v>0</v>
      </c>
    </row>
    <row r="85" spans="1:12" x14ac:dyDescent="0.25">
      <c r="A85" s="10" t="s">
        <v>20</v>
      </c>
      <c r="B85" s="11" t="s">
        <v>202</v>
      </c>
      <c r="C85" s="11" t="s">
        <v>20</v>
      </c>
      <c r="D85" s="11" t="s">
        <v>203</v>
      </c>
      <c r="E85" s="11" t="s">
        <v>54</v>
      </c>
      <c r="F85" s="12">
        <v>863043</v>
      </c>
      <c r="G85" s="13">
        <v>13299.92</v>
      </c>
      <c r="H85" s="13">
        <v>0.14000000000000001</v>
      </c>
      <c r="I85" s="14" t="s">
        <v>20</v>
      </c>
      <c r="J85" s="14" t="s">
        <v>20</v>
      </c>
      <c r="K85" s="15">
        <v>0.01</v>
      </c>
      <c r="L85" s="16">
        <v>0.13</v>
      </c>
    </row>
    <row r="86" spans="1:12" x14ac:dyDescent="0.25">
      <c r="A86" s="10" t="s">
        <v>20</v>
      </c>
      <c r="B86" s="11" t="s">
        <v>204</v>
      </c>
      <c r="C86" s="11" t="s">
        <v>20</v>
      </c>
      <c r="D86" s="11" t="s">
        <v>205</v>
      </c>
      <c r="E86" s="11" t="s">
        <v>85</v>
      </c>
      <c r="F86" s="12">
        <v>6502880</v>
      </c>
      <c r="G86" s="13">
        <v>13208.65</v>
      </c>
      <c r="H86" s="13">
        <v>0.14000000000000001</v>
      </c>
      <c r="I86" s="14" t="s">
        <v>20</v>
      </c>
      <c r="J86" s="14" t="s">
        <v>20</v>
      </c>
      <c r="K86" s="15">
        <v>0</v>
      </c>
      <c r="L86" s="16">
        <v>0.14000000000000001</v>
      </c>
    </row>
    <row r="87" spans="1:12" x14ac:dyDescent="0.25">
      <c r="A87" s="10" t="s">
        <v>20</v>
      </c>
      <c r="B87" s="11" t="s">
        <v>206</v>
      </c>
      <c r="C87" s="11" t="s">
        <v>20</v>
      </c>
      <c r="D87" s="11" t="s">
        <v>207</v>
      </c>
      <c r="E87" s="11" t="s">
        <v>100</v>
      </c>
      <c r="F87" s="12">
        <v>305263</v>
      </c>
      <c r="G87" s="13">
        <v>12464.5</v>
      </c>
      <c r="H87" s="13">
        <v>0.13</v>
      </c>
      <c r="I87" s="14" t="s">
        <v>20</v>
      </c>
      <c r="J87" s="14" t="s">
        <v>20</v>
      </c>
      <c r="K87" s="15">
        <v>0</v>
      </c>
      <c r="L87" s="16">
        <v>0.13</v>
      </c>
    </row>
    <row r="88" spans="1:12" x14ac:dyDescent="0.25">
      <c r="A88" s="10" t="s">
        <v>20</v>
      </c>
      <c r="B88" s="11" t="s">
        <v>208</v>
      </c>
      <c r="C88" s="11" t="s">
        <v>20</v>
      </c>
      <c r="D88" s="11" t="s">
        <v>209</v>
      </c>
      <c r="E88" s="11" t="s">
        <v>35</v>
      </c>
      <c r="F88" s="12">
        <v>904571</v>
      </c>
      <c r="G88" s="13">
        <v>11705.6</v>
      </c>
      <c r="H88" s="13">
        <v>0.12</v>
      </c>
      <c r="I88" s="14" t="s">
        <v>20</v>
      </c>
      <c r="J88" s="14" t="s">
        <v>20</v>
      </c>
      <c r="K88" s="15">
        <v>0</v>
      </c>
      <c r="L88" s="16">
        <v>0.12</v>
      </c>
    </row>
    <row r="89" spans="1:12" x14ac:dyDescent="0.25">
      <c r="A89" s="10" t="s">
        <v>20</v>
      </c>
      <c r="B89" s="11" t="s">
        <v>210</v>
      </c>
      <c r="C89" s="11" t="s">
        <v>20</v>
      </c>
      <c r="D89" s="11" t="s">
        <v>211</v>
      </c>
      <c r="E89" s="11" t="s">
        <v>38</v>
      </c>
      <c r="F89" s="12">
        <v>6327000</v>
      </c>
      <c r="G89" s="13">
        <v>11414.54</v>
      </c>
      <c r="H89" s="13">
        <v>0.12</v>
      </c>
      <c r="I89" s="14" t="s">
        <v>20</v>
      </c>
      <c r="J89" s="14" t="s">
        <v>20</v>
      </c>
      <c r="K89" s="15">
        <v>0</v>
      </c>
      <c r="L89" s="16">
        <v>0.12</v>
      </c>
    </row>
    <row r="90" spans="1:12" x14ac:dyDescent="0.25">
      <c r="A90" s="10" t="s">
        <v>20</v>
      </c>
      <c r="B90" s="11" t="s">
        <v>212</v>
      </c>
      <c r="C90" s="11" t="s">
        <v>20</v>
      </c>
      <c r="D90" s="11" t="s">
        <v>213</v>
      </c>
      <c r="E90" s="11" t="s">
        <v>64</v>
      </c>
      <c r="F90" s="12">
        <v>4980933</v>
      </c>
      <c r="G90" s="13">
        <v>11332.12</v>
      </c>
      <c r="H90" s="13">
        <v>0.12</v>
      </c>
      <c r="I90" s="14" t="s">
        <v>20</v>
      </c>
      <c r="J90" s="14" t="s">
        <v>20</v>
      </c>
      <c r="K90" s="15">
        <v>0</v>
      </c>
      <c r="L90" s="16">
        <v>0.12</v>
      </c>
    </row>
    <row r="91" spans="1:12" x14ac:dyDescent="0.25">
      <c r="A91" s="10" t="s">
        <v>20</v>
      </c>
      <c r="B91" s="11" t="s">
        <v>214</v>
      </c>
      <c r="C91" s="11" t="s">
        <v>20</v>
      </c>
      <c r="D91" s="11" t="s">
        <v>215</v>
      </c>
      <c r="E91" s="11" t="s">
        <v>64</v>
      </c>
      <c r="F91" s="12">
        <v>1737250</v>
      </c>
      <c r="G91" s="13">
        <v>11396.36</v>
      </c>
      <c r="H91" s="13">
        <v>0.12</v>
      </c>
      <c r="I91" s="14" t="s">
        <v>20</v>
      </c>
      <c r="J91" s="14" t="s">
        <v>20</v>
      </c>
      <c r="K91" s="15">
        <v>0.03</v>
      </c>
      <c r="L91" s="16">
        <v>0.1</v>
      </c>
    </row>
    <row r="92" spans="1:12" x14ac:dyDescent="0.25">
      <c r="A92" s="10" t="s">
        <v>20</v>
      </c>
      <c r="B92" s="11" t="s">
        <v>216</v>
      </c>
      <c r="C92" s="11" t="s">
        <v>20</v>
      </c>
      <c r="D92" s="11" t="s">
        <v>217</v>
      </c>
      <c r="E92" s="11" t="s">
        <v>218</v>
      </c>
      <c r="F92" s="12">
        <v>159375</v>
      </c>
      <c r="G92" s="13">
        <v>10544.57</v>
      </c>
      <c r="H92" s="13">
        <v>0.11</v>
      </c>
      <c r="I92" s="14" t="s">
        <v>20</v>
      </c>
      <c r="J92" s="14" t="s">
        <v>20</v>
      </c>
      <c r="K92" s="15">
        <v>0.11</v>
      </c>
      <c r="L92" s="16">
        <v>0</v>
      </c>
    </row>
    <row r="93" spans="1:12" x14ac:dyDescent="0.25">
      <c r="A93" s="10" t="s">
        <v>20</v>
      </c>
      <c r="B93" s="11" t="s">
        <v>219</v>
      </c>
      <c r="C93" s="11" t="s">
        <v>20</v>
      </c>
      <c r="D93" s="11" t="s">
        <v>220</v>
      </c>
      <c r="E93" s="11" t="s">
        <v>118</v>
      </c>
      <c r="F93" s="12">
        <v>5314531</v>
      </c>
      <c r="G93" s="13">
        <v>10853.34</v>
      </c>
      <c r="H93" s="13">
        <v>0.11</v>
      </c>
      <c r="I93" s="14" t="s">
        <v>20</v>
      </c>
      <c r="J93" s="14" t="s">
        <v>20</v>
      </c>
      <c r="K93" s="15">
        <v>0</v>
      </c>
      <c r="L93" s="16">
        <v>0.11</v>
      </c>
    </row>
    <row r="94" spans="1:12" x14ac:dyDescent="0.25">
      <c r="A94" s="10" t="s">
        <v>20</v>
      </c>
      <c r="B94" s="11" t="s">
        <v>221</v>
      </c>
      <c r="C94" s="11" t="s">
        <v>20</v>
      </c>
      <c r="D94" s="11" t="s">
        <v>222</v>
      </c>
      <c r="E94" s="11" t="s">
        <v>111</v>
      </c>
      <c r="F94" s="12">
        <v>36092</v>
      </c>
      <c r="G94" s="13">
        <v>10235.129999999999</v>
      </c>
      <c r="H94" s="13">
        <v>0.11</v>
      </c>
      <c r="I94" s="14" t="s">
        <v>20</v>
      </c>
      <c r="J94" s="14" t="s">
        <v>20</v>
      </c>
      <c r="K94" s="15">
        <v>0</v>
      </c>
      <c r="L94" s="16">
        <v>0.11</v>
      </c>
    </row>
    <row r="95" spans="1:12" x14ac:dyDescent="0.25">
      <c r="A95" s="10" t="s">
        <v>20</v>
      </c>
      <c r="B95" s="11" t="s">
        <v>223</v>
      </c>
      <c r="C95" s="11" t="s">
        <v>20</v>
      </c>
      <c r="D95" s="11" t="s">
        <v>224</v>
      </c>
      <c r="E95" s="11" t="s">
        <v>38</v>
      </c>
      <c r="F95" s="12">
        <v>1978533</v>
      </c>
      <c r="G95" s="13">
        <v>10642.53</v>
      </c>
      <c r="H95" s="13">
        <v>0.11</v>
      </c>
      <c r="I95" s="14" t="s">
        <v>20</v>
      </c>
      <c r="J95" s="14" t="s">
        <v>20</v>
      </c>
      <c r="K95" s="15">
        <v>0</v>
      </c>
      <c r="L95" s="16">
        <v>0.11</v>
      </c>
    </row>
    <row r="96" spans="1:12" x14ac:dyDescent="0.25">
      <c r="A96" s="10" t="s">
        <v>20</v>
      </c>
      <c r="B96" s="11" t="s">
        <v>225</v>
      </c>
      <c r="C96" s="11" t="s">
        <v>20</v>
      </c>
      <c r="D96" s="11" t="s">
        <v>226</v>
      </c>
      <c r="E96" s="11" t="s">
        <v>38</v>
      </c>
      <c r="F96" s="12">
        <v>3472200</v>
      </c>
      <c r="G96" s="13">
        <v>10081.530000000001</v>
      </c>
      <c r="H96" s="13">
        <v>0.11</v>
      </c>
      <c r="I96" s="14" t="s">
        <v>20</v>
      </c>
      <c r="J96" s="14" t="s">
        <v>20</v>
      </c>
      <c r="K96" s="15">
        <v>0.11</v>
      </c>
      <c r="L96" s="16">
        <v>0</v>
      </c>
    </row>
    <row r="97" spans="1:12" x14ac:dyDescent="0.25">
      <c r="A97" s="10" t="s">
        <v>20</v>
      </c>
      <c r="B97" s="11" t="s">
        <v>227</v>
      </c>
      <c r="C97" s="11" t="s">
        <v>20</v>
      </c>
      <c r="D97" s="11" t="s">
        <v>228</v>
      </c>
      <c r="E97" s="11" t="s">
        <v>64</v>
      </c>
      <c r="F97" s="12">
        <v>1350000</v>
      </c>
      <c r="G97" s="13">
        <v>9773.33</v>
      </c>
      <c r="H97" s="13">
        <v>0.1</v>
      </c>
      <c r="I97" s="14" t="s">
        <v>20</v>
      </c>
      <c r="J97" s="14" t="s">
        <v>20</v>
      </c>
      <c r="K97" s="15">
        <v>0</v>
      </c>
      <c r="L97" s="16">
        <v>0.1</v>
      </c>
    </row>
    <row r="98" spans="1:12" x14ac:dyDescent="0.25">
      <c r="A98" s="10" t="s">
        <v>20</v>
      </c>
      <c r="B98" s="11" t="s">
        <v>229</v>
      </c>
      <c r="C98" s="11" t="s">
        <v>20</v>
      </c>
      <c r="D98" s="11" t="s">
        <v>230</v>
      </c>
      <c r="E98" s="11" t="s">
        <v>231</v>
      </c>
      <c r="F98" s="12">
        <v>1351000</v>
      </c>
      <c r="G98" s="13">
        <v>9219.9</v>
      </c>
      <c r="H98" s="13">
        <v>0.1</v>
      </c>
      <c r="I98" s="14" t="s">
        <v>20</v>
      </c>
      <c r="J98" s="14" t="s">
        <v>20</v>
      </c>
      <c r="K98" s="15">
        <v>0.1</v>
      </c>
      <c r="L98" s="16">
        <v>0</v>
      </c>
    </row>
    <row r="99" spans="1:12" x14ac:dyDescent="0.25">
      <c r="A99" s="10" t="s">
        <v>20</v>
      </c>
      <c r="B99" s="11" t="s">
        <v>232</v>
      </c>
      <c r="C99" s="11" t="s">
        <v>20</v>
      </c>
      <c r="D99" s="11" t="s">
        <v>233</v>
      </c>
      <c r="E99" s="11" t="s">
        <v>126</v>
      </c>
      <c r="F99" s="12">
        <v>7313200</v>
      </c>
      <c r="G99" s="13">
        <v>9850.8799999999992</v>
      </c>
      <c r="H99" s="13">
        <v>0.1</v>
      </c>
      <c r="I99" s="14" t="s">
        <v>20</v>
      </c>
      <c r="J99" s="14" t="s">
        <v>20</v>
      </c>
      <c r="K99" s="15">
        <v>0</v>
      </c>
      <c r="L99" s="16">
        <v>0.1</v>
      </c>
    </row>
    <row r="100" spans="1:12" x14ac:dyDescent="0.25">
      <c r="A100" s="10" t="s">
        <v>20</v>
      </c>
      <c r="B100" s="11" t="s">
        <v>234</v>
      </c>
      <c r="C100" s="11" t="s">
        <v>20</v>
      </c>
      <c r="D100" s="11" t="s">
        <v>235</v>
      </c>
      <c r="E100" s="11" t="s">
        <v>236</v>
      </c>
      <c r="F100" s="12">
        <v>4147692</v>
      </c>
      <c r="G100" s="13">
        <v>8192.11</v>
      </c>
      <c r="H100" s="13">
        <v>0.09</v>
      </c>
      <c r="I100" s="14" t="s">
        <v>20</v>
      </c>
      <c r="J100" s="14" t="s">
        <v>20</v>
      </c>
      <c r="K100" s="15">
        <v>0</v>
      </c>
      <c r="L100" s="16">
        <v>0.09</v>
      </c>
    </row>
    <row r="101" spans="1:12" x14ac:dyDescent="0.25">
      <c r="A101" s="10" t="s">
        <v>20</v>
      </c>
      <c r="B101" s="11" t="s">
        <v>237</v>
      </c>
      <c r="C101" s="11" t="s">
        <v>20</v>
      </c>
      <c r="D101" s="11" t="s">
        <v>238</v>
      </c>
      <c r="E101" s="11" t="s">
        <v>149</v>
      </c>
      <c r="F101" s="12">
        <v>279000</v>
      </c>
      <c r="G101" s="13">
        <v>8200.23</v>
      </c>
      <c r="H101" s="13">
        <v>0.09</v>
      </c>
      <c r="I101" s="14" t="s">
        <v>20</v>
      </c>
      <c r="J101" s="14" t="s">
        <v>20</v>
      </c>
      <c r="K101" s="15">
        <v>0.09</v>
      </c>
      <c r="L101" s="16">
        <v>0</v>
      </c>
    </row>
    <row r="102" spans="1:12" x14ac:dyDescent="0.25">
      <c r="A102" s="10" t="s">
        <v>20</v>
      </c>
      <c r="B102" s="11" t="s">
        <v>239</v>
      </c>
      <c r="C102" s="11" t="s">
        <v>20</v>
      </c>
      <c r="D102" s="11" t="s">
        <v>240</v>
      </c>
      <c r="E102" s="11" t="s">
        <v>241</v>
      </c>
      <c r="F102" s="12">
        <v>1197585</v>
      </c>
      <c r="G102" s="13">
        <v>7625.02</v>
      </c>
      <c r="H102" s="13">
        <v>0.08</v>
      </c>
      <c r="I102" s="14" t="s">
        <v>20</v>
      </c>
      <c r="J102" s="14" t="s">
        <v>20</v>
      </c>
      <c r="K102" s="15">
        <v>0</v>
      </c>
      <c r="L102" s="16">
        <v>0.08</v>
      </c>
    </row>
    <row r="103" spans="1:12" x14ac:dyDescent="0.25">
      <c r="A103" s="10" t="s">
        <v>20</v>
      </c>
      <c r="B103" s="11" t="s">
        <v>242</v>
      </c>
      <c r="C103" s="11" t="s">
        <v>20</v>
      </c>
      <c r="D103" s="11" t="s">
        <v>243</v>
      </c>
      <c r="E103" s="11" t="s">
        <v>38</v>
      </c>
      <c r="F103" s="12">
        <v>484632</v>
      </c>
      <c r="G103" s="13">
        <v>7205.75</v>
      </c>
      <c r="H103" s="13">
        <v>0.08</v>
      </c>
      <c r="I103" s="14" t="s">
        <v>20</v>
      </c>
      <c r="J103" s="14" t="s">
        <v>20</v>
      </c>
      <c r="K103" s="15">
        <v>0</v>
      </c>
      <c r="L103" s="16">
        <v>0.08</v>
      </c>
    </row>
    <row r="104" spans="1:12" x14ac:dyDescent="0.25">
      <c r="A104" s="10" t="s">
        <v>20</v>
      </c>
      <c r="B104" s="11" t="s">
        <v>244</v>
      </c>
      <c r="C104" s="11" t="s">
        <v>20</v>
      </c>
      <c r="D104" s="11" t="s">
        <v>245</v>
      </c>
      <c r="E104" s="11" t="s">
        <v>246</v>
      </c>
      <c r="F104" s="12">
        <v>8160030</v>
      </c>
      <c r="G104" s="13">
        <v>8024.57</v>
      </c>
      <c r="H104" s="13">
        <v>0.08</v>
      </c>
      <c r="I104" s="14" t="s">
        <v>20</v>
      </c>
      <c r="J104" s="14" t="s">
        <v>20</v>
      </c>
      <c r="K104" s="15">
        <v>0</v>
      </c>
      <c r="L104" s="16">
        <v>0.08</v>
      </c>
    </row>
    <row r="105" spans="1:12" x14ac:dyDescent="0.25">
      <c r="A105" s="10" t="s">
        <v>20</v>
      </c>
      <c r="B105" s="11" t="s">
        <v>247</v>
      </c>
      <c r="C105" s="11" t="s">
        <v>20</v>
      </c>
      <c r="D105" s="11" t="s">
        <v>248</v>
      </c>
      <c r="E105" s="11" t="s">
        <v>64</v>
      </c>
      <c r="F105" s="12">
        <v>3300000</v>
      </c>
      <c r="G105" s="13">
        <v>6581.85</v>
      </c>
      <c r="H105" s="13">
        <v>7.0000000000000007E-2</v>
      </c>
      <c r="I105" s="14" t="s">
        <v>20</v>
      </c>
      <c r="J105" s="14" t="s">
        <v>20</v>
      </c>
      <c r="K105" s="15">
        <v>0</v>
      </c>
      <c r="L105" s="16">
        <v>7.0000000000000007E-2</v>
      </c>
    </row>
    <row r="106" spans="1:12" x14ac:dyDescent="0.25">
      <c r="A106" s="10" t="s">
        <v>20</v>
      </c>
      <c r="B106" s="11" t="s">
        <v>249</v>
      </c>
      <c r="C106" s="11" t="s">
        <v>20</v>
      </c>
      <c r="D106" s="11" t="s">
        <v>250</v>
      </c>
      <c r="E106" s="11" t="s">
        <v>251</v>
      </c>
      <c r="F106" s="12">
        <v>1105130</v>
      </c>
      <c r="G106" s="13">
        <v>7031.39</v>
      </c>
      <c r="H106" s="13">
        <v>7.0000000000000007E-2</v>
      </c>
      <c r="I106" s="14" t="s">
        <v>20</v>
      </c>
      <c r="J106" s="14" t="s">
        <v>20</v>
      </c>
      <c r="K106" s="15">
        <v>7.0000000000000007E-2</v>
      </c>
      <c r="L106" s="16">
        <v>0</v>
      </c>
    </row>
    <row r="107" spans="1:12" x14ac:dyDescent="0.25">
      <c r="A107" s="10" t="s">
        <v>20</v>
      </c>
      <c r="B107" s="11" t="s">
        <v>252</v>
      </c>
      <c r="C107" s="11" t="s">
        <v>20</v>
      </c>
      <c r="D107" s="11" t="s">
        <v>253</v>
      </c>
      <c r="E107" s="11" t="s">
        <v>254</v>
      </c>
      <c r="F107" s="12">
        <v>215100</v>
      </c>
      <c r="G107" s="13">
        <v>4981.29</v>
      </c>
      <c r="H107" s="13">
        <v>0.05</v>
      </c>
      <c r="I107" s="14" t="s">
        <v>20</v>
      </c>
      <c r="J107" s="14" t="s">
        <v>20</v>
      </c>
      <c r="K107" s="15">
        <v>0.05</v>
      </c>
      <c r="L107" s="16">
        <v>0</v>
      </c>
    </row>
    <row r="108" spans="1:12" x14ac:dyDescent="0.25">
      <c r="A108" s="10" t="s">
        <v>20</v>
      </c>
      <c r="B108" s="11" t="s">
        <v>255</v>
      </c>
      <c r="C108" s="11" t="s">
        <v>20</v>
      </c>
      <c r="D108" s="11" t="s">
        <v>256</v>
      </c>
      <c r="E108" s="11" t="s">
        <v>22</v>
      </c>
      <c r="F108" s="12">
        <v>3383386</v>
      </c>
      <c r="G108" s="13">
        <v>4949.22</v>
      </c>
      <c r="H108" s="13">
        <v>0.05</v>
      </c>
      <c r="I108" s="14" t="s">
        <v>20</v>
      </c>
      <c r="J108" s="14" t="s">
        <v>20</v>
      </c>
      <c r="K108" s="15">
        <v>0</v>
      </c>
      <c r="L108" s="16">
        <v>0.05</v>
      </c>
    </row>
    <row r="109" spans="1:12" x14ac:dyDescent="0.25">
      <c r="A109" s="10" t="s">
        <v>20</v>
      </c>
      <c r="B109" s="11" t="s">
        <v>257</v>
      </c>
      <c r="C109" s="11" t="s">
        <v>20</v>
      </c>
      <c r="D109" s="11" t="s">
        <v>258</v>
      </c>
      <c r="E109" s="11" t="s">
        <v>35</v>
      </c>
      <c r="F109" s="12">
        <v>345102</v>
      </c>
      <c r="G109" s="13">
        <v>5051.6000000000004</v>
      </c>
      <c r="H109" s="13">
        <v>0.05</v>
      </c>
      <c r="I109" s="14" t="s">
        <v>20</v>
      </c>
      <c r="J109" s="14" t="s">
        <v>20</v>
      </c>
      <c r="K109" s="15">
        <v>0</v>
      </c>
      <c r="L109" s="16">
        <v>0.05</v>
      </c>
    </row>
    <row r="110" spans="1:12" x14ac:dyDescent="0.25">
      <c r="A110" s="10" t="s">
        <v>20</v>
      </c>
      <c r="B110" s="11" t="s">
        <v>259</v>
      </c>
      <c r="C110" s="11" t="s">
        <v>20</v>
      </c>
      <c r="D110" s="11" t="s">
        <v>260</v>
      </c>
      <c r="E110" s="11" t="s">
        <v>261</v>
      </c>
      <c r="F110" s="12">
        <v>200000</v>
      </c>
      <c r="G110" s="13">
        <v>4779.6000000000004</v>
      </c>
      <c r="H110" s="13">
        <v>0.05</v>
      </c>
      <c r="I110" s="14" t="s">
        <v>20</v>
      </c>
      <c r="J110" s="14" t="s">
        <v>20</v>
      </c>
      <c r="K110" s="15">
        <v>0</v>
      </c>
      <c r="L110" s="16">
        <v>0.05</v>
      </c>
    </row>
    <row r="111" spans="1:12" x14ac:dyDescent="0.25">
      <c r="A111" s="10" t="s">
        <v>20</v>
      </c>
      <c r="B111" s="11" t="s">
        <v>262</v>
      </c>
      <c r="C111" s="11" t="s">
        <v>20</v>
      </c>
      <c r="D111" s="11" t="s">
        <v>263</v>
      </c>
      <c r="E111" s="11" t="s">
        <v>30</v>
      </c>
      <c r="F111" s="12">
        <v>188650</v>
      </c>
      <c r="G111" s="13">
        <v>4716.63</v>
      </c>
      <c r="H111" s="13">
        <v>0.05</v>
      </c>
      <c r="I111" s="14" t="s">
        <v>20</v>
      </c>
      <c r="J111" s="14" t="s">
        <v>20</v>
      </c>
      <c r="K111" s="15">
        <v>0.05</v>
      </c>
      <c r="L111" s="16">
        <v>0</v>
      </c>
    </row>
    <row r="112" spans="1:12" x14ac:dyDescent="0.25">
      <c r="A112" s="10" t="s">
        <v>20</v>
      </c>
      <c r="B112" s="11" t="s">
        <v>264</v>
      </c>
      <c r="C112" s="11" t="s">
        <v>20</v>
      </c>
      <c r="D112" s="11" t="s">
        <v>265</v>
      </c>
      <c r="E112" s="11" t="s">
        <v>157</v>
      </c>
      <c r="F112" s="12">
        <v>969882</v>
      </c>
      <c r="G112" s="13">
        <v>4920.21</v>
      </c>
      <c r="H112" s="13">
        <v>0.05</v>
      </c>
      <c r="I112" s="14" t="s">
        <v>20</v>
      </c>
      <c r="J112" s="14" t="s">
        <v>20</v>
      </c>
      <c r="K112" s="15">
        <v>0</v>
      </c>
      <c r="L112" s="16">
        <v>0.05</v>
      </c>
    </row>
    <row r="113" spans="1:12" x14ac:dyDescent="0.25">
      <c r="A113" s="10" t="s">
        <v>20</v>
      </c>
      <c r="B113" s="11" t="s">
        <v>266</v>
      </c>
      <c r="C113" s="11" t="s">
        <v>20</v>
      </c>
      <c r="D113" s="11" t="s">
        <v>267</v>
      </c>
      <c r="E113" s="11" t="s">
        <v>54</v>
      </c>
      <c r="F113" s="12">
        <v>71836</v>
      </c>
      <c r="G113" s="13">
        <v>3506.82</v>
      </c>
      <c r="H113" s="13">
        <v>0.04</v>
      </c>
      <c r="I113" s="14" t="s">
        <v>20</v>
      </c>
      <c r="J113" s="14" t="s">
        <v>20</v>
      </c>
      <c r="K113" s="15">
        <v>0</v>
      </c>
      <c r="L113" s="16">
        <v>0.04</v>
      </c>
    </row>
    <row r="114" spans="1:12" x14ac:dyDescent="0.25">
      <c r="A114" s="10" t="s">
        <v>20</v>
      </c>
      <c r="B114" s="11" t="s">
        <v>268</v>
      </c>
      <c r="C114" s="11" t="s">
        <v>20</v>
      </c>
      <c r="D114" s="11" t="s">
        <v>269</v>
      </c>
      <c r="E114" s="11" t="s">
        <v>218</v>
      </c>
      <c r="F114" s="12">
        <v>500000</v>
      </c>
      <c r="G114" s="13">
        <v>3491.75</v>
      </c>
      <c r="H114" s="13">
        <v>0.04</v>
      </c>
      <c r="I114" s="14" t="s">
        <v>20</v>
      </c>
      <c r="J114" s="14" t="s">
        <v>20</v>
      </c>
      <c r="K114" s="15">
        <v>0</v>
      </c>
      <c r="L114" s="16">
        <v>0.04</v>
      </c>
    </row>
    <row r="115" spans="1:12" x14ac:dyDescent="0.25">
      <c r="A115" s="10" t="s">
        <v>20</v>
      </c>
      <c r="B115" s="11" t="s">
        <v>270</v>
      </c>
      <c r="C115" s="11" t="s">
        <v>20</v>
      </c>
      <c r="D115" s="11" t="s">
        <v>271</v>
      </c>
      <c r="E115" s="11" t="s">
        <v>64</v>
      </c>
      <c r="F115" s="12">
        <v>1950124</v>
      </c>
      <c r="G115" s="13">
        <v>2404.31</v>
      </c>
      <c r="H115" s="13">
        <v>0.03</v>
      </c>
      <c r="I115" s="14" t="s">
        <v>20</v>
      </c>
      <c r="J115" s="14" t="s">
        <v>20</v>
      </c>
      <c r="K115" s="15">
        <v>0</v>
      </c>
      <c r="L115" s="16">
        <v>0.03</v>
      </c>
    </row>
    <row r="116" spans="1:12" x14ac:dyDescent="0.25">
      <c r="A116" s="10" t="s">
        <v>20</v>
      </c>
      <c r="B116" s="11" t="s">
        <v>272</v>
      </c>
      <c r="C116" s="11" t="s">
        <v>20</v>
      </c>
      <c r="D116" s="11" t="s">
        <v>273</v>
      </c>
      <c r="E116" s="11" t="s">
        <v>22</v>
      </c>
      <c r="F116" s="12">
        <v>3678750</v>
      </c>
      <c r="G116" s="13">
        <v>3274.09</v>
      </c>
      <c r="H116" s="13">
        <v>0.03</v>
      </c>
      <c r="I116" s="14" t="s">
        <v>20</v>
      </c>
      <c r="J116" s="14" t="s">
        <v>20</v>
      </c>
      <c r="K116" s="15">
        <v>0.03</v>
      </c>
      <c r="L116" s="16">
        <v>0</v>
      </c>
    </row>
    <row r="117" spans="1:12" x14ac:dyDescent="0.25">
      <c r="A117" s="10" t="s">
        <v>20</v>
      </c>
      <c r="B117" s="11" t="s">
        <v>274</v>
      </c>
      <c r="C117" s="11" t="s">
        <v>20</v>
      </c>
      <c r="D117" s="11" t="s">
        <v>275</v>
      </c>
      <c r="E117" s="11" t="s">
        <v>236</v>
      </c>
      <c r="F117" s="12">
        <v>342000</v>
      </c>
      <c r="G117" s="13">
        <v>2693.42</v>
      </c>
      <c r="H117" s="13">
        <v>0.03</v>
      </c>
      <c r="I117" s="14" t="s">
        <v>20</v>
      </c>
      <c r="J117" s="14" t="s">
        <v>20</v>
      </c>
      <c r="K117" s="15">
        <v>0.03</v>
      </c>
      <c r="L117" s="16">
        <v>0</v>
      </c>
    </row>
    <row r="118" spans="1:12" x14ac:dyDescent="0.25">
      <c r="A118" s="10" t="s">
        <v>20</v>
      </c>
      <c r="B118" s="11" t="s">
        <v>276</v>
      </c>
      <c r="C118" s="11" t="s">
        <v>20</v>
      </c>
      <c r="D118" s="11" t="s">
        <v>277</v>
      </c>
      <c r="E118" s="11" t="s">
        <v>64</v>
      </c>
      <c r="F118" s="12">
        <v>2102733</v>
      </c>
      <c r="G118" s="13">
        <v>2616.2199999999998</v>
      </c>
      <c r="H118" s="13">
        <v>0.03</v>
      </c>
      <c r="I118" s="14" t="s">
        <v>20</v>
      </c>
      <c r="J118" s="14" t="s">
        <v>20</v>
      </c>
      <c r="K118" s="15">
        <v>0</v>
      </c>
      <c r="L118" s="16">
        <v>0.03</v>
      </c>
    </row>
    <row r="119" spans="1:12" x14ac:dyDescent="0.25">
      <c r="A119" s="10" t="s">
        <v>20</v>
      </c>
      <c r="B119" s="11" t="s">
        <v>278</v>
      </c>
      <c r="C119" s="11" t="s">
        <v>20</v>
      </c>
      <c r="D119" s="11" t="s">
        <v>279</v>
      </c>
      <c r="E119" s="11" t="s">
        <v>35</v>
      </c>
      <c r="F119" s="12">
        <v>736342</v>
      </c>
      <c r="G119" s="13">
        <v>2461.59</v>
      </c>
      <c r="H119" s="13">
        <v>0.03</v>
      </c>
      <c r="I119" s="14" t="s">
        <v>20</v>
      </c>
      <c r="J119" s="14" t="s">
        <v>20</v>
      </c>
      <c r="K119" s="15">
        <v>0.03</v>
      </c>
      <c r="L119" s="16">
        <v>0</v>
      </c>
    </row>
    <row r="120" spans="1:12" x14ac:dyDescent="0.25">
      <c r="A120" s="10" t="s">
        <v>20</v>
      </c>
      <c r="B120" s="11" t="s">
        <v>280</v>
      </c>
      <c r="C120" s="11" t="s">
        <v>20</v>
      </c>
      <c r="D120" s="11" t="s">
        <v>281</v>
      </c>
      <c r="E120" s="11" t="s">
        <v>100</v>
      </c>
      <c r="F120" s="12">
        <v>37500</v>
      </c>
      <c r="G120" s="13">
        <v>2693.03</v>
      </c>
      <c r="H120" s="13">
        <v>0.03</v>
      </c>
      <c r="I120" s="14" t="s">
        <v>20</v>
      </c>
      <c r="J120" s="14" t="s">
        <v>20</v>
      </c>
      <c r="K120" s="15">
        <v>0.03</v>
      </c>
      <c r="L120" s="16">
        <v>0</v>
      </c>
    </row>
    <row r="121" spans="1:12" x14ac:dyDescent="0.25">
      <c r="A121" s="10" t="s">
        <v>20</v>
      </c>
      <c r="B121" s="11" t="s">
        <v>282</v>
      </c>
      <c r="C121" s="11" t="s">
        <v>20</v>
      </c>
      <c r="D121" s="11" t="s">
        <v>283</v>
      </c>
      <c r="E121" s="11" t="s">
        <v>35</v>
      </c>
      <c r="F121" s="12">
        <v>44528169</v>
      </c>
      <c r="G121" s="13">
        <v>3027.92</v>
      </c>
      <c r="H121" s="13">
        <v>0.03</v>
      </c>
      <c r="I121" s="14" t="s">
        <v>20</v>
      </c>
      <c r="J121" s="14" t="s">
        <v>20</v>
      </c>
      <c r="K121" s="15">
        <v>0</v>
      </c>
      <c r="L121" s="16">
        <v>0.03</v>
      </c>
    </row>
    <row r="122" spans="1:12" x14ac:dyDescent="0.25">
      <c r="A122" s="10" t="s">
        <v>20</v>
      </c>
      <c r="B122" s="11" t="s">
        <v>284</v>
      </c>
      <c r="C122" s="11" t="s">
        <v>20</v>
      </c>
      <c r="D122" s="11" t="s">
        <v>285</v>
      </c>
      <c r="E122" s="11" t="s">
        <v>64</v>
      </c>
      <c r="F122" s="12">
        <v>1113681</v>
      </c>
      <c r="G122" s="13">
        <v>2257.3200000000002</v>
      </c>
      <c r="H122" s="13">
        <v>0.02</v>
      </c>
      <c r="I122" s="14" t="s">
        <v>20</v>
      </c>
      <c r="J122" s="14" t="s">
        <v>20</v>
      </c>
      <c r="K122" s="15">
        <v>0</v>
      </c>
      <c r="L122" s="16">
        <v>0.02</v>
      </c>
    </row>
    <row r="123" spans="1:12" x14ac:dyDescent="0.25">
      <c r="A123" s="10" t="s">
        <v>20</v>
      </c>
      <c r="B123" s="11" t="s">
        <v>286</v>
      </c>
      <c r="C123" s="11" t="s">
        <v>20</v>
      </c>
      <c r="D123" s="11" t="s">
        <v>287</v>
      </c>
      <c r="E123" s="11" t="s">
        <v>59</v>
      </c>
      <c r="F123" s="12">
        <v>28525</v>
      </c>
      <c r="G123" s="13">
        <v>1525.43</v>
      </c>
      <c r="H123" s="13">
        <v>0.02</v>
      </c>
      <c r="I123" s="14" t="s">
        <v>20</v>
      </c>
      <c r="J123" s="14" t="s">
        <v>20</v>
      </c>
      <c r="K123" s="15">
        <v>0.02</v>
      </c>
      <c r="L123" s="16">
        <v>0</v>
      </c>
    </row>
    <row r="124" spans="1:12" x14ac:dyDescent="0.25">
      <c r="A124" s="10" t="s">
        <v>20</v>
      </c>
      <c r="B124" s="11" t="s">
        <v>288</v>
      </c>
      <c r="C124" s="11" t="s">
        <v>20</v>
      </c>
      <c r="D124" s="11" t="s">
        <v>289</v>
      </c>
      <c r="E124" s="11" t="s">
        <v>76</v>
      </c>
      <c r="F124" s="12">
        <v>200000</v>
      </c>
      <c r="G124" s="13">
        <v>1863.3</v>
      </c>
      <c r="H124" s="13">
        <v>0.02</v>
      </c>
      <c r="I124" s="14" t="s">
        <v>20</v>
      </c>
      <c r="J124" s="14" t="s">
        <v>20</v>
      </c>
      <c r="K124" s="15">
        <v>0</v>
      </c>
      <c r="L124" s="16">
        <v>0.02</v>
      </c>
    </row>
    <row r="125" spans="1:12" x14ac:dyDescent="0.25">
      <c r="A125" s="10" t="s">
        <v>20</v>
      </c>
      <c r="B125" s="11" t="s">
        <v>290</v>
      </c>
      <c r="C125" s="11" t="s">
        <v>20</v>
      </c>
      <c r="D125" s="11" t="s">
        <v>291</v>
      </c>
      <c r="E125" s="11" t="s">
        <v>64</v>
      </c>
      <c r="F125" s="12">
        <v>232500</v>
      </c>
      <c r="G125" s="13">
        <v>2296.75</v>
      </c>
      <c r="H125" s="13">
        <v>0.02</v>
      </c>
      <c r="I125" s="14" t="s">
        <v>20</v>
      </c>
      <c r="J125" s="14" t="s">
        <v>20</v>
      </c>
      <c r="K125" s="15">
        <v>0.02</v>
      </c>
      <c r="L125" s="16">
        <v>0</v>
      </c>
    </row>
    <row r="126" spans="1:12" x14ac:dyDescent="0.25">
      <c r="A126" s="10" t="s">
        <v>20</v>
      </c>
      <c r="B126" s="11" t="s">
        <v>292</v>
      </c>
      <c r="C126" s="11" t="s">
        <v>20</v>
      </c>
      <c r="D126" s="11" t="s">
        <v>293</v>
      </c>
      <c r="E126" s="11" t="s">
        <v>30</v>
      </c>
      <c r="F126" s="12">
        <v>569833</v>
      </c>
      <c r="G126" s="13">
        <v>1885.58</v>
      </c>
      <c r="H126" s="13">
        <v>0.02</v>
      </c>
      <c r="I126" s="14" t="s">
        <v>20</v>
      </c>
      <c r="J126" s="14" t="s">
        <v>20</v>
      </c>
      <c r="K126" s="15">
        <v>0</v>
      </c>
      <c r="L126" s="16">
        <v>0.02</v>
      </c>
    </row>
    <row r="127" spans="1:12" x14ac:dyDescent="0.25">
      <c r="A127" s="10" t="s">
        <v>20</v>
      </c>
      <c r="B127" s="11" t="s">
        <v>294</v>
      </c>
      <c r="C127" s="11" t="s">
        <v>20</v>
      </c>
      <c r="D127" s="11" t="s">
        <v>295</v>
      </c>
      <c r="E127" s="11" t="s">
        <v>38</v>
      </c>
      <c r="F127" s="12">
        <v>425250</v>
      </c>
      <c r="G127" s="13">
        <v>1596.39</v>
      </c>
      <c r="H127" s="13">
        <v>0.02</v>
      </c>
      <c r="I127" s="14" t="s">
        <v>20</v>
      </c>
      <c r="J127" s="14" t="s">
        <v>20</v>
      </c>
      <c r="K127" s="15">
        <v>0.02</v>
      </c>
      <c r="L127" s="16">
        <v>0</v>
      </c>
    </row>
    <row r="128" spans="1:12" x14ac:dyDescent="0.25">
      <c r="A128" s="10" t="s">
        <v>20</v>
      </c>
      <c r="B128" s="11" t="s">
        <v>296</v>
      </c>
      <c r="C128" s="11" t="s">
        <v>20</v>
      </c>
      <c r="D128" s="11" t="s">
        <v>297</v>
      </c>
      <c r="E128" s="11" t="s">
        <v>298</v>
      </c>
      <c r="F128" s="12">
        <v>345000</v>
      </c>
      <c r="G128" s="13">
        <v>1598.73</v>
      </c>
      <c r="H128" s="13">
        <v>0.02</v>
      </c>
      <c r="I128" s="14" t="s">
        <v>20</v>
      </c>
      <c r="J128" s="14" t="s">
        <v>20</v>
      </c>
      <c r="K128" s="15">
        <v>0.02</v>
      </c>
      <c r="L128" s="16">
        <v>0</v>
      </c>
    </row>
    <row r="129" spans="1:12" x14ac:dyDescent="0.25">
      <c r="A129" s="10" t="s">
        <v>20</v>
      </c>
      <c r="B129" s="11" t="s">
        <v>299</v>
      </c>
      <c r="C129" s="11" t="s">
        <v>20</v>
      </c>
      <c r="D129" s="11" t="s">
        <v>300</v>
      </c>
      <c r="E129" s="11" t="s">
        <v>100</v>
      </c>
      <c r="F129" s="12">
        <v>1709430</v>
      </c>
      <c r="G129" s="13">
        <v>1781.91</v>
      </c>
      <c r="H129" s="13">
        <v>0.02</v>
      </c>
      <c r="I129" s="14" t="s">
        <v>20</v>
      </c>
      <c r="J129" s="14" t="s">
        <v>20</v>
      </c>
      <c r="K129" s="15">
        <v>0</v>
      </c>
      <c r="L129" s="16">
        <v>0.02</v>
      </c>
    </row>
    <row r="130" spans="1:12" x14ac:dyDescent="0.25">
      <c r="A130" s="10" t="s">
        <v>20</v>
      </c>
      <c r="B130" s="11" t="s">
        <v>301</v>
      </c>
      <c r="C130" s="11" t="s">
        <v>20</v>
      </c>
      <c r="D130" s="11" t="s">
        <v>302</v>
      </c>
      <c r="E130" s="11" t="s">
        <v>149</v>
      </c>
      <c r="F130" s="12">
        <v>138000</v>
      </c>
      <c r="G130" s="13">
        <v>539.24</v>
      </c>
      <c r="H130" s="13">
        <v>0.01</v>
      </c>
      <c r="I130" s="14" t="s">
        <v>20</v>
      </c>
      <c r="J130" s="14" t="s">
        <v>20</v>
      </c>
      <c r="K130" s="15">
        <v>0.01</v>
      </c>
      <c r="L130" s="16">
        <v>0</v>
      </c>
    </row>
    <row r="131" spans="1:12" x14ac:dyDescent="0.25">
      <c r="A131" s="10" t="s">
        <v>20</v>
      </c>
      <c r="B131" s="11" t="s">
        <v>303</v>
      </c>
      <c r="C131" s="11" t="s">
        <v>20</v>
      </c>
      <c r="D131" s="11" t="s">
        <v>304</v>
      </c>
      <c r="E131" s="11" t="s">
        <v>201</v>
      </c>
      <c r="F131" s="12">
        <v>458949</v>
      </c>
      <c r="G131" s="13">
        <v>1058.1099999999999</v>
      </c>
      <c r="H131" s="13">
        <v>0.01</v>
      </c>
      <c r="I131" s="14" t="s">
        <v>20</v>
      </c>
      <c r="J131" s="14" t="s">
        <v>20</v>
      </c>
      <c r="K131" s="15">
        <v>0</v>
      </c>
      <c r="L131" s="16">
        <v>0.01</v>
      </c>
    </row>
    <row r="132" spans="1:12" x14ac:dyDescent="0.25">
      <c r="A132" s="10" t="s">
        <v>20</v>
      </c>
      <c r="B132" s="11" t="s">
        <v>305</v>
      </c>
      <c r="C132" s="11" t="s">
        <v>20</v>
      </c>
      <c r="D132" s="11" t="s">
        <v>306</v>
      </c>
      <c r="E132" s="11" t="s">
        <v>157</v>
      </c>
      <c r="F132" s="12">
        <v>19500</v>
      </c>
      <c r="G132" s="13">
        <v>595.11</v>
      </c>
      <c r="H132" s="13">
        <v>0.01</v>
      </c>
      <c r="I132" s="14" t="s">
        <v>20</v>
      </c>
      <c r="J132" s="14" t="s">
        <v>20</v>
      </c>
      <c r="K132" s="15">
        <v>0.01</v>
      </c>
      <c r="L132" s="16">
        <v>0</v>
      </c>
    </row>
    <row r="133" spans="1:12" x14ac:dyDescent="0.25">
      <c r="A133" s="10" t="s">
        <v>20</v>
      </c>
      <c r="B133" s="11" t="s">
        <v>307</v>
      </c>
      <c r="C133" s="11" t="s">
        <v>20</v>
      </c>
      <c r="D133" s="11" t="s">
        <v>308</v>
      </c>
      <c r="E133" s="11" t="s">
        <v>170</v>
      </c>
      <c r="F133" s="12">
        <v>207075</v>
      </c>
      <c r="G133" s="13">
        <v>1409.15</v>
      </c>
      <c r="H133" s="13">
        <v>0.01</v>
      </c>
      <c r="I133" s="14" t="s">
        <v>20</v>
      </c>
      <c r="J133" s="14" t="s">
        <v>20</v>
      </c>
      <c r="K133" s="15">
        <v>0.01</v>
      </c>
      <c r="L133" s="16">
        <v>0</v>
      </c>
    </row>
    <row r="134" spans="1:12" x14ac:dyDescent="0.25">
      <c r="A134" s="10" t="s">
        <v>20</v>
      </c>
      <c r="B134" s="11" t="s">
        <v>309</v>
      </c>
      <c r="C134" s="11" t="s">
        <v>20</v>
      </c>
      <c r="D134" s="11" t="s">
        <v>310</v>
      </c>
      <c r="E134" s="11" t="s">
        <v>54</v>
      </c>
      <c r="F134" s="12">
        <v>81119</v>
      </c>
      <c r="G134" s="13">
        <v>869.92</v>
      </c>
      <c r="H134" s="13">
        <v>0.01</v>
      </c>
      <c r="I134" s="14" t="s">
        <v>20</v>
      </c>
      <c r="J134" s="14" t="s">
        <v>20</v>
      </c>
      <c r="K134" s="15">
        <v>0</v>
      </c>
      <c r="L134" s="16">
        <v>0.01</v>
      </c>
    </row>
    <row r="135" spans="1:12" x14ac:dyDescent="0.25">
      <c r="A135" s="10" t="s">
        <v>20</v>
      </c>
      <c r="B135" s="11" t="s">
        <v>311</v>
      </c>
      <c r="C135" s="11" t="s">
        <v>20</v>
      </c>
      <c r="D135" s="11" t="s">
        <v>312</v>
      </c>
      <c r="E135" s="11" t="s">
        <v>118</v>
      </c>
      <c r="F135" s="12">
        <v>15600</v>
      </c>
      <c r="G135" s="13">
        <v>507.01</v>
      </c>
      <c r="H135" s="13">
        <v>0.01</v>
      </c>
      <c r="I135" s="14" t="s">
        <v>20</v>
      </c>
      <c r="J135" s="14" t="s">
        <v>20</v>
      </c>
      <c r="K135" s="15">
        <v>0.01</v>
      </c>
      <c r="L135" s="16">
        <v>0</v>
      </c>
    </row>
    <row r="136" spans="1:12" x14ac:dyDescent="0.25">
      <c r="A136" s="10" t="s">
        <v>20</v>
      </c>
      <c r="B136" s="11" t="s">
        <v>313</v>
      </c>
      <c r="C136" s="11" t="s">
        <v>20</v>
      </c>
      <c r="D136" s="11" t="s">
        <v>314</v>
      </c>
      <c r="E136" s="11" t="s">
        <v>111</v>
      </c>
      <c r="F136" s="12">
        <v>142200</v>
      </c>
      <c r="G136" s="13">
        <v>512.55999999999995</v>
      </c>
      <c r="H136" s="13">
        <v>0.01</v>
      </c>
      <c r="I136" s="14" t="s">
        <v>20</v>
      </c>
      <c r="J136" s="14" t="s">
        <v>20</v>
      </c>
      <c r="K136" s="15">
        <v>0.01</v>
      </c>
      <c r="L136" s="16">
        <v>0</v>
      </c>
    </row>
    <row r="137" spans="1:12" x14ac:dyDescent="0.25">
      <c r="A137" s="10" t="s">
        <v>20</v>
      </c>
      <c r="B137" s="11" t="s">
        <v>315</v>
      </c>
      <c r="C137" s="11" t="s">
        <v>20</v>
      </c>
      <c r="D137" s="11" t="s">
        <v>316</v>
      </c>
      <c r="E137" s="11" t="s">
        <v>190</v>
      </c>
      <c r="F137" s="12">
        <v>48250</v>
      </c>
      <c r="G137" s="13">
        <v>1259.8800000000001</v>
      </c>
      <c r="H137" s="13">
        <v>0.01</v>
      </c>
      <c r="I137" s="14" t="s">
        <v>20</v>
      </c>
      <c r="J137" s="14" t="s">
        <v>20</v>
      </c>
      <c r="K137" s="15">
        <v>0.01</v>
      </c>
      <c r="L137" s="16">
        <v>0</v>
      </c>
    </row>
    <row r="138" spans="1:12" x14ac:dyDescent="0.25">
      <c r="A138" s="10" t="s">
        <v>20</v>
      </c>
      <c r="B138" s="11" t="s">
        <v>317</v>
      </c>
      <c r="C138" s="11" t="s">
        <v>20</v>
      </c>
      <c r="D138" s="11" t="s">
        <v>318</v>
      </c>
      <c r="E138" s="11" t="s">
        <v>64</v>
      </c>
      <c r="F138" s="12">
        <v>611641</v>
      </c>
      <c r="G138" s="13">
        <v>937.16</v>
      </c>
      <c r="H138" s="13">
        <v>0.01</v>
      </c>
      <c r="I138" s="14" t="s">
        <v>20</v>
      </c>
      <c r="J138" s="14" t="s">
        <v>20</v>
      </c>
      <c r="K138" s="15">
        <v>0</v>
      </c>
      <c r="L138" s="16">
        <v>0.01</v>
      </c>
    </row>
    <row r="139" spans="1:12" x14ac:dyDescent="0.25">
      <c r="A139" s="10" t="s">
        <v>20</v>
      </c>
      <c r="B139" s="11" t="s">
        <v>319</v>
      </c>
      <c r="C139" s="11" t="s">
        <v>20</v>
      </c>
      <c r="D139" s="11" t="s">
        <v>320</v>
      </c>
      <c r="E139" s="11" t="s">
        <v>149</v>
      </c>
      <c r="F139" s="12">
        <v>34250</v>
      </c>
      <c r="G139" s="13">
        <v>975.89</v>
      </c>
      <c r="H139" s="13">
        <v>0.01</v>
      </c>
      <c r="I139" s="14" t="s">
        <v>20</v>
      </c>
      <c r="J139" s="14" t="s">
        <v>20</v>
      </c>
      <c r="K139" s="15">
        <v>0.01</v>
      </c>
      <c r="L139" s="16">
        <v>0</v>
      </c>
    </row>
    <row r="140" spans="1:12" x14ac:dyDescent="0.25">
      <c r="A140" s="10" t="s">
        <v>20</v>
      </c>
      <c r="B140" s="11" t="s">
        <v>321</v>
      </c>
      <c r="C140" s="11" t="s">
        <v>20</v>
      </c>
      <c r="D140" s="11" t="s">
        <v>322</v>
      </c>
      <c r="E140" s="11" t="s">
        <v>157</v>
      </c>
      <c r="F140" s="12">
        <v>16000</v>
      </c>
      <c r="G140" s="13">
        <v>823.67</v>
      </c>
      <c r="H140" s="13">
        <v>0.01</v>
      </c>
      <c r="I140" s="14" t="s">
        <v>20</v>
      </c>
      <c r="J140" s="14" t="s">
        <v>20</v>
      </c>
      <c r="K140" s="15">
        <v>0.01</v>
      </c>
      <c r="L140" s="16">
        <v>0</v>
      </c>
    </row>
    <row r="141" spans="1:12" x14ac:dyDescent="0.25">
      <c r="A141" s="10" t="s">
        <v>20</v>
      </c>
      <c r="B141" s="11" t="s">
        <v>323</v>
      </c>
      <c r="C141" s="11" t="s">
        <v>20</v>
      </c>
      <c r="D141" s="11" t="s">
        <v>324</v>
      </c>
      <c r="E141" s="11" t="s">
        <v>41</v>
      </c>
      <c r="F141" s="12">
        <v>600000</v>
      </c>
      <c r="G141" s="13">
        <v>1340.22</v>
      </c>
      <c r="H141" s="13">
        <v>0.01</v>
      </c>
      <c r="I141" s="14" t="s">
        <v>20</v>
      </c>
      <c r="J141" s="14" t="s">
        <v>20</v>
      </c>
      <c r="K141" s="15">
        <v>0</v>
      </c>
      <c r="L141" s="16">
        <v>0.01</v>
      </c>
    </row>
    <row r="142" spans="1:12" x14ac:dyDescent="0.25">
      <c r="A142" s="10" t="s">
        <v>20</v>
      </c>
      <c r="B142" s="11" t="s">
        <v>325</v>
      </c>
      <c r="C142" s="11" t="s">
        <v>20</v>
      </c>
      <c r="D142" s="11" t="s">
        <v>326</v>
      </c>
      <c r="E142" s="11" t="s">
        <v>35</v>
      </c>
      <c r="F142" s="12">
        <v>41000</v>
      </c>
      <c r="G142" s="13">
        <v>647.05999999999995</v>
      </c>
      <c r="H142" s="13">
        <v>0.01</v>
      </c>
      <c r="I142" s="14" t="s">
        <v>20</v>
      </c>
      <c r="J142" s="14" t="s">
        <v>20</v>
      </c>
      <c r="K142" s="15">
        <v>0.01</v>
      </c>
      <c r="L142" s="16">
        <v>0</v>
      </c>
    </row>
    <row r="143" spans="1:12" x14ac:dyDescent="0.25">
      <c r="A143" s="10" t="s">
        <v>20</v>
      </c>
      <c r="B143" s="11" t="s">
        <v>327</v>
      </c>
      <c r="C143" s="11" t="s">
        <v>20</v>
      </c>
      <c r="D143" s="11" t="s">
        <v>328</v>
      </c>
      <c r="E143" s="11" t="s">
        <v>22</v>
      </c>
      <c r="F143" s="12">
        <v>704503</v>
      </c>
      <c r="G143" s="13">
        <v>888.94</v>
      </c>
      <c r="H143" s="13">
        <v>0.01</v>
      </c>
      <c r="I143" s="14" t="s">
        <v>20</v>
      </c>
      <c r="J143" s="14" t="s">
        <v>20</v>
      </c>
      <c r="K143" s="15">
        <v>0</v>
      </c>
      <c r="L143" s="16">
        <v>0.01</v>
      </c>
    </row>
    <row r="144" spans="1:12" x14ac:dyDescent="0.25">
      <c r="A144" s="10" t="s">
        <v>20</v>
      </c>
      <c r="B144" s="11" t="s">
        <v>329</v>
      </c>
      <c r="C144" s="11" t="s">
        <v>20</v>
      </c>
      <c r="D144" s="11" t="s">
        <v>250</v>
      </c>
      <c r="E144" s="11" t="s">
        <v>251</v>
      </c>
      <c r="F144" s="12">
        <v>166887</v>
      </c>
      <c r="G144" s="13">
        <v>722.54</v>
      </c>
      <c r="H144" s="13">
        <v>0.01</v>
      </c>
      <c r="I144" s="14" t="s">
        <v>20</v>
      </c>
      <c r="J144" s="14" t="s">
        <v>20</v>
      </c>
      <c r="K144" s="15">
        <v>0</v>
      </c>
      <c r="L144" s="16">
        <v>0.01</v>
      </c>
    </row>
    <row r="145" spans="1:12" x14ac:dyDescent="0.25">
      <c r="A145" s="10" t="s">
        <v>20</v>
      </c>
      <c r="B145" s="11" t="s">
        <v>330</v>
      </c>
      <c r="C145" s="11" t="s">
        <v>20</v>
      </c>
      <c r="D145" s="11" t="s">
        <v>331</v>
      </c>
      <c r="E145" s="11" t="s">
        <v>177</v>
      </c>
      <c r="F145" s="12">
        <v>89122</v>
      </c>
      <c r="G145" s="13">
        <v>480.95</v>
      </c>
      <c r="H145" s="13">
        <v>0.01</v>
      </c>
      <c r="I145" s="14" t="s">
        <v>20</v>
      </c>
      <c r="J145" s="14" t="s">
        <v>20</v>
      </c>
      <c r="K145" s="15">
        <v>0</v>
      </c>
      <c r="L145" s="16">
        <v>0.01</v>
      </c>
    </row>
    <row r="146" spans="1:12" x14ac:dyDescent="0.25">
      <c r="A146" s="10" t="s">
        <v>20</v>
      </c>
      <c r="B146" s="11" t="s">
        <v>332</v>
      </c>
      <c r="C146" s="11" t="s">
        <v>20</v>
      </c>
      <c r="D146" s="11" t="s">
        <v>333</v>
      </c>
      <c r="E146" s="11" t="s">
        <v>334</v>
      </c>
      <c r="F146" s="12">
        <v>4587241</v>
      </c>
      <c r="G146" s="13">
        <v>378.91</v>
      </c>
      <c r="H146" s="13" t="s">
        <v>335</v>
      </c>
      <c r="I146" s="14" t="s">
        <v>20</v>
      </c>
      <c r="J146" s="14" t="s">
        <v>20</v>
      </c>
      <c r="K146" s="15" t="s">
        <v>335</v>
      </c>
      <c r="L146" s="16">
        <v>0</v>
      </c>
    </row>
    <row r="147" spans="1:12" x14ac:dyDescent="0.25">
      <c r="A147" s="10" t="s">
        <v>20</v>
      </c>
      <c r="B147" s="11" t="s">
        <v>336</v>
      </c>
      <c r="C147" s="11" t="s">
        <v>20</v>
      </c>
      <c r="D147" s="11" t="s">
        <v>337</v>
      </c>
      <c r="E147" s="11" t="s">
        <v>201</v>
      </c>
      <c r="F147" s="12">
        <v>2800</v>
      </c>
      <c r="G147" s="13">
        <v>65.540000000000006</v>
      </c>
      <c r="H147" s="13" t="s">
        <v>335</v>
      </c>
      <c r="I147" s="14" t="s">
        <v>20</v>
      </c>
      <c r="J147" s="14" t="s">
        <v>20</v>
      </c>
      <c r="K147" s="15" t="s">
        <v>335</v>
      </c>
      <c r="L147" s="16">
        <v>0</v>
      </c>
    </row>
    <row r="148" spans="1:12" x14ac:dyDescent="0.25">
      <c r="A148" s="10" t="s">
        <v>20</v>
      </c>
      <c r="B148" s="11" t="s">
        <v>338</v>
      </c>
      <c r="C148" s="11" t="s">
        <v>20</v>
      </c>
      <c r="D148" s="11" t="s">
        <v>339</v>
      </c>
      <c r="E148" s="11" t="s">
        <v>111</v>
      </c>
      <c r="F148" s="12">
        <v>4800</v>
      </c>
      <c r="G148" s="13">
        <v>122.63</v>
      </c>
      <c r="H148" s="13" t="s">
        <v>335</v>
      </c>
      <c r="I148" s="14" t="s">
        <v>20</v>
      </c>
      <c r="J148" s="14" t="s">
        <v>20</v>
      </c>
      <c r="K148" s="15" t="s">
        <v>335</v>
      </c>
      <c r="L148" s="16">
        <v>0</v>
      </c>
    </row>
    <row r="149" spans="1:12" x14ac:dyDescent="0.25">
      <c r="A149" s="10" t="s">
        <v>20</v>
      </c>
      <c r="B149" s="11" t="s">
        <v>340</v>
      </c>
      <c r="C149" s="11" t="s">
        <v>20</v>
      </c>
      <c r="D149" s="11" t="s">
        <v>341</v>
      </c>
      <c r="E149" s="11" t="s">
        <v>201</v>
      </c>
      <c r="F149" s="12">
        <v>21600</v>
      </c>
      <c r="G149" s="13">
        <v>76.45</v>
      </c>
      <c r="H149" s="13" t="s">
        <v>335</v>
      </c>
      <c r="I149" s="14" t="s">
        <v>20</v>
      </c>
      <c r="J149" s="14" t="s">
        <v>20</v>
      </c>
      <c r="K149" s="15" t="s">
        <v>335</v>
      </c>
      <c r="L149" s="16">
        <v>0</v>
      </c>
    </row>
    <row r="150" spans="1:12" x14ac:dyDescent="0.25">
      <c r="A150" s="10" t="s">
        <v>20</v>
      </c>
      <c r="B150" s="11" t="s">
        <v>342</v>
      </c>
      <c r="C150" s="11" t="s">
        <v>20</v>
      </c>
      <c r="D150" s="11" t="s">
        <v>343</v>
      </c>
      <c r="E150" s="11" t="s">
        <v>261</v>
      </c>
      <c r="F150" s="12">
        <v>51250</v>
      </c>
      <c r="G150" s="13">
        <v>259.58</v>
      </c>
      <c r="H150" s="13" t="s">
        <v>335</v>
      </c>
      <c r="I150" s="14" t="s">
        <v>20</v>
      </c>
      <c r="J150" s="14" t="s">
        <v>20</v>
      </c>
      <c r="K150" s="15" t="s">
        <v>335</v>
      </c>
      <c r="L150" s="16">
        <v>0</v>
      </c>
    </row>
    <row r="151" spans="1:12" x14ac:dyDescent="0.25">
      <c r="A151" s="10" t="s">
        <v>20</v>
      </c>
      <c r="B151" s="11" t="s">
        <v>344</v>
      </c>
      <c r="C151" s="11" t="s">
        <v>20</v>
      </c>
      <c r="D151" s="11" t="s">
        <v>345</v>
      </c>
      <c r="E151" s="11" t="s">
        <v>59</v>
      </c>
      <c r="F151" s="12">
        <v>4350</v>
      </c>
      <c r="G151" s="13">
        <v>161.94999999999999</v>
      </c>
      <c r="H151" s="13" t="s">
        <v>335</v>
      </c>
      <c r="I151" s="14" t="s">
        <v>20</v>
      </c>
      <c r="J151" s="14" t="s">
        <v>20</v>
      </c>
      <c r="K151" s="15" t="s">
        <v>335</v>
      </c>
      <c r="L151" s="16">
        <v>0</v>
      </c>
    </row>
    <row r="152" spans="1:12" x14ac:dyDescent="0.25">
      <c r="A152" s="10" t="s">
        <v>20</v>
      </c>
      <c r="B152" s="11" t="s">
        <v>346</v>
      </c>
      <c r="C152" s="11" t="s">
        <v>20</v>
      </c>
      <c r="D152" s="11" t="s">
        <v>347</v>
      </c>
      <c r="E152" s="11" t="s">
        <v>241</v>
      </c>
      <c r="F152" s="12">
        <v>78750</v>
      </c>
      <c r="G152" s="13">
        <v>138.41999999999999</v>
      </c>
      <c r="H152" s="13" t="s">
        <v>335</v>
      </c>
      <c r="I152" s="14" t="s">
        <v>20</v>
      </c>
      <c r="J152" s="14" t="s">
        <v>20</v>
      </c>
      <c r="K152" s="15" t="s">
        <v>335</v>
      </c>
      <c r="L152" s="16">
        <v>0</v>
      </c>
    </row>
    <row r="153" spans="1:12" x14ac:dyDescent="0.25">
      <c r="A153" s="10" t="s">
        <v>20</v>
      </c>
      <c r="B153" s="11" t="s">
        <v>348</v>
      </c>
      <c r="C153" s="11" t="s">
        <v>20</v>
      </c>
      <c r="D153" s="11" t="s">
        <v>349</v>
      </c>
      <c r="E153" s="11" t="s">
        <v>27</v>
      </c>
      <c r="F153" s="12">
        <v>302250</v>
      </c>
      <c r="G153" s="13">
        <v>385.97</v>
      </c>
      <c r="H153" s="13" t="s">
        <v>335</v>
      </c>
      <c r="I153" s="14" t="s">
        <v>20</v>
      </c>
      <c r="J153" s="14" t="s">
        <v>20</v>
      </c>
      <c r="K153" s="15" t="s">
        <v>335</v>
      </c>
      <c r="L153" s="16">
        <v>0</v>
      </c>
    </row>
    <row r="154" spans="1:12" x14ac:dyDescent="0.25">
      <c r="A154" s="10" t="s">
        <v>20</v>
      </c>
      <c r="B154" s="11" t="s">
        <v>350</v>
      </c>
      <c r="C154" s="11" t="s">
        <v>20</v>
      </c>
      <c r="D154" s="11" t="s">
        <v>351</v>
      </c>
      <c r="E154" s="11" t="s">
        <v>236</v>
      </c>
      <c r="F154" s="12">
        <v>42000</v>
      </c>
      <c r="G154" s="13">
        <v>305.55</v>
      </c>
      <c r="H154" s="13" t="s">
        <v>335</v>
      </c>
      <c r="I154" s="14" t="s">
        <v>20</v>
      </c>
      <c r="J154" s="14" t="s">
        <v>20</v>
      </c>
      <c r="K154" s="15" t="s">
        <v>335</v>
      </c>
      <c r="L154" s="16">
        <v>0</v>
      </c>
    </row>
    <row r="155" spans="1:12" x14ac:dyDescent="0.25">
      <c r="A155" s="10" t="s">
        <v>20</v>
      </c>
      <c r="B155" s="11" t="s">
        <v>352</v>
      </c>
      <c r="C155" s="11" t="s">
        <v>20</v>
      </c>
      <c r="D155" s="11" t="s">
        <v>353</v>
      </c>
      <c r="E155" s="11" t="s">
        <v>54</v>
      </c>
      <c r="F155" s="12">
        <v>25500</v>
      </c>
      <c r="G155" s="13">
        <v>156.41999999999999</v>
      </c>
      <c r="H155" s="13" t="s">
        <v>335</v>
      </c>
      <c r="I155" s="14" t="s">
        <v>20</v>
      </c>
      <c r="J155" s="14" t="s">
        <v>20</v>
      </c>
      <c r="K155" s="15" t="s">
        <v>335</v>
      </c>
      <c r="L155" s="16">
        <v>0</v>
      </c>
    </row>
    <row r="156" spans="1:12" x14ac:dyDescent="0.25">
      <c r="A156" s="10" t="s">
        <v>20</v>
      </c>
      <c r="B156" s="11" t="s">
        <v>354</v>
      </c>
      <c r="C156" s="11" t="s">
        <v>20</v>
      </c>
      <c r="D156" s="11" t="s">
        <v>355</v>
      </c>
      <c r="E156" s="11" t="s">
        <v>64</v>
      </c>
      <c r="F156" s="12">
        <v>24000</v>
      </c>
      <c r="G156" s="13">
        <v>135.32</v>
      </c>
      <c r="H156" s="13" t="s">
        <v>335</v>
      </c>
      <c r="I156" s="14" t="s">
        <v>20</v>
      </c>
      <c r="J156" s="14" t="s">
        <v>20</v>
      </c>
      <c r="K156" s="15" t="s">
        <v>335</v>
      </c>
      <c r="L156" s="16">
        <v>0</v>
      </c>
    </row>
    <row r="157" spans="1:12" x14ac:dyDescent="0.25">
      <c r="A157" s="10" t="s">
        <v>20</v>
      </c>
      <c r="B157" s="11" t="s">
        <v>356</v>
      </c>
      <c r="C157" s="11" t="s">
        <v>20</v>
      </c>
      <c r="D157" s="11" t="s">
        <v>357</v>
      </c>
      <c r="E157" s="11" t="s">
        <v>134</v>
      </c>
      <c r="F157" s="12">
        <v>8083148</v>
      </c>
      <c r="G157" s="13">
        <v>0.81</v>
      </c>
      <c r="H157" s="13" t="s">
        <v>335</v>
      </c>
      <c r="I157" s="14" t="s">
        <v>20</v>
      </c>
      <c r="J157" s="14" t="s">
        <v>20</v>
      </c>
      <c r="K157" s="15" t="s">
        <v>335</v>
      </c>
      <c r="L157" s="16">
        <v>0</v>
      </c>
    </row>
    <row r="158" spans="1:12" x14ac:dyDescent="0.25">
      <c r="A158" s="10" t="s">
        <v>20</v>
      </c>
      <c r="B158" s="11" t="s">
        <v>358</v>
      </c>
      <c r="C158" s="11" t="s">
        <v>20</v>
      </c>
      <c r="D158" s="11" t="s">
        <v>359</v>
      </c>
      <c r="E158" s="11" t="s">
        <v>231</v>
      </c>
      <c r="F158" s="12">
        <v>105000</v>
      </c>
      <c r="G158" s="13">
        <v>184.31</v>
      </c>
      <c r="H158" s="13" t="s">
        <v>335</v>
      </c>
      <c r="I158" s="14" t="s">
        <v>20</v>
      </c>
      <c r="J158" s="14" t="s">
        <v>20</v>
      </c>
      <c r="K158" s="15" t="s">
        <v>335</v>
      </c>
      <c r="L158" s="16">
        <v>0</v>
      </c>
    </row>
    <row r="159" spans="1:12" x14ac:dyDescent="0.25">
      <c r="A159" s="10" t="s">
        <v>20</v>
      </c>
      <c r="B159" s="11" t="s">
        <v>360</v>
      </c>
      <c r="C159" s="11" t="s">
        <v>20</v>
      </c>
      <c r="D159" s="11" t="s">
        <v>361</v>
      </c>
      <c r="E159" s="11" t="s">
        <v>30</v>
      </c>
      <c r="F159" s="12">
        <v>4600</v>
      </c>
      <c r="G159" s="13">
        <v>253.63</v>
      </c>
      <c r="H159" s="13" t="s">
        <v>335</v>
      </c>
      <c r="I159" s="14" t="s">
        <v>20</v>
      </c>
      <c r="J159" s="14" t="s">
        <v>20</v>
      </c>
      <c r="K159" s="15" t="s">
        <v>335</v>
      </c>
      <c r="L159" s="16">
        <v>0</v>
      </c>
    </row>
    <row r="160" spans="1:12" x14ac:dyDescent="0.25">
      <c r="A160" s="10" t="s">
        <v>20</v>
      </c>
      <c r="B160" s="11" t="s">
        <v>362</v>
      </c>
      <c r="C160" s="11" t="s">
        <v>20</v>
      </c>
      <c r="D160" s="11" t="s">
        <v>363</v>
      </c>
      <c r="E160" s="11" t="s">
        <v>85</v>
      </c>
      <c r="F160" s="12">
        <v>126000</v>
      </c>
      <c r="G160" s="13">
        <v>369.94</v>
      </c>
      <c r="H160" s="13" t="s">
        <v>335</v>
      </c>
      <c r="I160" s="14" t="s">
        <v>20</v>
      </c>
      <c r="J160" s="14" t="s">
        <v>20</v>
      </c>
      <c r="K160" s="15" t="s">
        <v>335</v>
      </c>
      <c r="L160" s="16">
        <v>0</v>
      </c>
    </row>
    <row r="161" spans="1:12" x14ac:dyDescent="0.25">
      <c r="A161" s="10" t="s">
        <v>20</v>
      </c>
      <c r="B161" s="11" t="s">
        <v>364</v>
      </c>
      <c r="C161" s="11" t="s">
        <v>20</v>
      </c>
      <c r="D161" s="11" t="s">
        <v>365</v>
      </c>
      <c r="E161" s="11" t="s">
        <v>94</v>
      </c>
      <c r="F161" s="12">
        <v>104000</v>
      </c>
      <c r="G161" s="13">
        <v>119.79</v>
      </c>
      <c r="H161" s="13" t="s">
        <v>335</v>
      </c>
      <c r="I161" s="14" t="s">
        <v>20</v>
      </c>
      <c r="J161" s="14" t="s">
        <v>20</v>
      </c>
      <c r="K161" s="15" t="s">
        <v>335</v>
      </c>
      <c r="L161" s="16">
        <v>0</v>
      </c>
    </row>
    <row r="162" spans="1:12" x14ac:dyDescent="0.25">
      <c r="A162" s="10" t="s">
        <v>20</v>
      </c>
      <c r="B162" s="11" t="s">
        <v>366</v>
      </c>
      <c r="C162" s="11" t="s">
        <v>20</v>
      </c>
      <c r="D162" s="11" t="s">
        <v>367</v>
      </c>
      <c r="E162" s="11" t="s">
        <v>368</v>
      </c>
      <c r="F162" s="12">
        <v>4556</v>
      </c>
      <c r="G162" s="13">
        <v>45.65</v>
      </c>
      <c r="H162" s="13" t="s">
        <v>335</v>
      </c>
      <c r="I162" s="14" t="s">
        <v>20</v>
      </c>
      <c r="J162" s="14" t="s">
        <v>20</v>
      </c>
      <c r="K162" s="15" t="s">
        <v>335</v>
      </c>
      <c r="L162" s="16">
        <v>0</v>
      </c>
    </row>
    <row r="163" spans="1:12" x14ac:dyDescent="0.25">
      <c r="A163" s="10" t="s">
        <v>20</v>
      </c>
      <c r="B163" s="11" t="s">
        <v>369</v>
      </c>
      <c r="C163" s="11" t="s">
        <v>20</v>
      </c>
      <c r="D163" s="11" t="s">
        <v>370</v>
      </c>
      <c r="E163" s="11" t="s">
        <v>30</v>
      </c>
      <c r="F163" s="12">
        <v>600</v>
      </c>
      <c r="G163" s="13">
        <v>8.51</v>
      </c>
      <c r="H163" s="13" t="s">
        <v>335</v>
      </c>
      <c r="I163" s="14" t="s">
        <v>20</v>
      </c>
      <c r="J163" s="14" t="s">
        <v>20</v>
      </c>
      <c r="K163" s="15" t="s">
        <v>335</v>
      </c>
      <c r="L163" s="16">
        <v>0</v>
      </c>
    </row>
    <row r="164" spans="1:12" x14ac:dyDescent="0.25">
      <c r="A164" s="10" t="s">
        <v>20</v>
      </c>
      <c r="B164" s="11" t="s">
        <v>371</v>
      </c>
      <c r="C164" s="11" t="s">
        <v>20</v>
      </c>
      <c r="D164" s="11" t="s">
        <v>372</v>
      </c>
      <c r="E164" s="11" t="s">
        <v>54</v>
      </c>
      <c r="F164" s="12">
        <v>12500</v>
      </c>
      <c r="G164" s="13">
        <v>403.49</v>
      </c>
      <c r="H164" s="13" t="s">
        <v>335</v>
      </c>
      <c r="I164" s="14" t="s">
        <v>20</v>
      </c>
      <c r="J164" s="14" t="s">
        <v>20</v>
      </c>
      <c r="K164" s="15" t="s">
        <v>335</v>
      </c>
      <c r="L164" s="16">
        <v>0</v>
      </c>
    </row>
    <row r="165" spans="1:12" x14ac:dyDescent="0.25">
      <c r="A165" s="17"/>
      <c r="B165" s="9" t="s">
        <v>373</v>
      </c>
      <c r="C165" s="17"/>
      <c r="D165" s="17"/>
      <c r="E165" s="17"/>
      <c r="F165" s="17"/>
      <c r="G165" s="18">
        <v>6326067.259999997</v>
      </c>
      <c r="H165" s="18">
        <v>66.650000000000034</v>
      </c>
      <c r="I165" s="17"/>
      <c r="J165" s="17"/>
      <c r="K165" s="17"/>
      <c r="L165" s="17"/>
    </row>
    <row r="166" spans="1:12" x14ac:dyDescent="0.25">
      <c r="A166" s="8"/>
      <c r="B166" s="9" t="s">
        <v>374</v>
      </c>
      <c r="C166" s="8"/>
      <c r="D166" s="8"/>
      <c r="E166" s="8"/>
      <c r="F166" s="8"/>
      <c r="G166" s="8"/>
      <c r="H166" s="8"/>
      <c r="I166" s="8"/>
      <c r="J166" s="8"/>
      <c r="K166" s="8"/>
      <c r="L166" s="8"/>
    </row>
    <row r="167" spans="1:12" x14ac:dyDescent="0.25">
      <c r="A167" s="8"/>
      <c r="B167" s="9" t="s">
        <v>375</v>
      </c>
      <c r="C167" s="8"/>
      <c r="D167" s="8"/>
      <c r="E167" s="8"/>
      <c r="F167" s="8"/>
      <c r="G167" s="8"/>
      <c r="H167" s="8"/>
      <c r="I167" s="8"/>
      <c r="J167" s="8"/>
      <c r="K167" s="8"/>
      <c r="L167" s="8"/>
    </row>
    <row r="168" spans="1:12" x14ac:dyDescent="0.25">
      <c r="A168" s="10" t="s">
        <v>20</v>
      </c>
      <c r="B168" s="11" t="s">
        <v>376</v>
      </c>
      <c r="C168" s="11">
        <v>7.5</v>
      </c>
      <c r="D168" s="11" t="s">
        <v>377</v>
      </c>
      <c r="E168" s="11" t="s">
        <v>64</v>
      </c>
      <c r="F168" s="12">
        <v>37500</v>
      </c>
      <c r="G168" s="13">
        <v>42583.74</v>
      </c>
      <c r="H168" s="13">
        <v>0.45</v>
      </c>
      <c r="I168" s="14">
        <f>0.08075*100</f>
        <v>8.0750000000000011</v>
      </c>
      <c r="J168" s="14" t="s">
        <v>20</v>
      </c>
      <c r="K168" s="15" t="s">
        <v>20</v>
      </c>
      <c r="L168" s="16" t="s">
        <v>20</v>
      </c>
    </row>
    <row r="169" spans="1:12" x14ac:dyDescent="0.25">
      <c r="A169" s="17"/>
      <c r="B169" s="9" t="s">
        <v>373</v>
      </c>
      <c r="C169" s="17"/>
      <c r="D169" s="17"/>
      <c r="E169" s="17"/>
      <c r="F169" s="17"/>
      <c r="G169" s="18">
        <v>42583.74</v>
      </c>
      <c r="H169" s="18">
        <v>0.45</v>
      </c>
      <c r="I169" s="17"/>
      <c r="J169" s="17"/>
      <c r="K169" s="17"/>
      <c r="L169" s="17"/>
    </row>
    <row r="170" spans="1:12" x14ac:dyDescent="0.25">
      <c r="A170" s="8"/>
      <c r="B170" s="9" t="s">
        <v>378</v>
      </c>
      <c r="C170" s="8"/>
      <c r="D170" s="8"/>
      <c r="E170" s="8"/>
      <c r="F170" s="8"/>
      <c r="G170" s="19">
        <v>6368650.9999999972</v>
      </c>
      <c r="H170" s="19">
        <v>67.100000000000037</v>
      </c>
      <c r="I170" s="8"/>
      <c r="J170" s="8"/>
      <c r="K170" s="8"/>
      <c r="L170" s="8"/>
    </row>
    <row r="171" spans="1:12" x14ac:dyDescent="0.25">
      <c r="A171" s="8"/>
      <c r="B171" s="9" t="s">
        <v>379</v>
      </c>
      <c r="C171" s="8"/>
      <c r="D171" s="8"/>
      <c r="E171" s="8"/>
      <c r="F171" s="8"/>
      <c r="G171" s="8"/>
      <c r="H171" s="8"/>
      <c r="I171" s="8"/>
      <c r="J171" s="8"/>
      <c r="K171" s="8"/>
      <c r="L171" s="8"/>
    </row>
    <row r="172" spans="1:12" x14ac:dyDescent="0.25">
      <c r="A172" s="8"/>
      <c r="B172" s="9" t="s">
        <v>16</v>
      </c>
      <c r="C172" s="8"/>
      <c r="D172" s="8"/>
      <c r="E172" s="8"/>
      <c r="F172" s="8"/>
      <c r="G172" s="8"/>
      <c r="H172" s="8"/>
      <c r="I172" s="8"/>
      <c r="J172" s="8"/>
      <c r="K172" s="8"/>
      <c r="L172" s="8"/>
    </row>
    <row r="173" spans="1:12" x14ac:dyDescent="0.25">
      <c r="A173" s="8"/>
      <c r="B173" s="9" t="s">
        <v>380</v>
      </c>
      <c r="C173" s="8"/>
      <c r="D173" s="8"/>
      <c r="E173" s="8"/>
      <c r="F173" s="8"/>
      <c r="G173" s="8"/>
      <c r="H173" s="8"/>
      <c r="I173" s="8"/>
      <c r="J173" s="8"/>
      <c r="K173" s="8"/>
      <c r="L173" s="8"/>
    </row>
    <row r="174" spans="1:12" x14ac:dyDescent="0.25">
      <c r="A174" s="10" t="s">
        <v>18</v>
      </c>
      <c r="B174" s="11" t="s">
        <v>381</v>
      </c>
      <c r="C174" s="11">
        <v>7.18</v>
      </c>
      <c r="D174" s="11" t="s">
        <v>382</v>
      </c>
      <c r="E174" s="11" t="s">
        <v>383</v>
      </c>
      <c r="F174" s="12">
        <v>228533300</v>
      </c>
      <c r="G174" s="13">
        <v>236844.6</v>
      </c>
      <c r="H174" s="13">
        <v>2.5</v>
      </c>
      <c r="I174" s="14">
        <v>6.7146999999999997</v>
      </c>
      <c r="J174" s="14" t="s">
        <v>20</v>
      </c>
      <c r="K174" s="15" t="s">
        <v>20</v>
      </c>
      <c r="L174" s="16" t="s">
        <v>20</v>
      </c>
    </row>
    <row r="175" spans="1:12" x14ac:dyDescent="0.25">
      <c r="A175" s="10" t="s">
        <v>20</v>
      </c>
      <c r="B175" s="11" t="s">
        <v>384</v>
      </c>
      <c r="C175" s="11">
        <v>7.53</v>
      </c>
      <c r="D175" s="11" t="s">
        <v>385</v>
      </c>
      <c r="E175" s="11" t="s">
        <v>383</v>
      </c>
      <c r="F175" s="12">
        <v>150000000</v>
      </c>
      <c r="G175" s="13">
        <v>151424.85</v>
      </c>
      <c r="H175" s="13">
        <v>1.6</v>
      </c>
      <c r="I175" s="14">
        <v>7.4332000000000003</v>
      </c>
      <c r="J175" s="14" t="s">
        <v>20</v>
      </c>
      <c r="K175" s="15" t="s">
        <v>20</v>
      </c>
      <c r="L175" s="16" t="s">
        <v>20</v>
      </c>
    </row>
    <row r="176" spans="1:12" x14ac:dyDescent="0.25">
      <c r="A176" s="10" t="s">
        <v>20</v>
      </c>
      <c r="B176" s="11" t="s">
        <v>386</v>
      </c>
      <c r="C176" s="11">
        <v>7.1</v>
      </c>
      <c r="D176" s="11" t="s">
        <v>387</v>
      </c>
      <c r="E176" s="11" t="s">
        <v>383</v>
      </c>
      <c r="F176" s="12">
        <v>111243100</v>
      </c>
      <c r="G176" s="13">
        <v>114870.29</v>
      </c>
      <c r="H176" s="13">
        <v>1.21</v>
      </c>
      <c r="I176" s="14">
        <v>6.7233000000000001</v>
      </c>
      <c r="J176" s="14" t="s">
        <v>20</v>
      </c>
      <c r="K176" s="15" t="s">
        <v>20</v>
      </c>
      <c r="L176" s="16" t="s">
        <v>20</v>
      </c>
    </row>
    <row r="177" spans="1:12" x14ac:dyDescent="0.25">
      <c r="A177" s="10" t="s">
        <v>20</v>
      </c>
      <c r="B177" s="11" t="s">
        <v>388</v>
      </c>
      <c r="C177" s="11">
        <v>7.18</v>
      </c>
      <c r="D177" s="11" t="s">
        <v>389</v>
      </c>
      <c r="E177" s="11" t="s">
        <v>383</v>
      </c>
      <c r="F177" s="12">
        <v>97500000</v>
      </c>
      <c r="G177" s="13">
        <v>101481.8</v>
      </c>
      <c r="H177" s="13">
        <v>1.07</v>
      </c>
      <c r="I177" s="14">
        <v>6.7981999999999996</v>
      </c>
      <c r="J177" s="14" t="s">
        <v>20</v>
      </c>
      <c r="K177" s="15" t="s">
        <v>20</v>
      </c>
      <c r="L177" s="16" t="s">
        <v>20</v>
      </c>
    </row>
    <row r="178" spans="1:12" x14ac:dyDescent="0.25">
      <c r="A178" s="10" t="s">
        <v>20</v>
      </c>
      <c r="B178" s="11" t="s">
        <v>390</v>
      </c>
      <c r="C178" s="11">
        <v>7.34</v>
      </c>
      <c r="D178" s="11" t="s">
        <v>391</v>
      </c>
      <c r="E178" s="11" t="s">
        <v>383</v>
      </c>
      <c r="F178" s="12">
        <v>79485100</v>
      </c>
      <c r="G178" s="13">
        <v>83660.850000000006</v>
      </c>
      <c r="H178" s="13">
        <v>0.88</v>
      </c>
      <c r="I178" s="14">
        <v>7.0679999999999996</v>
      </c>
      <c r="J178" s="14" t="s">
        <v>20</v>
      </c>
      <c r="K178" s="15" t="s">
        <v>20</v>
      </c>
      <c r="L178" s="16" t="s">
        <v>20</v>
      </c>
    </row>
    <row r="179" spans="1:12" x14ac:dyDescent="0.25">
      <c r="A179" s="10" t="s">
        <v>20</v>
      </c>
      <c r="B179" s="11" t="s">
        <v>392</v>
      </c>
      <c r="C179" s="11">
        <v>7.26</v>
      </c>
      <c r="D179" s="11" t="s">
        <v>393</v>
      </c>
      <c r="E179" s="11" t="s">
        <v>383</v>
      </c>
      <c r="F179" s="12">
        <v>60558900</v>
      </c>
      <c r="G179" s="13">
        <v>62972.05</v>
      </c>
      <c r="H179" s="13">
        <v>0.66</v>
      </c>
      <c r="I179" s="14">
        <v>6.7081</v>
      </c>
      <c r="J179" s="14" t="s">
        <v>20</v>
      </c>
      <c r="K179" s="15" t="s">
        <v>20</v>
      </c>
      <c r="L179" s="16" t="s">
        <v>20</v>
      </c>
    </row>
    <row r="180" spans="1:12" x14ac:dyDescent="0.25">
      <c r="A180" s="10" t="s">
        <v>20</v>
      </c>
      <c r="B180" s="11" t="s">
        <v>394</v>
      </c>
      <c r="C180" s="11">
        <v>7.26</v>
      </c>
      <c r="D180" s="11" t="s">
        <v>395</v>
      </c>
      <c r="E180" s="11" t="s">
        <v>383</v>
      </c>
      <c r="F180" s="12">
        <v>40000000</v>
      </c>
      <c r="G180" s="13">
        <v>41600.6</v>
      </c>
      <c r="H180" s="13">
        <v>0.44</v>
      </c>
      <c r="I180" s="14">
        <v>6.6741000000000001</v>
      </c>
      <c r="J180" s="14" t="s">
        <v>20</v>
      </c>
      <c r="K180" s="15" t="s">
        <v>20</v>
      </c>
      <c r="L180" s="16" t="s">
        <v>20</v>
      </c>
    </row>
    <row r="181" spans="1:12" x14ac:dyDescent="0.25">
      <c r="A181" s="10" t="s">
        <v>20</v>
      </c>
      <c r="B181" s="11" t="s">
        <v>396</v>
      </c>
      <c r="C181" s="11">
        <v>6.79</v>
      </c>
      <c r="D181" s="11" t="s">
        <v>397</v>
      </c>
      <c r="E181" s="11" t="s">
        <v>383</v>
      </c>
      <c r="F181" s="12">
        <v>25000000</v>
      </c>
      <c r="G181" s="13">
        <v>25368.5</v>
      </c>
      <c r="H181" s="13">
        <v>0.27</v>
      </c>
      <c r="I181" s="14">
        <v>6.6871</v>
      </c>
      <c r="J181" s="14" t="s">
        <v>20</v>
      </c>
      <c r="K181" s="15" t="s">
        <v>20</v>
      </c>
      <c r="L181" s="16" t="s">
        <v>20</v>
      </c>
    </row>
    <row r="182" spans="1:12" x14ac:dyDescent="0.25">
      <c r="A182" s="10" t="s">
        <v>20</v>
      </c>
      <c r="B182" s="11" t="s">
        <v>398</v>
      </c>
      <c r="C182" s="11">
        <v>7.3</v>
      </c>
      <c r="D182" s="11" t="s">
        <v>399</v>
      </c>
      <c r="E182" s="11" t="s">
        <v>383</v>
      </c>
      <c r="F182" s="12">
        <v>19002100</v>
      </c>
      <c r="G182" s="13">
        <v>19916.61</v>
      </c>
      <c r="H182" s="13">
        <v>0.21</v>
      </c>
      <c r="I182" s="14">
        <v>7.0282</v>
      </c>
      <c r="J182" s="14" t="s">
        <v>20</v>
      </c>
      <c r="K182" s="15" t="s">
        <v>20</v>
      </c>
      <c r="L182" s="16" t="s">
        <v>20</v>
      </c>
    </row>
    <row r="183" spans="1:12" x14ac:dyDescent="0.25">
      <c r="A183" s="10" t="s">
        <v>20</v>
      </c>
      <c r="B183" s="11" t="s">
        <v>400</v>
      </c>
      <c r="C183" s="11">
        <v>7.09</v>
      </c>
      <c r="D183" s="11" t="s">
        <v>401</v>
      </c>
      <c r="E183" s="11" t="s">
        <v>383</v>
      </c>
      <c r="F183" s="12">
        <v>15200800</v>
      </c>
      <c r="G183" s="13">
        <v>15522.13</v>
      </c>
      <c r="H183" s="13">
        <v>0.16</v>
      </c>
      <c r="I183" s="14">
        <v>7.0393999999999997</v>
      </c>
      <c r="J183" s="14" t="s">
        <v>20</v>
      </c>
      <c r="K183" s="15" t="s">
        <v>20</v>
      </c>
      <c r="L183" s="16" t="s">
        <v>20</v>
      </c>
    </row>
    <row r="184" spans="1:12" x14ac:dyDescent="0.25">
      <c r="A184" s="10" t="s">
        <v>20</v>
      </c>
      <c r="B184" s="11" t="s">
        <v>402</v>
      </c>
      <c r="C184" s="11">
        <v>7.23</v>
      </c>
      <c r="D184" s="11" t="s">
        <v>403</v>
      </c>
      <c r="E184" s="11" t="s">
        <v>383</v>
      </c>
      <c r="F184" s="12">
        <v>12302500</v>
      </c>
      <c r="G184" s="13">
        <v>12898.03</v>
      </c>
      <c r="H184" s="13">
        <v>0.14000000000000001</v>
      </c>
      <c r="I184" s="14">
        <v>6.8044000000000002</v>
      </c>
      <c r="J184" s="14" t="s">
        <v>20</v>
      </c>
      <c r="K184" s="15" t="s">
        <v>20</v>
      </c>
      <c r="L184" s="16" t="s">
        <v>20</v>
      </c>
    </row>
    <row r="185" spans="1:12" x14ac:dyDescent="0.25">
      <c r="A185" s="10" t="s">
        <v>20</v>
      </c>
      <c r="B185" s="11" t="s">
        <v>404</v>
      </c>
      <c r="C185" s="11">
        <v>7.1</v>
      </c>
      <c r="D185" s="11" t="s">
        <v>405</v>
      </c>
      <c r="E185" s="11" t="s">
        <v>383</v>
      </c>
      <c r="F185" s="12">
        <v>11000000</v>
      </c>
      <c r="G185" s="13">
        <v>11246.57</v>
      </c>
      <c r="H185" s="13">
        <v>0.12</v>
      </c>
      <c r="I185" s="14">
        <v>6.5647000000000002</v>
      </c>
      <c r="J185" s="14" t="s">
        <v>20</v>
      </c>
      <c r="K185" s="15" t="s">
        <v>20</v>
      </c>
      <c r="L185" s="16" t="s">
        <v>20</v>
      </c>
    </row>
    <row r="186" spans="1:12" x14ac:dyDescent="0.25">
      <c r="A186" s="10" t="s">
        <v>20</v>
      </c>
      <c r="B186" s="11" t="s">
        <v>406</v>
      </c>
      <c r="C186" s="11">
        <v>7.64</v>
      </c>
      <c r="D186" s="11" t="s">
        <v>407</v>
      </c>
      <c r="E186" s="11" t="s">
        <v>383</v>
      </c>
      <c r="F186" s="12">
        <v>5000000</v>
      </c>
      <c r="G186" s="13">
        <v>5217.49</v>
      </c>
      <c r="H186" s="13">
        <v>0.06</v>
      </c>
      <c r="I186" s="14">
        <v>7.0255999999999998</v>
      </c>
      <c r="J186" s="14" t="s">
        <v>20</v>
      </c>
      <c r="K186" s="15" t="s">
        <v>20</v>
      </c>
      <c r="L186" s="16" t="s">
        <v>20</v>
      </c>
    </row>
    <row r="187" spans="1:12" x14ac:dyDescent="0.25">
      <c r="A187" s="10" t="s">
        <v>20</v>
      </c>
      <c r="B187" s="11" t="s">
        <v>408</v>
      </c>
      <c r="C187" s="11">
        <v>7.63</v>
      </c>
      <c r="D187" s="11" t="s">
        <v>409</v>
      </c>
      <c r="E187" s="11" t="s">
        <v>383</v>
      </c>
      <c r="F187" s="12">
        <v>4317000</v>
      </c>
      <c r="G187" s="13">
        <v>4502.58</v>
      </c>
      <c r="H187" s="13">
        <v>0.05</v>
      </c>
      <c r="I187" s="14">
        <v>7.0255999999999998</v>
      </c>
      <c r="J187" s="14" t="s">
        <v>20</v>
      </c>
      <c r="K187" s="15" t="s">
        <v>20</v>
      </c>
      <c r="L187" s="16" t="s">
        <v>20</v>
      </c>
    </row>
    <row r="188" spans="1:12" x14ac:dyDescent="0.25">
      <c r="A188" s="10" t="s">
        <v>20</v>
      </c>
      <c r="B188" s="11" t="s">
        <v>410</v>
      </c>
      <c r="C188" s="11">
        <v>7.48</v>
      </c>
      <c r="D188" s="11" t="s">
        <v>411</v>
      </c>
      <c r="E188" s="11" t="s">
        <v>383</v>
      </c>
      <c r="F188" s="12">
        <v>3500000</v>
      </c>
      <c r="G188" s="13">
        <v>3639.2</v>
      </c>
      <c r="H188" s="13">
        <v>0.04</v>
      </c>
      <c r="I188" s="14">
        <v>7.0762</v>
      </c>
      <c r="J188" s="14" t="s">
        <v>20</v>
      </c>
      <c r="K188" s="15" t="s">
        <v>20</v>
      </c>
      <c r="L188" s="16" t="s">
        <v>20</v>
      </c>
    </row>
    <row r="189" spans="1:12" x14ac:dyDescent="0.25">
      <c r="A189" s="10" t="s">
        <v>20</v>
      </c>
      <c r="B189" s="11" t="s">
        <v>412</v>
      </c>
      <c r="C189" s="11">
        <v>7.64</v>
      </c>
      <c r="D189" s="11" t="s">
        <v>413</v>
      </c>
      <c r="E189" s="11" t="s">
        <v>383</v>
      </c>
      <c r="F189" s="12">
        <v>3844400</v>
      </c>
      <c r="G189" s="13">
        <v>4015.35</v>
      </c>
      <c r="H189" s="13">
        <v>0.04</v>
      </c>
      <c r="I189" s="14">
        <v>7.0740999999999996</v>
      </c>
      <c r="J189" s="14" t="s">
        <v>20</v>
      </c>
      <c r="K189" s="15" t="s">
        <v>20</v>
      </c>
      <c r="L189" s="16" t="s">
        <v>20</v>
      </c>
    </row>
    <row r="190" spans="1:12" x14ac:dyDescent="0.25">
      <c r="A190" s="10" t="s">
        <v>20</v>
      </c>
      <c r="B190" s="11" t="s">
        <v>414</v>
      </c>
      <c r="C190" s="11">
        <v>7.25</v>
      </c>
      <c r="D190" s="11" t="s">
        <v>415</v>
      </c>
      <c r="E190" s="11" t="s">
        <v>383</v>
      </c>
      <c r="F190" s="12">
        <v>3175900</v>
      </c>
      <c r="G190" s="13">
        <v>3304.1</v>
      </c>
      <c r="H190" s="13">
        <v>0.03</v>
      </c>
      <c r="I190" s="14">
        <v>7.0667999999999997</v>
      </c>
      <c r="J190" s="14" t="s">
        <v>20</v>
      </c>
      <c r="K190" s="15" t="s">
        <v>20</v>
      </c>
      <c r="L190" s="16" t="s">
        <v>20</v>
      </c>
    </row>
    <row r="191" spans="1:12" x14ac:dyDescent="0.25">
      <c r="A191" s="10" t="s">
        <v>20</v>
      </c>
      <c r="B191" s="11" t="s">
        <v>416</v>
      </c>
      <c r="C191" s="11">
        <v>7.63</v>
      </c>
      <c r="D191" s="11" t="s">
        <v>417</v>
      </c>
      <c r="E191" s="11" t="s">
        <v>383</v>
      </c>
      <c r="F191" s="12">
        <v>3000000</v>
      </c>
      <c r="G191" s="13">
        <v>3131.68</v>
      </c>
      <c r="H191" s="13">
        <v>0.03</v>
      </c>
      <c r="I191" s="14">
        <v>7.0740999999999996</v>
      </c>
      <c r="J191" s="14" t="s">
        <v>20</v>
      </c>
      <c r="K191" s="15" t="s">
        <v>20</v>
      </c>
      <c r="L191" s="16" t="s">
        <v>20</v>
      </c>
    </row>
    <row r="192" spans="1:12" x14ac:dyDescent="0.25">
      <c r="A192" s="10" t="s">
        <v>20</v>
      </c>
      <c r="B192" s="11" t="s">
        <v>418</v>
      </c>
      <c r="C192" s="11">
        <v>7.45</v>
      </c>
      <c r="D192" s="11" t="s">
        <v>419</v>
      </c>
      <c r="E192" s="11" t="s">
        <v>383</v>
      </c>
      <c r="F192" s="12">
        <v>2009000</v>
      </c>
      <c r="G192" s="13">
        <v>2099.88</v>
      </c>
      <c r="H192" s="13">
        <v>0.02</v>
      </c>
      <c r="I192" s="14">
        <v>7.0593000000000004</v>
      </c>
      <c r="J192" s="14" t="s">
        <v>20</v>
      </c>
      <c r="K192" s="15" t="s">
        <v>20</v>
      </c>
      <c r="L192" s="16" t="s">
        <v>20</v>
      </c>
    </row>
    <row r="193" spans="1:12" x14ac:dyDescent="0.25">
      <c r="A193" s="10" t="s">
        <v>20</v>
      </c>
      <c r="B193" s="11" t="s">
        <v>420</v>
      </c>
      <c r="C193" s="11" t="s">
        <v>20</v>
      </c>
      <c r="D193" s="11" t="s">
        <v>421</v>
      </c>
      <c r="E193" s="11" t="s">
        <v>383</v>
      </c>
      <c r="F193" s="12">
        <v>1897500</v>
      </c>
      <c r="G193" s="13">
        <v>1540.74</v>
      </c>
      <c r="H193" s="13">
        <v>0.02</v>
      </c>
      <c r="I193" s="14">
        <v>6.7013999999999996</v>
      </c>
      <c r="J193" s="14" t="s">
        <v>20</v>
      </c>
      <c r="K193" s="15" t="s">
        <v>20</v>
      </c>
      <c r="L193" s="16" t="s">
        <v>20</v>
      </c>
    </row>
    <row r="194" spans="1:12" x14ac:dyDescent="0.25">
      <c r="A194" s="10" t="s">
        <v>20</v>
      </c>
      <c r="B194" s="11" t="s">
        <v>422</v>
      </c>
      <c r="C194" s="11">
        <v>6.67</v>
      </c>
      <c r="D194" s="11" t="s">
        <v>423</v>
      </c>
      <c r="E194" s="11" t="s">
        <v>383</v>
      </c>
      <c r="F194" s="12">
        <v>500000</v>
      </c>
      <c r="G194" s="13">
        <v>487</v>
      </c>
      <c r="H194" s="13">
        <v>0.01</v>
      </c>
      <c r="I194" s="14">
        <v>7.0045000000000002</v>
      </c>
      <c r="J194" s="14" t="s">
        <v>20</v>
      </c>
      <c r="K194" s="15" t="s">
        <v>20</v>
      </c>
      <c r="L194" s="16" t="s">
        <v>20</v>
      </c>
    </row>
    <row r="195" spans="1:12" x14ac:dyDescent="0.25">
      <c r="A195" s="10" t="s">
        <v>20</v>
      </c>
      <c r="B195" s="11" t="s">
        <v>424</v>
      </c>
      <c r="C195" s="11">
        <v>6.99</v>
      </c>
      <c r="D195" s="11" t="s">
        <v>425</v>
      </c>
      <c r="E195" s="11" t="s">
        <v>383</v>
      </c>
      <c r="F195" s="12">
        <v>500000</v>
      </c>
      <c r="G195" s="13">
        <v>503.53</v>
      </c>
      <c r="H195" s="13">
        <v>0.01</v>
      </c>
      <c r="I195" s="14">
        <v>7.0505000000000004</v>
      </c>
      <c r="J195" s="14" t="s">
        <v>20</v>
      </c>
      <c r="K195" s="15" t="s">
        <v>20</v>
      </c>
      <c r="L195" s="16" t="s">
        <v>20</v>
      </c>
    </row>
    <row r="196" spans="1:12" x14ac:dyDescent="0.25">
      <c r="A196" s="10" t="s">
        <v>20</v>
      </c>
      <c r="B196" s="11" t="s">
        <v>426</v>
      </c>
      <c r="C196" s="11">
        <v>7.63</v>
      </c>
      <c r="D196" s="11" t="s">
        <v>427</v>
      </c>
      <c r="E196" s="11" t="s">
        <v>383</v>
      </c>
      <c r="F196" s="12">
        <v>953500</v>
      </c>
      <c r="G196" s="13">
        <v>997.9</v>
      </c>
      <c r="H196" s="13">
        <v>0.01</v>
      </c>
      <c r="I196" s="14">
        <v>7.0871000000000004</v>
      </c>
      <c r="J196" s="14" t="s">
        <v>20</v>
      </c>
      <c r="K196" s="15" t="s">
        <v>20</v>
      </c>
      <c r="L196" s="16" t="s">
        <v>20</v>
      </c>
    </row>
    <row r="197" spans="1:12" x14ac:dyDescent="0.25">
      <c r="A197" s="10" t="s">
        <v>20</v>
      </c>
      <c r="B197" s="11" t="s">
        <v>428</v>
      </c>
      <c r="C197" s="11">
        <v>7.17</v>
      </c>
      <c r="D197" s="11" t="s">
        <v>429</v>
      </c>
      <c r="E197" s="11" t="s">
        <v>383</v>
      </c>
      <c r="F197" s="12">
        <v>457200</v>
      </c>
      <c r="G197" s="13">
        <v>470.4</v>
      </c>
      <c r="H197" s="13" t="s">
        <v>335</v>
      </c>
      <c r="I197" s="14">
        <v>6.5937999999999999</v>
      </c>
      <c r="J197" s="14" t="s">
        <v>20</v>
      </c>
      <c r="K197" s="15" t="s">
        <v>20</v>
      </c>
      <c r="L197" s="16" t="s">
        <v>20</v>
      </c>
    </row>
    <row r="198" spans="1:12" x14ac:dyDescent="0.25">
      <c r="A198" s="10" t="s">
        <v>20</v>
      </c>
      <c r="B198" s="11" t="s">
        <v>430</v>
      </c>
      <c r="C198" s="11">
        <v>7.47</v>
      </c>
      <c r="D198" s="11" t="s">
        <v>431</v>
      </c>
      <c r="E198" s="11" t="s">
        <v>383</v>
      </c>
      <c r="F198" s="12">
        <v>164800</v>
      </c>
      <c r="G198" s="13">
        <v>170.18</v>
      </c>
      <c r="H198" s="13" t="s">
        <v>335</v>
      </c>
      <c r="I198" s="14">
        <v>7.0952000000000002</v>
      </c>
      <c r="J198" s="14" t="s">
        <v>20</v>
      </c>
      <c r="K198" s="15" t="s">
        <v>20</v>
      </c>
      <c r="L198" s="16" t="s">
        <v>20</v>
      </c>
    </row>
    <row r="199" spans="1:12" x14ac:dyDescent="0.25">
      <c r="A199" s="10" t="s">
        <v>20</v>
      </c>
      <c r="B199" s="11" t="s">
        <v>432</v>
      </c>
      <c r="C199" s="11">
        <v>8.07</v>
      </c>
      <c r="D199" s="11" t="s">
        <v>433</v>
      </c>
      <c r="E199" s="11" t="s">
        <v>383</v>
      </c>
      <c r="F199" s="12">
        <v>150000</v>
      </c>
      <c r="G199" s="13">
        <v>152.32</v>
      </c>
      <c r="H199" s="13" t="s">
        <v>335</v>
      </c>
      <c r="I199" s="14">
        <v>6.8114999999999997</v>
      </c>
      <c r="J199" s="14" t="s">
        <v>20</v>
      </c>
      <c r="K199" s="15" t="s">
        <v>20</v>
      </c>
      <c r="L199" s="16" t="s">
        <v>20</v>
      </c>
    </row>
    <row r="200" spans="1:12" x14ac:dyDescent="0.25">
      <c r="A200" s="8"/>
      <c r="B200" s="9" t="s">
        <v>434</v>
      </c>
      <c r="C200" s="8"/>
      <c r="D200" s="8"/>
      <c r="E200" s="8"/>
      <c r="F200" s="8"/>
      <c r="G200" s="8"/>
      <c r="H200" s="8"/>
      <c r="I200" s="8"/>
      <c r="J200" s="8"/>
      <c r="K200" s="8"/>
      <c r="L200" s="8"/>
    </row>
    <row r="201" spans="1:12" x14ac:dyDescent="0.25">
      <c r="A201" s="10" t="s">
        <v>20</v>
      </c>
      <c r="B201" s="11" t="s">
        <v>435</v>
      </c>
      <c r="C201" s="11">
        <v>7.33</v>
      </c>
      <c r="D201" s="11" t="s">
        <v>436</v>
      </c>
      <c r="E201" s="11" t="s">
        <v>437</v>
      </c>
      <c r="F201" s="12">
        <v>670</v>
      </c>
      <c r="G201" s="13">
        <v>67124.42</v>
      </c>
      <c r="H201" s="13">
        <v>0.71</v>
      </c>
      <c r="I201" s="14">
        <v>7.3</v>
      </c>
      <c r="J201" s="14">
        <v>7.2926000000000002</v>
      </c>
      <c r="K201" s="15" t="s">
        <v>20</v>
      </c>
      <c r="L201" s="16" t="s">
        <v>20</v>
      </c>
    </row>
    <row r="202" spans="1:12" x14ac:dyDescent="0.25">
      <c r="A202" s="10" t="s">
        <v>20</v>
      </c>
      <c r="B202" s="11" t="s">
        <v>438</v>
      </c>
      <c r="C202" s="11">
        <v>7.57</v>
      </c>
      <c r="D202" s="11" t="s">
        <v>439</v>
      </c>
      <c r="E202" s="11" t="s">
        <v>437</v>
      </c>
      <c r="F202" s="12">
        <v>65000</v>
      </c>
      <c r="G202" s="13">
        <v>65248.11</v>
      </c>
      <c r="H202" s="13">
        <v>0.69</v>
      </c>
      <c r="I202" s="14">
        <v>7.45</v>
      </c>
      <c r="J202" s="14" t="s">
        <v>20</v>
      </c>
      <c r="K202" s="15" t="s">
        <v>20</v>
      </c>
      <c r="L202" s="16" t="s">
        <v>20</v>
      </c>
    </row>
    <row r="203" spans="1:12" x14ac:dyDescent="0.25">
      <c r="A203" s="10" t="s">
        <v>20</v>
      </c>
      <c r="B203" s="11" t="s">
        <v>440</v>
      </c>
      <c r="C203" s="11">
        <v>7.42</v>
      </c>
      <c r="D203" s="11" t="s">
        <v>441</v>
      </c>
      <c r="E203" s="11" t="s">
        <v>442</v>
      </c>
      <c r="F203" s="12">
        <v>550</v>
      </c>
      <c r="G203" s="13">
        <v>55571.839999999997</v>
      </c>
      <c r="H203" s="13">
        <v>0.59</v>
      </c>
      <c r="I203" s="14">
        <v>7.29</v>
      </c>
      <c r="J203" s="14">
        <v>7.2542999999999997</v>
      </c>
      <c r="K203" s="15" t="s">
        <v>20</v>
      </c>
      <c r="L203" s="16" t="s">
        <v>20</v>
      </c>
    </row>
    <row r="204" spans="1:12" x14ac:dyDescent="0.25">
      <c r="A204" s="10" t="s">
        <v>20</v>
      </c>
      <c r="B204" s="11" t="s">
        <v>443</v>
      </c>
      <c r="C204" s="11">
        <v>7.96</v>
      </c>
      <c r="D204" s="11" t="s">
        <v>444</v>
      </c>
      <c r="E204" s="11" t="s">
        <v>437</v>
      </c>
      <c r="F204" s="12">
        <v>51500</v>
      </c>
      <c r="G204" s="13">
        <v>52676.88</v>
      </c>
      <c r="H204" s="13">
        <v>0.56000000000000005</v>
      </c>
      <c r="I204" s="14">
        <v>7.47</v>
      </c>
      <c r="J204" s="14" t="s">
        <v>20</v>
      </c>
      <c r="K204" s="15" t="s">
        <v>20</v>
      </c>
      <c r="L204" s="16" t="s">
        <v>20</v>
      </c>
    </row>
    <row r="205" spans="1:12" x14ac:dyDescent="0.25">
      <c r="A205" s="10" t="s">
        <v>20</v>
      </c>
      <c r="B205" s="11" t="s">
        <v>445</v>
      </c>
      <c r="C205" s="11">
        <v>7.42</v>
      </c>
      <c r="D205" s="11" t="s">
        <v>446</v>
      </c>
      <c r="E205" s="11" t="s">
        <v>437</v>
      </c>
      <c r="F205" s="12">
        <v>40000</v>
      </c>
      <c r="G205" s="13">
        <v>40308.04</v>
      </c>
      <c r="H205" s="13">
        <v>0.43</v>
      </c>
      <c r="I205" s="14">
        <v>7.1849999999999996</v>
      </c>
      <c r="J205" s="14" t="s">
        <v>20</v>
      </c>
      <c r="K205" s="15" t="s">
        <v>20</v>
      </c>
      <c r="L205" s="16" t="s">
        <v>20</v>
      </c>
    </row>
    <row r="206" spans="1:12" x14ac:dyDescent="0.25">
      <c r="A206" s="10" t="s">
        <v>20</v>
      </c>
      <c r="B206" s="11" t="s">
        <v>447</v>
      </c>
      <c r="C206" s="11">
        <v>6.9</v>
      </c>
      <c r="D206" s="11" t="s">
        <v>448</v>
      </c>
      <c r="E206" s="11" t="s">
        <v>437</v>
      </c>
      <c r="F206" s="12">
        <v>4000</v>
      </c>
      <c r="G206" s="13">
        <v>39533</v>
      </c>
      <c r="H206" s="13">
        <v>0.42</v>
      </c>
      <c r="I206" s="14">
        <v>7.14</v>
      </c>
      <c r="J206" s="14" t="s">
        <v>20</v>
      </c>
      <c r="K206" s="15" t="s">
        <v>20</v>
      </c>
      <c r="L206" s="16" t="s">
        <v>20</v>
      </c>
    </row>
    <row r="207" spans="1:12" x14ac:dyDescent="0.25">
      <c r="A207" s="10" t="s">
        <v>20</v>
      </c>
      <c r="B207" s="11" t="s">
        <v>449</v>
      </c>
      <c r="C207" s="11">
        <v>7.83</v>
      </c>
      <c r="D207" s="11" t="s">
        <v>446</v>
      </c>
      <c r="E207" s="11" t="s">
        <v>437</v>
      </c>
      <c r="F207" s="12">
        <v>37500</v>
      </c>
      <c r="G207" s="13">
        <v>38149.99</v>
      </c>
      <c r="H207" s="13">
        <v>0.4</v>
      </c>
      <c r="I207" s="14">
        <v>7.2549999999999999</v>
      </c>
      <c r="J207" s="14" t="s">
        <v>20</v>
      </c>
      <c r="K207" s="15" t="s">
        <v>20</v>
      </c>
      <c r="L207" s="16" t="s">
        <v>20</v>
      </c>
    </row>
    <row r="208" spans="1:12" x14ac:dyDescent="0.25">
      <c r="A208" s="10" t="s">
        <v>20</v>
      </c>
      <c r="B208" s="11" t="s">
        <v>450</v>
      </c>
      <c r="C208" s="11">
        <v>7.8</v>
      </c>
      <c r="D208" s="11" t="s">
        <v>451</v>
      </c>
      <c r="E208" s="11" t="s">
        <v>437</v>
      </c>
      <c r="F208" s="12">
        <v>3500</v>
      </c>
      <c r="G208" s="13">
        <v>35854.21</v>
      </c>
      <c r="H208" s="13">
        <v>0.38</v>
      </c>
      <c r="I208" s="14">
        <v>7.35</v>
      </c>
      <c r="J208" s="14" t="s">
        <v>20</v>
      </c>
      <c r="K208" s="15" t="s">
        <v>20</v>
      </c>
      <c r="L208" s="16" t="s">
        <v>20</v>
      </c>
    </row>
    <row r="209" spans="1:12" x14ac:dyDescent="0.25">
      <c r="A209" s="10" t="s">
        <v>20</v>
      </c>
      <c r="B209" s="11" t="s">
        <v>452</v>
      </c>
      <c r="C209" s="11">
        <v>7.44</v>
      </c>
      <c r="D209" s="11" t="s">
        <v>453</v>
      </c>
      <c r="E209" s="11" t="s">
        <v>437</v>
      </c>
      <c r="F209" s="12">
        <v>35000</v>
      </c>
      <c r="G209" s="13">
        <v>35835.379999999997</v>
      </c>
      <c r="H209" s="13">
        <v>0.38</v>
      </c>
      <c r="I209" s="14">
        <v>7.08</v>
      </c>
      <c r="J209" s="14" t="s">
        <v>20</v>
      </c>
      <c r="K209" s="15" t="s">
        <v>20</v>
      </c>
      <c r="L209" s="16" t="s">
        <v>20</v>
      </c>
    </row>
    <row r="210" spans="1:12" x14ac:dyDescent="0.25">
      <c r="A210" s="10" t="s">
        <v>20</v>
      </c>
      <c r="B210" s="11" t="s">
        <v>454</v>
      </c>
      <c r="C210" s="11">
        <v>7.29</v>
      </c>
      <c r="D210" s="11" t="s">
        <v>455</v>
      </c>
      <c r="E210" s="11" t="s">
        <v>456</v>
      </c>
      <c r="F210" s="12">
        <v>35000</v>
      </c>
      <c r="G210" s="13">
        <v>35331.730000000003</v>
      </c>
      <c r="H210" s="13">
        <v>0.37</v>
      </c>
      <c r="I210" s="14">
        <v>7.15</v>
      </c>
      <c r="J210" s="14" t="s">
        <v>20</v>
      </c>
      <c r="K210" s="15" t="s">
        <v>20</v>
      </c>
      <c r="L210" s="16" t="s">
        <v>20</v>
      </c>
    </row>
    <row r="211" spans="1:12" x14ac:dyDescent="0.25">
      <c r="A211" s="10" t="s">
        <v>20</v>
      </c>
      <c r="B211" s="11" t="s">
        <v>457</v>
      </c>
      <c r="C211" s="11">
        <v>7.82</v>
      </c>
      <c r="D211" s="11" t="s">
        <v>87</v>
      </c>
      <c r="E211" s="11" t="s">
        <v>437</v>
      </c>
      <c r="F211" s="12">
        <v>30000</v>
      </c>
      <c r="G211" s="13">
        <v>30327.27</v>
      </c>
      <c r="H211" s="13">
        <v>0.32</v>
      </c>
      <c r="I211" s="14">
        <v>7.4050000000000002</v>
      </c>
      <c r="J211" s="14" t="s">
        <v>20</v>
      </c>
      <c r="K211" s="15" t="s">
        <v>20</v>
      </c>
      <c r="L211" s="16" t="s">
        <v>20</v>
      </c>
    </row>
    <row r="212" spans="1:12" x14ac:dyDescent="0.25">
      <c r="A212" s="10" t="s">
        <v>20</v>
      </c>
      <c r="B212" s="11" t="s">
        <v>458</v>
      </c>
      <c r="C212" s="11">
        <v>7.75</v>
      </c>
      <c r="D212" s="11" t="s">
        <v>451</v>
      </c>
      <c r="E212" s="11" t="s">
        <v>437</v>
      </c>
      <c r="F212" s="12">
        <v>29500</v>
      </c>
      <c r="G212" s="13">
        <v>30194.93</v>
      </c>
      <c r="H212" s="13">
        <v>0.32</v>
      </c>
      <c r="I212" s="14">
        <v>7.35</v>
      </c>
      <c r="J212" s="14" t="s">
        <v>20</v>
      </c>
      <c r="K212" s="15" t="s">
        <v>20</v>
      </c>
      <c r="L212" s="16" t="s">
        <v>20</v>
      </c>
    </row>
    <row r="213" spans="1:12" x14ac:dyDescent="0.25">
      <c r="A213" s="10" t="s">
        <v>20</v>
      </c>
      <c r="B213" s="11" t="s">
        <v>459</v>
      </c>
      <c r="C213" s="11">
        <v>6.43</v>
      </c>
      <c r="D213" s="11" t="s">
        <v>451</v>
      </c>
      <c r="E213" s="11" t="s">
        <v>437</v>
      </c>
      <c r="F213" s="12">
        <v>3100</v>
      </c>
      <c r="G213" s="13">
        <v>30806.53</v>
      </c>
      <c r="H213" s="13">
        <v>0.32</v>
      </c>
      <c r="I213" s="14">
        <v>7.49</v>
      </c>
      <c r="J213" s="14" t="s">
        <v>20</v>
      </c>
      <c r="K213" s="15" t="s">
        <v>20</v>
      </c>
      <c r="L213" s="16" t="s">
        <v>20</v>
      </c>
    </row>
    <row r="214" spans="1:12" x14ac:dyDescent="0.25">
      <c r="A214" s="10" t="s">
        <v>20</v>
      </c>
      <c r="B214" s="11" t="s">
        <v>460</v>
      </c>
      <c r="C214" s="11">
        <v>7.4</v>
      </c>
      <c r="D214" s="11" t="s">
        <v>461</v>
      </c>
      <c r="E214" s="11" t="s">
        <v>437</v>
      </c>
      <c r="F214" s="12">
        <v>3000</v>
      </c>
      <c r="G214" s="13">
        <v>29978.46</v>
      </c>
      <c r="H214" s="13">
        <v>0.32</v>
      </c>
      <c r="I214" s="14">
        <v>7.4</v>
      </c>
      <c r="J214" s="14" t="s">
        <v>20</v>
      </c>
      <c r="K214" s="15" t="s">
        <v>20</v>
      </c>
      <c r="L214" s="16" t="s">
        <v>20</v>
      </c>
    </row>
    <row r="215" spans="1:12" x14ac:dyDescent="0.25">
      <c r="A215" s="10" t="s">
        <v>20</v>
      </c>
      <c r="B215" s="11" t="s">
        <v>462</v>
      </c>
      <c r="C215" s="11">
        <v>7.9</v>
      </c>
      <c r="D215" s="11" t="s">
        <v>463</v>
      </c>
      <c r="E215" s="11" t="s">
        <v>437</v>
      </c>
      <c r="F215" s="12">
        <v>28500</v>
      </c>
      <c r="G215" s="13">
        <v>28867.11</v>
      </c>
      <c r="H215" s="13">
        <v>0.3</v>
      </c>
      <c r="I215" s="14">
        <v>7.43</v>
      </c>
      <c r="J215" s="14" t="s">
        <v>20</v>
      </c>
      <c r="K215" s="15" t="s">
        <v>20</v>
      </c>
      <c r="L215" s="16" t="s">
        <v>20</v>
      </c>
    </row>
    <row r="216" spans="1:12" x14ac:dyDescent="0.25">
      <c r="A216" s="10" t="s">
        <v>20</v>
      </c>
      <c r="B216" s="11" t="s">
        <v>464</v>
      </c>
      <c r="C216" s="11">
        <v>7.89</v>
      </c>
      <c r="D216" s="11" t="s">
        <v>465</v>
      </c>
      <c r="E216" s="11" t="s">
        <v>437</v>
      </c>
      <c r="F216" s="12">
        <v>25000</v>
      </c>
      <c r="G216" s="13">
        <v>25691.03</v>
      </c>
      <c r="H216" s="13">
        <v>0.27</v>
      </c>
      <c r="I216" s="14">
        <v>7.46</v>
      </c>
      <c r="J216" s="14" t="s">
        <v>20</v>
      </c>
      <c r="K216" s="15" t="s">
        <v>20</v>
      </c>
      <c r="L216" s="16" t="s">
        <v>20</v>
      </c>
    </row>
    <row r="217" spans="1:12" x14ac:dyDescent="0.25">
      <c r="A217" s="10" t="s">
        <v>20</v>
      </c>
      <c r="B217" s="11" t="s">
        <v>466</v>
      </c>
      <c r="C217" s="11">
        <v>7.73</v>
      </c>
      <c r="D217" s="11" t="s">
        <v>355</v>
      </c>
      <c r="E217" s="11" t="s">
        <v>437</v>
      </c>
      <c r="F217" s="12">
        <v>25000</v>
      </c>
      <c r="G217" s="13">
        <v>25458.9</v>
      </c>
      <c r="H217" s="13">
        <v>0.27</v>
      </c>
      <c r="I217" s="14">
        <v>7.44</v>
      </c>
      <c r="J217" s="14" t="s">
        <v>20</v>
      </c>
      <c r="K217" s="15" t="s">
        <v>20</v>
      </c>
      <c r="L217" s="16" t="s">
        <v>20</v>
      </c>
    </row>
    <row r="218" spans="1:12" x14ac:dyDescent="0.25">
      <c r="A218" s="10" t="s">
        <v>20</v>
      </c>
      <c r="B218" s="11" t="s">
        <v>467</v>
      </c>
      <c r="C218" s="11">
        <v>7.53</v>
      </c>
      <c r="D218" s="11" t="s">
        <v>461</v>
      </c>
      <c r="E218" s="11" t="s">
        <v>442</v>
      </c>
      <c r="F218" s="12">
        <v>25000</v>
      </c>
      <c r="G218" s="13">
        <v>25132.33</v>
      </c>
      <c r="H218" s="13">
        <v>0.27</v>
      </c>
      <c r="I218" s="14">
        <v>7.3250000000000002</v>
      </c>
      <c r="J218" s="14" t="s">
        <v>20</v>
      </c>
      <c r="K218" s="15" t="s">
        <v>20</v>
      </c>
      <c r="L218" s="16" t="s">
        <v>20</v>
      </c>
    </row>
    <row r="219" spans="1:12" x14ac:dyDescent="0.25">
      <c r="A219" s="10" t="s">
        <v>20</v>
      </c>
      <c r="B219" s="11" t="s">
        <v>468</v>
      </c>
      <c r="C219" s="11">
        <v>7.34</v>
      </c>
      <c r="D219" s="11" t="s">
        <v>469</v>
      </c>
      <c r="E219" s="11" t="s">
        <v>437</v>
      </c>
      <c r="F219" s="12">
        <v>25000</v>
      </c>
      <c r="G219" s="13">
        <v>25139.23</v>
      </c>
      <c r="H219" s="13">
        <v>0.27</v>
      </c>
      <c r="I219" s="14">
        <v>7.2549999999999999</v>
      </c>
      <c r="J219" s="14" t="s">
        <v>20</v>
      </c>
      <c r="K219" s="15" t="s">
        <v>20</v>
      </c>
      <c r="L219" s="16" t="s">
        <v>20</v>
      </c>
    </row>
    <row r="220" spans="1:12" x14ac:dyDescent="0.25">
      <c r="A220" s="10" t="s">
        <v>20</v>
      </c>
      <c r="B220" s="11" t="s">
        <v>470</v>
      </c>
      <c r="C220" s="11">
        <v>7.66</v>
      </c>
      <c r="D220" s="11" t="s">
        <v>465</v>
      </c>
      <c r="E220" s="11" t="s">
        <v>437</v>
      </c>
      <c r="F220" s="12">
        <v>25000</v>
      </c>
      <c r="G220" s="13">
        <v>25075</v>
      </c>
      <c r="H220" s="13">
        <v>0.26</v>
      </c>
      <c r="I220" s="14">
        <v>7.54</v>
      </c>
      <c r="J220" s="14" t="s">
        <v>20</v>
      </c>
      <c r="K220" s="15" t="s">
        <v>20</v>
      </c>
      <c r="L220" s="16" t="s">
        <v>20</v>
      </c>
    </row>
    <row r="221" spans="1:12" x14ac:dyDescent="0.25">
      <c r="A221" s="10" t="s">
        <v>20</v>
      </c>
      <c r="B221" s="11" t="s">
        <v>471</v>
      </c>
      <c r="C221" s="11">
        <v>7.75</v>
      </c>
      <c r="D221" s="11" t="s">
        <v>472</v>
      </c>
      <c r="E221" s="11" t="s">
        <v>437</v>
      </c>
      <c r="F221" s="12">
        <v>250</v>
      </c>
      <c r="G221" s="13">
        <v>25076.3</v>
      </c>
      <c r="H221" s="13">
        <v>0.26</v>
      </c>
      <c r="I221" s="14">
        <v>7.69</v>
      </c>
      <c r="J221" s="14">
        <v>7.6368</v>
      </c>
      <c r="K221" s="15" t="s">
        <v>20</v>
      </c>
      <c r="L221" s="16" t="s">
        <v>20</v>
      </c>
    </row>
    <row r="222" spans="1:12" x14ac:dyDescent="0.25">
      <c r="A222" s="10" t="s">
        <v>20</v>
      </c>
      <c r="B222" s="11" t="s">
        <v>473</v>
      </c>
      <c r="C222" s="11">
        <v>7.9880000000000004</v>
      </c>
      <c r="D222" s="11" t="s">
        <v>474</v>
      </c>
      <c r="E222" s="11" t="s">
        <v>437</v>
      </c>
      <c r="F222" s="12">
        <v>25000</v>
      </c>
      <c r="G222" s="13">
        <v>25063.23</v>
      </c>
      <c r="H222" s="13">
        <v>0.26</v>
      </c>
      <c r="I222" s="14">
        <v>7.82</v>
      </c>
      <c r="J222" s="14" t="s">
        <v>20</v>
      </c>
      <c r="K222" s="15" t="s">
        <v>20</v>
      </c>
      <c r="L222" s="16" t="s">
        <v>20</v>
      </c>
    </row>
    <row r="223" spans="1:12" x14ac:dyDescent="0.25">
      <c r="A223" s="10" t="s">
        <v>20</v>
      </c>
      <c r="B223" s="11" t="s">
        <v>475</v>
      </c>
      <c r="C223" s="11">
        <v>7.54</v>
      </c>
      <c r="D223" s="11" t="s">
        <v>476</v>
      </c>
      <c r="E223" s="11" t="s">
        <v>456</v>
      </c>
      <c r="F223" s="12">
        <v>2500</v>
      </c>
      <c r="G223" s="13">
        <v>25020.93</v>
      </c>
      <c r="H223" s="13">
        <v>0.26</v>
      </c>
      <c r="I223" s="14">
        <v>7.38</v>
      </c>
      <c r="J223" s="14" t="s">
        <v>20</v>
      </c>
      <c r="K223" s="15" t="s">
        <v>20</v>
      </c>
      <c r="L223" s="16" t="s">
        <v>20</v>
      </c>
    </row>
    <row r="224" spans="1:12" x14ac:dyDescent="0.25">
      <c r="A224" s="10" t="s">
        <v>20</v>
      </c>
      <c r="B224" s="11" t="s">
        <v>477</v>
      </c>
      <c r="C224" s="11">
        <v>7.81</v>
      </c>
      <c r="D224" s="11" t="s">
        <v>436</v>
      </c>
      <c r="E224" s="11" t="s">
        <v>437</v>
      </c>
      <c r="F224" s="12">
        <v>200</v>
      </c>
      <c r="G224" s="13">
        <v>20678.2</v>
      </c>
      <c r="H224" s="13">
        <v>0.22</v>
      </c>
      <c r="I224" s="14">
        <v>7.3949999999999996</v>
      </c>
      <c r="J224" s="14">
        <v>7.2558999999999996</v>
      </c>
      <c r="K224" s="15" t="s">
        <v>20</v>
      </c>
      <c r="L224" s="16" t="s">
        <v>20</v>
      </c>
    </row>
    <row r="225" spans="1:12" x14ac:dyDescent="0.25">
      <c r="A225" s="10" t="s">
        <v>20</v>
      </c>
      <c r="B225" s="11" t="s">
        <v>478</v>
      </c>
      <c r="C225" s="11">
        <v>9.1</v>
      </c>
      <c r="D225" s="11" t="s">
        <v>479</v>
      </c>
      <c r="E225" s="11" t="s">
        <v>480</v>
      </c>
      <c r="F225" s="12">
        <v>20000</v>
      </c>
      <c r="G225" s="13">
        <v>20162.560000000001</v>
      </c>
      <c r="H225" s="13">
        <v>0.21</v>
      </c>
      <c r="I225" s="14">
        <v>8.91</v>
      </c>
      <c r="J225" s="14" t="s">
        <v>20</v>
      </c>
      <c r="K225" s="15" t="s">
        <v>20</v>
      </c>
      <c r="L225" s="16" t="s">
        <v>20</v>
      </c>
    </row>
    <row r="226" spans="1:12" x14ac:dyDescent="0.25">
      <c r="A226" s="10" t="s">
        <v>20</v>
      </c>
      <c r="B226" s="11" t="s">
        <v>481</v>
      </c>
      <c r="C226" s="11">
        <v>7.57</v>
      </c>
      <c r="D226" s="11" t="s">
        <v>453</v>
      </c>
      <c r="E226" s="11" t="s">
        <v>437</v>
      </c>
      <c r="F226" s="12">
        <v>20000</v>
      </c>
      <c r="G226" s="13">
        <v>20304.02</v>
      </c>
      <c r="H226" s="13">
        <v>0.21</v>
      </c>
      <c r="I226" s="14">
        <v>7.12</v>
      </c>
      <c r="J226" s="14" t="s">
        <v>20</v>
      </c>
      <c r="K226" s="15" t="s">
        <v>20</v>
      </c>
      <c r="L226" s="16" t="s">
        <v>20</v>
      </c>
    </row>
    <row r="227" spans="1:12" x14ac:dyDescent="0.25">
      <c r="A227" s="10" t="s">
        <v>20</v>
      </c>
      <c r="B227" s="11" t="s">
        <v>482</v>
      </c>
      <c r="C227" s="11">
        <v>7.65</v>
      </c>
      <c r="D227" s="11" t="s">
        <v>439</v>
      </c>
      <c r="E227" s="11" t="s">
        <v>437</v>
      </c>
      <c r="F227" s="12">
        <v>20000</v>
      </c>
      <c r="G227" s="13">
        <v>20183.099999999999</v>
      </c>
      <c r="H227" s="13">
        <v>0.21</v>
      </c>
      <c r="I227" s="14">
        <v>7.4550000000000001</v>
      </c>
      <c r="J227" s="14" t="s">
        <v>20</v>
      </c>
      <c r="K227" s="15" t="s">
        <v>20</v>
      </c>
      <c r="L227" s="16" t="s">
        <v>20</v>
      </c>
    </row>
    <row r="228" spans="1:12" x14ac:dyDescent="0.25">
      <c r="A228" s="10" t="s">
        <v>20</v>
      </c>
      <c r="B228" s="11" t="s">
        <v>483</v>
      </c>
      <c r="C228" s="11">
        <v>7.8</v>
      </c>
      <c r="D228" s="11" t="s">
        <v>484</v>
      </c>
      <c r="E228" s="11" t="s">
        <v>485</v>
      </c>
      <c r="F228" s="12">
        <v>20000</v>
      </c>
      <c r="G228" s="13">
        <v>19952.52</v>
      </c>
      <c r="H228" s="13">
        <v>0.21</v>
      </c>
      <c r="I228" s="14">
        <v>7.99</v>
      </c>
      <c r="J228" s="14" t="s">
        <v>20</v>
      </c>
      <c r="K228" s="15" t="s">
        <v>20</v>
      </c>
      <c r="L228" s="16" t="s">
        <v>20</v>
      </c>
    </row>
    <row r="229" spans="1:12" x14ac:dyDescent="0.25">
      <c r="A229" s="10" t="s">
        <v>20</v>
      </c>
      <c r="B229" s="11" t="s">
        <v>486</v>
      </c>
      <c r="C229" s="11">
        <v>7.4</v>
      </c>
      <c r="D229" s="11" t="s">
        <v>461</v>
      </c>
      <c r="E229" s="11" t="s">
        <v>437</v>
      </c>
      <c r="F229" s="12">
        <v>20000</v>
      </c>
      <c r="G229" s="13">
        <v>20134.88</v>
      </c>
      <c r="H229" s="13">
        <v>0.21</v>
      </c>
      <c r="I229" s="14">
        <v>7.24</v>
      </c>
      <c r="J229" s="14" t="s">
        <v>20</v>
      </c>
      <c r="K229" s="15" t="s">
        <v>20</v>
      </c>
      <c r="L229" s="16" t="s">
        <v>20</v>
      </c>
    </row>
    <row r="230" spans="1:12" x14ac:dyDescent="0.25">
      <c r="A230" s="10" t="s">
        <v>20</v>
      </c>
      <c r="B230" s="11" t="s">
        <v>487</v>
      </c>
      <c r="C230" s="11">
        <v>7.49</v>
      </c>
      <c r="D230" s="11" t="s">
        <v>488</v>
      </c>
      <c r="E230" s="11" t="s">
        <v>437</v>
      </c>
      <c r="F230" s="12">
        <v>20000</v>
      </c>
      <c r="G230" s="13">
        <v>20029.419999999998</v>
      </c>
      <c r="H230" s="13">
        <v>0.21</v>
      </c>
      <c r="I230" s="14">
        <v>7.34</v>
      </c>
      <c r="J230" s="14" t="s">
        <v>20</v>
      </c>
      <c r="K230" s="15" t="s">
        <v>20</v>
      </c>
      <c r="L230" s="16" t="s">
        <v>20</v>
      </c>
    </row>
    <row r="231" spans="1:12" x14ac:dyDescent="0.25">
      <c r="A231" s="10" t="s">
        <v>20</v>
      </c>
      <c r="B231" s="11" t="s">
        <v>489</v>
      </c>
      <c r="C231" s="11">
        <v>7.59</v>
      </c>
      <c r="D231" s="11" t="s">
        <v>490</v>
      </c>
      <c r="E231" s="11" t="s">
        <v>437</v>
      </c>
      <c r="F231" s="12">
        <v>20000</v>
      </c>
      <c r="G231" s="13">
        <v>20175.38</v>
      </c>
      <c r="H231" s="13">
        <v>0.21</v>
      </c>
      <c r="I231" s="14">
        <v>7.18</v>
      </c>
      <c r="J231" s="14" t="s">
        <v>20</v>
      </c>
      <c r="K231" s="15" t="s">
        <v>20</v>
      </c>
      <c r="L231" s="16" t="s">
        <v>20</v>
      </c>
    </row>
    <row r="232" spans="1:12" x14ac:dyDescent="0.25">
      <c r="A232" s="10" t="s">
        <v>20</v>
      </c>
      <c r="B232" s="11" t="s">
        <v>491</v>
      </c>
      <c r="C232" s="11">
        <v>8</v>
      </c>
      <c r="D232" s="11" t="s">
        <v>492</v>
      </c>
      <c r="E232" s="11" t="s">
        <v>437</v>
      </c>
      <c r="F232" s="12">
        <v>2000</v>
      </c>
      <c r="G232" s="13">
        <v>20032.82</v>
      </c>
      <c r="H232" s="13">
        <v>0.21</v>
      </c>
      <c r="I232" s="14">
        <v>7.6849999999999996</v>
      </c>
      <c r="J232" s="14" t="s">
        <v>20</v>
      </c>
      <c r="K232" s="15" t="s">
        <v>20</v>
      </c>
      <c r="L232" s="16" t="s">
        <v>20</v>
      </c>
    </row>
    <row r="233" spans="1:12" x14ac:dyDescent="0.25">
      <c r="A233" s="10" t="s">
        <v>20</v>
      </c>
      <c r="B233" s="11" t="s">
        <v>493</v>
      </c>
      <c r="C233" s="11">
        <v>7.35</v>
      </c>
      <c r="D233" s="11" t="s">
        <v>494</v>
      </c>
      <c r="E233" s="11" t="s">
        <v>456</v>
      </c>
      <c r="F233" s="12">
        <v>17500</v>
      </c>
      <c r="G233" s="13">
        <v>17703.400000000001</v>
      </c>
      <c r="H233" s="13">
        <v>0.19</v>
      </c>
      <c r="I233" s="14">
        <v>7.13</v>
      </c>
      <c r="J233" s="14" t="s">
        <v>20</v>
      </c>
      <c r="K233" s="15" t="s">
        <v>20</v>
      </c>
      <c r="L233" s="16" t="s">
        <v>20</v>
      </c>
    </row>
    <row r="234" spans="1:12" x14ac:dyDescent="0.25">
      <c r="A234" s="10" t="s">
        <v>20</v>
      </c>
      <c r="B234" s="11" t="s">
        <v>495</v>
      </c>
      <c r="C234" s="11">
        <v>7.35</v>
      </c>
      <c r="D234" s="11" t="s">
        <v>448</v>
      </c>
      <c r="E234" s="11" t="s">
        <v>437</v>
      </c>
      <c r="F234" s="12">
        <v>16500</v>
      </c>
      <c r="G234" s="13">
        <v>16859.09</v>
      </c>
      <c r="H234" s="13">
        <v>0.18</v>
      </c>
      <c r="I234" s="14">
        <v>7.15</v>
      </c>
      <c r="J234" s="14" t="s">
        <v>20</v>
      </c>
      <c r="K234" s="15" t="s">
        <v>20</v>
      </c>
      <c r="L234" s="16" t="s">
        <v>20</v>
      </c>
    </row>
    <row r="235" spans="1:12" x14ac:dyDescent="0.25">
      <c r="A235" s="10" t="s">
        <v>20</v>
      </c>
      <c r="B235" s="11" t="s">
        <v>496</v>
      </c>
      <c r="C235" s="11">
        <v>7.8</v>
      </c>
      <c r="D235" s="11" t="s">
        <v>461</v>
      </c>
      <c r="E235" s="11" t="s">
        <v>442</v>
      </c>
      <c r="F235" s="12">
        <v>16250</v>
      </c>
      <c r="G235" s="13">
        <v>16405.580000000002</v>
      </c>
      <c r="H235" s="13">
        <v>0.17</v>
      </c>
      <c r="I235" s="14">
        <v>7.25</v>
      </c>
      <c r="J235" s="14" t="s">
        <v>20</v>
      </c>
      <c r="K235" s="15" t="s">
        <v>20</v>
      </c>
      <c r="L235" s="16" t="s">
        <v>20</v>
      </c>
    </row>
    <row r="236" spans="1:12" x14ac:dyDescent="0.25">
      <c r="A236" s="10" t="s">
        <v>20</v>
      </c>
      <c r="B236" s="11" t="s">
        <v>497</v>
      </c>
      <c r="C236" s="11">
        <v>7.28</v>
      </c>
      <c r="D236" s="11" t="s">
        <v>453</v>
      </c>
      <c r="E236" s="11" t="s">
        <v>437</v>
      </c>
      <c r="F236" s="12">
        <v>14500</v>
      </c>
      <c r="G236" s="13">
        <v>14722.04</v>
      </c>
      <c r="H236" s="13">
        <v>0.16</v>
      </c>
      <c r="I236" s="14">
        <v>7.1150000000000002</v>
      </c>
      <c r="J236" s="14" t="s">
        <v>20</v>
      </c>
      <c r="K236" s="15" t="s">
        <v>20</v>
      </c>
      <c r="L236" s="16" t="s">
        <v>20</v>
      </c>
    </row>
    <row r="237" spans="1:12" x14ac:dyDescent="0.25">
      <c r="A237" s="10" t="s">
        <v>20</v>
      </c>
      <c r="B237" s="11" t="s">
        <v>498</v>
      </c>
      <c r="C237" s="11">
        <v>7.43</v>
      </c>
      <c r="D237" s="11" t="s">
        <v>463</v>
      </c>
      <c r="E237" s="11" t="s">
        <v>437</v>
      </c>
      <c r="F237" s="12">
        <v>15000</v>
      </c>
      <c r="G237" s="13">
        <v>15009.68</v>
      </c>
      <c r="H237" s="13">
        <v>0.16</v>
      </c>
      <c r="I237" s="14">
        <v>7.41</v>
      </c>
      <c r="J237" s="14" t="s">
        <v>20</v>
      </c>
      <c r="K237" s="15" t="s">
        <v>20</v>
      </c>
      <c r="L237" s="16" t="s">
        <v>20</v>
      </c>
    </row>
    <row r="238" spans="1:12" x14ac:dyDescent="0.25">
      <c r="A238" s="10" t="s">
        <v>20</v>
      </c>
      <c r="B238" s="11" t="s">
        <v>499</v>
      </c>
      <c r="C238" s="11">
        <v>7.835</v>
      </c>
      <c r="D238" s="11" t="s">
        <v>439</v>
      </c>
      <c r="E238" s="11" t="s">
        <v>437</v>
      </c>
      <c r="F238" s="12">
        <v>15500</v>
      </c>
      <c r="G238" s="13">
        <v>15608.38</v>
      </c>
      <c r="H238" s="13">
        <v>0.16</v>
      </c>
      <c r="I238" s="14">
        <v>7.45</v>
      </c>
      <c r="J238" s="14" t="s">
        <v>20</v>
      </c>
      <c r="K238" s="15" t="s">
        <v>20</v>
      </c>
      <c r="L238" s="16" t="s">
        <v>20</v>
      </c>
    </row>
    <row r="239" spans="1:12" x14ac:dyDescent="0.25">
      <c r="A239" s="10" t="s">
        <v>20</v>
      </c>
      <c r="B239" s="11" t="s">
        <v>500</v>
      </c>
      <c r="C239" s="11">
        <v>7.66</v>
      </c>
      <c r="D239" s="11" t="s">
        <v>439</v>
      </c>
      <c r="E239" s="11" t="s">
        <v>437</v>
      </c>
      <c r="F239" s="12">
        <v>15000</v>
      </c>
      <c r="G239" s="13">
        <v>15119.93</v>
      </c>
      <c r="H239" s="13">
        <v>0.16</v>
      </c>
      <c r="I239" s="14">
        <v>7.45</v>
      </c>
      <c r="J239" s="14" t="s">
        <v>20</v>
      </c>
      <c r="K239" s="15" t="s">
        <v>20</v>
      </c>
      <c r="L239" s="16" t="s">
        <v>20</v>
      </c>
    </row>
    <row r="240" spans="1:12" x14ac:dyDescent="0.25">
      <c r="A240" s="10" t="s">
        <v>20</v>
      </c>
      <c r="B240" s="11" t="s">
        <v>501</v>
      </c>
      <c r="C240" s="11">
        <v>7.62</v>
      </c>
      <c r="D240" s="11" t="s">
        <v>488</v>
      </c>
      <c r="E240" s="11" t="s">
        <v>437</v>
      </c>
      <c r="F240" s="12">
        <v>15000</v>
      </c>
      <c r="G240" s="13">
        <v>15111.12</v>
      </c>
      <c r="H240" s="13">
        <v>0.16</v>
      </c>
      <c r="I240" s="14">
        <v>7.3</v>
      </c>
      <c r="J240" s="14" t="s">
        <v>20</v>
      </c>
      <c r="K240" s="15" t="s">
        <v>20</v>
      </c>
      <c r="L240" s="16" t="s">
        <v>20</v>
      </c>
    </row>
    <row r="241" spans="1:12" x14ac:dyDescent="0.25">
      <c r="A241" s="10" t="s">
        <v>20</v>
      </c>
      <c r="B241" s="11" t="s">
        <v>502</v>
      </c>
      <c r="C241" s="11">
        <v>7.55</v>
      </c>
      <c r="D241" s="11" t="s">
        <v>503</v>
      </c>
      <c r="E241" s="11" t="s">
        <v>437</v>
      </c>
      <c r="F241" s="12">
        <v>15000</v>
      </c>
      <c r="G241" s="13">
        <v>15049.76</v>
      </c>
      <c r="H241" s="13">
        <v>0.16</v>
      </c>
      <c r="I241" s="14">
        <v>7.2949999999999999</v>
      </c>
      <c r="J241" s="14" t="s">
        <v>20</v>
      </c>
      <c r="K241" s="15" t="s">
        <v>20</v>
      </c>
      <c r="L241" s="16" t="s">
        <v>20</v>
      </c>
    </row>
    <row r="242" spans="1:12" x14ac:dyDescent="0.25">
      <c r="A242" s="10" t="s">
        <v>20</v>
      </c>
      <c r="B242" s="11" t="s">
        <v>504</v>
      </c>
      <c r="C242" s="11">
        <v>7.79</v>
      </c>
      <c r="D242" s="11" t="s">
        <v>446</v>
      </c>
      <c r="E242" s="11" t="s">
        <v>437</v>
      </c>
      <c r="F242" s="12">
        <v>15000</v>
      </c>
      <c r="G242" s="13">
        <v>15148.49</v>
      </c>
      <c r="H242" s="13">
        <v>0.16</v>
      </c>
      <c r="I242" s="14">
        <v>7.27</v>
      </c>
      <c r="J242" s="14" t="s">
        <v>20</v>
      </c>
      <c r="K242" s="15" t="s">
        <v>20</v>
      </c>
      <c r="L242" s="16" t="s">
        <v>20</v>
      </c>
    </row>
    <row r="243" spans="1:12" x14ac:dyDescent="0.25">
      <c r="A243" s="10" t="s">
        <v>20</v>
      </c>
      <c r="B243" s="11" t="s">
        <v>505</v>
      </c>
      <c r="C243" s="11">
        <v>7.8</v>
      </c>
      <c r="D243" s="11" t="s">
        <v>506</v>
      </c>
      <c r="E243" s="11" t="s">
        <v>437</v>
      </c>
      <c r="F243" s="12">
        <v>1300</v>
      </c>
      <c r="G243" s="13">
        <v>13057.59</v>
      </c>
      <c r="H243" s="13">
        <v>0.14000000000000001</v>
      </c>
      <c r="I243" s="14">
        <v>7.5549999999999997</v>
      </c>
      <c r="J243" s="14" t="s">
        <v>20</v>
      </c>
      <c r="K243" s="15" t="s">
        <v>20</v>
      </c>
      <c r="L243" s="16" t="s">
        <v>20</v>
      </c>
    </row>
    <row r="244" spans="1:12" x14ac:dyDescent="0.25">
      <c r="A244" s="10" t="s">
        <v>20</v>
      </c>
      <c r="B244" s="11" t="s">
        <v>507</v>
      </c>
      <c r="C244" s="11">
        <v>7.37</v>
      </c>
      <c r="D244" s="11" t="s">
        <v>455</v>
      </c>
      <c r="E244" s="11" t="s">
        <v>456</v>
      </c>
      <c r="F244" s="12">
        <v>12500</v>
      </c>
      <c r="G244" s="13">
        <v>12690.56</v>
      </c>
      <c r="H244" s="13">
        <v>0.13</v>
      </c>
      <c r="I244" s="14">
        <v>7.15</v>
      </c>
      <c r="J244" s="14" t="s">
        <v>20</v>
      </c>
      <c r="K244" s="15" t="s">
        <v>20</v>
      </c>
      <c r="L244" s="16" t="s">
        <v>20</v>
      </c>
    </row>
    <row r="245" spans="1:12" x14ac:dyDescent="0.25">
      <c r="A245" s="10" t="s">
        <v>20</v>
      </c>
      <c r="B245" s="11" t="s">
        <v>508</v>
      </c>
      <c r="C245" s="11">
        <v>7.43</v>
      </c>
      <c r="D245" s="11" t="s">
        <v>446</v>
      </c>
      <c r="E245" s="11" t="s">
        <v>437</v>
      </c>
      <c r="F245" s="12">
        <v>12550</v>
      </c>
      <c r="G245" s="13">
        <v>12563.28</v>
      </c>
      <c r="H245" s="13">
        <v>0.13</v>
      </c>
      <c r="I245" s="14">
        <v>7.3</v>
      </c>
      <c r="J245" s="14" t="s">
        <v>20</v>
      </c>
      <c r="K245" s="15" t="s">
        <v>20</v>
      </c>
      <c r="L245" s="16" t="s">
        <v>20</v>
      </c>
    </row>
    <row r="246" spans="1:12" x14ac:dyDescent="0.25">
      <c r="A246" s="10" t="s">
        <v>20</v>
      </c>
      <c r="B246" s="11" t="s">
        <v>509</v>
      </c>
      <c r="C246" s="11">
        <v>7.96</v>
      </c>
      <c r="D246" s="11" t="s">
        <v>444</v>
      </c>
      <c r="E246" s="11" t="s">
        <v>437</v>
      </c>
      <c r="F246" s="12">
        <v>11500</v>
      </c>
      <c r="G246" s="13">
        <v>11667.61</v>
      </c>
      <c r="H246" s="13">
        <v>0.12</v>
      </c>
      <c r="I246" s="14">
        <v>7.5650000000000004</v>
      </c>
      <c r="J246" s="14" t="s">
        <v>20</v>
      </c>
      <c r="K246" s="15" t="s">
        <v>20</v>
      </c>
      <c r="L246" s="16" t="s">
        <v>20</v>
      </c>
    </row>
    <row r="247" spans="1:12" x14ac:dyDescent="0.25">
      <c r="A247" s="10" t="s">
        <v>20</v>
      </c>
      <c r="B247" s="11" t="s">
        <v>510</v>
      </c>
      <c r="C247" s="11">
        <v>7.38</v>
      </c>
      <c r="D247" s="11" t="s">
        <v>503</v>
      </c>
      <c r="E247" s="11" t="s">
        <v>437</v>
      </c>
      <c r="F247" s="12">
        <v>11000</v>
      </c>
      <c r="G247" s="13">
        <v>11137.15</v>
      </c>
      <c r="H247" s="13">
        <v>0.12</v>
      </c>
      <c r="I247" s="14">
        <v>7.14</v>
      </c>
      <c r="J247" s="14" t="s">
        <v>20</v>
      </c>
      <c r="K247" s="15" t="s">
        <v>20</v>
      </c>
      <c r="L247" s="16" t="s">
        <v>20</v>
      </c>
    </row>
    <row r="248" spans="1:12" x14ac:dyDescent="0.25">
      <c r="A248" s="10" t="s">
        <v>20</v>
      </c>
      <c r="B248" s="11" t="s">
        <v>511</v>
      </c>
      <c r="C248" s="11">
        <v>7.96</v>
      </c>
      <c r="D248" s="11" t="s">
        <v>448</v>
      </c>
      <c r="E248" s="11" t="s">
        <v>437</v>
      </c>
      <c r="F248" s="12">
        <v>1099</v>
      </c>
      <c r="G248" s="13">
        <v>11317.15</v>
      </c>
      <c r="H248" s="13">
        <v>0.12</v>
      </c>
      <c r="I248" s="14">
        <v>7.2450000000000001</v>
      </c>
      <c r="J248" s="14" t="s">
        <v>20</v>
      </c>
      <c r="K248" s="15" t="s">
        <v>20</v>
      </c>
      <c r="L248" s="16" t="s">
        <v>20</v>
      </c>
    </row>
    <row r="249" spans="1:12" x14ac:dyDescent="0.25">
      <c r="A249" s="10" t="s">
        <v>20</v>
      </c>
      <c r="B249" s="11" t="s">
        <v>512</v>
      </c>
      <c r="C249" s="11">
        <v>7.7</v>
      </c>
      <c r="D249" s="11" t="s">
        <v>513</v>
      </c>
      <c r="E249" s="11" t="s">
        <v>437</v>
      </c>
      <c r="F249" s="12">
        <v>10000</v>
      </c>
      <c r="G249" s="13">
        <v>10030.48</v>
      </c>
      <c r="H249" s="13">
        <v>0.11</v>
      </c>
      <c r="I249" s="14">
        <v>7.6449999999999996</v>
      </c>
      <c r="J249" s="14" t="s">
        <v>20</v>
      </c>
      <c r="K249" s="15" t="s">
        <v>20</v>
      </c>
      <c r="L249" s="16" t="s">
        <v>20</v>
      </c>
    </row>
    <row r="250" spans="1:12" x14ac:dyDescent="0.25">
      <c r="A250" s="10" t="s">
        <v>20</v>
      </c>
      <c r="B250" s="11" t="s">
        <v>514</v>
      </c>
      <c r="C250" s="11">
        <v>6.11</v>
      </c>
      <c r="D250" s="11" t="s">
        <v>515</v>
      </c>
      <c r="E250" s="11" t="s">
        <v>437</v>
      </c>
      <c r="F250" s="12">
        <v>1000</v>
      </c>
      <c r="G250" s="13">
        <v>9966.49</v>
      </c>
      <c r="H250" s="13">
        <v>0.11</v>
      </c>
      <c r="I250" s="14">
        <v>7.1150000000000002</v>
      </c>
      <c r="J250" s="14" t="s">
        <v>20</v>
      </c>
      <c r="K250" s="15" t="s">
        <v>20</v>
      </c>
      <c r="L250" s="16" t="s">
        <v>20</v>
      </c>
    </row>
    <row r="251" spans="1:12" x14ac:dyDescent="0.25">
      <c r="A251" s="10" t="s">
        <v>20</v>
      </c>
      <c r="B251" s="11" t="s">
        <v>516</v>
      </c>
      <c r="C251" s="11">
        <v>7.68</v>
      </c>
      <c r="D251" s="11" t="s">
        <v>455</v>
      </c>
      <c r="E251" s="11" t="s">
        <v>456</v>
      </c>
      <c r="F251" s="12">
        <v>10000</v>
      </c>
      <c r="G251" s="13">
        <v>10043.69</v>
      </c>
      <c r="H251" s="13">
        <v>0.11</v>
      </c>
      <c r="I251" s="14">
        <v>7.2350000000000003</v>
      </c>
      <c r="J251" s="14" t="s">
        <v>20</v>
      </c>
      <c r="K251" s="15" t="s">
        <v>20</v>
      </c>
      <c r="L251" s="16" t="s">
        <v>20</v>
      </c>
    </row>
    <row r="252" spans="1:12" x14ac:dyDescent="0.25">
      <c r="A252" s="10" t="s">
        <v>20</v>
      </c>
      <c r="B252" s="11" t="s">
        <v>517</v>
      </c>
      <c r="C252" s="11">
        <v>7.37</v>
      </c>
      <c r="D252" s="11" t="s">
        <v>277</v>
      </c>
      <c r="E252" s="11" t="s">
        <v>437</v>
      </c>
      <c r="F252" s="12">
        <v>10000</v>
      </c>
      <c r="G252" s="13">
        <v>10093.969999999999</v>
      </c>
      <c r="H252" s="13">
        <v>0.11</v>
      </c>
      <c r="I252" s="14">
        <v>7.12</v>
      </c>
      <c r="J252" s="14" t="s">
        <v>20</v>
      </c>
      <c r="K252" s="15" t="s">
        <v>20</v>
      </c>
      <c r="L252" s="16" t="s">
        <v>20</v>
      </c>
    </row>
    <row r="253" spans="1:12" x14ac:dyDescent="0.25">
      <c r="A253" s="10" t="s">
        <v>20</v>
      </c>
      <c r="B253" s="11" t="s">
        <v>518</v>
      </c>
      <c r="C253" s="11">
        <v>8.1928999999999998</v>
      </c>
      <c r="D253" s="11" t="s">
        <v>519</v>
      </c>
      <c r="E253" s="11" t="s">
        <v>437</v>
      </c>
      <c r="F253" s="12">
        <v>10000</v>
      </c>
      <c r="G253" s="13">
        <v>10072.540000000001</v>
      </c>
      <c r="H253" s="13">
        <v>0.11</v>
      </c>
      <c r="I253" s="14">
        <v>7.7350000000000003</v>
      </c>
      <c r="J253" s="14" t="s">
        <v>20</v>
      </c>
      <c r="K253" s="15" t="s">
        <v>20</v>
      </c>
      <c r="L253" s="16" t="s">
        <v>20</v>
      </c>
    </row>
    <row r="254" spans="1:12" x14ac:dyDescent="0.25">
      <c r="A254" s="10" t="s">
        <v>20</v>
      </c>
      <c r="B254" s="11" t="s">
        <v>520</v>
      </c>
      <c r="C254" s="11">
        <v>7.87</v>
      </c>
      <c r="D254" s="11" t="s">
        <v>439</v>
      </c>
      <c r="E254" s="11" t="s">
        <v>437</v>
      </c>
      <c r="F254" s="12">
        <v>10000</v>
      </c>
      <c r="G254" s="13">
        <v>10141.43</v>
      </c>
      <c r="H254" s="13">
        <v>0.11</v>
      </c>
      <c r="I254" s="14">
        <v>7.45</v>
      </c>
      <c r="J254" s="14" t="s">
        <v>20</v>
      </c>
      <c r="K254" s="15" t="s">
        <v>20</v>
      </c>
      <c r="L254" s="16" t="s">
        <v>20</v>
      </c>
    </row>
    <row r="255" spans="1:12" x14ac:dyDescent="0.25">
      <c r="A255" s="10" t="s">
        <v>20</v>
      </c>
      <c r="B255" s="11" t="s">
        <v>521</v>
      </c>
      <c r="C255" s="11">
        <v>7.7</v>
      </c>
      <c r="D255" s="11" t="s">
        <v>439</v>
      </c>
      <c r="E255" s="11" t="s">
        <v>437</v>
      </c>
      <c r="F255" s="12">
        <v>1000</v>
      </c>
      <c r="G255" s="13">
        <v>10050.89</v>
      </c>
      <c r="H255" s="13">
        <v>0.11</v>
      </c>
      <c r="I255" s="14">
        <v>7.5</v>
      </c>
      <c r="J255" s="14" t="s">
        <v>20</v>
      </c>
      <c r="K255" s="15" t="s">
        <v>20</v>
      </c>
      <c r="L255" s="16" t="s">
        <v>20</v>
      </c>
    </row>
    <row r="256" spans="1:12" x14ac:dyDescent="0.25">
      <c r="A256" s="10" t="s">
        <v>20</v>
      </c>
      <c r="B256" s="11" t="s">
        <v>522</v>
      </c>
      <c r="C256" s="11">
        <v>8.75</v>
      </c>
      <c r="D256" s="11" t="s">
        <v>439</v>
      </c>
      <c r="E256" s="11" t="s">
        <v>437</v>
      </c>
      <c r="F256" s="12">
        <v>1000</v>
      </c>
      <c r="G256" s="13">
        <v>10383.61</v>
      </c>
      <c r="H256" s="13">
        <v>0.11</v>
      </c>
      <c r="I256" s="14">
        <v>7.5</v>
      </c>
      <c r="J256" s="14" t="s">
        <v>20</v>
      </c>
      <c r="K256" s="15" t="s">
        <v>20</v>
      </c>
      <c r="L256" s="16" t="s">
        <v>20</v>
      </c>
    </row>
    <row r="257" spans="1:12" x14ac:dyDescent="0.25">
      <c r="A257" s="10" t="s">
        <v>20</v>
      </c>
      <c r="B257" s="11" t="s">
        <v>523</v>
      </c>
      <c r="C257" s="11">
        <v>7.75</v>
      </c>
      <c r="D257" s="11" t="s">
        <v>439</v>
      </c>
      <c r="E257" s="11" t="s">
        <v>437</v>
      </c>
      <c r="F257" s="12">
        <v>1000</v>
      </c>
      <c r="G257" s="13">
        <v>10063.4</v>
      </c>
      <c r="H257" s="13">
        <v>0.11</v>
      </c>
      <c r="I257" s="14">
        <v>7.45</v>
      </c>
      <c r="J257" s="14" t="s">
        <v>20</v>
      </c>
      <c r="K257" s="15" t="s">
        <v>20</v>
      </c>
      <c r="L257" s="16" t="s">
        <v>20</v>
      </c>
    </row>
    <row r="258" spans="1:12" x14ac:dyDescent="0.25">
      <c r="A258" s="10" t="s">
        <v>20</v>
      </c>
      <c r="B258" s="11" t="s">
        <v>524</v>
      </c>
      <c r="C258" s="11">
        <v>7.5</v>
      </c>
      <c r="D258" s="11" t="s">
        <v>461</v>
      </c>
      <c r="E258" s="11" t="s">
        <v>437</v>
      </c>
      <c r="F258" s="12">
        <v>10000</v>
      </c>
      <c r="G258" s="13">
        <v>10010.41</v>
      </c>
      <c r="H258" s="13">
        <v>0.11</v>
      </c>
      <c r="I258" s="14">
        <v>7.37</v>
      </c>
      <c r="J258" s="14" t="s">
        <v>20</v>
      </c>
      <c r="K258" s="15" t="s">
        <v>20</v>
      </c>
      <c r="L258" s="16" t="s">
        <v>20</v>
      </c>
    </row>
    <row r="259" spans="1:12" x14ac:dyDescent="0.25">
      <c r="A259" s="10" t="s">
        <v>20</v>
      </c>
      <c r="B259" s="11" t="s">
        <v>525</v>
      </c>
      <c r="C259" s="11">
        <v>7.58</v>
      </c>
      <c r="D259" s="11" t="s">
        <v>461</v>
      </c>
      <c r="E259" s="11" t="s">
        <v>437</v>
      </c>
      <c r="F259" s="12">
        <v>10000</v>
      </c>
      <c r="G259" s="13">
        <v>10022.219999999999</v>
      </c>
      <c r="H259" s="13">
        <v>0.11</v>
      </c>
      <c r="I259" s="14">
        <v>7.35</v>
      </c>
      <c r="J259" s="14" t="s">
        <v>20</v>
      </c>
      <c r="K259" s="15" t="s">
        <v>20</v>
      </c>
      <c r="L259" s="16" t="s">
        <v>20</v>
      </c>
    </row>
    <row r="260" spans="1:12" x14ac:dyDescent="0.25">
      <c r="A260" s="10" t="s">
        <v>20</v>
      </c>
      <c r="B260" s="11" t="s">
        <v>526</v>
      </c>
      <c r="C260" s="11">
        <v>7.64</v>
      </c>
      <c r="D260" s="11" t="s">
        <v>461</v>
      </c>
      <c r="E260" s="11" t="s">
        <v>442</v>
      </c>
      <c r="F260" s="12">
        <v>10000</v>
      </c>
      <c r="G260" s="13">
        <v>10171.89</v>
      </c>
      <c r="H260" s="13">
        <v>0.11</v>
      </c>
      <c r="I260" s="14">
        <v>7.18</v>
      </c>
      <c r="J260" s="14" t="s">
        <v>20</v>
      </c>
      <c r="K260" s="15" t="s">
        <v>20</v>
      </c>
      <c r="L260" s="16" t="s">
        <v>20</v>
      </c>
    </row>
    <row r="261" spans="1:12" x14ac:dyDescent="0.25">
      <c r="A261" s="10" t="s">
        <v>20</v>
      </c>
      <c r="B261" s="11" t="s">
        <v>527</v>
      </c>
      <c r="C261" s="11">
        <v>7.37</v>
      </c>
      <c r="D261" s="11" t="s">
        <v>461</v>
      </c>
      <c r="E261" s="11" t="s">
        <v>437</v>
      </c>
      <c r="F261" s="12">
        <v>10000</v>
      </c>
      <c r="G261" s="13">
        <v>10122.19</v>
      </c>
      <c r="H261" s="13">
        <v>0.11</v>
      </c>
      <c r="I261" s="14">
        <v>7.2</v>
      </c>
      <c r="J261" s="14" t="s">
        <v>20</v>
      </c>
      <c r="K261" s="15" t="s">
        <v>20</v>
      </c>
      <c r="L261" s="16" t="s">
        <v>20</v>
      </c>
    </row>
    <row r="262" spans="1:12" x14ac:dyDescent="0.25">
      <c r="A262" s="10" t="s">
        <v>20</v>
      </c>
      <c r="B262" s="11" t="s">
        <v>528</v>
      </c>
      <c r="C262" s="11">
        <v>7.59</v>
      </c>
      <c r="D262" s="11" t="s">
        <v>490</v>
      </c>
      <c r="E262" s="11" t="s">
        <v>437</v>
      </c>
      <c r="F262" s="12">
        <v>10000</v>
      </c>
      <c r="G262" s="13">
        <v>10083.42</v>
      </c>
      <c r="H262" s="13">
        <v>0.11</v>
      </c>
      <c r="I262" s="14">
        <v>7.1749999999999998</v>
      </c>
      <c r="J262" s="14" t="s">
        <v>20</v>
      </c>
      <c r="K262" s="15" t="s">
        <v>20</v>
      </c>
      <c r="L262" s="16" t="s">
        <v>20</v>
      </c>
    </row>
    <row r="263" spans="1:12" x14ac:dyDescent="0.25">
      <c r="A263" s="10" t="s">
        <v>20</v>
      </c>
      <c r="B263" s="11" t="s">
        <v>529</v>
      </c>
      <c r="C263" s="11">
        <v>7.51</v>
      </c>
      <c r="D263" s="11" t="s">
        <v>490</v>
      </c>
      <c r="E263" s="11" t="s">
        <v>456</v>
      </c>
      <c r="F263" s="12">
        <v>10000</v>
      </c>
      <c r="G263" s="13">
        <v>10208.870000000001</v>
      </c>
      <c r="H263" s="13">
        <v>0.11</v>
      </c>
      <c r="I263" s="14">
        <v>7.07</v>
      </c>
      <c r="J263" s="14" t="s">
        <v>20</v>
      </c>
      <c r="K263" s="15" t="s">
        <v>20</v>
      </c>
      <c r="L263" s="16" t="s">
        <v>20</v>
      </c>
    </row>
    <row r="264" spans="1:12" x14ac:dyDescent="0.25">
      <c r="A264" s="10" t="s">
        <v>20</v>
      </c>
      <c r="B264" s="11" t="s">
        <v>530</v>
      </c>
      <c r="C264" s="11">
        <v>7.4</v>
      </c>
      <c r="D264" s="11" t="s">
        <v>503</v>
      </c>
      <c r="E264" s="11" t="s">
        <v>437</v>
      </c>
      <c r="F264" s="12">
        <v>10000</v>
      </c>
      <c r="G264" s="13">
        <v>10208.049999999999</v>
      </c>
      <c r="H264" s="13">
        <v>0.11</v>
      </c>
      <c r="I264" s="14">
        <v>7.1</v>
      </c>
      <c r="J264" s="14" t="s">
        <v>20</v>
      </c>
      <c r="K264" s="15" t="s">
        <v>20</v>
      </c>
      <c r="L264" s="16" t="s">
        <v>20</v>
      </c>
    </row>
    <row r="265" spans="1:12" x14ac:dyDescent="0.25">
      <c r="A265" s="10" t="s">
        <v>20</v>
      </c>
      <c r="B265" s="11" t="s">
        <v>531</v>
      </c>
      <c r="C265" s="11">
        <v>7.64</v>
      </c>
      <c r="D265" s="11" t="s">
        <v>503</v>
      </c>
      <c r="E265" s="11" t="s">
        <v>437</v>
      </c>
      <c r="F265" s="12">
        <v>10000</v>
      </c>
      <c r="G265" s="13">
        <v>10037.77</v>
      </c>
      <c r="H265" s="13">
        <v>0.11</v>
      </c>
      <c r="I265" s="14">
        <v>7.2949999999999999</v>
      </c>
      <c r="J265" s="14" t="s">
        <v>20</v>
      </c>
      <c r="K265" s="15" t="s">
        <v>20</v>
      </c>
      <c r="L265" s="16" t="s">
        <v>20</v>
      </c>
    </row>
    <row r="266" spans="1:12" x14ac:dyDescent="0.25">
      <c r="A266" s="10" t="s">
        <v>20</v>
      </c>
      <c r="B266" s="11" t="s">
        <v>532</v>
      </c>
      <c r="C266" s="11">
        <v>7.44</v>
      </c>
      <c r="D266" s="11" t="s">
        <v>503</v>
      </c>
      <c r="E266" s="11" t="s">
        <v>437</v>
      </c>
      <c r="F266" s="12">
        <v>10000</v>
      </c>
      <c r="G266" s="13">
        <v>10094.67</v>
      </c>
      <c r="H266" s="13">
        <v>0.11</v>
      </c>
      <c r="I266" s="14">
        <v>7.2</v>
      </c>
      <c r="J266" s="14" t="s">
        <v>20</v>
      </c>
      <c r="K266" s="15" t="s">
        <v>20</v>
      </c>
      <c r="L266" s="16" t="s">
        <v>20</v>
      </c>
    </row>
    <row r="267" spans="1:12" x14ac:dyDescent="0.25">
      <c r="A267" s="10" t="s">
        <v>20</v>
      </c>
      <c r="B267" s="11" t="s">
        <v>533</v>
      </c>
      <c r="C267" s="11">
        <v>7.44</v>
      </c>
      <c r="D267" s="11" t="s">
        <v>448</v>
      </c>
      <c r="E267" s="11" t="s">
        <v>442</v>
      </c>
      <c r="F267" s="12">
        <v>10000</v>
      </c>
      <c r="G267" s="13">
        <v>10017.780000000001</v>
      </c>
      <c r="H267" s="13">
        <v>0.11</v>
      </c>
      <c r="I267" s="14">
        <v>7.25</v>
      </c>
      <c r="J267" s="14" t="s">
        <v>20</v>
      </c>
      <c r="K267" s="15" t="s">
        <v>20</v>
      </c>
      <c r="L267" s="16" t="s">
        <v>20</v>
      </c>
    </row>
    <row r="268" spans="1:12" x14ac:dyDescent="0.25">
      <c r="A268" s="10" t="s">
        <v>20</v>
      </c>
      <c r="B268" s="11" t="s">
        <v>534</v>
      </c>
      <c r="C268" s="11">
        <v>7.64</v>
      </c>
      <c r="D268" s="11" t="s">
        <v>448</v>
      </c>
      <c r="E268" s="11" t="s">
        <v>437</v>
      </c>
      <c r="F268" s="12">
        <v>10000</v>
      </c>
      <c r="G268" s="13">
        <v>10040.17</v>
      </c>
      <c r="H268" s="13">
        <v>0.11</v>
      </c>
      <c r="I268" s="14">
        <v>7.25</v>
      </c>
      <c r="J268" s="14" t="s">
        <v>20</v>
      </c>
      <c r="K268" s="15" t="s">
        <v>20</v>
      </c>
      <c r="L268" s="16" t="s">
        <v>20</v>
      </c>
    </row>
    <row r="269" spans="1:12" x14ac:dyDescent="0.25">
      <c r="A269" s="10" t="s">
        <v>20</v>
      </c>
      <c r="B269" s="11" t="s">
        <v>535</v>
      </c>
      <c r="C269" s="11">
        <v>7.44</v>
      </c>
      <c r="D269" s="11" t="s">
        <v>446</v>
      </c>
      <c r="E269" s="11" t="s">
        <v>437</v>
      </c>
      <c r="F269" s="12">
        <v>10000</v>
      </c>
      <c r="G269" s="13">
        <v>10011.959999999999</v>
      </c>
      <c r="H269" s="13">
        <v>0.11</v>
      </c>
      <c r="I269" s="14">
        <v>7.3</v>
      </c>
      <c r="J269" s="14" t="s">
        <v>20</v>
      </c>
      <c r="K269" s="15" t="s">
        <v>20</v>
      </c>
      <c r="L269" s="16" t="s">
        <v>20</v>
      </c>
    </row>
    <row r="270" spans="1:12" x14ac:dyDescent="0.25">
      <c r="A270" s="10" t="s">
        <v>20</v>
      </c>
      <c r="B270" s="11" t="s">
        <v>536</v>
      </c>
      <c r="C270" s="11">
        <v>7.75</v>
      </c>
      <c r="D270" s="11" t="s">
        <v>446</v>
      </c>
      <c r="E270" s="11" t="s">
        <v>456</v>
      </c>
      <c r="F270" s="12">
        <v>1000</v>
      </c>
      <c r="G270" s="13">
        <v>10007.27</v>
      </c>
      <c r="H270" s="13">
        <v>0.11</v>
      </c>
      <c r="I270" s="14">
        <v>7.5049999999999999</v>
      </c>
      <c r="J270" s="14" t="s">
        <v>20</v>
      </c>
      <c r="K270" s="15" t="s">
        <v>20</v>
      </c>
      <c r="L270" s="16" t="s">
        <v>20</v>
      </c>
    </row>
    <row r="271" spans="1:12" x14ac:dyDescent="0.25">
      <c r="A271" s="10" t="s">
        <v>20</v>
      </c>
      <c r="B271" s="11" t="s">
        <v>537</v>
      </c>
      <c r="C271" s="11">
        <v>7.79</v>
      </c>
      <c r="D271" s="11" t="s">
        <v>446</v>
      </c>
      <c r="E271" s="11" t="s">
        <v>437</v>
      </c>
      <c r="F271" s="12">
        <v>10000</v>
      </c>
      <c r="G271" s="13">
        <v>10094.98</v>
      </c>
      <c r="H271" s="13">
        <v>0.11</v>
      </c>
      <c r="I271" s="14">
        <v>7.27</v>
      </c>
      <c r="J271" s="14" t="s">
        <v>20</v>
      </c>
      <c r="K271" s="15" t="s">
        <v>20</v>
      </c>
      <c r="L271" s="16" t="s">
        <v>20</v>
      </c>
    </row>
    <row r="272" spans="1:12" x14ac:dyDescent="0.25">
      <c r="A272" s="10" t="s">
        <v>20</v>
      </c>
      <c r="B272" s="11" t="s">
        <v>538</v>
      </c>
      <c r="C272" s="11">
        <v>8.15</v>
      </c>
      <c r="D272" s="11" t="s">
        <v>492</v>
      </c>
      <c r="E272" s="11" t="s">
        <v>442</v>
      </c>
      <c r="F272" s="12">
        <v>10000</v>
      </c>
      <c r="G272" s="13">
        <v>10017.83</v>
      </c>
      <c r="H272" s="13">
        <v>0.11</v>
      </c>
      <c r="I272" s="14">
        <v>7.9550000000000001</v>
      </c>
      <c r="J272" s="14" t="s">
        <v>20</v>
      </c>
      <c r="K272" s="15" t="s">
        <v>20</v>
      </c>
      <c r="L272" s="16" t="s">
        <v>20</v>
      </c>
    </row>
    <row r="273" spans="1:12" x14ac:dyDescent="0.25">
      <c r="A273" s="10" t="s">
        <v>20</v>
      </c>
      <c r="B273" s="11" t="s">
        <v>539</v>
      </c>
      <c r="C273" s="11">
        <v>8.1083999999999996</v>
      </c>
      <c r="D273" s="11" t="s">
        <v>519</v>
      </c>
      <c r="E273" s="11" t="s">
        <v>437</v>
      </c>
      <c r="F273" s="12">
        <v>9900</v>
      </c>
      <c r="G273" s="13">
        <v>9946.35</v>
      </c>
      <c r="H273" s="13">
        <v>0.1</v>
      </c>
      <c r="I273" s="14">
        <v>7.7750000000000004</v>
      </c>
      <c r="J273" s="14" t="s">
        <v>20</v>
      </c>
      <c r="K273" s="15" t="s">
        <v>20</v>
      </c>
      <c r="L273" s="16" t="s">
        <v>20</v>
      </c>
    </row>
    <row r="274" spans="1:12" x14ac:dyDescent="0.25">
      <c r="A274" s="10" t="s">
        <v>20</v>
      </c>
      <c r="B274" s="11" t="s">
        <v>540</v>
      </c>
      <c r="C274" s="11">
        <v>6.4</v>
      </c>
      <c r="D274" s="11" t="s">
        <v>439</v>
      </c>
      <c r="E274" s="11" t="s">
        <v>437</v>
      </c>
      <c r="F274" s="12">
        <v>1000</v>
      </c>
      <c r="G274" s="13">
        <v>9824.67</v>
      </c>
      <c r="H274" s="13">
        <v>0.1</v>
      </c>
      <c r="I274" s="14">
        <v>7.5250000000000004</v>
      </c>
      <c r="J274" s="14" t="s">
        <v>20</v>
      </c>
      <c r="K274" s="15" t="s">
        <v>20</v>
      </c>
      <c r="L274" s="16" t="s">
        <v>20</v>
      </c>
    </row>
    <row r="275" spans="1:12" x14ac:dyDescent="0.25">
      <c r="A275" s="10" t="s">
        <v>20</v>
      </c>
      <c r="B275" s="11" t="s">
        <v>541</v>
      </c>
      <c r="C275" s="11">
        <v>7.53</v>
      </c>
      <c r="D275" s="11" t="s">
        <v>68</v>
      </c>
      <c r="E275" s="11" t="s">
        <v>437</v>
      </c>
      <c r="F275" s="12">
        <v>8000</v>
      </c>
      <c r="G275" s="13">
        <v>8196.7199999999993</v>
      </c>
      <c r="H275" s="13">
        <v>0.09</v>
      </c>
      <c r="I275" s="14">
        <v>7.15</v>
      </c>
      <c r="J275" s="14" t="s">
        <v>20</v>
      </c>
      <c r="K275" s="15" t="s">
        <v>20</v>
      </c>
      <c r="L275" s="16" t="s">
        <v>20</v>
      </c>
    </row>
    <row r="276" spans="1:12" x14ac:dyDescent="0.25">
      <c r="A276" s="10" t="s">
        <v>20</v>
      </c>
      <c r="B276" s="11" t="s">
        <v>542</v>
      </c>
      <c r="C276" s="11">
        <v>7.46</v>
      </c>
      <c r="D276" s="11" t="s">
        <v>453</v>
      </c>
      <c r="E276" s="11" t="s">
        <v>437</v>
      </c>
      <c r="F276" s="12">
        <v>7500</v>
      </c>
      <c r="G276" s="13">
        <v>7588.51</v>
      </c>
      <c r="H276" s="13">
        <v>0.08</v>
      </c>
      <c r="I276" s="14">
        <v>7.12</v>
      </c>
      <c r="J276" s="14" t="s">
        <v>20</v>
      </c>
      <c r="K276" s="15" t="s">
        <v>20</v>
      </c>
      <c r="L276" s="16" t="s">
        <v>20</v>
      </c>
    </row>
    <row r="277" spans="1:12" x14ac:dyDescent="0.25">
      <c r="A277" s="10" t="s">
        <v>20</v>
      </c>
      <c r="B277" s="11" t="s">
        <v>543</v>
      </c>
      <c r="C277" s="11">
        <v>7.49</v>
      </c>
      <c r="D277" s="11" t="s">
        <v>453</v>
      </c>
      <c r="E277" s="11" t="s">
        <v>437</v>
      </c>
      <c r="F277" s="12">
        <v>750</v>
      </c>
      <c r="G277" s="13">
        <v>7546.65</v>
      </c>
      <c r="H277" s="13">
        <v>0.08</v>
      </c>
      <c r="I277" s="14">
        <v>7.1749999999999998</v>
      </c>
      <c r="J277" s="14" t="s">
        <v>20</v>
      </c>
      <c r="K277" s="15" t="s">
        <v>20</v>
      </c>
      <c r="L277" s="16" t="s">
        <v>20</v>
      </c>
    </row>
    <row r="278" spans="1:12" x14ac:dyDescent="0.25">
      <c r="A278" s="10" t="s">
        <v>20</v>
      </c>
      <c r="B278" s="11" t="s">
        <v>544</v>
      </c>
      <c r="C278" s="11">
        <v>8.4</v>
      </c>
      <c r="D278" s="11" t="s">
        <v>545</v>
      </c>
      <c r="E278" s="11" t="s">
        <v>437</v>
      </c>
      <c r="F278" s="12">
        <v>550</v>
      </c>
      <c r="G278" s="13">
        <v>5518.8</v>
      </c>
      <c r="H278" s="13">
        <v>0.06</v>
      </c>
      <c r="I278" s="14">
        <v>8.0350000000000001</v>
      </c>
      <c r="J278" s="14" t="s">
        <v>20</v>
      </c>
      <c r="K278" s="15" t="s">
        <v>20</v>
      </c>
      <c r="L278" s="16" t="s">
        <v>20</v>
      </c>
    </row>
    <row r="279" spans="1:12" x14ac:dyDescent="0.25">
      <c r="A279" s="10" t="s">
        <v>20</v>
      </c>
      <c r="B279" s="11" t="s">
        <v>546</v>
      </c>
      <c r="C279" s="11">
        <v>6.83</v>
      </c>
      <c r="D279" s="11" t="s">
        <v>451</v>
      </c>
      <c r="E279" s="11" t="s">
        <v>437</v>
      </c>
      <c r="F279" s="12">
        <v>600</v>
      </c>
      <c r="G279" s="13">
        <v>5850.9</v>
      </c>
      <c r="H279" s="13">
        <v>0.06</v>
      </c>
      <c r="I279" s="14">
        <v>7.3650000000000002</v>
      </c>
      <c r="J279" s="14" t="s">
        <v>20</v>
      </c>
      <c r="K279" s="15" t="s">
        <v>20</v>
      </c>
      <c r="L279" s="16" t="s">
        <v>20</v>
      </c>
    </row>
    <row r="280" spans="1:12" x14ac:dyDescent="0.25">
      <c r="A280" s="10" t="s">
        <v>20</v>
      </c>
      <c r="B280" s="11" t="s">
        <v>547</v>
      </c>
      <c r="C280" s="11">
        <v>7.89</v>
      </c>
      <c r="D280" s="11" t="s">
        <v>548</v>
      </c>
      <c r="E280" s="11" t="s">
        <v>437</v>
      </c>
      <c r="F280" s="12">
        <v>600</v>
      </c>
      <c r="G280" s="13">
        <v>6005.15</v>
      </c>
      <c r="H280" s="13">
        <v>0.06</v>
      </c>
      <c r="I280" s="14">
        <v>7.53</v>
      </c>
      <c r="J280" s="14" t="s">
        <v>20</v>
      </c>
      <c r="K280" s="15" t="s">
        <v>20</v>
      </c>
      <c r="L280" s="16" t="s">
        <v>20</v>
      </c>
    </row>
    <row r="281" spans="1:12" x14ac:dyDescent="0.25">
      <c r="A281" s="10" t="s">
        <v>20</v>
      </c>
      <c r="B281" s="11" t="s">
        <v>549</v>
      </c>
      <c r="C281" s="11">
        <v>7.9237000000000002</v>
      </c>
      <c r="D281" s="11" t="s">
        <v>465</v>
      </c>
      <c r="E281" s="11" t="s">
        <v>437</v>
      </c>
      <c r="F281" s="12">
        <v>500</v>
      </c>
      <c r="G281" s="13">
        <v>5019.99</v>
      </c>
      <c r="H281" s="13">
        <v>0.05</v>
      </c>
      <c r="I281" s="14">
        <v>7.45</v>
      </c>
      <c r="J281" s="14" t="s">
        <v>20</v>
      </c>
      <c r="K281" s="15" t="s">
        <v>20</v>
      </c>
      <c r="L281" s="16" t="s">
        <v>20</v>
      </c>
    </row>
    <row r="282" spans="1:12" x14ac:dyDescent="0.25">
      <c r="A282" s="10" t="s">
        <v>20</v>
      </c>
      <c r="B282" s="11" t="s">
        <v>550</v>
      </c>
      <c r="C282" s="11">
        <v>7.5</v>
      </c>
      <c r="D282" s="11" t="s">
        <v>551</v>
      </c>
      <c r="E282" s="11" t="s">
        <v>437</v>
      </c>
      <c r="F282" s="12">
        <v>500</v>
      </c>
      <c r="G282" s="13">
        <v>5033.3500000000004</v>
      </c>
      <c r="H282" s="13">
        <v>0.05</v>
      </c>
      <c r="I282" s="14">
        <v>7.14</v>
      </c>
      <c r="J282" s="14" t="s">
        <v>20</v>
      </c>
      <c r="K282" s="15" t="s">
        <v>20</v>
      </c>
      <c r="L282" s="16" t="s">
        <v>20</v>
      </c>
    </row>
    <row r="283" spans="1:12" x14ac:dyDescent="0.25">
      <c r="A283" s="10" t="s">
        <v>20</v>
      </c>
      <c r="B283" s="11" t="s">
        <v>552</v>
      </c>
      <c r="C283" s="11">
        <v>7.63</v>
      </c>
      <c r="D283" s="11" t="s">
        <v>551</v>
      </c>
      <c r="E283" s="11" t="s">
        <v>437</v>
      </c>
      <c r="F283" s="12">
        <v>500</v>
      </c>
      <c r="G283" s="13">
        <v>5054.78</v>
      </c>
      <c r="H283" s="13">
        <v>0.05</v>
      </c>
      <c r="I283" s="14">
        <v>7.14</v>
      </c>
      <c r="J283" s="14" t="s">
        <v>20</v>
      </c>
      <c r="K283" s="15" t="s">
        <v>20</v>
      </c>
      <c r="L283" s="16" t="s">
        <v>20</v>
      </c>
    </row>
    <row r="284" spans="1:12" x14ac:dyDescent="0.25">
      <c r="A284" s="10" t="s">
        <v>20</v>
      </c>
      <c r="B284" s="11" t="s">
        <v>553</v>
      </c>
      <c r="C284" s="11">
        <v>7.7</v>
      </c>
      <c r="D284" s="11" t="s">
        <v>21</v>
      </c>
      <c r="E284" s="11" t="s">
        <v>437</v>
      </c>
      <c r="F284" s="12">
        <v>5000</v>
      </c>
      <c r="G284" s="13">
        <v>5026.4399999999996</v>
      </c>
      <c r="H284" s="13">
        <v>0.05</v>
      </c>
      <c r="I284" s="14">
        <v>7.4950000000000001</v>
      </c>
      <c r="J284" s="14" t="s">
        <v>20</v>
      </c>
      <c r="K284" s="15" t="s">
        <v>20</v>
      </c>
      <c r="L284" s="16" t="s">
        <v>20</v>
      </c>
    </row>
    <row r="285" spans="1:12" x14ac:dyDescent="0.25">
      <c r="A285" s="10" t="s">
        <v>20</v>
      </c>
      <c r="B285" s="11" t="s">
        <v>554</v>
      </c>
      <c r="C285" s="11">
        <v>7.8</v>
      </c>
      <c r="D285" s="11" t="s">
        <v>451</v>
      </c>
      <c r="E285" s="11" t="s">
        <v>437</v>
      </c>
      <c r="F285" s="12">
        <v>5000</v>
      </c>
      <c r="G285" s="13">
        <v>5131.76</v>
      </c>
      <c r="H285" s="13">
        <v>0.05</v>
      </c>
      <c r="I285" s="14">
        <v>7.3550000000000004</v>
      </c>
      <c r="J285" s="14" t="s">
        <v>20</v>
      </c>
      <c r="K285" s="15" t="s">
        <v>20</v>
      </c>
      <c r="L285" s="16" t="s">
        <v>20</v>
      </c>
    </row>
    <row r="286" spans="1:12" x14ac:dyDescent="0.25">
      <c r="A286" s="10" t="s">
        <v>20</v>
      </c>
      <c r="B286" s="11" t="s">
        <v>555</v>
      </c>
      <c r="C286" s="11">
        <v>7.25</v>
      </c>
      <c r="D286" s="11" t="s">
        <v>556</v>
      </c>
      <c r="E286" s="11" t="s">
        <v>437</v>
      </c>
      <c r="F286" s="12">
        <v>5000</v>
      </c>
      <c r="G286" s="13">
        <v>5060.59</v>
      </c>
      <c r="H286" s="13">
        <v>0.05</v>
      </c>
      <c r="I286" s="14">
        <v>6.93</v>
      </c>
      <c r="J286" s="14" t="s">
        <v>20</v>
      </c>
      <c r="K286" s="15" t="s">
        <v>20</v>
      </c>
      <c r="L286" s="16" t="s">
        <v>20</v>
      </c>
    </row>
    <row r="287" spans="1:12" x14ac:dyDescent="0.25">
      <c r="A287" s="10" t="s">
        <v>20</v>
      </c>
      <c r="B287" s="11" t="s">
        <v>557</v>
      </c>
      <c r="C287" s="11">
        <v>7.39</v>
      </c>
      <c r="D287" s="11" t="s">
        <v>277</v>
      </c>
      <c r="E287" s="11" t="s">
        <v>437</v>
      </c>
      <c r="F287" s="12">
        <v>5000</v>
      </c>
      <c r="G287" s="13">
        <v>5103.97</v>
      </c>
      <c r="H287" s="13">
        <v>0.05</v>
      </c>
      <c r="I287" s="14">
        <v>7.08</v>
      </c>
      <c r="J287" s="14" t="s">
        <v>20</v>
      </c>
      <c r="K287" s="15" t="s">
        <v>20</v>
      </c>
      <c r="L287" s="16" t="s">
        <v>20</v>
      </c>
    </row>
    <row r="288" spans="1:12" x14ac:dyDescent="0.25">
      <c r="A288" s="10" t="s">
        <v>20</v>
      </c>
      <c r="B288" s="11" t="s">
        <v>558</v>
      </c>
      <c r="C288" s="11">
        <v>7.45</v>
      </c>
      <c r="D288" s="11" t="s">
        <v>453</v>
      </c>
      <c r="E288" s="11" t="s">
        <v>437</v>
      </c>
      <c r="F288" s="12">
        <v>5000</v>
      </c>
      <c r="G288" s="13">
        <v>5050.8999999999996</v>
      </c>
      <c r="H288" s="13">
        <v>0.05</v>
      </c>
      <c r="I288" s="14">
        <v>7.13</v>
      </c>
      <c r="J288" s="14" t="s">
        <v>20</v>
      </c>
      <c r="K288" s="15" t="s">
        <v>20</v>
      </c>
      <c r="L288" s="16" t="s">
        <v>20</v>
      </c>
    </row>
    <row r="289" spans="1:12" x14ac:dyDescent="0.25">
      <c r="A289" s="10" t="s">
        <v>20</v>
      </c>
      <c r="B289" s="11" t="s">
        <v>559</v>
      </c>
      <c r="C289" s="11">
        <v>7.41</v>
      </c>
      <c r="D289" s="11" t="s">
        <v>453</v>
      </c>
      <c r="E289" s="11" t="s">
        <v>437</v>
      </c>
      <c r="F289" s="12">
        <v>5000</v>
      </c>
      <c r="G289" s="13">
        <v>5014.8500000000004</v>
      </c>
      <c r="H289" s="13">
        <v>0.05</v>
      </c>
      <c r="I289" s="14">
        <v>7.2350000000000003</v>
      </c>
      <c r="J289" s="14" t="s">
        <v>20</v>
      </c>
      <c r="K289" s="15" t="s">
        <v>20</v>
      </c>
      <c r="L289" s="16" t="s">
        <v>20</v>
      </c>
    </row>
    <row r="290" spans="1:12" x14ac:dyDescent="0.25">
      <c r="A290" s="10" t="s">
        <v>20</v>
      </c>
      <c r="B290" s="11" t="s">
        <v>560</v>
      </c>
      <c r="C290" s="11">
        <v>7.9</v>
      </c>
      <c r="D290" s="11" t="s">
        <v>355</v>
      </c>
      <c r="E290" s="11" t="s">
        <v>437</v>
      </c>
      <c r="F290" s="12">
        <v>500</v>
      </c>
      <c r="G290" s="13">
        <v>5042.16</v>
      </c>
      <c r="H290" s="13">
        <v>0.05</v>
      </c>
      <c r="I290" s="14">
        <v>7.45</v>
      </c>
      <c r="J290" s="14" t="s">
        <v>20</v>
      </c>
      <c r="K290" s="15" t="s">
        <v>20</v>
      </c>
      <c r="L290" s="16" t="s">
        <v>20</v>
      </c>
    </row>
    <row r="291" spans="1:12" x14ac:dyDescent="0.25">
      <c r="A291" s="10" t="s">
        <v>20</v>
      </c>
      <c r="B291" s="11" t="s">
        <v>561</v>
      </c>
      <c r="C291" s="11">
        <v>7.82</v>
      </c>
      <c r="D291" s="11" t="s">
        <v>439</v>
      </c>
      <c r="E291" s="11" t="s">
        <v>437</v>
      </c>
      <c r="F291" s="12">
        <v>500</v>
      </c>
      <c r="G291" s="13">
        <v>5007.03</v>
      </c>
      <c r="H291" s="13">
        <v>0.05</v>
      </c>
      <c r="I291" s="14">
        <v>7.4</v>
      </c>
      <c r="J291" s="14" t="s">
        <v>20</v>
      </c>
      <c r="K291" s="15" t="s">
        <v>20</v>
      </c>
      <c r="L291" s="16" t="s">
        <v>20</v>
      </c>
    </row>
    <row r="292" spans="1:12" x14ac:dyDescent="0.25">
      <c r="A292" s="10" t="s">
        <v>20</v>
      </c>
      <c r="B292" s="11" t="s">
        <v>562</v>
      </c>
      <c r="C292" s="11">
        <v>7.83</v>
      </c>
      <c r="D292" s="11" t="s">
        <v>488</v>
      </c>
      <c r="E292" s="11" t="s">
        <v>437</v>
      </c>
      <c r="F292" s="12">
        <v>5000</v>
      </c>
      <c r="G292" s="13">
        <v>5036.38</v>
      </c>
      <c r="H292" s="13">
        <v>0.05</v>
      </c>
      <c r="I292" s="14">
        <v>7.34</v>
      </c>
      <c r="J292" s="14" t="s">
        <v>20</v>
      </c>
      <c r="K292" s="15" t="s">
        <v>20</v>
      </c>
      <c r="L292" s="16" t="s">
        <v>20</v>
      </c>
    </row>
    <row r="293" spans="1:12" x14ac:dyDescent="0.25">
      <c r="A293" s="10" t="s">
        <v>20</v>
      </c>
      <c r="B293" s="11" t="s">
        <v>563</v>
      </c>
      <c r="C293" s="11">
        <v>7.7</v>
      </c>
      <c r="D293" s="11" t="s">
        <v>503</v>
      </c>
      <c r="E293" s="11" t="s">
        <v>437</v>
      </c>
      <c r="F293" s="12">
        <v>5000</v>
      </c>
      <c r="G293" s="13">
        <v>5029.99</v>
      </c>
      <c r="H293" s="13">
        <v>0.05</v>
      </c>
      <c r="I293" s="14">
        <v>7.2949999999999999</v>
      </c>
      <c r="J293" s="14" t="s">
        <v>20</v>
      </c>
      <c r="K293" s="15" t="s">
        <v>20</v>
      </c>
      <c r="L293" s="16" t="s">
        <v>20</v>
      </c>
    </row>
    <row r="294" spans="1:12" x14ac:dyDescent="0.25">
      <c r="A294" s="10" t="s">
        <v>20</v>
      </c>
      <c r="B294" s="11" t="s">
        <v>564</v>
      </c>
      <c r="C294" s="11">
        <v>7.3</v>
      </c>
      <c r="D294" s="11" t="s">
        <v>565</v>
      </c>
      <c r="E294" s="11" t="s">
        <v>437</v>
      </c>
      <c r="F294" s="12">
        <v>500</v>
      </c>
      <c r="G294" s="13">
        <v>5009.25</v>
      </c>
      <c r="H294" s="13">
        <v>0.05</v>
      </c>
      <c r="I294" s="14">
        <v>7.1849999999999996</v>
      </c>
      <c r="J294" s="14" t="s">
        <v>20</v>
      </c>
      <c r="K294" s="15" t="s">
        <v>20</v>
      </c>
      <c r="L294" s="16" t="s">
        <v>20</v>
      </c>
    </row>
    <row r="295" spans="1:12" x14ac:dyDescent="0.25">
      <c r="A295" s="10" t="s">
        <v>20</v>
      </c>
      <c r="B295" s="11" t="s">
        <v>566</v>
      </c>
      <c r="C295" s="11">
        <v>7.48</v>
      </c>
      <c r="D295" s="11" t="s">
        <v>446</v>
      </c>
      <c r="E295" s="11" t="s">
        <v>437</v>
      </c>
      <c r="F295" s="12">
        <v>5000</v>
      </c>
      <c r="G295" s="13">
        <v>5051.8900000000003</v>
      </c>
      <c r="H295" s="13">
        <v>0.05</v>
      </c>
      <c r="I295" s="14">
        <v>7.1849999999999996</v>
      </c>
      <c r="J295" s="14" t="s">
        <v>20</v>
      </c>
      <c r="K295" s="15" t="s">
        <v>20</v>
      </c>
      <c r="L295" s="16" t="s">
        <v>20</v>
      </c>
    </row>
    <row r="296" spans="1:12" x14ac:dyDescent="0.25">
      <c r="A296" s="10" t="s">
        <v>20</v>
      </c>
      <c r="B296" s="11" t="s">
        <v>567</v>
      </c>
      <c r="C296" s="11">
        <v>7.55</v>
      </c>
      <c r="D296" s="11" t="s">
        <v>446</v>
      </c>
      <c r="E296" s="11" t="s">
        <v>437</v>
      </c>
      <c r="F296" s="12">
        <v>5000</v>
      </c>
      <c r="G296" s="13">
        <v>5013.62</v>
      </c>
      <c r="H296" s="13">
        <v>0.05</v>
      </c>
      <c r="I296" s="14">
        <v>7.3</v>
      </c>
      <c r="J296" s="14" t="s">
        <v>20</v>
      </c>
      <c r="K296" s="15" t="s">
        <v>20</v>
      </c>
      <c r="L296" s="16" t="s">
        <v>20</v>
      </c>
    </row>
    <row r="297" spans="1:12" x14ac:dyDescent="0.25">
      <c r="A297" s="10" t="s">
        <v>20</v>
      </c>
      <c r="B297" s="11" t="s">
        <v>568</v>
      </c>
      <c r="C297" s="11">
        <v>7.81</v>
      </c>
      <c r="D297" s="11" t="s">
        <v>569</v>
      </c>
      <c r="E297" s="11" t="s">
        <v>437</v>
      </c>
      <c r="F297" s="12">
        <v>5000</v>
      </c>
      <c r="G297" s="13">
        <v>5009.38</v>
      </c>
      <c r="H297" s="13">
        <v>0.05</v>
      </c>
      <c r="I297" s="14">
        <v>7.61</v>
      </c>
      <c r="J297" s="14" t="s">
        <v>20</v>
      </c>
      <c r="K297" s="15" t="s">
        <v>20</v>
      </c>
      <c r="L297" s="16" t="s">
        <v>20</v>
      </c>
    </row>
    <row r="298" spans="1:12" x14ac:dyDescent="0.25">
      <c r="A298" s="10" t="s">
        <v>20</v>
      </c>
      <c r="B298" s="11" t="s">
        <v>570</v>
      </c>
      <c r="C298" s="11">
        <v>9.5</v>
      </c>
      <c r="D298" s="11" t="s">
        <v>571</v>
      </c>
      <c r="E298" s="11" t="s">
        <v>572</v>
      </c>
      <c r="F298" s="12">
        <v>500</v>
      </c>
      <c r="G298" s="13">
        <v>5062.0200000000004</v>
      </c>
      <c r="H298" s="13">
        <v>0.05</v>
      </c>
      <c r="I298" s="14">
        <v>8.49</v>
      </c>
      <c r="J298" s="14">
        <v>8.4876000000000005</v>
      </c>
      <c r="K298" s="15" t="s">
        <v>20</v>
      </c>
      <c r="L298" s="16" t="s">
        <v>20</v>
      </c>
    </row>
    <row r="299" spans="1:12" x14ac:dyDescent="0.25">
      <c r="A299" s="10" t="s">
        <v>20</v>
      </c>
      <c r="B299" s="11" t="s">
        <v>573</v>
      </c>
      <c r="C299" s="11">
        <v>7.4</v>
      </c>
      <c r="D299" s="11" t="s">
        <v>451</v>
      </c>
      <c r="E299" s="11" t="s">
        <v>437</v>
      </c>
      <c r="F299" s="12">
        <v>350</v>
      </c>
      <c r="G299" s="13">
        <v>3501.42</v>
      </c>
      <c r="H299" s="13">
        <v>0.04</v>
      </c>
      <c r="I299" s="14">
        <v>7.3849999999999998</v>
      </c>
      <c r="J299" s="14" t="s">
        <v>20</v>
      </c>
      <c r="K299" s="15" t="s">
        <v>20</v>
      </c>
      <c r="L299" s="16" t="s">
        <v>20</v>
      </c>
    </row>
    <row r="300" spans="1:12" x14ac:dyDescent="0.25">
      <c r="A300" s="10" t="s">
        <v>20</v>
      </c>
      <c r="B300" s="11" t="s">
        <v>574</v>
      </c>
      <c r="C300" s="11">
        <v>7.58</v>
      </c>
      <c r="D300" s="11" t="s">
        <v>355</v>
      </c>
      <c r="E300" s="11" t="s">
        <v>437</v>
      </c>
      <c r="F300" s="12">
        <v>3750</v>
      </c>
      <c r="G300" s="13">
        <v>3791.06</v>
      </c>
      <c r="H300" s="13">
        <v>0.04</v>
      </c>
      <c r="I300" s="14">
        <v>7.42</v>
      </c>
      <c r="J300" s="14" t="s">
        <v>20</v>
      </c>
      <c r="K300" s="15" t="s">
        <v>20</v>
      </c>
      <c r="L300" s="16" t="s">
        <v>20</v>
      </c>
    </row>
    <row r="301" spans="1:12" x14ac:dyDescent="0.25">
      <c r="A301" s="10" t="s">
        <v>20</v>
      </c>
      <c r="B301" s="11" t="s">
        <v>575</v>
      </c>
      <c r="C301" s="11">
        <v>7.7</v>
      </c>
      <c r="D301" s="11" t="s">
        <v>488</v>
      </c>
      <c r="E301" s="11" t="s">
        <v>442</v>
      </c>
      <c r="F301" s="12">
        <v>3750</v>
      </c>
      <c r="G301" s="13">
        <v>3778.53</v>
      </c>
      <c r="H301" s="13">
        <v>0.04</v>
      </c>
      <c r="I301" s="14">
        <v>7.3250000000000002</v>
      </c>
      <c r="J301" s="14" t="s">
        <v>20</v>
      </c>
      <c r="K301" s="15" t="s">
        <v>20</v>
      </c>
      <c r="L301" s="16" t="s">
        <v>20</v>
      </c>
    </row>
    <row r="302" spans="1:12" x14ac:dyDescent="0.25">
      <c r="A302" s="10" t="s">
        <v>20</v>
      </c>
      <c r="B302" s="11" t="s">
        <v>576</v>
      </c>
      <c r="C302" s="11">
        <v>8.6999999999999993</v>
      </c>
      <c r="D302" s="11" t="s">
        <v>448</v>
      </c>
      <c r="E302" s="11" t="s">
        <v>437</v>
      </c>
      <c r="F302" s="12">
        <v>350</v>
      </c>
      <c r="G302" s="13">
        <v>3673.28</v>
      </c>
      <c r="H302" s="13">
        <v>0.04</v>
      </c>
      <c r="I302" s="14">
        <v>7.2</v>
      </c>
      <c r="J302" s="14" t="s">
        <v>20</v>
      </c>
      <c r="K302" s="15" t="s">
        <v>20</v>
      </c>
      <c r="L302" s="16" t="s">
        <v>20</v>
      </c>
    </row>
    <row r="303" spans="1:12" x14ac:dyDescent="0.25">
      <c r="A303" s="10" t="s">
        <v>20</v>
      </c>
      <c r="B303" s="11" t="s">
        <v>577</v>
      </c>
      <c r="C303" s="11">
        <v>7.1</v>
      </c>
      <c r="D303" s="11" t="s">
        <v>451</v>
      </c>
      <c r="E303" s="11" t="s">
        <v>437</v>
      </c>
      <c r="F303" s="12">
        <v>300</v>
      </c>
      <c r="G303" s="13">
        <v>2957.78</v>
      </c>
      <c r="H303" s="13">
        <v>0.03</v>
      </c>
      <c r="I303" s="14">
        <v>7.3650000000000002</v>
      </c>
      <c r="J303" s="14" t="s">
        <v>20</v>
      </c>
      <c r="K303" s="15" t="s">
        <v>20</v>
      </c>
      <c r="L303" s="16" t="s">
        <v>20</v>
      </c>
    </row>
    <row r="304" spans="1:12" x14ac:dyDescent="0.25">
      <c r="A304" s="17"/>
      <c r="B304" s="9" t="s">
        <v>373</v>
      </c>
      <c r="C304" s="17"/>
      <c r="D304" s="17"/>
      <c r="E304" s="17"/>
      <c r="F304" s="17"/>
      <c r="G304" s="18">
        <v>2547261.939999999</v>
      </c>
      <c r="H304" s="18">
        <v>26.890000000000004</v>
      </c>
      <c r="I304" s="17"/>
      <c r="J304" s="17"/>
      <c r="K304" s="17"/>
      <c r="L304" s="17"/>
    </row>
    <row r="305" spans="1:12" x14ac:dyDescent="0.25">
      <c r="A305" s="8"/>
      <c r="B305" s="9" t="s">
        <v>578</v>
      </c>
      <c r="C305" s="8"/>
      <c r="D305" s="8"/>
      <c r="E305" s="8"/>
      <c r="F305" s="8"/>
      <c r="G305" s="8"/>
      <c r="H305" s="8"/>
      <c r="I305" s="8"/>
      <c r="J305" s="8"/>
      <c r="K305" s="8"/>
      <c r="L305" s="8"/>
    </row>
    <row r="306" spans="1:12" x14ac:dyDescent="0.25">
      <c r="A306" s="8"/>
      <c r="B306" s="9" t="s">
        <v>579</v>
      </c>
      <c r="C306" s="8"/>
      <c r="D306" s="8"/>
      <c r="E306" s="8"/>
      <c r="F306" s="8"/>
      <c r="G306" s="8"/>
      <c r="H306" s="8"/>
      <c r="I306" s="8"/>
      <c r="J306" s="8"/>
      <c r="K306" s="8"/>
      <c r="L306" s="8"/>
    </row>
    <row r="307" spans="1:12" x14ac:dyDescent="0.25">
      <c r="A307" s="10" t="s">
        <v>20</v>
      </c>
      <c r="B307" s="11" t="s">
        <v>580</v>
      </c>
      <c r="C307" s="11" t="s">
        <v>20</v>
      </c>
      <c r="D307" s="11" t="s">
        <v>581</v>
      </c>
      <c r="E307" s="11" t="s">
        <v>582</v>
      </c>
      <c r="F307" s="12">
        <v>250</v>
      </c>
      <c r="G307" s="13">
        <v>24786.22</v>
      </c>
      <c r="H307" s="13">
        <v>0.26</v>
      </c>
      <c r="I307" s="14">
        <v>8.3000000000000007</v>
      </c>
      <c r="J307" s="14" t="s">
        <v>20</v>
      </c>
      <c r="K307" s="15" t="s">
        <v>20</v>
      </c>
      <c r="L307" s="16" t="s">
        <v>20</v>
      </c>
    </row>
    <row r="308" spans="1:12" x14ac:dyDescent="0.25">
      <c r="A308" s="10" t="s">
        <v>20</v>
      </c>
      <c r="B308" s="11" t="s">
        <v>583</v>
      </c>
      <c r="C308" s="11" t="s">
        <v>20</v>
      </c>
      <c r="D308" s="11" t="s">
        <v>581</v>
      </c>
      <c r="E308" s="11" t="s">
        <v>582</v>
      </c>
      <c r="F308" s="12">
        <v>250</v>
      </c>
      <c r="G308" s="13">
        <v>23129.23</v>
      </c>
      <c r="H308" s="13">
        <v>0.24</v>
      </c>
      <c r="I308" s="14">
        <v>8.2249999999999996</v>
      </c>
      <c r="J308" s="14" t="s">
        <v>20</v>
      </c>
      <c r="K308" s="15" t="s">
        <v>20</v>
      </c>
      <c r="L308" s="16" t="s">
        <v>20</v>
      </c>
    </row>
    <row r="309" spans="1:12" x14ac:dyDescent="0.25">
      <c r="A309" s="10" t="s">
        <v>20</v>
      </c>
      <c r="B309" s="11" t="s">
        <v>584</v>
      </c>
      <c r="C309" s="11" t="s">
        <v>20</v>
      </c>
      <c r="D309" s="11" t="s">
        <v>585</v>
      </c>
      <c r="E309" s="11" t="s">
        <v>582</v>
      </c>
      <c r="F309" s="12">
        <v>2500</v>
      </c>
      <c r="G309" s="13">
        <v>12279.03</v>
      </c>
      <c r="H309" s="13">
        <v>0.13</v>
      </c>
      <c r="I309" s="14">
        <v>9.0399999999999991</v>
      </c>
      <c r="J309" s="14" t="s">
        <v>20</v>
      </c>
      <c r="K309" s="15" t="s">
        <v>20</v>
      </c>
      <c r="L309" s="16" t="s">
        <v>20</v>
      </c>
    </row>
    <row r="310" spans="1:12" x14ac:dyDescent="0.25">
      <c r="A310" s="17"/>
      <c r="B310" s="9" t="s">
        <v>373</v>
      </c>
      <c r="C310" s="17"/>
      <c r="D310" s="17"/>
      <c r="E310" s="17"/>
      <c r="F310" s="17"/>
      <c r="G310" s="18">
        <v>60194.479999999996</v>
      </c>
      <c r="H310" s="18">
        <v>0.63</v>
      </c>
      <c r="I310" s="17"/>
      <c r="J310" s="17"/>
      <c r="K310" s="17"/>
      <c r="L310" s="17"/>
    </row>
    <row r="311" spans="1:12" x14ac:dyDescent="0.25">
      <c r="A311" s="8"/>
      <c r="B311" s="9" t="s">
        <v>378</v>
      </c>
      <c r="C311" s="8"/>
      <c r="D311" s="8"/>
      <c r="E311" s="8"/>
      <c r="F311" s="8"/>
      <c r="G311" s="19">
        <v>2607456.419999999</v>
      </c>
      <c r="H311" s="19">
        <v>27.520000000000003</v>
      </c>
      <c r="I311" s="8"/>
      <c r="J311" s="8"/>
      <c r="K311" s="8"/>
      <c r="L311" s="8"/>
    </row>
    <row r="312" spans="1:12" x14ac:dyDescent="0.25">
      <c r="A312" s="8"/>
      <c r="B312" s="9" t="s">
        <v>586</v>
      </c>
      <c r="C312" s="8"/>
      <c r="D312" s="8"/>
      <c r="E312" s="8"/>
      <c r="F312" s="8"/>
      <c r="G312" s="8"/>
      <c r="H312" s="8"/>
      <c r="I312" s="8"/>
      <c r="J312" s="8"/>
      <c r="K312" s="8"/>
      <c r="L312" s="8"/>
    </row>
    <row r="313" spans="1:12" x14ac:dyDescent="0.25">
      <c r="A313" s="8"/>
      <c r="B313" s="9" t="s">
        <v>587</v>
      </c>
      <c r="C313" s="8"/>
      <c r="D313" s="8"/>
      <c r="E313" s="8"/>
      <c r="F313" s="8"/>
      <c r="G313" s="8"/>
      <c r="H313" s="8"/>
      <c r="I313" s="8"/>
      <c r="J313" s="8"/>
      <c r="K313" s="8"/>
      <c r="L313" s="8"/>
    </row>
    <row r="314" spans="1:12" x14ac:dyDescent="0.25">
      <c r="A314" s="10" t="s">
        <v>20</v>
      </c>
      <c r="B314" s="11" t="s">
        <v>588</v>
      </c>
      <c r="C314" s="11" t="s">
        <v>20</v>
      </c>
      <c r="D314" s="11" t="s">
        <v>589</v>
      </c>
      <c r="E314" s="11" t="s">
        <v>38</v>
      </c>
      <c r="F314" s="12">
        <v>23593900</v>
      </c>
      <c r="G314" s="13">
        <v>17929</v>
      </c>
      <c r="H314" s="13">
        <v>0.19</v>
      </c>
      <c r="I314" s="14" t="s">
        <v>20</v>
      </c>
      <c r="J314" s="14" t="s">
        <v>20</v>
      </c>
      <c r="K314" s="15" t="s">
        <v>20</v>
      </c>
      <c r="L314" s="16" t="s">
        <v>20</v>
      </c>
    </row>
    <row r="315" spans="1:12" x14ac:dyDescent="0.25">
      <c r="A315" s="8"/>
      <c r="B315" s="9" t="s">
        <v>590</v>
      </c>
      <c r="C315" s="8"/>
      <c r="D315" s="8"/>
      <c r="E315" s="8"/>
      <c r="F315" s="8"/>
      <c r="G315" s="8"/>
      <c r="H315" s="8"/>
      <c r="I315" s="8"/>
      <c r="J315" s="8"/>
      <c r="K315" s="8"/>
      <c r="L315" s="8"/>
    </row>
    <row r="316" spans="1:12" x14ac:dyDescent="0.25">
      <c r="A316" s="10" t="s">
        <v>20</v>
      </c>
      <c r="B316" s="11" t="s">
        <v>591</v>
      </c>
      <c r="C316" s="11" t="s">
        <v>20</v>
      </c>
      <c r="D316" s="11" t="s">
        <v>592</v>
      </c>
      <c r="E316" s="11" t="s">
        <v>170</v>
      </c>
      <c r="F316" s="12">
        <v>19481031</v>
      </c>
      <c r="G316" s="13">
        <v>71201.22</v>
      </c>
      <c r="H316" s="13">
        <v>0.75</v>
      </c>
      <c r="I316" s="14" t="s">
        <v>20</v>
      </c>
      <c r="J316" s="14" t="s">
        <v>20</v>
      </c>
      <c r="K316" s="15" t="s">
        <v>20</v>
      </c>
      <c r="L316" s="16" t="s">
        <v>20</v>
      </c>
    </row>
    <row r="317" spans="1:12" x14ac:dyDescent="0.25">
      <c r="A317" s="10" t="s">
        <v>20</v>
      </c>
      <c r="B317" s="11" t="s">
        <v>593</v>
      </c>
      <c r="C317" s="11" t="s">
        <v>20</v>
      </c>
      <c r="D317" s="11" t="s">
        <v>594</v>
      </c>
      <c r="E317" s="11" t="s">
        <v>170</v>
      </c>
      <c r="F317" s="12">
        <v>15567000</v>
      </c>
      <c r="G317" s="13">
        <v>45086.7</v>
      </c>
      <c r="H317" s="13">
        <v>0.48</v>
      </c>
      <c r="I317" s="14" t="s">
        <v>20</v>
      </c>
      <c r="J317" s="14" t="s">
        <v>20</v>
      </c>
      <c r="K317" s="15" t="s">
        <v>20</v>
      </c>
      <c r="L317" s="16" t="s">
        <v>20</v>
      </c>
    </row>
    <row r="318" spans="1:12" x14ac:dyDescent="0.25">
      <c r="A318" s="17"/>
      <c r="B318" s="9" t="s">
        <v>373</v>
      </c>
      <c r="C318" s="17"/>
      <c r="D318" s="17"/>
      <c r="E318" s="17"/>
      <c r="F318" s="17"/>
      <c r="G318" s="18">
        <v>134216.91999999998</v>
      </c>
      <c r="H318" s="18">
        <v>1.42</v>
      </c>
      <c r="I318" s="17"/>
      <c r="J318" s="17"/>
      <c r="K318" s="17"/>
      <c r="L318" s="17"/>
    </row>
    <row r="319" spans="1:12" x14ac:dyDescent="0.25">
      <c r="A319" s="8"/>
      <c r="B319" s="9" t="s">
        <v>378</v>
      </c>
      <c r="C319" s="8"/>
      <c r="D319" s="8"/>
      <c r="E319" s="8"/>
      <c r="F319" s="8"/>
      <c r="G319" s="19">
        <v>134216.91999999998</v>
      </c>
      <c r="H319" s="19">
        <v>1.42</v>
      </c>
      <c r="I319" s="8"/>
      <c r="J319" s="8"/>
      <c r="K319" s="8"/>
      <c r="L319" s="8"/>
    </row>
    <row r="320" spans="1:12" x14ac:dyDescent="0.25">
      <c r="A320" s="8"/>
      <c r="B320" s="9" t="s">
        <v>595</v>
      </c>
      <c r="C320" s="8"/>
      <c r="D320" s="8"/>
      <c r="E320" s="8"/>
      <c r="F320" s="8"/>
      <c r="G320" s="8"/>
      <c r="H320" s="8"/>
      <c r="I320" s="8"/>
      <c r="J320" s="8"/>
      <c r="K320" s="8"/>
      <c r="L320" s="8"/>
    </row>
    <row r="321" spans="1:12" x14ac:dyDescent="0.25">
      <c r="A321" s="8"/>
      <c r="B321" s="9" t="s">
        <v>596</v>
      </c>
      <c r="C321" s="8"/>
      <c r="D321" s="8"/>
      <c r="E321" s="8"/>
      <c r="F321" s="8"/>
      <c r="G321" s="8"/>
      <c r="H321" s="8"/>
      <c r="I321" s="8"/>
      <c r="J321" s="8"/>
      <c r="K321" s="8"/>
      <c r="L321" s="8"/>
    </row>
    <row r="322" spans="1:12" x14ac:dyDescent="0.25">
      <c r="A322" s="10" t="s">
        <v>20</v>
      </c>
      <c r="B322" s="11" t="s">
        <v>20</v>
      </c>
      <c r="C322" s="11" t="s">
        <v>20</v>
      </c>
      <c r="D322" s="11" t="s">
        <v>596</v>
      </c>
      <c r="E322" s="11" t="s">
        <v>20</v>
      </c>
      <c r="F322" s="12" t="s">
        <v>20</v>
      </c>
      <c r="G322" s="13">
        <v>301293.25</v>
      </c>
      <c r="H322" s="13">
        <v>3.18</v>
      </c>
      <c r="I322" s="14">
        <v>6.6882000000000001</v>
      </c>
      <c r="J322" s="14" t="s">
        <v>20</v>
      </c>
      <c r="K322" s="15" t="s">
        <v>20</v>
      </c>
      <c r="L322" s="16" t="s">
        <v>20</v>
      </c>
    </row>
    <row r="323" spans="1:12" x14ac:dyDescent="0.25">
      <c r="A323" s="17"/>
      <c r="B323" s="9" t="s">
        <v>373</v>
      </c>
      <c r="C323" s="17"/>
      <c r="D323" s="17"/>
      <c r="E323" s="17"/>
      <c r="F323" s="17"/>
      <c r="G323" s="18">
        <v>301293.25</v>
      </c>
      <c r="H323" s="18">
        <v>3.18</v>
      </c>
      <c r="I323" s="17"/>
      <c r="J323" s="17"/>
      <c r="K323" s="17"/>
      <c r="L323" s="17"/>
    </row>
    <row r="324" spans="1:12" x14ac:dyDescent="0.25">
      <c r="A324" s="8"/>
      <c r="B324" s="9" t="s">
        <v>378</v>
      </c>
      <c r="C324" s="8"/>
      <c r="D324" s="8"/>
      <c r="E324" s="8"/>
      <c r="F324" s="8"/>
      <c r="G324" s="19">
        <v>301293.25</v>
      </c>
      <c r="H324" s="19">
        <v>3.18</v>
      </c>
      <c r="I324" s="8"/>
      <c r="J324" s="8"/>
      <c r="K324" s="8"/>
      <c r="L324" s="8"/>
    </row>
    <row r="325" spans="1:12" x14ac:dyDescent="0.25">
      <c r="A325" s="8"/>
      <c r="B325" s="9" t="s">
        <v>597</v>
      </c>
      <c r="C325" s="8"/>
      <c r="D325" s="8"/>
      <c r="E325" s="8"/>
      <c r="F325" s="8"/>
      <c r="G325" s="8"/>
      <c r="H325" s="8"/>
      <c r="I325" s="8"/>
      <c r="J325" s="8"/>
      <c r="K325" s="8"/>
      <c r="L325" s="8"/>
    </row>
    <row r="326" spans="1:12" x14ac:dyDescent="0.25">
      <c r="A326" s="8"/>
      <c r="B326" s="9" t="s">
        <v>598</v>
      </c>
      <c r="C326" s="8"/>
      <c r="D326" s="8"/>
      <c r="E326" s="8"/>
      <c r="F326" s="8"/>
      <c r="G326" s="8"/>
      <c r="H326" s="8"/>
      <c r="I326" s="8"/>
      <c r="J326" s="8"/>
      <c r="K326" s="8"/>
      <c r="L326" s="8"/>
    </row>
    <row r="327" spans="1:12" x14ac:dyDescent="0.25">
      <c r="A327" s="10" t="s">
        <v>20</v>
      </c>
      <c r="B327" s="11" t="s">
        <v>20</v>
      </c>
      <c r="C327" s="11" t="s">
        <v>20</v>
      </c>
      <c r="D327" s="11" t="s">
        <v>598</v>
      </c>
      <c r="E327" s="11" t="s">
        <v>20</v>
      </c>
      <c r="F327" s="12" t="s">
        <v>20</v>
      </c>
      <c r="G327" s="13">
        <v>70816.570000000007</v>
      </c>
      <c r="H327" s="13">
        <v>0.78</v>
      </c>
      <c r="I327" s="14" t="s">
        <v>20</v>
      </c>
      <c r="J327" s="14" t="s">
        <v>20</v>
      </c>
      <c r="K327" s="15" t="s">
        <v>20</v>
      </c>
      <c r="L327" s="16" t="s">
        <v>20</v>
      </c>
    </row>
    <row r="328" spans="1:12" x14ac:dyDescent="0.25">
      <c r="A328" s="17"/>
      <c r="B328" s="9" t="s">
        <v>373</v>
      </c>
      <c r="C328" s="17"/>
      <c r="D328" s="17"/>
      <c r="E328" s="17"/>
      <c r="F328" s="17"/>
      <c r="G328" s="18">
        <v>70816.570000000007</v>
      </c>
      <c r="H328" s="18">
        <v>0.78</v>
      </c>
      <c r="I328" s="17"/>
      <c r="J328" s="17"/>
      <c r="K328" s="17"/>
      <c r="L328" s="17"/>
    </row>
    <row r="329" spans="1:12" x14ac:dyDescent="0.25">
      <c r="A329" s="8"/>
      <c r="B329" s="9" t="s">
        <v>378</v>
      </c>
      <c r="C329" s="8"/>
      <c r="D329" s="8"/>
      <c r="E329" s="8"/>
      <c r="F329" s="8"/>
      <c r="G329" s="19">
        <v>70816.570000000007</v>
      </c>
      <c r="H329" s="19">
        <v>0.78</v>
      </c>
      <c r="I329" s="8"/>
      <c r="J329" s="8"/>
      <c r="K329" s="8"/>
      <c r="L329" s="8"/>
    </row>
    <row r="330" spans="1:12" x14ac:dyDescent="0.25">
      <c r="A330" s="4"/>
      <c r="B330" s="4"/>
      <c r="C330" s="4"/>
      <c r="D330" s="4"/>
      <c r="E330" s="4"/>
      <c r="F330" s="4"/>
      <c r="G330" s="4"/>
      <c r="H330" s="4"/>
      <c r="I330" s="4"/>
      <c r="J330" s="4"/>
      <c r="K330" s="4"/>
      <c r="L330" s="4"/>
    </row>
    <row r="331" spans="1:12" x14ac:dyDescent="0.25">
      <c r="A331" s="4"/>
      <c r="B331" s="20" t="s">
        <v>599</v>
      </c>
      <c r="C331" s="4"/>
      <c r="D331" s="4"/>
      <c r="E331" s="4"/>
      <c r="F331" s="4"/>
      <c r="G331" s="21">
        <v>9482434.1599999964</v>
      </c>
      <c r="H331" s="21">
        <v>99.999999999999901</v>
      </c>
      <c r="I331" s="4"/>
      <c r="J331" s="4"/>
      <c r="K331" s="4"/>
      <c r="L331" s="4"/>
    </row>
    <row r="332" spans="1:12" x14ac:dyDescent="0.25">
      <c r="A332" s="10" t="s">
        <v>18</v>
      </c>
      <c r="B332" s="42" t="s">
        <v>600</v>
      </c>
      <c r="C332" s="42" t="s">
        <v>600</v>
      </c>
      <c r="D332" s="42" t="s">
        <v>600</v>
      </c>
      <c r="E332" s="42" t="s">
        <v>600</v>
      </c>
      <c r="F332" s="42" t="s">
        <v>600</v>
      </c>
      <c r="G332" s="11"/>
      <c r="H332" s="11"/>
      <c r="I332" s="11"/>
      <c r="J332" s="11"/>
      <c r="K332" s="11"/>
      <c r="L332" s="11"/>
    </row>
    <row r="333" spans="1:12" x14ac:dyDescent="0.25">
      <c r="A333" s="11"/>
      <c r="B333" s="37" t="s">
        <v>601</v>
      </c>
      <c r="C333" s="37" t="s">
        <v>601</v>
      </c>
      <c r="D333" s="37" t="s">
        <v>601</v>
      </c>
      <c r="E333" s="37" t="s">
        <v>601</v>
      </c>
      <c r="F333" s="37" t="s">
        <v>601</v>
      </c>
      <c r="G333" s="11"/>
      <c r="H333" s="11"/>
      <c r="I333" s="11"/>
      <c r="J333" s="11"/>
      <c r="K333" s="11"/>
      <c r="L333" s="11"/>
    </row>
    <row r="334" spans="1:12" x14ac:dyDescent="0.25">
      <c r="A334" s="11"/>
      <c r="B334" s="37" t="s">
        <v>602</v>
      </c>
      <c r="C334" s="37" t="s">
        <v>602</v>
      </c>
      <c r="D334" s="37" t="s">
        <v>602</v>
      </c>
      <c r="E334" s="37" t="s">
        <v>602</v>
      </c>
      <c r="F334" s="37" t="s">
        <v>602</v>
      </c>
      <c r="G334" s="11"/>
      <c r="H334" s="11"/>
      <c r="I334" s="11"/>
      <c r="J334" s="11"/>
      <c r="K334" s="11"/>
      <c r="L334" s="11"/>
    </row>
    <row r="335" spans="1:12" x14ac:dyDescent="0.25">
      <c r="A335" s="11"/>
      <c r="B335" s="37" t="s">
        <v>603</v>
      </c>
      <c r="C335" s="37" t="s">
        <v>603</v>
      </c>
      <c r="D335" s="37" t="s">
        <v>603</v>
      </c>
      <c r="E335" s="37" t="s">
        <v>603</v>
      </c>
      <c r="F335" s="37" t="s">
        <v>603</v>
      </c>
      <c r="G335" s="11"/>
      <c r="H335" s="11"/>
      <c r="I335" s="11"/>
      <c r="J335" s="11"/>
      <c r="K335" s="11"/>
      <c r="L335" s="11"/>
    </row>
    <row r="336" spans="1:12" x14ac:dyDescent="0.25">
      <c r="A336" s="11"/>
      <c r="B336" s="37" t="s">
        <v>604</v>
      </c>
      <c r="C336" s="37" t="s">
        <v>604</v>
      </c>
      <c r="D336" s="37" t="s">
        <v>604</v>
      </c>
      <c r="E336" s="37" t="s">
        <v>604</v>
      </c>
      <c r="F336" s="37" t="s">
        <v>604</v>
      </c>
      <c r="G336" s="11"/>
      <c r="H336" s="11"/>
      <c r="I336" s="11"/>
      <c r="J336" s="11"/>
      <c r="K336" s="11"/>
      <c r="L336" s="11"/>
    </row>
    <row r="337" spans="1:12" x14ac:dyDescent="0.25">
      <c r="A337" s="11"/>
      <c r="B337" s="37" t="s">
        <v>605</v>
      </c>
      <c r="C337" s="37" t="s">
        <v>605</v>
      </c>
      <c r="D337" s="37" t="s">
        <v>605</v>
      </c>
      <c r="E337" s="37" t="s">
        <v>605</v>
      </c>
      <c r="F337" s="37" t="s">
        <v>605</v>
      </c>
      <c r="G337" s="11"/>
      <c r="H337" s="11"/>
      <c r="I337" s="11"/>
      <c r="J337" s="11"/>
      <c r="K337" s="11"/>
      <c r="L337" s="11"/>
    </row>
    <row r="338" spans="1:12" x14ac:dyDescent="0.25">
      <c r="A338" s="11"/>
      <c r="B338" s="37" t="s">
        <v>606</v>
      </c>
      <c r="C338" s="37" t="s">
        <v>606</v>
      </c>
      <c r="D338" s="37" t="s">
        <v>606</v>
      </c>
      <c r="E338" s="37" t="s">
        <v>606</v>
      </c>
      <c r="F338" s="37" t="s">
        <v>606</v>
      </c>
      <c r="G338" s="11"/>
      <c r="H338" s="11"/>
      <c r="I338" s="11"/>
      <c r="J338" s="11"/>
      <c r="K338" s="11"/>
      <c r="L338" s="11"/>
    </row>
    <row r="339" spans="1:12" x14ac:dyDescent="0.25">
      <c r="A339" s="11"/>
      <c r="B339" s="37" t="s">
        <v>607</v>
      </c>
      <c r="C339" s="37" t="s">
        <v>607</v>
      </c>
      <c r="D339" s="37" t="s">
        <v>607</v>
      </c>
      <c r="E339" s="37" t="s">
        <v>607</v>
      </c>
      <c r="F339" s="37" t="s">
        <v>607</v>
      </c>
      <c r="G339" s="11"/>
      <c r="H339" s="11"/>
      <c r="I339" s="11"/>
      <c r="J339" s="11"/>
      <c r="K339" s="11"/>
      <c r="L339" s="11"/>
    </row>
    <row r="340" spans="1:12" ht="30" customHeight="1" x14ac:dyDescent="0.25">
      <c r="A340" s="11"/>
      <c r="B340" s="38" t="s">
        <v>608</v>
      </c>
      <c r="C340" s="38" t="s">
        <v>608</v>
      </c>
      <c r="D340" s="38" t="s">
        <v>608</v>
      </c>
      <c r="E340" s="38" t="s">
        <v>608</v>
      </c>
      <c r="F340" s="38" t="s">
        <v>608</v>
      </c>
      <c r="G340" s="11"/>
      <c r="H340" s="11"/>
      <c r="I340" s="11"/>
      <c r="J340" s="11"/>
      <c r="K340" s="11"/>
      <c r="L340" s="11"/>
    </row>
    <row r="341" spans="1:12" x14ac:dyDescent="0.25">
      <c r="A341" s="11"/>
      <c r="B341" s="11"/>
      <c r="C341" s="11"/>
      <c r="D341" s="11"/>
      <c r="E341" s="11"/>
      <c r="F341" s="11"/>
      <c r="G341" s="11"/>
      <c r="H341" s="11"/>
    </row>
    <row r="342" spans="1:12" x14ac:dyDescent="0.25">
      <c r="A342" s="22"/>
      <c r="B342" s="22" t="s">
        <v>609</v>
      </c>
      <c r="C342" s="22"/>
      <c r="D342" s="22"/>
      <c r="E342" s="11"/>
      <c r="F342" s="11"/>
      <c r="G342" s="11"/>
      <c r="H342" s="11"/>
    </row>
    <row r="343" spans="1:12" x14ac:dyDescent="0.25">
      <c r="A343" s="22"/>
      <c r="B343" s="23" t="s">
        <v>17</v>
      </c>
      <c r="C343" s="23"/>
      <c r="D343" s="24">
        <v>59.159999999999989</v>
      </c>
      <c r="E343" s="11"/>
      <c r="F343" s="11"/>
      <c r="G343" s="11"/>
      <c r="H343" s="11"/>
    </row>
    <row r="344" spans="1:12" x14ac:dyDescent="0.25">
      <c r="A344" s="22"/>
      <c r="B344" s="23" t="s">
        <v>610</v>
      </c>
      <c r="C344" s="23"/>
      <c r="D344" s="24">
        <v>0.45</v>
      </c>
      <c r="E344" s="11"/>
      <c r="F344" s="11"/>
      <c r="G344" s="11"/>
      <c r="H344" s="11"/>
    </row>
    <row r="345" spans="1:12" x14ac:dyDescent="0.25">
      <c r="A345" s="22"/>
      <c r="B345" s="23" t="s">
        <v>611</v>
      </c>
      <c r="C345" s="23"/>
      <c r="D345" s="24">
        <v>7.4899999999999975</v>
      </c>
      <c r="E345" s="11"/>
      <c r="F345" s="11"/>
      <c r="G345" s="11"/>
      <c r="H345" s="11"/>
    </row>
    <row r="346" spans="1:12" x14ac:dyDescent="0.25">
      <c r="A346" s="22"/>
      <c r="B346" s="23" t="s">
        <v>587</v>
      </c>
      <c r="C346" s="23"/>
      <c r="D346" s="24">
        <v>0.19</v>
      </c>
      <c r="E346" s="11"/>
      <c r="F346" s="11"/>
      <c r="G346" s="11"/>
      <c r="H346" s="11"/>
    </row>
    <row r="347" spans="1:12" x14ac:dyDescent="0.25">
      <c r="A347" s="22"/>
      <c r="B347" s="23" t="s">
        <v>590</v>
      </c>
      <c r="C347" s="23"/>
      <c r="D347" s="24">
        <v>1.23</v>
      </c>
      <c r="E347" s="11"/>
      <c r="F347" s="11"/>
      <c r="G347" s="11"/>
      <c r="H347" s="11"/>
    </row>
    <row r="348" spans="1:12" x14ac:dyDescent="0.25">
      <c r="A348" s="22"/>
      <c r="B348" s="23" t="s">
        <v>612</v>
      </c>
      <c r="C348" s="23"/>
      <c r="D348" s="24">
        <v>9.58</v>
      </c>
      <c r="E348" s="11"/>
      <c r="F348" s="11"/>
      <c r="G348" s="11"/>
      <c r="H348" s="11"/>
    </row>
    <row r="349" spans="1:12" x14ac:dyDescent="0.25">
      <c r="A349" s="22"/>
      <c r="B349" s="23" t="s">
        <v>579</v>
      </c>
      <c r="C349" s="23"/>
      <c r="D349" s="24">
        <v>0.63</v>
      </c>
      <c r="E349" s="11"/>
      <c r="F349" s="11"/>
      <c r="G349" s="11"/>
      <c r="H349" s="11"/>
    </row>
    <row r="350" spans="1:12" x14ac:dyDescent="0.25">
      <c r="A350" s="22"/>
      <c r="B350" s="23" t="s">
        <v>613</v>
      </c>
      <c r="C350" s="23"/>
      <c r="D350" s="24">
        <v>17.309999999999995</v>
      </c>
      <c r="E350" s="11"/>
      <c r="F350" s="11"/>
      <c r="G350" s="11"/>
      <c r="H350" s="11"/>
    </row>
    <row r="351" spans="1:12" x14ac:dyDescent="0.25">
      <c r="A351" s="22"/>
      <c r="B351" s="23" t="s">
        <v>614</v>
      </c>
      <c r="C351" s="23"/>
      <c r="D351" s="24">
        <v>3.96</v>
      </c>
      <c r="E351" s="11"/>
      <c r="F351" s="11"/>
      <c r="G351" s="11"/>
      <c r="H351" s="11"/>
    </row>
    <row r="352" spans="1:12" x14ac:dyDescent="0.25">
      <c r="A352" s="22"/>
      <c r="B352" s="22" t="s">
        <v>615</v>
      </c>
      <c r="C352" s="22"/>
      <c r="D352" s="22"/>
      <c r="E352" s="11"/>
      <c r="F352" s="11"/>
      <c r="G352" s="11"/>
      <c r="H352" s="11"/>
    </row>
    <row r="353" spans="1:8" x14ac:dyDescent="0.25">
      <c r="A353" s="22"/>
      <c r="B353" s="23" t="s">
        <v>17</v>
      </c>
      <c r="C353" s="23"/>
      <c r="D353" s="24">
        <v>66.65000000000002</v>
      </c>
      <c r="E353" s="11"/>
      <c r="F353" s="11"/>
      <c r="G353" s="11"/>
      <c r="H353" s="11"/>
    </row>
    <row r="354" spans="1:8" x14ac:dyDescent="0.25">
      <c r="A354" s="22"/>
      <c r="B354" s="23" t="s">
        <v>616</v>
      </c>
      <c r="C354" s="23"/>
      <c r="D354" s="24">
        <v>0.45</v>
      </c>
      <c r="E354" s="11"/>
      <c r="F354" s="11"/>
      <c r="G354" s="11"/>
      <c r="H354" s="11"/>
    </row>
    <row r="355" spans="1:8" x14ac:dyDescent="0.25">
      <c r="A355" s="22"/>
      <c r="B355" s="23" t="s">
        <v>587</v>
      </c>
      <c r="C355" s="23"/>
      <c r="D355" s="24">
        <v>0.19</v>
      </c>
      <c r="E355" s="11"/>
      <c r="F355" s="11"/>
      <c r="G355" s="11"/>
      <c r="H355" s="11"/>
    </row>
    <row r="356" spans="1:8" x14ac:dyDescent="0.25">
      <c r="A356" s="22"/>
      <c r="B356" s="23" t="s">
        <v>590</v>
      </c>
      <c r="C356" s="23"/>
      <c r="D356" s="24">
        <v>1.23</v>
      </c>
      <c r="E356" s="11"/>
      <c r="F356" s="11"/>
      <c r="G356" s="11"/>
      <c r="H356" s="11"/>
    </row>
    <row r="357" spans="1:8" x14ac:dyDescent="0.25">
      <c r="A357" s="22"/>
      <c r="B357" s="23" t="s">
        <v>383</v>
      </c>
      <c r="C357" s="23"/>
      <c r="D357" s="24">
        <v>9.58</v>
      </c>
      <c r="E357" s="11"/>
      <c r="F357" s="11"/>
      <c r="G357" s="11"/>
      <c r="H357" s="11"/>
    </row>
    <row r="358" spans="1:8" x14ac:dyDescent="0.25">
      <c r="A358" s="22"/>
      <c r="B358" s="23" t="s">
        <v>617</v>
      </c>
      <c r="C358" s="23"/>
      <c r="D358" s="24">
        <v>17.679999999999993</v>
      </c>
      <c r="E358" s="11"/>
      <c r="F358" s="11"/>
      <c r="G358" s="11"/>
      <c r="H358" s="11"/>
    </row>
    <row r="359" spans="1:8" x14ac:dyDescent="0.25">
      <c r="A359" s="22"/>
      <c r="B359" s="23" t="s">
        <v>618</v>
      </c>
      <c r="C359" s="23"/>
      <c r="D359" s="24">
        <v>0.26</v>
      </c>
      <c r="E359" s="11"/>
      <c r="F359" s="11"/>
      <c r="G359" s="11"/>
      <c r="H359" s="11"/>
    </row>
    <row r="360" spans="1:8" x14ac:dyDescent="0.25">
      <c r="A360" s="22"/>
      <c r="B360" s="23" t="s">
        <v>614</v>
      </c>
      <c r="C360" s="23"/>
      <c r="D360" s="24">
        <v>3.96</v>
      </c>
      <c r="E360" s="11"/>
      <c r="F360" s="11"/>
      <c r="G360" s="11"/>
      <c r="H360" s="11"/>
    </row>
    <row r="361" spans="1:8" x14ac:dyDescent="0.25">
      <c r="A361" s="25"/>
      <c r="B361" s="22" t="s">
        <v>619</v>
      </c>
      <c r="C361" s="25"/>
      <c r="D361" s="25"/>
      <c r="E361" s="11"/>
      <c r="F361" s="11"/>
      <c r="G361" s="11"/>
      <c r="H361" s="11"/>
    </row>
    <row r="362" spans="1:8" x14ac:dyDescent="0.25">
      <c r="A362" s="25"/>
      <c r="B362" s="26" t="s">
        <v>22</v>
      </c>
      <c r="C362" s="23"/>
      <c r="D362" s="27">
        <v>15.39</v>
      </c>
      <c r="E362" s="11"/>
      <c r="F362" s="11"/>
      <c r="G362" s="11"/>
      <c r="H362" s="11"/>
    </row>
    <row r="363" spans="1:8" x14ac:dyDescent="0.25">
      <c r="A363" s="25"/>
      <c r="B363" s="26" t="s">
        <v>30</v>
      </c>
      <c r="C363" s="23"/>
      <c r="D363" s="27">
        <v>5.4899999999999993</v>
      </c>
      <c r="E363" s="11"/>
      <c r="F363" s="11"/>
      <c r="G363" s="11"/>
      <c r="H363" s="11"/>
    </row>
    <row r="364" spans="1:8" x14ac:dyDescent="0.25">
      <c r="A364" s="25"/>
      <c r="B364" s="26" t="s">
        <v>27</v>
      </c>
      <c r="C364" s="23"/>
      <c r="D364" s="27">
        <v>3.9099999999999997</v>
      </c>
      <c r="E364" s="11"/>
      <c r="F364" s="11"/>
      <c r="G364" s="11"/>
      <c r="H364" s="11"/>
    </row>
    <row r="365" spans="1:8" x14ac:dyDescent="0.25">
      <c r="A365" s="25"/>
      <c r="B365" s="26" t="s">
        <v>54</v>
      </c>
      <c r="C365" s="23"/>
      <c r="D365" s="27">
        <v>3.79</v>
      </c>
      <c r="E365" s="11"/>
      <c r="F365" s="11"/>
      <c r="G365" s="11"/>
      <c r="H365" s="11"/>
    </row>
    <row r="366" spans="1:8" x14ac:dyDescent="0.25">
      <c r="A366" s="25"/>
      <c r="B366" s="26" t="s">
        <v>41</v>
      </c>
      <c r="C366" s="23"/>
      <c r="D366" s="27">
        <v>3.72</v>
      </c>
      <c r="E366" s="11"/>
      <c r="F366" s="11"/>
      <c r="G366" s="11"/>
      <c r="H366" s="11"/>
    </row>
    <row r="367" spans="1:8" x14ac:dyDescent="0.25">
      <c r="A367" s="25"/>
      <c r="B367" s="26" t="s">
        <v>38</v>
      </c>
      <c r="C367" s="23"/>
      <c r="D367" s="27">
        <v>3.79</v>
      </c>
      <c r="E367" s="11"/>
      <c r="F367" s="11"/>
      <c r="G367" s="11"/>
      <c r="H367" s="11"/>
    </row>
    <row r="368" spans="1:8" x14ac:dyDescent="0.25">
      <c r="A368" s="25"/>
      <c r="B368" s="26" t="s">
        <v>59</v>
      </c>
      <c r="C368" s="23"/>
      <c r="D368" s="27">
        <v>3.01</v>
      </c>
      <c r="E368" s="11"/>
      <c r="F368" s="11"/>
      <c r="G368" s="11"/>
      <c r="H368" s="11"/>
    </row>
    <row r="369" spans="1:8" x14ac:dyDescent="0.25">
      <c r="A369" s="25"/>
      <c r="B369" s="26" t="s">
        <v>64</v>
      </c>
      <c r="C369" s="23"/>
      <c r="D369" s="27">
        <v>3.16</v>
      </c>
      <c r="E369" s="11"/>
      <c r="F369" s="11"/>
      <c r="G369" s="11"/>
      <c r="H369" s="11"/>
    </row>
    <row r="370" spans="1:8" x14ac:dyDescent="0.25">
      <c r="A370" s="25"/>
      <c r="B370" s="26" t="s">
        <v>35</v>
      </c>
      <c r="C370" s="23"/>
      <c r="D370" s="27">
        <v>2.57</v>
      </c>
      <c r="E370" s="11"/>
      <c r="F370" s="11"/>
      <c r="G370" s="11"/>
      <c r="H370" s="11"/>
    </row>
    <row r="371" spans="1:8" x14ac:dyDescent="0.25">
      <c r="A371" s="25"/>
      <c r="B371" s="26" t="s">
        <v>44</v>
      </c>
      <c r="C371" s="23"/>
      <c r="D371" s="27">
        <v>2.3000000000000003</v>
      </c>
      <c r="E371" s="11"/>
      <c r="F371" s="11"/>
      <c r="G371" s="11"/>
      <c r="H371" s="11"/>
    </row>
    <row r="372" spans="1:8" x14ac:dyDescent="0.25">
      <c r="A372" s="25"/>
      <c r="B372" s="26" t="s">
        <v>49</v>
      </c>
      <c r="C372" s="23"/>
      <c r="D372" s="27">
        <v>2.06</v>
      </c>
      <c r="E372" s="11"/>
      <c r="F372" s="11"/>
      <c r="G372" s="11"/>
      <c r="H372" s="11"/>
    </row>
    <row r="373" spans="1:8" x14ac:dyDescent="0.25">
      <c r="A373" s="25"/>
      <c r="B373" s="26" t="s">
        <v>97</v>
      </c>
      <c r="C373" s="23"/>
      <c r="D373" s="27">
        <v>1.42</v>
      </c>
      <c r="E373" s="11"/>
      <c r="F373" s="11"/>
      <c r="G373" s="11"/>
      <c r="H373" s="11"/>
    </row>
    <row r="374" spans="1:8" x14ac:dyDescent="0.25">
      <c r="A374" s="25"/>
      <c r="B374" s="26" t="s">
        <v>126</v>
      </c>
      <c r="C374" s="23"/>
      <c r="D374" s="27">
        <v>1.1099999999999999</v>
      </c>
      <c r="E374" s="11"/>
      <c r="F374" s="11"/>
      <c r="G374" s="11"/>
      <c r="H374" s="11"/>
    </row>
    <row r="375" spans="1:8" x14ac:dyDescent="0.25">
      <c r="A375" s="25"/>
      <c r="B375" s="26" t="s">
        <v>73</v>
      </c>
      <c r="C375" s="23"/>
      <c r="D375" s="27">
        <v>1.02</v>
      </c>
      <c r="E375" s="11"/>
      <c r="F375" s="11"/>
      <c r="G375" s="11"/>
      <c r="H375" s="11"/>
    </row>
    <row r="376" spans="1:8" x14ac:dyDescent="0.25">
      <c r="A376" s="25"/>
      <c r="B376" s="26" t="s">
        <v>94</v>
      </c>
      <c r="C376" s="23"/>
      <c r="D376" s="27">
        <v>0.85999999999999988</v>
      </c>
      <c r="E376" s="11"/>
      <c r="F376" s="11"/>
      <c r="G376" s="11"/>
      <c r="H376" s="11"/>
    </row>
    <row r="377" spans="1:8" x14ac:dyDescent="0.25">
      <c r="A377" s="25"/>
      <c r="B377" s="26" t="s">
        <v>100</v>
      </c>
      <c r="C377" s="23"/>
      <c r="D377" s="27">
        <v>0.82000000000000006</v>
      </c>
      <c r="E377" s="11"/>
      <c r="F377" s="11"/>
      <c r="G377" s="11"/>
      <c r="H377" s="11"/>
    </row>
    <row r="378" spans="1:8" x14ac:dyDescent="0.25">
      <c r="A378" s="25"/>
      <c r="B378" s="26" t="s">
        <v>85</v>
      </c>
      <c r="C378" s="23"/>
      <c r="D378" s="27">
        <v>0.8</v>
      </c>
      <c r="E378" s="11"/>
      <c r="F378" s="11"/>
      <c r="G378" s="11"/>
      <c r="H378" s="11"/>
    </row>
    <row r="379" spans="1:8" x14ac:dyDescent="0.25">
      <c r="A379" s="25"/>
      <c r="B379" s="26" t="s">
        <v>111</v>
      </c>
      <c r="C379" s="23"/>
      <c r="D379" s="27">
        <v>0.74</v>
      </c>
      <c r="E379" s="11"/>
      <c r="F379" s="11"/>
      <c r="G379" s="11"/>
      <c r="H379" s="11"/>
    </row>
    <row r="380" spans="1:8" x14ac:dyDescent="0.25">
      <c r="A380" s="25"/>
      <c r="B380" s="26" t="s">
        <v>76</v>
      </c>
      <c r="C380" s="23"/>
      <c r="D380" s="27">
        <v>0.53</v>
      </c>
      <c r="E380" s="11"/>
      <c r="F380" s="11"/>
      <c r="G380" s="11"/>
      <c r="H380" s="11"/>
    </row>
    <row r="381" spans="1:8" x14ac:dyDescent="0.25">
      <c r="A381" s="25"/>
      <c r="B381" s="26" t="s">
        <v>118</v>
      </c>
      <c r="C381" s="23"/>
      <c r="D381" s="27">
        <v>0.47</v>
      </c>
      <c r="E381" s="11"/>
      <c r="F381" s="11"/>
      <c r="G381" s="11"/>
      <c r="H381" s="11"/>
    </row>
    <row r="382" spans="1:8" x14ac:dyDescent="0.25">
      <c r="A382" s="25"/>
      <c r="B382" s="26" t="s">
        <v>134</v>
      </c>
      <c r="C382" s="23"/>
      <c r="D382" s="27">
        <v>0.36</v>
      </c>
      <c r="E382" s="11"/>
      <c r="F382" s="11"/>
      <c r="G382" s="11"/>
      <c r="H382" s="11"/>
    </row>
    <row r="383" spans="1:8" x14ac:dyDescent="0.25">
      <c r="A383" s="25"/>
      <c r="B383" s="26" t="s">
        <v>123</v>
      </c>
      <c r="C383" s="23"/>
      <c r="D383" s="27">
        <v>0.33999999999999997</v>
      </c>
      <c r="E383" s="11"/>
      <c r="F383" s="11"/>
      <c r="G383" s="11"/>
      <c r="H383" s="11"/>
    </row>
    <row r="384" spans="1:8" x14ac:dyDescent="0.25">
      <c r="A384" s="25"/>
      <c r="B384" s="26" t="s">
        <v>129</v>
      </c>
      <c r="C384" s="23"/>
      <c r="D384" s="27">
        <v>0.33</v>
      </c>
      <c r="E384" s="11"/>
      <c r="F384" s="11"/>
      <c r="G384" s="11"/>
      <c r="H384" s="11"/>
    </row>
    <row r="385" spans="1:8" x14ac:dyDescent="0.25">
      <c r="A385" s="25"/>
      <c r="B385" s="26" t="s">
        <v>157</v>
      </c>
      <c r="C385" s="23"/>
      <c r="D385" s="27">
        <v>0.31</v>
      </c>
      <c r="E385" s="11"/>
      <c r="F385" s="11"/>
      <c r="G385" s="11"/>
      <c r="H385" s="11"/>
    </row>
    <row r="386" spans="1:8" x14ac:dyDescent="0.25">
      <c r="A386" s="25"/>
      <c r="B386" s="26" t="s">
        <v>149</v>
      </c>
      <c r="C386" s="23"/>
      <c r="D386" s="27">
        <v>0.28000000000000003</v>
      </c>
      <c r="E386" s="11"/>
      <c r="F386" s="11"/>
      <c r="G386" s="11"/>
      <c r="H386" s="11"/>
    </row>
    <row r="387" spans="1:8" x14ac:dyDescent="0.25">
      <c r="A387" s="25"/>
      <c r="B387" s="26" t="s">
        <v>152</v>
      </c>
      <c r="C387" s="23"/>
      <c r="D387" s="27">
        <v>0.26</v>
      </c>
      <c r="E387" s="11"/>
      <c r="F387" s="11"/>
      <c r="G387" s="11"/>
      <c r="H387" s="11"/>
    </row>
    <row r="388" spans="1:8" x14ac:dyDescent="0.25">
      <c r="A388" s="25"/>
      <c r="B388" s="26" t="s">
        <v>177</v>
      </c>
      <c r="C388" s="23"/>
      <c r="D388" s="27">
        <v>0.23</v>
      </c>
      <c r="E388" s="11"/>
      <c r="F388" s="11"/>
      <c r="G388" s="11"/>
      <c r="H388" s="11"/>
    </row>
    <row r="389" spans="1:8" x14ac:dyDescent="0.25">
      <c r="A389" s="25"/>
      <c r="B389" s="26" t="s">
        <v>170</v>
      </c>
      <c r="C389" s="23"/>
      <c r="D389" s="27">
        <v>1.45</v>
      </c>
      <c r="E389" s="11"/>
      <c r="F389" s="11"/>
      <c r="G389" s="11"/>
      <c r="H389" s="11"/>
    </row>
    <row r="390" spans="1:8" x14ac:dyDescent="0.25">
      <c r="A390" s="25"/>
      <c r="B390" s="26" t="s">
        <v>190</v>
      </c>
      <c r="C390" s="23"/>
      <c r="D390" s="27">
        <v>0.15</v>
      </c>
      <c r="E390" s="11"/>
      <c r="F390" s="11"/>
      <c r="G390" s="11"/>
      <c r="H390" s="11"/>
    </row>
    <row r="391" spans="1:8" x14ac:dyDescent="0.25">
      <c r="A391" s="25"/>
      <c r="B391" s="26" t="s">
        <v>236</v>
      </c>
      <c r="C391" s="23"/>
      <c r="D391" s="27">
        <v>0.09</v>
      </c>
      <c r="E391" s="11"/>
      <c r="F391" s="11"/>
      <c r="G391" s="11"/>
      <c r="H391" s="11"/>
    </row>
    <row r="392" spans="1:8" x14ac:dyDescent="0.25">
      <c r="A392" s="25"/>
      <c r="B392" s="26" t="s">
        <v>241</v>
      </c>
      <c r="C392" s="23"/>
      <c r="D392" s="27">
        <v>0.08</v>
      </c>
      <c r="E392" s="11"/>
      <c r="F392" s="11"/>
      <c r="G392" s="11"/>
      <c r="H392" s="11"/>
    </row>
    <row r="393" spans="1:8" x14ac:dyDescent="0.25">
      <c r="A393" s="25"/>
      <c r="B393" s="26" t="s">
        <v>246</v>
      </c>
      <c r="C393" s="23"/>
      <c r="D393" s="27">
        <v>0.08</v>
      </c>
      <c r="E393" s="11"/>
      <c r="F393" s="11"/>
      <c r="G393" s="11"/>
      <c r="H393" s="11"/>
    </row>
    <row r="394" spans="1:8" x14ac:dyDescent="0.25">
      <c r="A394" s="25"/>
      <c r="B394" s="26" t="s">
        <v>261</v>
      </c>
      <c r="C394" s="23"/>
      <c r="D394" s="27">
        <v>0.05</v>
      </c>
      <c r="E394" s="11"/>
      <c r="F394" s="11"/>
      <c r="G394" s="11"/>
      <c r="H394" s="11"/>
    </row>
    <row r="395" spans="1:8" x14ac:dyDescent="0.25">
      <c r="A395" s="25"/>
      <c r="B395" s="26" t="s">
        <v>218</v>
      </c>
      <c r="C395" s="23"/>
      <c r="D395" s="27">
        <v>0.04</v>
      </c>
      <c r="E395" s="11"/>
      <c r="F395" s="11"/>
      <c r="G395" s="11"/>
      <c r="H395" s="11"/>
    </row>
    <row r="396" spans="1:8" x14ac:dyDescent="0.25">
      <c r="A396" s="25"/>
      <c r="B396" s="26" t="s">
        <v>201</v>
      </c>
      <c r="C396" s="23"/>
      <c r="D396" s="27">
        <v>0.01</v>
      </c>
      <c r="E396" s="11"/>
      <c r="F396" s="11"/>
      <c r="G396" s="11"/>
      <c r="H396" s="11"/>
    </row>
    <row r="397" spans="1:8" x14ac:dyDescent="0.25">
      <c r="A397" s="25"/>
      <c r="B397" s="26" t="s">
        <v>251</v>
      </c>
      <c r="C397" s="23"/>
      <c r="D397" s="27">
        <v>0.01</v>
      </c>
      <c r="E397" s="11"/>
      <c r="F397" s="11"/>
      <c r="G397" s="11"/>
      <c r="H397" s="11"/>
    </row>
    <row r="398" spans="1:8" x14ac:dyDescent="0.25">
      <c r="A398" s="25"/>
      <c r="B398" s="26" t="s">
        <v>368</v>
      </c>
      <c r="C398" s="23"/>
      <c r="D398" s="27">
        <v>0</v>
      </c>
      <c r="E398" s="11"/>
      <c r="F398" s="11"/>
      <c r="G398" s="11"/>
      <c r="H398" s="11"/>
    </row>
    <row r="399" spans="1:8" x14ac:dyDescent="0.25">
      <c r="A399" s="25"/>
      <c r="B399" s="26" t="s">
        <v>298</v>
      </c>
      <c r="C399" s="23"/>
      <c r="D399" s="27">
        <v>0</v>
      </c>
      <c r="E399" s="11"/>
      <c r="F399" s="11"/>
      <c r="G399" s="11"/>
      <c r="H399" s="11"/>
    </row>
    <row r="400" spans="1:8" x14ac:dyDescent="0.25">
      <c r="A400" s="25"/>
      <c r="B400" s="26" t="s">
        <v>334</v>
      </c>
      <c r="C400" s="23"/>
      <c r="D400" s="27">
        <v>0</v>
      </c>
      <c r="E400" s="11"/>
      <c r="F400" s="11"/>
      <c r="G400" s="11"/>
      <c r="H400" s="11"/>
    </row>
    <row r="401" spans="1:8" x14ac:dyDescent="0.25">
      <c r="A401" s="25"/>
      <c r="B401" s="26" t="s">
        <v>254</v>
      </c>
      <c r="C401" s="23"/>
      <c r="D401" s="27">
        <v>0</v>
      </c>
      <c r="E401" s="11"/>
      <c r="F401" s="11"/>
      <c r="G401" s="11"/>
      <c r="H401" s="11"/>
    </row>
    <row r="402" spans="1:8" x14ac:dyDescent="0.25">
      <c r="A402" s="25"/>
      <c r="B402" s="26" t="s">
        <v>231</v>
      </c>
      <c r="C402" s="23"/>
      <c r="D402" s="27">
        <v>0</v>
      </c>
      <c r="E402" s="11"/>
      <c r="F402" s="11"/>
      <c r="G402" s="11"/>
      <c r="H402" s="11"/>
    </row>
    <row r="403" spans="1:8" x14ac:dyDescent="0.25">
      <c r="A403" s="25"/>
      <c r="B403" s="26" t="s">
        <v>611</v>
      </c>
      <c r="C403" s="23"/>
      <c r="D403" s="27">
        <v>7.4899999999999975</v>
      </c>
      <c r="E403" s="11"/>
      <c r="F403" s="11"/>
      <c r="G403" s="11"/>
      <c r="H403" s="11"/>
    </row>
    <row r="404" spans="1:8" x14ac:dyDescent="0.25">
      <c r="A404" s="25"/>
      <c r="B404" s="26" t="s">
        <v>612</v>
      </c>
      <c r="C404" s="23"/>
      <c r="D404" s="27">
        <v>9.58</v>
      </c>
      <c r="E404" s="11"/>
      <c r="F404" s="11"/>
      <c r="G404" s="11"/>
      <c r="H404" s="11"/>
    </row>
    <row r="405" spans="1:8" x14ac:dyDescent="0.25">
      <c r="A405" s="25"/>
      <c r="B405" s="26" t="s">
        <v>579</v>
      </c>
      <c r="C405" s="23"/>
      <c r="D405" s="27">
        <v>0.63</v>
      </c>
      <c r="E405" s="11"/>
      <c r="F405" s="11"/>
      <c r="G405" s="11"/>
      <c r="H405" s="11"/>
    </row>
    <row r="406" spans="1:8" x14ac:dyDescent="0.25">
      <c r="A406" s="25"/>
      <c r="B406" s="26" t="s">
        <v>613</v>
      </c>
      <c r="C406" s="23"/>
      <c r="D406" s="27">
        <v>17.309999999999995</v>
      </c>
      <c r="E406" s="11"/>
      <c r="F406" s="11"/>
      <c r="G406" s="11"/>
      <c r="H406" s="11"/>
    </row>
    <row r="407" spans="1:8" x14ac:dyDescent="0.25">
      <c r="A407" s="25"/>
      <c r="B407" s="26" t="s">
        <v>614</v>
      </c>
      <c r="C407" s="23"/>
      <c r="D407" s="27">
        <v>3.96</v>
      </c>
      <c r="E407" s="11"/>
      <c r="F407" s="11"/>
      <c r="G407" s="11"/>
      <c r="H407" s="11"/>
    </row>
    <row r="408" spans="1:8" x14ac:dyDescent="0.25">
      <c r="A408" s="28"/>
      <c r="B408" s="28"/>
      <c r="C408" s="28"/>
      <c r="D408" s="28"/>
      <c r="E408" s="28"/>
      <c r="F408" s="28"/>
      <c r="G408" s="28"/>
      <c r="H408" s="28"/>
    </row>
    <row r="409" spans="1:8" x14ac:dyDescent="0.25">
      <c r="A409" s="28"/>
      <c r="B409" s="8" t="s">
        <v>620</v>
      </c>
      <c r="C409" s="28"/>
      <c r="D409" s="28"/>
      <c r="E409" s="28"/>
      <c r="F409" s="28"/>
      <c r="G409" s="28"/>
      <c r="H409" s="28"/>
    </row>
    <row r="410" spans="1:8" x14ac:dyDescent="0.25">
      <c r="A410" s="11"/>
      <c r="B410" s="11" t="s">
        <v>621</v>
      </c>
      <c r="C410" s="11"/>
      <c r="D410" s="11"/>
      <c r="E410" s="11"/>
      <c r="F410" s="11"/>
      <c r="G410" s="11"/>
      <c r="H410" s="28"/>
    </row>
    <row r="411" spans="1:8" x14ac:dyDescent="0.25">
      <c r="A411" s="11"/>
      <c r="B411" s="29" t="s">
        <v>622</v>
      </c>
      <c r="C411" s="30" t="s">
        <v>623</v>
      </c>
      <c r="D411" s="29" t="s">
        <v>624</v>
      </c>
      <c r="E411" s="11"/>
      <c r="F411" s="11"/>
      <c r="G411" s="11"/>
      <c r="H411" s="28"/>
    </row>
    <row r="412" spans="1:8" x14ac:dyDescent="0.25">
      <c r="A412" s="11"/>
      <c r="B412" s="8" t="s">
        <v>625</v>
      </c>
      <c r="C412" s="31">
        <v>37.784999999999997</v>
      </c>
      <c r="D412" s="31">
        <v>36.280999999999999</v>
      </c>
      <c r="E412" s="11"/>
      <c r="F412" s="11"/>
      <c r="G412" s="11"/>
      <c r="H412" s="28"/>
    </row>
    <row r="413" spans="1:8" x14ac:dyDescent="0.25">
      <c r="A413" s="11"/>
      <c r="B413" s="8" t="s">
        <v>626</v>
      </c>
      <c r="C413" s="31">
        <v>43.91</v>
      </c>
      <c r="D413" s="31">
        <v>42.103999999999999</v>
      </c>
      <c r="E413" s="11"/>
      <c r="F413" s="11"/>
      <c r="G413" s="11"/>
      <c r="H413" s="28"/>
    </row>
    <row r="414" spans="1:8" x14ac:dyDescent="0.25">
      <c r="A414" s="11"/>
      <c r="B414" s="8" t="s">
        <v>627</v>
      </c>
      <c r="C414" s="31">
        <v>490.32900000000001</v>
      </c>
      <c r="D414" s="31">
        <v>467.70100000000002</v>
      </c>
      <c r="E414" s="11"/>
      <c r="F414" s="11"/>
      <c r="G414" s="11"/>
      <c r="H414" s="28"/>
    </row>
    <row r="415" spans="1:8" x14ac:dyDescent="0.25">
      <c r="A415" s="11"/>
      <c r="B415" s="8" t="s">
        <v>628</v>
      </c>
      <c r="C415" s="31">
        <v>529.00199999999995</v>
      </c>
      <c r="D415" s="31">
        <v>504.36700000000002</v>
      </c>
      <c r="E415" s="11"/>
      <c r="F415" s="11"/>
      <c r="G415" s="11"/>
      <c r="H415" s="28"/>
    </row>
    <row r="416" spans="1:8" x14ac:dyDescent="0.25">
      <c r="A416" s="11"/>
      <c r="B416" s="8" t="s">
        <v>20</v>
      </c>
      <c r="C416" s="11"/>
      <c r="D416" s="11"/>
      <c r="E416" s="11"/>
      <c r="F416" s="11"/>
      <c r="G416" s="11"/>
      <c r="H416" s="28"/>
    </row>
    <row r="417" spans="1:8" x14ac:dyDescent="0.25">
      <c r="A417" s="11"/>
      <c r="B417" s="11"/>
      <c r="C417" s="11"/>
      <c r="D417" s="11"/>
      <c r="E417" s="11"/>
      <c r="F417" s="11"/>
      <c r="G417" s="11"/>
      <c r="H417" s="28"/>
    </row>
    <row r="418" spans="1:8" x14ac:dyDescent="0.25">
      <c r="A418" s="11"/>
      <c r="B418" s="11" t="s">
        <v>629</v>
      </c>
      <c r="C418" s="11"/>
      <c r="D418" s="11"/>
      <c r="E418" s="11"/>
      <c r="F418" s="11"/>
      <c r="G418" s="11"/>
      <c r="H418" s="28"/>
    </row>
    <row r="419" spans="1:8" x14ac:dyDescent="0.25">
      <c r="A419" s="11"/>
      <c r="B419" s="32" t="s">
        <v>20</v>
      </c>
      <c r="C419" s="33" t="s">
        <v>20</v>
      </c>
      <c r="D419" s="33" t="s">
        <v>20</v>
      </c>
      <c r="E419" s="39" t="s">
        <v>630</v>
      </c>
      <c r="F419" s="39" t="s">
        <v>630</v>
      </c>
      <c r="G419" s="11"/>
      <c r="H419" s="28"/>
    </row>
    <row r="420" spans="1:8" x14ac:dyDescent="0.25">
      <c r="A420" s="11"/>
      <c r="B420" s="34" t="s">
        <v>631</v>
      </c>
      <c r="C420" s="34" t="s">
        <v>632</v>
      </c>
      <c r="D420" s="34" t="s">
        <v>633</v>
      </c>
      <c r="E420" s="29" t="s">
        <v>634</v>
      </c>
      <c r="F420" s="29" t="s">
        <v>635</v>
      </c>
      <c r="G420" s="11"/>
      <c r="H420" s="28"/>
    </row>
    <row r="421" spans="1:8" x14ac:dyDescent="0.25">
      <c r="A421" s="11"/>
      <c r="B421" s="11" t="s">
        <v>625</v>
      </c>
      <c r="C421" s="35" t="s">
        <v>636</v>
      </c>
      <c r="D421" s="14">
        <v>38.125</v>
      </c>
      <c r="E421" s="14">
        <v>0.25</v>
      </c>
      <c r="F421" s="14">
        <v>0.25</v>
      </c>
      <c r="G421" s="11"/>
      <c r="H421" s="28"/>
    </row>
    <row r="422" spans="1:8" x14ac:dyDescent="0.25">
      <c r="A422" s="11"/>
      <c r="B422" s="11" t="s">
        <v>626</v>
      </c>
      <c r="C422" s="35" t="s">
        <v>636</v>
      </c>
      <c r="D422" s="14">
        <v>44.26</v>
      </c>
      <c r="E422" s="14">
        <v>0.25</v>
      </c>
      <c r="F422" s="14">
        <v>0.25</v>
      </c>
      <c r="G422" s="11"/>
      <c r="H422" s="28"/>
    </row>
    <row r="423" spans="1:8" x14ac:dyDescent="0.25">
      <c r="A423" s="11"/>
      <c r="B423" s="11"/>
      <c r="C423" s="11"/>
      <c r="D423" s="11"/>
      <c r="E423" s="11"/>
      <c r="F423" s="11"/>
      <c r="G423" s="11"/>
      <c r="H423" s="28"/>
    </row>
    <row r="424" spans="1:8" x14ac:dyDescent="0.25">
      <c r="A424" s="11"/>
      <c r="B424" s="11" t="s">
        <v>637</v>
      </c>
      <c r="C424" s="11"/>
      <c r="D424" s="11"/>
      <c r="E424" s="11"/>
      <c r="F424" s="11"/>
      <c r="G424" s="11"/>
      <c r="H424" s="28"/>
    </row>
    <row r="425" spans="1:8" x14ac:dyDescent="0.25">
      <c r="A425" s="28"/>
      <c r="B425" s="28"/>
      <c r="C425" s="28"/>
      <c r="D425" s="28"/>
      <c r="E425" s="28"/>
      <c r="F425" s="28"/>
      <c r="G425" s="28"/>
      <c r="H425" s="28"/>
    </row>
    <row r="426" spans="1:8" x14ac:dyDescent="0.25">
      <c r="A426" s="11"/>
      <c r="B426" s="11" t="s">
        <v>638</v>
      </c>
      <c r="C426" s="11"/>
      <c r="D426" s="11"/>
      <c r="E426" s="11"/>
      <c r="F426" s="11"/>
      <c r="G426" s="11"/>
      <c r="H426" s="11"/>
    </row>
    <row r="427" spans="1:8" x14ac:dyDescent="0.25">
      <c r="A427" s="11"/>
      <c r="B427" s="11" t="s">
        <v>639</v>
      </c>
      <c r="C427" s="11"/>
      <c r="D427" s="11"/>
      <c r="E427" s="11"/>
      <c r="F427" s="11"/>
      <c r="G427" s="11"/>
      <c r="H427" s="28"/>
    </row>
    <row r="428" spans="1:8" x14ac:dyDescent="0.25">
      <c r="A428" s="11"/>
      <c r="B428" s="11" t="s">
        <v>640</v>
      </c>
      <c r="C428" s="11"/>
      <c r="D428" s="11"/>
      <c r="E428" s="11"/>
      <c r="F428" s="11"/>
      <c r="G428" s="11"/>
      <c r="H428" s="28"/>
    </row>
    <row r="429" spans="1:8" x14ac:dyDescent="0.25">
      <c r="A429" s="11"/>
      <c r="B429" s="11" t="s">
        <v>641</v>
      </c>
      <c r="C429" s="11"/>
      <c r="D429" s="11"/>
      <c r="E429" s="11"/>
      <c r="F429" s="11"/>
      <c r="G429" s="11"/>
      <c r="H429" s="28"/>
    </row>
    <row r="430" spans="1:8" x14ac:dyDescent="0.25">
      <c r="A430" s="11"/>
      <c r="B430" s="11" t="s">
        <v>642</v>
      </c>
      <c r="C430" s="11"/>
      <c r="D430" s="11"/>
      <c r="E430" s="11"/>
      <c r="F430" s="11"/>
      <c r="G430" s="11"/>
      <c r="H430" s="28"/>
    </row>
    <row r="431" spans="1:8" x14ac:dyDescent="0.25">
      <c r="A431" s="11"/>
      <c r="B431" s="11" t="s">
        <v>643</v>
      </c>
      <c r="C431" s="11"/>
      <c r="D431" s="11"/>
      <c r="E431" s="11"/>
      <c r="F431" s="11"/>
      <c r="G431" s="11"/>
      <c r="H431" s="28"/>
    </row>
    <row r="432" spans="1:8" x14ac:dyDescent="0.25">
      <c r="A432" s="11"/>
      <c r="B432" s="11" t="s">
        <v>644</v>
      </c>
      <c r="C432" s="11"/>
      <c r="D432" s="11"/>
      <c r="E432" s="11"/>
      <c r="F432" s="11"/>
      <c r="G432" s="11"/>
      <c r="H432" s="28"/>
    </row>
    <row r="433" spans="1:8" x14ac:dyDescent="0.25">
      <c r="A433" s="11"/>
      <c r="B433" s="11" t="s">
        <v>645</v>
      </c>
      <c r="C433" s="11"/>
      <c r="D433" s="11"/>
      <c r="E433" s="11"/>
      <c r="F433" s="11"/>
      <c r="G433" s="11"/>
      <c r="H433" s="28"/>
    </row>
    <row r="434" spans="1:8" x14ac:dyDescent="0.25">
      <c r="A434" s="11"/>
      <c r="B434" s="11" t="s">
        <v>646</v>
      </c>
      <c r="C434" s="11"/>
      <c r="D434" s="11"/>
      <c r="E434" s="11"/>
      <c r="F434" s="11"/>
      <c r="G434" s="11"/>
      <c r="H434" s="28"/>
    </row>
    <row r="435" spans="1:8" x14ac:dyDescent="0.25">
      <c r="A435" s="11"/>
      <c r="B435" s="11" t="s">
        <v>647</v>
      </c>
      <c r="C435" s="11"/>
      <c r="D435" s="11"/>
      <c r="E435" s="11"/>
      <c r="F435" s="11"/>
      <c r="G435" s="11"/>
      <c r="H435" s="28"/>
    </row>
    <row r="436" spans="1:8" x14ac:dyDescent="0.25">
      <c r="A436" s="11"/>
      <c r="B436" s="11" t="s">
        <v>648</v>
      </c>
      <c r="C436" s="11"/>
      <c r="D436" s="11"/>
      <c r="E436" s="11"/>
      <c r="F436" s="11"/>
      <c r="G436" s="11"/>
      <c r="H436" s="28"/>
    </row>
    <row r="438" spans="1:8" x14ac:dyDescent="0.25">
      <c r="B438" s="36" t="s">
        <v>649</v>
      </c>
    </row>
    <row r="454" spans="2:2" x14ac:dyDescent="0.25">
      <c r="B454" s="36" t="s">
        <v>650</v>
      </c>
    </row>
  </sheetData>
  <mergeCells count="12">
    <mergeCell ref="E419:F419"/>
    <mergeCell ref="A1:J1"/>
    <mergeCell ref="A2:J2"/>
    <mergeCell ref="B332:F332"/>
    <mergeCell ref="B333:F333"/>
    <mergeCell ref="B334:F334"/>
    <mergeCell ref="B335:F335"/>
    <mergeCell ref="B336:F336"/>
    <mergeCell ref="B337:F337"/>
    <mergeCell ref="B338:F338"/>
    <mergeCell ref="B339:F339"/>
    <mergeCell ref="B340:F34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dimension ref="A1:M90"/>
  <sheetViews>
    <sheetView topLeftCell="A45" zoomScale="90" zoomScaleNormal="90" workbookViewId="0">
      <selection activeCell="H93" sqref="H93"/>
    </sheetView>
  </sheetViews>
  <sheetFormatPr defaultRowHeight="12.75" x14ac:dyDescent="0.2"/>
  <cols>
    <col min="1" max="1" width="46.5703125" style="43" customWidth="1"/>
    <col min="2" max="2" width="56" style="43" bestFit="1" customWidth="1"/>
    <col min="3" max="3" width="41.85546875" style="43" customWidth="1"/>
    <col min="4" max="4" width="22.7109375" style="43" customWidth="1"/>
    <col min="5" max="5" width="15.85546875" style="43" customWidth="1"/>
    <col min="6" max="6" width="16.140625" style="43" customWidth="1"/>
    <col min="7" max="7" width="13.7109375" style="43" customWidth="1"/>
    <col min="8" max="8" width="18.85546875" style="43" bestFit="1" customWidth="1"/>
    <col min="9" max="9" width="12.5703125" style="43" hidden="1" customWidth="1"/>
    <col min="10" max="10" width="10.7109375" style="43" hidden="1" customWidth="1"/>
    <col min="11" max="11" width="11.7109375" style="43" hidden="1" customWidth="1"/>
    <col min="12" max="12" width="18.85546875" style="43" bestFit="1" customWidth="1"/>
    <col min="13" max="13" width="9.28515625" style="44" bestFit="1" customWidth="1"/>
    <col min="14" max="249" width="9.140625" style="43"/>
    <col min="250" max="250" width="46.5703125" style="43" customWidth="1"/>
    <col min="251" max="251" width="32.42578125" style="43" customWidth="1"/>
    <col min="252" max="252" width="22.7109375" style="43" customWidth="1"/>
    <col min="253" max="253" width="15.85546875" style="43" customWidth="1"/>
    <col min="254" max="254" width="16.140625" style="43" customWidth="1"/>
    <col min="255" max="255" width="13.7109375" style="43" customWidth="1"/>
    <col min="256" max="263" width="0" style="43" hidden="1" customWidth="1"/>
    <col min="264" max="264" width="10.7109375" style="43" customWidth="1"/>
    <col min="265" max="505" width="9.140625" style="43"/>
    <col min="506" max="506" width="46.5703125" style="43" customWidth="1"/>
    <col min="507" max="507" width="32.42578125" style="43" customWidth="1"/>
    <col min="508" max="508" width="22.7109375" style="43" customWidth="1"/>
    <col min="509" max="509" width="15.85546875" style="43" customWidth="1"/>
    <col min="510" max="510" width="16.140625" style="43" customWidth="1"/>
    <col min="511" max="511" width="13.7109375" style="43" customWidth="1"/>
    <col min="512" max="519" width="0" style="43" hidden="1" customWidth="1"/>
    <col min="520" max="520" width="10.7109375" style="43" customWidth="1"/>
    <col min="521" max="761" width="9.140625" style="43"/>
    <col min="762" max="762" width="46.5703125" style="43" customWidth="1"/>
    <col min="763" max="763" width="32.42578125" style="43" customWidth="1"/>
    <col min="764" max="764" width="22.7109375" style="43" customWidth="1"/>
    <col min="765" max="765" width="15.85546875" style="43" customWidth="1"/>
    <col min="766" max="766" width="16.140625" style="43" customWidth="1"/>
    <col min="767" max="767" width="13.7109375" style="43" customWidth="1"/>
    <col min="768" max="775" width="0" style="43" hidden="1" customWidth="1"/>
    <col min="776" max="776" width="10.7109375" style="43" customWidth="1"/>
    <col min="777" max="1017" width="9.140625" style="43"/>
    <col min="1018" max="1018" width="46.5703125" style="43" customWidth="1"/>
    <col min="1019" max="1019" width="32.42578125" style="43" customWidth="1"/>
    <col min="1020" max="1020" width="22.7109375" style="43" customWidth="1"/>
    <col min="1021" max="1021" width="15.85546875" style="43" customWidth="1"/>
    <col min="1022" max="1022" width="16.140625" style="43" customWidth="1"/>
    <col min="1023" max="1023" width="13.7109375" style="43" customWidth="1"/>
    <col min="1024" max="1031" width="0" style="43" hidden="1" customWidth="1"/>
    <col min="1032" max="1032" width="10.7109375" style="43" customWidth="1"/>
    <col min="1033" max="1273" width="9.140625" style="43"/>
    <col min="1274" max="1274" width="46.5703125" style="43" customWidth="1"/>
    <col min="1275" max="1275" width="32.42578125" style="43" customWidth="1"/>
    <col min="1276" max="1276" width="22.7109375" style="43" customWidth="1"/>
    <col min="1277" max="1277" width="15.85546875" style="43" customWidth="1"/>
    <col min="1278" max="1278" width="16.140625" style="43" customWidth="1"/>
    <col min="1279" max="1279" width="13.7109375" style="43" customWidth="1"/>
    <col min="1280" max="1287" width="0" style="43" hidden="1" customWidth="1"/>
    <col min="1288" max="1288" width="10.7109375" style="43" customWidth="1"/>
    <col min="1289" max="1529" width="9.140625" style="43"/>
    <col min="1530" max="1530" width="46.5703125" style="43" customWidth="1"/>
    <col min="1531" max="1531" width="32.42578125" style="43" customWidth="1"/>
    <col min="1532" max="1532" width="22.7109375" style="43" customWidth="1"/>
    <col min="1533" max="1533" width="15.85546875" style="43" customWidth="1"/>
    <col min="1534" max="1534" width="16.140625" style="43" customWidth="1"/>
    <col min="1535" max="1535" width="13.7109375" style="43" customWidth="1"/>
    <col min="1536" max="1543" width="0" style="43" hidden="1" customWidth="1"/>
    <col min="1544" max="1544" width="10.7109375" style="43" customWidth="1"/>
    <col min="1545" max="1785" width="9.140625" style="43"/>
    <col min="1786" max="1786" width="46.5703125" style="43" customWidth="1"/>
    <col min="1787" max="1787" width="32.42578125" style="43" customWidth="1"/>
    <col min="1788" max="1788" width="22.7109375" style="43" customWidth="1"/>
    <col min="1789" max="1789" width="15.85546875" style="43" customWidth="1"/>
    <col min="1790" max="1790" width="16.140625" style="43" customWidth="1"/>
    <col min="1791" max="1791" width="13.7109375" style="43" customWidth="1"/>
    <col min="1792" max="1799" width="0" style="43" hidden="1" customWidth="1"/>
    <col min="1800" max="1800" width="10.7109375" style="43" customWidth="1"/>
    <col min="1801" max="2041" width="9.140625" style="43"/>
    <col min="2042" max="2042" width="46.5703125" style="43" customWidth="1"/>
    <col min="2043" max="2043" width="32.42578125" style="43" customWidth="1"/>
    <col min="2044" max="2044" width="22.7109375" style="43" customWidth="1"/>
    <col min="2045" max="2045" width="15.85546875" style="43" customWidth="1"/>
    <col min="2046" max="2046" width="16.140625" style="43" customWidth="1"/>
    <col min="2047" max="2047" width="13.7109375" style="43" customWidth="1"/>
    <col min="2048" max="2055" width="0" style="43" hidden="1" customWidth="1"/>
    <col min="2056" max="2056" width="10.7109375" style="43" customWidth="1"/>
    <col min="2057" max="2297" width="9.140625" style="43"/>
    <col min="2298" max="2298" width="46.5703125" style="43" customWidth="1"/>
    <col min="2299" max="2299" width="32.42578125" style="43" customWidth="1"/>
    <col min="2300" max="2300" width="22.7109375" style="43" customWidth="1"/>
    <col min="2301" max="2301" width="15.85546875" style="43" customWidth="1"/>
    <col min="2302" max="2302" width="16.140625" style="43" customWidth="1"/>
    <col min="2303" max="2303" width="13.7109375" style="43" customWidth="1"/>
    <col min="2304" max="2311" width="0" style="43" hidden="1" customWidth="1"/>
    <col min="2312" max="2312" width="10.7109375" style="43" customWidth="1"/>
    <col min="2313" max="2553" width="9.140625" style="43"/>
    <col min="2554" max="2554" width="46.5703125" style="43" customWidth="1"/>
    <col min="2555" max="2555" width="32.42578125" style="43" customWidth="1"/>
    <col min="2556" max="2556" width="22.7109375" style="43" customWidth="1"/>
    <col min="2557" max="2557" width="15.85546875" style="43" customWidth="1"/>
    <col min="2558" max="2558" width="16.140625" style="43" customWidth="1"/>
    <col min="2559" max="2559" width="13.7109375" style="43" customWidth="1"/>
    <col min="2560" max="2567" width="0" style="43" hidden="1" customWidth="1"/>
    <col min="2568" max="2568" width="10.7109375" style="43" customWidth="1"/>
    <col min="2569" max="2809" width="9.140625" style="43"/>
    <col min="2810" max="2810" width="46.5703125" style="43" customWidth="1"/>
    <col min="2811" max="2811" width="32.42578125" style="43" customWidth="1"/>
    <col min="2812" max="2812" width="22.7109375" style="43" customWidth="1"/>
    <col min="2813" max="2813" width="15.85546875" style="43" customWidth="1"/>
    <col min="2814" max="2814" width="16.140625" style="43" customWidth="1"/>
    <col min="2815" max="2815" width="13.7109375" style="43" customWidth="1"/>
    <col min="2816" max="2823" width="0" style="43" hidden="1" customWidth="1"/>
    <col min="2824" max="2824" width="10.7109375" style="43" customWidth="1"/>
    <col min="2825" max="3065" width="9.140625" style="43"/>
    <col min="3066" max="3066" width="46.5703125" style="43" customWidth="1"/>
    <col min="3067" max="3067" width="32.42578125" style="43" customWidth="1"/>
    <col min="3068" max="3068" width="22.7109375" style="43" customWidth="1"/>
    <col min="3069" max="3069" width="15.85546875" style="43" customWidth="1"/>
    <col min="3070" max="3070" width="16.140625" style="43" customWidth="1"/>
    <col min="3071" max="3071" width="13.7109375" style="43" customWidth="1"/>
    <col min="3072" max="3079" width="0" style="43" hidden="1" customWidth="1"/>
    <col min="3080" max="3080" width="10.7109375" style="43" customWidth="1"/>
    <col min="3081" max="3321" width="9.140625" style="43"/>
    <col min="3322" max="3322" width="46.5703125" style="43" customWidth="1"/>
    <col min="3323" max="3323" width="32.42578125" style="43" customWidth="1"/>
    <col min="3324" max="3324" width="22.7109375" style="43" customWidth="1"/>
    <col min="3325" max="3325" width="15.85546875" style="43" customWidth="1"/>
    <col min="3326" max="3326" width="16.140625" style="43" customWidth="1"/>
    <col min="3327" max="3327" width="13.7109375" style="43" customWidth="1"/>
    <col min="3328" max="3335" width="0" style="43" hidden="1" customWidth="1"/>
    <col min="3336" max="3336" width="10.7109375" style="43" customWidth="1"/>
    <col min="3337" max="3577" width="9.140625" style="43"/>
    <col min="3578" max="3578" width="46.5703125" style="43" customWidth="1"/>
    <col min="3579" max="3579" width="32.42578125" style="43" customWidth="1"/>
    <col min="3580" max="3580" width="22.7109375" style="43" customWidth="1"/>
    <col min="3581" max="3581" width="15.85546875" style="43" customWidth="1"/>
    <col min="3582" max="3582" width="16.140625" style="43" customWidth="1"/>
    <col min="3583" max="3583" width="13.7109375" style="43" customWidth="1"/>
    <col min="3584" max="3591" width="0" style="43" hidden="1" customWidth="1"/>
    <col min="3592" max="3592" width="10.7109375" style="43" customWidth="1"/>
    <col min="3593" max="3833" width="9.140625" style="43"/>
    <col min="3834" max="3834" width="46.5703125" style="43" customWidth="1"/>
    <col min="3835" max="3835" width="32.42578125" style="43" customWidth="1"/>
    <col min="3836" max="3836" width="22.7109375" style="43" customWidth="1"/>
    <col min="3837" max="3837" width="15.85546875" style="43" customWidth="1"/>
    <col min="3838" max="3838" width="16.140625" style="43" customWidth="1"/>
    <col min="3839" max="3839" width="13.7109375" style="43" customWidth="1"/>
    <col min="3840" max="3847" width="0" style="43" hidden="1" customWidth="1"/>
    <col min="3848" max="3848" width="10.7109375" style="43" customWidth="1"/>
    <col min="3849" max="4089" width="9.140625" style="43"/>
    <col min="4090" max="4090" width="46.5703125" style="43" customWidth="1"/>
    <col min="4091" max="4091" width="32.42578125" style="43" customWidth="1"/>
    <col min="4092" max="4092" width="22.7109375" style="43" customWidth="1"/>
    <col min="4093" max="4093" width="15.85546875" style="43" customWidth="1"/>
    <col min="4094" max="4094" width="16.140625" style="43" customWidth="1"/>
    <col min="4095" max="4095" width="13.7109375" style="43" customWidth="1"/>
    <col min="4096" max="4103" width="0" style="43" hidden="1" customWidth="1"/>
    <col min="4104" max="4104" width="10.7109375" style="43" customWidth="1"/>
    <col min="4105" max="4345" width="9.140625" style="43"/>
    <col min="4346" max="4346" width="46.5703125" style="43" customWidth="1"/>
    <col min="4347" max="4347" width="32.42578125" style="43" customWidth="1"/>
    <col min="4348" max="4348" width="22.7109375" style="43" customWidth="1"/>
    <col min="4349" max="4349" width="15.85546875" style="43" customWidth="1"/>
    <col min="4350" max="4350" width="16.140625" style="43" customWidth="1"/>
    <col min="4351" max="4351" width="13.7109375" style="43" customWidth="1"/>
    <col min="4352" max="4359" width="0" style="43" hidden="1" customWidth="1"/>
    <col min="4360" max="4360" width="10.7109375" style="43" customWidth="1"/>
    <col min="4361" max="4601" width="9.140625" style="43"/>
    <col min="4602" max="4602" width="46.5703125" style="43" customWidth="1"/>
    <col min="4603" max="4603" width="32.42578125" style="43" customWidth="1"/>
    <col min="4604" max="4604" width="22.7109375" style="43" customWidth="1"/>
    <col min="4605" max="4605" width="15.85546875" style="43" customWidth="1"/>
    <col min="4606" max="4606" width="16.140625" style="43" customWidth="1"/>
    <col min="4607" max="4607" width="13.7109375" style="43" customWidth="1"/>
    <col min="4608" max="4615" width="0" style="43" hidden="1" customWidth="1"/>
    <col min="4616" max="4616" width="10.7109375" style="43" customWidth="1"/>
    <col min="4617" max="4857" width="9.140625" style="43"/>
    <col min="4858" max="4858" width="46.5703125" style="43" customWidth="1"/>
    <col min="4859" max="4859" width="32.42578125" style="43" customWidth="1"/>
    <col min="4860" max="4860" width="22.7109375" style="43" customWidth="1"/>
    <col min="4861" max="4861" width="15.85546875" style="43" customWidth="1"/>
    <col min="4862" max="4862" width="16.140625" style="43" customWidth="1"/>
    <col min="4863" max="4863" width="13.7109375" style="43" customWidth="1"/>
    <col min="4864" max="4871" width="0" style="43" hidden="1" customWidth="1"/>
    <col min="4872" max="4872" width="10.7109375" style="43" customWidth="1"/>
    <col min="4873" max="5113" width="9.140625" style="43"/>
    <col min="5114" max="5114" width="46.5703125" style="43" customWidth="1"/>
    <col min="5115" max="5115" width="32.42578125" style="43" customWidth="1"/>
    <col min="5116" max="5116" width="22.7109375" style="43" customWidth="1"/>
    <col min="5117" max="5117" width="15.85546875" style="43" customWidth="1"/>
    <col min="5118" max="5118" width="16.140625" style="43" customWidth="1"/>
    <col min="5119" max="5119" width="13.7109375" style="43" customWidth="1"/>
    <col min="5120" max="5127" width="0" style="43" hidden="1" customWidth="1"/>
    <col min="5128" max="5128" width="10.7109375" style="43" customWidth="1"/>
    <col min="5129" max="5369" width="9.140625" style="43"/>
    <col min="5370" max="5370" width="46.5703125" style="43" customWidth="1"/>
    <col min="5371" max="5371" width="32.42578125" style="43" customWidth="1"/>
    <col min="5372" max="5372" width="22.7109375" style="43" customWidth="1"/>
    <col min="5373" max="5373" width="15.85546875" style="43" customWidth="1"/>
    <col min="5374" max="5374" width="16.140625" style="43" customWidth="1"/>
    <col min="5375" max="5375" width="13.7109375" style="43" customWidth="1"/>
    <col min="5376" max="5383" width="0" style="43" hidden="1" customWidth="1"/>
    <col min="5384" max="5384" width="10.7109375" style="43" customWidth="1"/>
    <col min="5385" max="5625" width="9.140625" style="43"/>
    <col min="5626" max="5626" width="46.5703125" style="43" customWidth="1"/>
    <col min="5627" max="5627" width="32.42578125" style="43" customWidth="1"/>
    <col min="5628" max="5628" width="22.7109375" style="43" customWidth="1"/>
    <col min="5629" max="5629" width="15.85546875" style="43" customWidth="1"/>
    <col min="5630" max="5630" width="16.140625" style="43" customWidth="1"/>
    <col min="5631" max="5631" width="13.7109375" style="43" customWidth="1"/>
    <col min="5632" max="5639" width="0" style="43" hidden="1" customWidth="1"/>
    <col min="5640" max="5640" width="10.7109375" style="43" customWidth="1"/>
    <col min="5641" max="5881" width="9.140625" style="43"/>
    <col min="5882" max="5882" width="46.5703125" style="43" customWidth="1"/>
    <col min="5883" max="5883" width="32.42578125" style="43" customWidth="1"/>
    <col min="5884" max="5884" width="22.7109375" style="43" customWidth="1"/>
    <col min="5885" max="5885" width="15.85546875" style="43" customWidth="1"/>
    <col min="5886" max="5886" width="16.140625" style="43" customWidth="1"/>
    <col min="5887" max="5887" width="13.7109375" style="43" customWidth="1"/>
    <col min="5888" max="5895" width="0" style="43" hidden="1" customWidth="1"/>
    <col min="5896" max="5896" width="10.7109375" style="43" customWidth="1"/>
    <col min="5897" max="6137" width="9.140625" style="43"/>
    <col min="6138" max="6138" width="46.5703125" style="43" customWidth="1"/>
    <col min="6139" max="6139" width="32.42578125" style="43" customWidth="1"/>
    <col min="6140" max="6140" width="22.7109375" style="43" customWidth="1"/>
    <col min="6141" max="6141" width="15.85546875" style="43" customWidth="1"/>
    <col min="6142" max="6142" width="16.140625" style="43" customWidth="1"/>
    <col min="6143" max="6143" width="13.7109375" style="43" customWidth="1"/>
    <col min="6144" max="6151" width="0" style="43" hidden="1" customWidth="1"/>
    <col min="6152" max="6152" width="10.7109375" style="43" customWidth="1"/>
    <col min="6153" max="6393" width="9.140625" style="43"/>
    <col min="6394" max="6394" width="46.5703125" style="43" customWidth="1"/>
    <col min="6395" max="6395" width="32.42578125" style="43" customWidth="1"/>
    <col min="6396" max="6396" width="22.7109375" style="43" customWidth="1"/>
    <col min="6397" max="6397" width="15.85546875" style="43" customWidth="1"/>
    <col min="6398" max="6398" width="16.140625" style="43" customWidth="1"/>
    <col min="6399" max="6399" width="13.7109375" style="43" customWidth="1"/>
    <col min="6400" max="6407" width="0" style="43" hidden="1" customWidth="1"/>
    <col min="6408" max="6408" width="10.7109375" style="43" customWidth="1"/>
    <col min="6409" max="6649" width="9.140625" style="43"/>
    <col min="6650" max="6650" width="46.5703125" style="43" customWidth="1"/>
    <col min="6651" max="6651" width="32.42578125" style="43" customWidth="1"/>
    <col min="6652" max="6652" width="22.7109375" style="43" customWidth="1"/>
    <col min="6653" max="6653" width="15.85546875" style="43" customWidth="1"/>
    <col min="6654" max="6654" width="16.140625" style="43" customWidth="1"/>
    <col min="6655" max="6655" width="13.7109375" style="43" customWidth="1"/>
    <col min="6656" max="6663" width="0" style="43" hidden="1" customWidth="1"/>
    <col min="6664" max="6664" width="10.7109375" style="43" customWidth="1"/>
    <col min="6665" max="6905" width="9.140625" style="43"/>
    <col min="6906" max="6906" width="46.5703125" style="43" customWidth="1"/>
    <col min="6907" max="6907" width="32.42578125" style="43" customWidth="1"/>
    <col min="6908" max="6908" width="22.7109375" style="43" customWidth="1"/>
    <col min="6909" max="6909" width="15.85546875" style="43" customWidth="1"/>
    <col min="6910" max="6910" width="16.140625" style="43" customWidth="1"/>
    <col min="6911" max="6911" width="13.7109375" style="43" customWidth="1"/>
    <col min="6912" max="6919" width="0" style="43" hidden="1" customWidth="1"/>
    <col min="6920" max="6920" width="10.7109375" style="43" customWidth="1"/>
    <col min="6921" max="7161" width="9.140625" style="43"/>
    <col min="7162" max="7162" width="46.5703125" style="43" customWidth="1"/>
    <col min="7163" max="7163" width="32.42578125" style="43" customWidth="1"/>
    <col min="7164" max="7164" width="22.7109375" style="43" customWidth="1"/>
    <col min="7165" max="7165" width="15.85546875" style="43" customWidth="1"/>
    <col min="7166" max="7166" width="16.140625" style="43" customWidth="1"/>
    <col min="7167" max="7167" width="13.7109375" style="43" customWidth="1"/>
    <col min="7168" max="7175" width="0" style="43" hidden="1" customWidth="1"/>
    <col min="7176" max="7176" width="10.7109375" style="43" customWidth="1"/>
    <col min="7177" max="7417" width="9.140625" style="43"/>
    <col min="7418" max="7418" width="46.5703125" style="43" customWidth="1"/>
    <col min="7419" max="7419" width="32.42578125" style="43" customWidth="1"/>
    <col min="7420" max="7420" width="22.7109375" style="43" customWidth="1"/>
    <col min="7421" max="7421" width="15.85546875" style="43" customWidth="1"/>
    <col min="7422" max="7422" width="16.140625" style="43" customWidth="1"/>
    <col min="7423" max="7423" width="13.7109375" style="43" customWidth="1"/>
    <col min="7424" max="7431" width="0" style="43" hidden="1" customWidth="1"/>
    <col min="7432" max="7432" width="10.7109375" style="43" customWidth="1"/>
    <col min="7433" max="7673" width="9.140625" style="43"/>
    <col min="7674" max="7674" width="46.5703125" style="43" customWidth="1"/>
    <col min="7675" max="7675" width="32.42578125" style="43" customWidth="1"/>
    <col min="7676" max="7676" width="22.7109375" style="43" customWidth="1"/>
    <col min="7677" max="7677" width="15.85546875" style="43" customWidth="1"/>
    <col min="7678" max="7678" width="16.140625" style="43" customWidth="1"/>
    <col min="7679" max="7679" width="13.7109375" style="43" customWidth="1"/>
    <col min="7680" max="7687" width="0" style="43" hidden="1" customWidth="1"/>
    <col min="7688" max="7688" width="10.7109375" style="43" customWidth="1"/>
    <col min="7689" max="7929" width="9.140625" style="43"/>
    <col min="7930" max="7930" width="46.5703125" style="43" customWidth="1"/>
    <col min="7931" max="7931" width="32.42578125" style="43" customWidth="1"/>
    <col min="7932" max="7932" width="22.7109375" style="43" customWidth="1"/>
    <col min="7933" max="7933" width="15.85546875" style="43" customWidth="1"/>
    <col min="7934" max="7934" width="16.140625" style="43" customWidth="1"/>
    <col min="7935" max="7935" width="13.7109375" style="43" customWidth="1"/>
    <col min="7936" max="7943" width="0" style="43" hidden="1" customWidth="1"/>
    <col min="7944" max="7944" width="10.7109375" style="43" customWidth="1"/>
    <col min="7945" max="8185" width="9.140625" style="43"/>
    <col min="8186" max="8186" width="46.5703125" style="43" customWidth="1"/>
    <col min="8187" max="8187" width="32.42578125" style="43" customWidth="1"/>
    <col min="8188" max="8188" width="22.7109375" style="43" customWidth="1"/>
    <col min="8189" max="8189" width="15.85546875" style="43" customWidth="1"/>
    <col min="8190" max="8190" width="16.140625" style="43" customWidth="1"/>
    <col min="8191" max="8191" width="13.7109375" style="43" customWidth="1"/>
    <col min="8192" max="8199" width="0" style="43" hidden="1" customWidth="1"/>
    <col min="8200" max="8200" width="10.7109375" style="43" customWidth="1"/>
    <col min="8201" max="8441" width="9.140625" style="43"/>
    <col min="8442" max="8442" width="46.5703125" style="43" customWidth="1"/>
    <col min="8443" max="8443" width="32.42578125" style="43" customWidth="1"/>
    <col min="8444" max="8444" width="22.7109375" style="43" customWidth="1"/>
    <col min="8445" max="8445" width="15.85546875" style="43" customWidth="1"/>
    <col min="8446" max="8446" width="16.140625" style="43" customWidth="1"/>
    <col min="8447" max="8447" width="13.7109375" style="43" customWidth="1"/>
    <col min="8448" max="8455" width="0" style="43" hidden="1" customWidth="1"/>
    <col min="8456" max="8456" width="10.7109375" style="43" customWidth="1"/>
    <col min="8457" max="8697" width="9.140625" style="43"/>
    <col min="8698" max="8698" width="46.5703125" style="43" customWidth="1"/>
    <col min="8699" max="8699" width="32.42578125" style="43" customWidth="1"/>
    <col min="8700" max="8700" width="22.7109375" style="43" customWidth="1"/>
    <col min="8701" max="8701" width="15.85546875" style="43" customWidth="1"/>
    <col min="8702" max="8702" width="16.140625" style="43" customWidth="1"/>
    <col min="8703" max="8703" width="13.7109375" style="43" customWidth="1"/>
    <col min="8704" max="8711" width="0" style="43" hidden="1" customWidth="1"/>
    <col min="8712" max="8712" width="10.7109375" style="43" customWidth="1"/>
    <col min="8713" max="8953" width="9.140625" style="43"/>
    <col min="8954" max="8954" width="46.5703125" style="43" customWidth="1"/>
    <col min="8955" max="8955" width="32.42578125" style="43" customWidth="1"/>
    <col min="8956" max="8956" width="22.7109375" style="43" customWidth="1"/>
    <col min="8957" max="8957" width="15.85546875" style="43" customWidth="1"/>
    <col min="8958" max="8958" width="16.140625" style="43" customWidth="1"/>
    <col min="8959" max="8959" width="13.7109375" style="43" customWidth="1"/>
    <col min="8960" max="8967" width="0" style="43" hidden="1" customWidth="1"/>
    <col min="8968" max="8968" width="10.7109375" style="43" customWidth="1"/>
    <col min="8969" max="9209" width="9.140625" style="43"/>
    <col min="9210" max="9210" width="46.5703125" style="43" customWidth="1"/>
    <col min="9211" max="9211" width="32.42578125" style="43" customWidth="1"/>
    <col min="9212" max="9212" width="22.7109375" style="43" customWidth="1"/>
    <col min="9213" max="9213" width="15.85546875" style="43" customWidth="1"/>
    <col min="9214" max="9214" width="16.140625" style="43" customWidth="1"/>
    <col min="9215" max="9215" width="13.7109375" style="43" customWidth="1"/>
    <col min="9216" max="9223" width="0" style="43" hidden="1" customWidth="1"/>
    <col min="9224" max="9224" width="10.7109375" style="43" customWidth="1"/>
    <col min="9225" max="9465" width="9.140625" style="43"/>
    <col min="9466" max="9466" width="46.5703125" style="43" customWidth="1"/>
    <col min="9467" max="9467" width="32.42578125" style="43" customWidth="1"/>
    <col min="9468" max="9468" width="22.7109375" style="43" customWidth="1"/>
    <col min="9469" max="9469" width="15.85546875" style="43" customWidth="1"/>
    <col min="9470" max="9470" width="16.140625" style="43" customWidth="1"/>
    <col min="9471" max="9471" width="13.7109375" style="43" customWidth="1"/>
    <col min="9472" max="9479" width="0" style="43" hidden="1" customWidth="1"/>
    <col min="9480" max="9480" width="10.7109375" style="43" customWidth="1"/>
    <col min="9481" max="9721" width="9.140625" style="43"/>
    <col min="9722" max="9722" width="46.5703125" style="43" customWidth="1"/>
    <col min="9723" max="9723" width="32.42578125" style="43" customWidth="1"/>
    <col min="9724" max="9724" width="22.7109375" style="43" customWidth="1"/>
    <col min="9725" max="9725" width="15.85546875" style="43" customWidth="1"/>
    <col min="9726" max="9726" width="16.140625" style="43" customWidth="1"/>
    <col min="9727" max="9727" width="13.7109375" style="43" customWidth="1"/>
    <col min="9728" max="9735" width="0" style="43" hidden="1" customWidth="1"/>
    <col min="9736" max="9736" width="10.7109375" style="43" customWidth="1"/>
    <col min="9737" max="9977" width="9.140625" style="43"/>
    <col min="9978" max="9978" width="46.5703125" style="43" customWidth="1"/>
    <col min="9979" max="9979" width="32.42578125" style="43" customWidth="1"/>
    <col min="9980" max="9980" width="22.7109375" style="43" customWidth="1"/>
    <col min="9981" max="9981" width="15.85546875" style="43" customWidth="1"/>
    <col min="9982" max="9982" width="16.140625" style="43" customWidth="1"/>
    <col min="9983" max="9983" width="13.7109375" style="43" customWidth="1"/>
    <col min="9984" max="9991" width="0" style="43" hidden="1" customWidth="1"/>
    <col min="9992" max="9992" width="10.7109375" style="43" customWidth="1"/>
    <col min="9993" max="10233" width="9.140625" style="43"/>
    <col min="10234" max="10234" width="46.5703125" style="43" customWidth="1"/>
    <col min="10235" max="10235" width="32.42578125" style="43" customWidth="1"/>
    <col min="10236" max="10236" width="22.7109375" style="43" customWidth="1"/>
    <col min="10237" max="10237" width="15.85546875" style="43" customWidth="1"/>
    <col min="10238" max="10238" width="16.140625" style="43" customWidth="1"/>
    <col min="10239" max="10239" width="13.7109375" style="43" customWidth="1"/>
    <col min="10240" max="10247" width="0" style="43" hidden="1" customWidth="1"/>
    <col min="10248" max="10248" width="10.7109375" style="43" customWidth="1"/>
    <col min="10249" max="10489" width="9.140625" style="43"/>
    <col min="10490" max="10490" width="46.5703125" style="43" customWidth="1"/>
    <col min="10491" max="10491" width="32.42578125" style="43" customWidth="1"/>
    <col min="10492" max="10492" width="22.7109375" style="43" customWidth="1"/>
    <col min="10493" max="10493" width="15.85546875" style="43" customWidth="1"/>
    <col min="10494" max="10494" width="16.140625" style="43" customWidth="1"/>
    <col min="10495" max="10495" width="13.7109375" style="43" customWidth="1"/>
    <col min="10496" max="10503" width="0" style="43" hidden="1" customWidth="1"/>
    <col min="10504" max="10504" width="10.7109375" style="43" customWidth="1"/>
    <col min="10505" max="10745" width="9.140625" style="43"/>
    <col min="10746" max="10746" width="46.5703125" style="43" customWidth="1"/>
    <col min="10747" max="10747" width="32.42578125" style="43" customWidth="1"/>
    <col min="10748" max="10748" width="22.7109375" style="43" customWidth="1"/>
    <col min="10749" max="10749" width="15.85546875" style="43" customWidth="1"/>
    <col min="10750" max="10750" width="16.140625" style="43" customWidth="1"/>
    <col min="10751" max="10751" width="13.7109375" style="43" customWidth="1"/>
    <col min="10752" max="10759" width="0" style="43" hidden="1" customWidth="1"/>
    <col min="10760" max="10760" width="10.7109375" style="43" customWidth="1"/>
    <col min="10761" max="11001" width="9.140625" style="43"/>
    <col min="11002" max="11002" width="46.5703125" style="43" customWidth="1"/>
    <col min="11003" max="11003" width="32.42578125" style="43" customWidth="1"/>
    <col min="11004" max="11004" width="22.7109375" style="43" customWidth="1"/>
    <col min="11005" max="11005" width="15.85546875" style="43" customWidth="1"/>
    <col min="11006" max="11006" width="16.140625" style="43" customWidth="1"/>
    <col min="11007" max="11007" width="13.7109375" style="43" customWidth="1"/>
    <col min="11008" max="11015" width="0" style="43" hidden="1" customWidth="1"/>
    <col min="11016" max="11016" width="10.7109375" style="43" customWidth="1"/>
    <col min="11017" max="11257" width="9.140625" style="43"/>
    <col min="11258" max="11258" width="46.5703125" style="43" customWidth="1"/>
    <col min="11259" max="11259" width="32.42578125" style="43" customWidth="1"/>
    <col min="11260" max="11260" width="22.7109375" style="43" customWidth="1"/>
    <col min="11261" max="11261" width="15.85546875" style="43" customWidth="1"/>
    <col min="11262" max="11262" width="16.140625" style="43" customWidth="1"/>
    <col min="11263" max="11263" width="13.7109375" style="43" customWidth="1"/>
    <col min="11264" max="11271" width="0" style="43" hidden="1" customWidth="1"/>
    <col min="11272" max="11272" width="10.7109375" style="43" customWidth="1"/>
    <col min="11273" max="11513" width="9.140625" style="43"/>
    <col min="11514" max="11514" width="46.5703125" style="43" customWidth="1"/>
    <col min="11515" max="11515" width="32.42578125" style="43" customWidth="1"/>
    <col min="11516" max="11516" width="22.7109375" style="43" customWidth="1"/>
    <col min="11517" max="11517" width="15.85546875" style="43" customWidth="1"/>
    <col min="11518" max="11518" width="16.140625" style="43" customWidth="1"/>
    <col min="11519" max="11519" width="13.7109375" style="43" customWidth="1"/>
    <col min="11520" max="11527" width="0" style="43" hidden="1" customWidth="1"/>
    <col min="11528" max="11528" width="10.7109375" style="43" customWidth="1"/>
    <col min="11529" max="11769" width="9.140625" style="43"/>
    <col min="11770" max="11770" width="46.5703125" style="43" customWidth="1"/>
    <col min="11771" max="11771" width="32.42578125" style="43" customWidth="1"/>
    <col min="11772" max="11772" width="22.7109375" style="43" customWidth="1"/>
    <col min="11773" max="11773" width="15.85546875" style="43" customWidth="1"/>
    <col min="11774" max="11774" width="16.140625" style="43" customWidth="1"/>
    <col min="11775" max="11775" width="13.7109375" style="43" customWidth="1"/>
    <col min="11776" max="11783" width="0" style="43" hidden="1" customWidth="1"/>
    <col min="11784" max="11784" width="10.7109375" style="43" customWidth="1"/>
    <col min="11785" max="12025" width="9.140625" style="43"/>
    <col min="12026" max="12026" width="46.5703125" style="43" customWidth="1"/>
    <col min="12027" max="12027" width="32.42578125" style="43" customWidth="1"/>
    <col min="12028" max="12028" width="22.7109375" style="43" customWidth="1"/>
    <col min="12029" max="12029" width="15.85546875" style="43" customWidth="1"/>
    <col min="12030" max="12030" width="16.140625" style="43" customWidth="1"/>
    <col min="12031" max="12031" width="13.7109375" style="43" customWidth="1"/>
    <col min="12032" max="12039" width="0" style="43" hidden="1" customWidth="1"/>
    <col min="12040" max="12040" width="10.7109375" style="43" customWidth="1"/>
    <col min="12041" max="12281" width="9.140625" style="43"/>
    <col min="12282" max="12282" width="46.5703125" style="43" customWidth="1"/>
    <col min="12283" max="12283" width="32.42578125" style="43" customWidth="1"/>
    <col min="12284" max="12284" width="22.7109375" style="43" customWidth="1"/>
    <col min="12285" max="12285" width="15.85546875" style="43" customWidth="1"/>
    <col min="12286" max="12286" width="16.140625" style="43" customWidth="1"/>
    <col min="12287" max="12287" width="13.7109375" style="43" customWidth="1"/>
    <col min="12288" max="12295" width="0" style="43" hidden="1" customWidth="1"/>
    <col min="12296" max="12296" width="10.7109375" style="43" customWidth="1"/>
    <col min="12297" max="12537" width="9.140625" style="43"/>
    <col min="12538" max="12538" width="46.5703125" style="43" customWidth="1"/>
    <col min="12539" max="12539" width="32.42578125" style="43" customWidth="1"/>
    <col min="12540" max="12540" width="22.7109375" style="43" customWidth="1"/>
    <col min="12541" max="12541" width="15.85546875" style="43" customWidth="1"/>
    <col min="12542" max="12542" width="16.140625" style="43" customWidth="1"/>
    <col min="12543" max="12543" width="13.7109375" style="43" customWidth="1"/>
    <col min="12544" max="12551" width="0" style="43" hidden="1" customWidth="1"/>
    <col min="12552" max="12552" width="10.7109375" style="43" customWidth="1"/>
    <col min="12553" max="12793" width="9.140625" style="43"/>
    <col min="12794" max="12794" width="46.5703125" style="43" customWidth="1"/>
    <col min="12795" max="12795" width="32.42578125" style="43" customWidth="1"/>
    <col min="12796" max="12796" width="22.7109375" style="43" customWidth="1"/>
    <col min="12797" max="12797" width="15.85546875" style="43" customWidth="1"/>
    <col min="12798" max="12798" width="16.140625" style="43" customWidth="1"/>
    <col min="12799" max="12799" width="13.7109375" style="43" customWidth="1"/>
    <col min="12800" max="12807" width="0" style="43" hidden="1" customWidth="1"/>
    <col min="12808" max="12808" width="10.7109375" style="43" customWidth="1"/>
    <col min="12809" max="13049" width="9.140625" style="43"/>
    <col min="13050" max="13050" width="46.5703125" style="43" customWidth="1"/>
    <col min="13051" max="13051" width="32.42578125" style="43" customWidth="1"/>
    <col min="13052" max="13052" width="22.7109375" style="43" customWidth="1"/>
    <col min="13053" max="13053" width="15.85546875" style="43" customWidth="1"/>
    <col min="13054" max="13054" width="16.140625" style="43" customWidth="1"/>
    <col min="13055" max="13055" width="13.7109375" style="43" customWidth="1"/>
    <col min="13056" max="13063" width="0" style="43" hidden="1" customWidth="1"/>
    <col min="13064" max="13064" width="10.7109375" style="43" customWidth="1"/>
    <col min="13065" max="13305" width="9.140625" style="43"/>
    <col min="13306" max="13306" width="46.5703125" style="43" customWidth="1"/>
    <col min="13307" max="13307" width="32.42578125" style="43" customWidth="1"/>
    <col min="13308" max="13308" width="22.7109375" style="43" customWidth="1"/>
    <col min="13309" max="13309" width="15.85546875" style="43" customWidth="1"/>
    <col min="13310" max="13310" width="16.140625" style="43" customWidth="1"/>
    <col min="13311" max="13311" width="13.7109375" style="43" customWidth="1"/>
    <col min="13312" max="13319" width="0" style="43" hidden="1" customWidth="1"/>
    <col min="13320" max="13320" width="10.7109375" style="43" customWidth="1"/>
    <col min="13321" max="13561" width="9.140625" style="43"/>
    <col min="13562" max="13562" width="46.5703125" style="43" customWidth="1"/>
    <col min="13563" max="13563" width="32.42578125" style="43" customWidth="1"/>
    <col min="13564" max="13564" width="22.7109375" style="43" customWidth="1"/>
    <col min="13565" max="13565" width="15.85546875" style="43" customWidth="1"/>
    <col min="13566" max="13566" width="16.140625" style="43" customWidth="1"/>
    <col min="13567" max="13567" width="13.7109375" style="43" customWidth="1"/>
    <col min="13568" max="13575" width="0" style="43" hidden="1" customWidth="1"/>
    <col min="13576" max="13576" width="10.7109375" style="43" customWidth="1"/>
    <col min="13577" max="13817" width="9.140625" style="43"/>
    <col min="13818" max="13818" width="46.5703125" style="43" customWidth="1"/>
    <col min="13819" max="13819" width="32.42578125" style="43" customWidth="1"/>
    <col min="13820" max="13820" width="22.7109375" style="43" customWidth="1"/>
    <col min="13821" max="13821" width="15.85546875" style="43" customWidth="1"/>
    <col min="13822" max="13822" width="16.140625" style="43" customWidth="1"/>
    <col min="13823" max="13823" width="13.7109375" style="43" customWidth="1"/>
    <col min="13824" max="13831" width="0" style="43" hidden="1" customWidth="1"/>
    <col min="13832" max="13832" width="10.7109375" style="43" customWidth="1"/>
    <col min="13833" max="14073" width="9.140625" style="43"/>
    <col min="14074" max="14074" width="46.5703125" style="43" customWidth="1"/>
    <col min="14075" max="14075" width="32.42578125" style="43" customWidth="1"/>
    <col min="14076" max="14076" width="22.7109375" style="43" customWidth="1"/>
    <col min="14077" max="14077" width="15.85546875" style="43" customWidth="1"/>
    <col min="14078" max="14078" width="16.140625" style="43" customWidth="1"/>
    <col min="14079" max="14079" width="13.7109375" style="43" customWidth="1"/>
    <col min="14080" max="14087" width="0" style="43" hidden="1" customWidth="1"/>
    <col min="14088" max="14088" width="10.7109375" style="43" customWidth="1"/>
    <col min="14089" max="14329" width="9.140625" style="43"/>
    <col min="14330" max="14330" width="46.5703125" style="43" customWidth="1"/>
    <col min="14331" max="14331" width="32.42578125" style="43" customWidth="1"/>
    <col min="14332" max="14332" width="22.7109375" style="43" customWidth="1"/>
    <col min="14333" max="14333" width="15.85546875" style="43" customWidth="1"/>
    <col min="14334" max="14334" width="16.140625" style="43" customWidth="1"/>
    <col min="14335" max="14335" width="13.7109375" style="43" customWidth="1"/>
    <col min="14336" max="14343" width="0" style="43" hidden="1" customWidth="1"/>
    <col min="14344" max="14344" width="10.7109375" style="43" customWidth="1"/>
    <col min="14345" max="14585" width="9.140625" style="43"/>
    <col min="14586" max="14586" width="46.5703125" style="43" customWidth="1"/>
    <col min="14587" max="14587" width="32.42578125" style="43" customWidth="1"/>
    <col min="14588" max="14588" width="22.7109375" style="43" customWidth="1"/>
    <col min="14589" max="14589" width="15.85546875" style="43" customWidth="1"/>
    <col min="14590" max="14590" width="16.140625" style="43" customWidth="1"/>
    <col min="14591" max="14591" width="13.7109375" style="43" customWidth="1"/>
    <col min="14592" max="14599" width="0" style="43" hidden="1" customWidth="1"/>
    <col min="14600" max="14600" width="10.7109375" style="43" customWidth="1"/>
    <col min="14601" max="14841" width="9.140625" style="43"/>
    <col min="14842" max="14842" width="46.5703125" style="43" customWidth="1"/>
    <col min="14843" max="14843" width="32.42578125" style="43" customWidth="1"/>
    <col min="14844" max="14844" width="22.7109375" style="43" customWidth="1"/>
    <col min="14845" max="14845" width="15.85546875" style="43" customWidth="1"/>
    <col min="14846" max="14846" width="16.140625" style="43" customWidth="1"/>
    <col min="14847" max="14847" width="13.7109375" style="43" customWidth="1"/>
    <col min="14848" max="14855" width="0" style="43" hidden="1" customWidth="1"/>
    <col min="14856" max="14856" width="10.7109375" style="43" customWidth="1"/>
    <col min="14857" max="15097" width="9.140625" style="43"/>
    <col min="15098" max="15098" width="46.5703125" style="43" customWidth="1"/>
    <col min="15099" max="15099" width="32.42578125" style="43" customWidth="1"/>
    <col min="15100" max="15100" width="22.7109375" style="43" customWidth="1"/>
    <col min="15101" max="15101" width="15.85546875" style="43" customWidth="1"/>
    <col min="15102" max="15102" width="16.140625" style="43" customWidth="1"/>
    <col min="15103" max="15103" width="13.7109375" style="43" customWidth="1"/>
    <col min="15104" max="15111" width="0" style="43" hidden="1" customWidth="1"/>
    <col min="15112" max="15112" width="10.7109375" style="43" customWidth="1"/>
    <col min="15113" max="15353" width="9.140625" style="43"/>
    <col min="15354" max="15354" width="46.5703125" style="43" customWidth="1"/>
    <col min="15355" max="15355" width="32.42578125" style="43" customWidth="1"/>
    <col min="15356" max="15356" width="22.7109375" style="43" customWidth="1"/>
    <col min="15357" max="15357" width="15.85546875" style="43" customWidth="1"/>
    <col min="15358" max="15358" width="16.140625" style="43" customWidth="1"/>
    <col min="15359" max="15359" width="13.7109375" style="43" customWidth="1"/>
    <col min="15360" max="15367" width="0" style="43" hidden="1" customWidth="1"/>
    <col min="15368" max="15368" width="10.7109375" style="43" customWidth="1"/>
    <col min="15369" max="15609" width="9.140625" style="43"/>
    <col min="15610" max="15610" width="46.5703125" style="43" customWidth="1"/>
    <col min="15611" max="15611" width="32.42578125" style="43" customWidth="1"/>
    <col min="15612" max="15612" width="22.7109375" style="43" customWidth="1"/>
    <col min="15613" max="15613" width="15.85546875" style="43" customWidth="1"/>
    <col min="15614" max="15614" width="16.140625" style="43" customWidth="1"/>
    <col min="15615" max="15615" width="13.7109375" style="43" customWidth="1"/>
    <col min="15616" max="15623" width="0" style="43" hidden="1" customWidth="1"/>
    <col min="15624" max="15624" width="10.7109375" style="43" customWidth="1"/>
    <col min="15625" max="15865" width="9.140625" style="43"/>
    <col min="15866" max="15866" width="46.5703125" style="43" customWidth="1"/>
    <col min="15867" max="15867" width="32.42578125" style="43" customWidth="1"/>
    <col min="15868" max="15868" width="22.7109375" style="43" customWidth="1"/>
    <col min="15869" max="15869" width="15.85546875" style="43" customWidth="1"/>
    <col min="15870" max="15870" width="16.140625" style="43" customWidth="1"/>
    <col min="15871" max="15871" width="13.7109375" style="43" customWidth="1"/>
    <col min="15872" max="15879" width="0" style="43" hidden="1" customWidth="1"/>
    <col min="15880" max="15880" width="10.7109375" style="43" customWidth="1"/>
    <col min="15881" max="16121" width="9.140625" style="43"/>
    <col min="16122" max="16122" width="46.5703125" style="43" customWidth="1"/>
    <col min="16123" max="16123" width="32.42578125" style="43" customWidth="1"/>
    <col min="16124" max="16124" width="22.7109375" style="43" customWidth="1"/>
    <col min="16125" max="16125" width="15.85546875" style="43" customWidth="1"/>
    <col min="16126" max="16126" width="16.140625" style="43" customWidth="1"/>
    <col min="16127" max="16127" width="13.7109375" style="43" customWidth="1"/>
    <col min="16128" max="16135" width="0" style="43" hidden="1" customWidth="1"/>
    <col min="16136" max="16136" width="10.7109375" style="43" customWidth="1"/>
    <col min="16137" max="16384" width="9.140625" style="43"/>
  </cols>
  <sheetData>
    <row r="1" spans="1:12" ht="48" customHeight="1" x14ac:dyDescent="0.2"/>
    <row r="2" spans="1:12" x14ac:dyDescent="0.2">
      <c r="G2" s="45"/>
    </row>
    <row r="3" spans="1:12" x14ac:dyDescent="0.2">
      <c r="A3" s="46" t="s">
        <v>651</v>
      </c>
      <c r="B3" s="46"/>
      <c r="C3" s="46"/>
      <c r="D3" s="46"/>
      <c r="E3" s="46"/>
      <c r="F3" s="46"/>
      <c r="G3" s="46"/>
    </row>
    <row r="5" spans="1:12" x14ac:dyDescent="0.2">
      <c r="A5" s="43" t="s">
        <v>652</v>
      </c>
    </row>
    <row r="7" spans="1:12" ht="12.75" customHeight="1" x14ac:dyDescent="0.2">
      <c r="A7" s="47" t="str">
        <f>[34]DerivativeHDFCAR!A7</f>
        <v>A.  Hedging Positions through Futures as on March 31, 2025</v>
      </c>
      <c r="B7" s="47"/>
      <c r="C7" s="47"/>
      <c r="D7" s="47"/>
      <c r="E7" s="47"/>
      <c r="F7" s="47"/>
    </row>
    <row r="8" spans="1:12" ht="51" x14ac:dyDescent="0.2">
      <c r="A8" s="48" t="s">
        <v>653</v>
      </c>
      <c r="B8" s="49" t="s">
        <v>654</v>
      </c>
      <c r="C8" s="49" t="s">
        <v>655</v>
      </c>
      <c r="D8" s="49" t="s">
        <v>656</v>
      </c>
      <c r="E8" s="49" t="s">
        <v>657</v>
      </c>
      <c r="F8" s="49" t="s">
        <v>658</v>
      </c>
      <c r="G8" s="49" t="s">
        <v>659</v>
      </c>
      <c r="H8" s="50" t="s">
        <v>660</v>
      </c>
    </row>
    <row r="9" spans="1:12" x14ac:dyDescent="0.2">
      <c r="A9" s="51" t="s">
        <v>661</v>
      </c>
      <c r="B9" s="52" t="s">
        <v>302</v>
      </c>
      <c r="C9" s="52" t="s">
        <v>149</v>
      </c>
      <c r="D9" s="53">
        <v>-138000</v>
      </c>
      <c r="E9" s="54">
        <v>394.08800000000002</v>
      </c>
      <c r="F9" s="55">
        <v>392.8</v>
      </c>
      <c r="G9" s="55">
        <v>127.64724</v>
      </c>
      <c r="H9" s="55">
        <f>+(D9*F9)/100000</f>
        <v>-542.06399999999996</v>
      </c>
      <c r="I9" s="43">
        <f>+D9*F9</f>
        <v>-54206400</v>
      </c>
      <c r="L9" s="56"/>
    </row>
    <row r="10" spans="1:12" x14ac:dyDescent="0.2">
      <c r="A10" s="57"/>
      <c r="B10" s="52" t="s">
        <v>662</v>
      </c>
      <c r="C10" s="52" t="s">
        <v>254</v>
      </c>
      <c r="D10" s="53">
        <v>-215100</v>
      </c>
      <c r="E10" s="54">
        <v>2339.9009000000001</v>
      </c>
      <c r="F10" s="55">
        <v>2324.4499999999998</v>
      </c>
      <c r="G10" s="55">
        <v>1529.3088383000002</v>
      </c>
      <c r="H10" s="55">
        <f t="shared" ref="H10:H73" si="0">+(D10*F10)/100000</f>
        <v>-4999.8919499999993</v>
      </c>
      <c r="I10" s="43">
        <f t="shared" ref="I10:I88" si="1">+D10*F10</f>
        <v>-499989194.99999994</v>
      </c>
      <c r="L10" s="56"/>
    </row>
    <row r="11" spans="1:12" x14ac:dyDescent="0.2">
      <c r="A11" s="57"/>
      <c r="B11" s="52" t="s">
        <v>217</v>
      </c>
      <c r="C11" s="52" t="s">
        <v>218</v>
      </c>
      <c r="D11" s="53">
        <v>-159375</v>
      </c>
      <c r="E11" s="54">
        <v>6556.2061810823525</v>
      </c>
      <c r="F11" s="55">
        <v>6632.05</v>
      </c>
      <c r="G11" s="55">
        <v>1842.6646641</v>
      </c>
      <c r="H11" s="55">
        <f t="shared" si="0"/>
        <v>-10569.8296875</v>
      </c>
      <c r="I11" s="43">
        <f t="shared" si="1"/>
        <v>-1056982968.75</v>
      </c>
      <c r="L11" s="56"/>
    </row>
    <row r="12" spans="1:12" x14ac:dyDescent="0.2">
      <c r="A12" s="57"/>
      <c r="B12" s="52" t="s">
        <v>663</v>
      </c>
      <c r="C12" s="52" t="s">
        <v>201</v>
      </c>
      <c r="D12" s="53">
        <v>-2800</v>
      </c>
      <c r="E12" s="54">
        <v>2336.0785999999998</v>
      </c>
      <c r="F12" s="55">
        <v>2345.65</v>
      </c>
      <c r="G12" s="55">
        <v>11.617137</v>
      </c>
      <c r="H12" s="55">
        <f t="shared" si="0"/>
        <v>-65.678200000000004</v>
      </c>
      <c r="I12" s="43">
        <f t="shared" si="1"/>
        <v>-6567820</v>
      </c>
      <c r="L12" s="56"/>
    </row>
    <row r="13" spans="1:12" x14ac:dyDescent="0.2">
      <c r="A13" s="57"/>
      <c r="B13" s="52" t="s">
        <v>120</v>
      </c>
      <c r="C13" s="52" t="s">
        <v>54</v>
      </c>
      <c r="D13" s="53">
        <v>-169400</v>
      </c>
      <c r="E13" s="54">
        <v>1189.4549999999999</v>
      </c>
      <c r="F13" s="55">
        <v>1166.6500000000001</v>
      </c>
      <c r="G13" s="55">
        <v>372.32891850000004</v>
      </c>
      <c r="H13" s="55">
        <f t="shared" si="0"/>
        <v>-1976.3051000000003</v>
      </c>
      <c r="I13" s="43">
        <f t="shared" si="1"/>
        <v>-197630510.00000003</v>
      </c>
      <c r="L13" s="56"/>
    </row>
    <row r="14" spans="1:12" x14ac:dyDescent="0.2">
      <c r="A14" s="57"/>
      <c r="B14" s="52" t="s">
        <v>664</v>
      </c>
      <c r="C14" s="52" t="s">
        <v>59</v>
      </c>
      <c r="D14" s="53">
        <v>-75</v>
      </c>
      <c r="E14" s="54">
        <v>7991.25</v>
      </c>
      <c r="F14" s="55">
        <v>7914.75</v>
      </c>
      <c r="G14" s="55">
        <v>1.0806422</v>
      </c>
      <c r="H14" s="55">
        <f t="shared" si="0"/>
        <v>-5.9360625000000002</v>
      </c>
      <c r="I14" s="43">
        <f t="shared" si="1"/>
        <v>-593606.25</v>
      </c>
      <c r="L14" s="56"/>
    </row>
    <row r="15" spans="1:12" x14ac:dyDescent="0.2">
      <c r="A15" s="57"/>
      <c r="B15" s="52" t="s">
        <v>87</v>
      </c>
      <c r="C15" s="52" t="s">
        <v>64</v>
      </c>
      <c r="D15" s="53">
        <v>-687500</v>
      </c>
      <c r="E15" s="54">
        <v>9122.9591782545449</v>
      </c>
      <c r="F15" s="55">
        <v>8989.4</v>
      </c>
      <c r="G15" s="55">
        <v>10973.868125000001</v>
      </c>
      <c r="H15" s="55">
        <f t="shared" si="0"/>
        <v>-61802.125</v>
      </c>
      <c r="I15" s="43">
        <f t="shared" si="1"/>
        <v>-6180212500</v>
      </c>
      <c r="L15" s="56"/>
    </row>
    <row r="16" spans="1:12" x14ac:dyDescent="0.2">
      <c r="A16" s="57"/>
      <c r="B16" s="52" t="s">
        <v>339</v>
      </c>
      <c r="C16" s="52" t="s">
        <v>111</v>
      </c>
      <c r="D16" s="53">
        <v>-4800</v>
      </c>
      <c r="E16" s="54">
        <v>2583.8031000000001</v>
      </c>
      <c r="F16" s="55">
        <v>2558.65</v>
      </c>
      <c r="G16" s="55">
        <v>22.980132000000001</v>
      </c>
      <c r="H16" s="55">
        <f t="shared" si="0"/>
        <v>-122.8152</v>
      </c>
      <c r="I16" s="43">
        <f t="shared" si="1"/>
        <v>-12281520</v>
      </c>
      <c r="L16" s="56"/>
    </row>
    <row r="17" spans="1:12" x14ac:dyDescent="0.2">
      <c r="A17" s="57"/>
      <c r="B17" s="52" t="s">
        <v>91</v>
      </c>
      <c r="C17" s="52" t="s">
        <v>64</v>
      </c>
      <c r="D17" s="53">
        <v>-1891000</v>
      </c>
      <c r="E17" s="54">
        <v>1960.6668352141724</v>
      </c>
      <c r="F17" s="55">
        <v>2012.9</v>
      </c>
      <c r="G17" s="55">
        <v>6730.8537649999998</v>
      </c>
      <c r="H17" s="55">
        <f t="shared" si="0"/>
        <v>-38063.938999999998</v>
      </c>
      <c r="I17" s="43">
        <f t="shared" si="1"/>
        <v>-3806393900</v>
      </c>
      <c r="L17" s="56"/>
    </row>
    <row r="18" spans="1:12" x14ac:dyDescent="0.2">
      <c r="A18" s="57"/>
      <c r="B18" s="52" t="s">
        <v>82</v>
      </c>
      <c r="C18" s="52" t="s">
        <v>27</v>
      </c>
      <c r="D18" s="53">
        <v>-1819800</v>
      </c>
      <c r="E18" s="54">
        <v>283.9194</v>
      </c>
      <c r="F18" s="55">
        <v>278.85000000000002</v>
      </c>
      <c r="G18" s="55">
        <v>1013.4420705</v>
      </c>
      <c r="H18" s="55">
        <f t="shared" si="0"/>
        <v>-5074.5123000000003</v>
      </c>
      <c r="I18" s="43">
        <f t="shared" si="1"/>
        <v>-507451230.00000006</v>
      </c>
      <c r="L18" s="56"/>
    </row>
    <row r="19" spans="1:12" x14ac:dyDescent="0.2">
      <c r="A19" s="57"/>
      <c r="B19" s="52" t="s">
        <v>34</v>
      </c>
      <c r="C19" s="52" t="s">
        <v>35</v>
      </c>
      <c r="D19" s="53">
        <v>-1501475</v>
      </c>
      <c r="E19" s="54">
        <v>1745.65340000333</v>
      </c>
      <c r="F19" s="55">
        <v>1742.95</v>
      </c>
      <c r="G19" s="55">
        <v>4601.9195254000006</v>
      </c>
      <c r="H19" s="55">
        <f t="shared" si="0"/>
        <v>-26169.958512500001</v>
      </c>
      <c r="I19" s="43">
        <f t="shared" si="1"/>
        <v>-2616995851.25</v>
      </c>
      <c r="L19" s="56"/>
    </row>
    <row r="20" spans="1:12" x14ac:dyDescent="0.2">
      <c r="A20" s="57"/>
      <c r="B20" s="52" t="s">
        <v>273</v>
      </c>
      <c r="C20" s="52" t="s">
        <v>22</v>
      </c>
      <c r="D20" s="53">
        <v>-3678750</v>
      </c>
      <c r="E20" s="54">
        <v>88.363300001359164</v>
      </c>
      <c r="F20" s="55">
        <v>89.48</v>
      </c>
      <c r="G20" s="55">
        <v>731.40171750000002</v>
      </c>
      <c r="H20" s="55">
        <f t="shared" si="0"/>
        <v>-3291.7455</v>
      </c>
      <c r="I20" s="43">
        <f t="shared" si="1"/>
        <v>-329174550</v>
      </c>
      <c r="L20" s="56"/>
    </row>
    <row r="21" spans="1:12" x14ac:dyDescent="0.2">
      <c r="A21" s="57"/>
      <c r="B21" s="52" t="s">
        <v>665</v>
      </c>
      <c r="C21" s="52" t="s">
        <v>201</v>
      </c>
      <c r="D21" s="53">
        <v>-21600</v>
      </c>
      <c r="E21" s="54">
        <v>363.72919999999999</v>
      </c>
      <c r="F21" s="55">
        <v>355.75</v>
      </c>
      <c r="G21" s="55">
        <v>15.05547</v>
      </c>
      <c r="H21" s="55">
        <f t="shared" si="0"/>
        <v>-76.841999999999999</v>
      </c>
      <c r="I21" s="43">
        <f t="shared" si="1"/>
        <v>-7684200</v>
      </c>
      <c r="L21" s="56"/>
    </row>
    <row r="22" spans="1:12" x14ac:dyDescent="0.2">
      <c r="A22" s="57"/>
      <c r="B22" s="52" t="s">
        <v>159</v>
      </c>
      <c r="C22" s="52" t="s">
        <v>54</v>
      </c>
      <c r="D22" s="53">
        <v>-659425</v>
      </c>
      <c r="E22" s="54">
        <v>1499.7028999962088</v>
      </c>
      <c r="F22" s="55">
        <v>1446.35</v>
      </c>
      <c r="G22" s="55">
        <v>1725.6641196</v>
      </c>
      <c r="H22" s="55">
        <f t="shared" si="0"/>
        <v>-9537.5934874999984</v>
      </c>
      <c r="I22" s="43">
        <f t="shared" si="1"/>
        <v>-953759348.74999988</v>
      </c>
      <c r="L22" s="56"/>
    </row>
    <row r="23" spans="1:12" x14ac:dyDescent="0.2">
      <c r="A23" s="57"/>
      <c r="B23" s="52" t="s">
        <v>43</v>
      </c>
      <c r="C23" s="52" t="s">
        <v>44</v>
      </c>
      <c r="D23" s="53">
        <v>-1142400</v>
      </c>
      <c r="E23" s="54">
        <v>409.95299999999997</v>
      </c>
      <c r="F23" s="55">
        <v>399.05</v>
      </c>
      <c r="G23" s="55">
        <v>878.925432</v>
      </c>
      <c r="H23" s="55">
        <f t="shared" si="0"/>
        <v>-4558.7471999999998</v>
      </c>
      <c r="L23" s="56"/>
    </row>
    <row r="24" spans="1:12" x14ac:dyDescent="0.2">
      <c r="A24" s="57"/>
      <c r="B24" s="52" t="s">
        <v>306</v>
      </c>
      <c r="C24" s="52" t="s">
        <v>157</v>
      </c>
      <c r="D24" s="53">
        <v>-19500</v>
      </c>
      <c r="E24" s="54">
        <v>3053.1302999999998</v>
      </c>
      <c r="F24" s="55">
        <v>3059.6</v>
      </c>
      <c r="G24" s="55">
        <v>126.04331999999999</v>
      </c>
      <c r="H24" s="55">
        <f t="shared" si="0"/>
        <v>-596.62199999999996</v>
      </c>
      <c r="L24" s="56"/>
    </row>
    <row r="25" spans="1:12" x14ac:dyDescent="0.2">
      <c r="A25" s="57"/>
      <c r="B25" s="52" t="s">
        <v>343</v>
      </c>
      <c r="C25" s="52" t="s">
        <v>261</v>
      </c>
      <c r="D25" s="53">
        <v>-51250</v>
      </c>
      <c r="E25" s="54">
        <v>514.26210009756096</v>
      </c>
      <c r="F25" s="55">
        <v>509.1</v>
      </c>
      <c r="G25" s="55">
        <v>46.544481300000001</v>
      </c>
      <c r="H25" s="55">
        <f t="shared" si="0"/>
        <v>-260.91374999999999</v>
      </c>
      <c r="L25" s="56"/>
    </row>
    <row r="26" spans="1:12" x14ac:dyDescent="0.2">
      <c r="A26" s="57"/>
      <c r="B26" s="52" t="s">
        <v>666</v>
      </c>
      <c r="C26" s="52" t="s">
        <v>54</v>
      </c>
      <c r="D26" s="53">
        <v>-13400</v>
      </c>
      <c r="E26" s="54">
        <v>5828.3108000000002</v>
      </c>
      <c r="F26" s="55">
        <v>5808.15</v>
      </c>
      <c r="G26" s="55">
        <v>139.22938349999998</v>
      </c>
      <c r="H26" s="55">
        <f t="shared" si="0"/>
        <v>-778.2921</v>
      </c>
      <c r="L26" s="56"/>
    </row>
    <row r="27" spans="1:12" x14ac:dyDescent="0.2">
      <c r="A27" s="57"/>
      <c r="B27" s="52" t="s">
        <v>667</v>
      </c>
      <c r="C27" s="52" t="s">
        <v>170</v>
      </c>
      <c r="D27" s="53">
        <v>-207075</v>
      </c>
      <c r="E27" s="54">
        <v>685.44880000000001</v>
      </c>
      <c r="F27" s="55">
        <v>684.1</v>
      </c>
      <c r="G27" s="55">
        <v>300.86651510000002</v>
      </c>
      <c r="H27" s="55">
        <f t="shared" si="0"/>
        <v>-1416.6000750000001</v>
      </c>
      <c r="L27" s="56"/>
    </row>
    <row r="28" spans="1:12" x14ac:dyDescent="0.2">
      <c r="A28" s="57"/>
      <c r="B28" s="52" t="s">
        <v>287</v>
      </c>
      <c r="C28" s="52" t="s">
        <v>59</v>
      </c>
      <c r="D28" s="53">
        <v>-28525</v>
      </c>
      <c r="E28" s="54">
        <v>5478.5904999123577</v>
      </c>
      <c r="F28" s="55">
        <v>5378.3</v>
      </c>
      <c r="G28" s="55">
        <v>272.17713510000004</v>
      </c>
      <c r="H28" s="55">
        <f t="shared" si="0"/>
        <v>-1534.160075</v>
      </c>
      <c r="L28" s="56"/>
    </row>
    <row r="29" spans="1:12" x14ac:dyDescent="0.2">
      <c r="A29" s="57"/>
      <c r="B29" s="52" t="s">
        <v>668</v>
      </c>
      <c r="C29" s="52" t="s">
        <v>118</v>
      </c>
      <c r="D29" s="53">
        <v>-15600</v>
      </c>
      <c r="E29" s="54">
        <v>3263.1745000000001</v>
      </c>
      <c r="F29" s="55">
        <v>3268</v>
      </c>
      <c r="G29" s="55">
        <v>100.18476</v>
      </c>
      <c r="H29" s="55">
        <f t="shared" si="0"/>
        <v>-509.80799999999999</v>
      </c>
      <c r="L29" s="56"/>
    </row>
    <row r="30" spans="1:12" x14ac:dyDescent="0.2">
      <c r="A30" s="57"/>
      <c r="B30" s="52" t="s">
        <v>314</v>
      </c>
      <c r="C30" s="52" t="s">
        <v>111</v>
      </c>
      <c r="D30" s="53">
        <v>-142200</v>
      </c>
      <c r="E30" s="54">
        <v>359.84429999999998</v>
      </c>
      <c r="F30" s="55">
        <v>361.15</v>
      </c>
      <c r="G30" s="55">
        <v>110.10581550000001</v>
      </c>
      <c r="H30" s="55">
        <f t="shared" si="0"/>
        <v>-513.55529999999999</v>
      </c>
      <c r="L30" s="56"/>
    </row>
    <row r="31" spans="1:12" x14ac:dyDescent="0.2">
      <c r="A31" s="57"/>
      <c r="B31" s="52" t="s">
        <v>203</v>
      </c>
      <c r="C31" s="52" t="s">
        <v>54</v>
      </c>
      <c r="D31" s="53">
        <v>-56550</v>
      </c>
      <c r="E31" s="54">
        <v>1502.6844000000001</v>
      </c>
      <c r="F31" s="55">
        <v>1545.45</v>
      </c>
      <c r="G31" s="55">
        <v>176.0518841</v>
      </c>
      <c r="H31" s="55">
        <f t="shared" si="0"/>
        <v>-873.95197499999995</v>
      </c>
      <c r="L31" s="56"/>
    </row>
    <row r="32" spans="1:12" x14ac:dyDescent="0.2">
      <c r="A32" s="57"/>
      <c r="B32" s="52" t="s">
        <v>169</v>
      </c>
      <c r="C32" s="52" t="s">
        <v>170</v>
      </c>
      <c r="D32" s="53">
        <v>-35100</v>
      </c>
      <c r="E32" s="54">
        <v>2130.6152999999999</v>
      </c>
      <c r="F32" s="55">
        <v>2135.65</v>
      </c>
      <c r="G32" s="55">
        <v>183.36863030000001</v>
      </c>
      <c r="H32" s="55">
        <f t="shared" si="0"/>
        <v>-749.61315000000002</v>
      </c>
      <c r="L32" s="56"/>
    </row>
    <row r="33" spans="1:12" x14ac:dyDescent="0.2">
      <c r="A33" s="57"/>
      <c r="B33" s="52" t="s">
        <v>316</v>
      </c>
      <c r="C33" s="52" t="s">
        <v>190</v>
      </c>
      <c r="D33" s="53">
        <v>-48250</v>
      </c>
      <c r="E33" s="54">
        <v>2598.1663001036268</v>
      </c>
      <c r="F33" s="55">
        <v>2618.9</v>
      </c>
      <c r="G33" s="55">
        <v>224.07372379999998</v>
      </c>
      <c r="H33" s="55">
        <f t="shared" si="0"/>
        <v>-1263.61925</v>
      </c>
      <c r="L33" s="56"/>
    </row>
    <row r="34" spans="1:12" x14ac:dyDescent="0.2">
      <c r="A34" s="57"/>
      <c r="B34" s="52" t="s">
        <v>189</v>
      </c>
      <c r="C34" s="52" t="s">
        <v>190</v>
      </c>
      <c r="D34" s="53">
        <v>-443700</v>
      </c>
      <c r="E34" s="54">
        <v>543.01199999999994</v>
      </c>
      <c r="F34" s="55">
        <v>540.35</v>
      </c>
      <c r="G34" s="55">
        <v>528.50105329999997</v>
      </c>
      <c r="H34" s="55">
        <f t="shared" si="0"/>
        <v>-2397.5329499999998</v>
      </c>
      <c r="L34" s="56"/>
    </row>
    <row r="35" spans="1:12" x14ac:dyDescent="0.2">
      <c r="A35" s="57"/>
      <c r="B35" s="52" t="s">
        <v>669</v>
      </c>
      <c r="C35" s="52" t="s">
        <v>97</v>
      </c>
      <c r="D35" s="53">
        <v>-27150</v>
      </c>
      <c r="E35" s="54">
        <v>4189.0063001841618</v>
      </c>
      <c r="F35" s="55">
        <v>4200.5</v>
      </c>
      <c r="G35" s="55">
        <v>278.88955129999999</v>
      </c>
      <c r="H35" s="55">
        <f t="shared" si="0"/>
        <v>-1140.4357500000001</v>
      </c>
      <c r="L35" s="56"/>
    </row>
    <row r="36" spans="1:12" x14ac:dyDescent="0.2">
      <c r="A36" s="57"/>
      <c r="B36" s="52" t="s">
        <v>670</v>
      </c>
      <c r="C36" s="52" t="s">
        <v>22</v>
      </c>
      <c r="D36" s="53">
        <v>-4159100</v>
      </c>
      <c r="E36" s="54">
        <v>1832.1972670096895</v>
      </c>
      <c r="F36" s="55">
        <v>1835.6</v>
      </c>
      <c r="G36" s="55">
        <v>13478.229006</v>
      </c>
      <c r="H36" s="55">
        <f t="shared" si="0"/>
        <v>-76344.439599999998</v>
      </c>
      <c r="L36" s="56"/>
    </row>
    <row r="37" spans="1:12" x14ac:dyDescent="0.2">
      <c r="A37" s="57"/>
      <c r="B37" s="52" t="s">
        <v>671</v>
      </c>
      <c r="C37" s="52" t="s">
        <v>73</v>
      </c>
      <c r="D37" s="53">
        <v>-880000</v>
      </c>
      <c r="E37" s="54">
        <v>680.19690000000003</v>
      </c>
      <c r="F37" s="55">
        <v>687.2</v>
      </c>
      <c r="G37" s="55">
        <v>1065.7855999999999</v>
      </c>
      <c r="H37" s="55">
        <f t="shared" si="0"/>
        <v>-6047.36</v>
      </c>
      <c r="L37" s="56"/>
    </row>
    <row r="38" spans="1:12" x14ac:dyDescent="0.2">
      <c r="A38" s="57"/>
      <c r="B38" s="52" t="s">
        <v>345</v>
      </c>
      <c r="C38" s="52" t="s">
        <v>59</v>
      </c>
      <c r="D38" s="53">
        <v>-4350</v>
      </c>
      <c r="E38" s="54">
        <v>3679.7</v>
      </c>
      <c r="F38" s="55">
        <v>3743.35</v>
      </c>
      <c r="G38" s="55">
        <v>29.0530954</v>
      </c>
      <c r="H38" s="55">
        <f t="shared" si="0"/>
        <v>-162.835725</v>
      </c>
      <c r="L38" s="56"/>
    </row>
    <row r="39" spans="1:12" x14ac:dyDescent="0.2">
      <c r="A39" s="57"/>
      <c r="B39" s="52" t="s">
        <v>230</v>
      </c>
      <c r="C39" s="52" t="s">
        <v>231</v>
      </c>
      <c r="D39" s="53">
        <v>-1351000</v>
      </c>
      <c r="E39" s="54">
        <v>699.7183</v>
      </c>
      <c r="F39" s="55">
        <v>685.7</v>
      </c>
      <c r="G39" s="55">
        <v>1845.594345</v>
      </c>
      <c r="H39" s="55">
        <f t="shared" si="0"/>
        <v>-9263.8070000000007</v>
      </c>
      <c r="L39" s="56"/>
    </row>
    <row r="40" spans="1:12" x14ac:dyDescent="0.2">
      <c r="A40" s="57"/>
      <c r="B40" s="52" t="s">
        <v>672</v>
      </c>
      <c r="C40" s="52" t="s">
        <v>27</v>
      </c>
      <c r="D40" s="53">
        <v>-856575</v>
      </c>
      <c r="E40" s="54">
        <v>365.88200000000001</v>
      </c>
      <c r="F40" s="55">
        <v>361</v>
      </c>
      <c r="G40" s="55">
        <v>757.94038879999994</v>
      </c>
      <c r="H40" s="55">
        <f t="shared" si="0"/>
        <v>-3092.2357499999998</v>
      </c>
      <c r="L40" s="56"/>
    </row>
    <row r="41" spans="1:12" x14ac:dyDescent="0.2">
      <c r="A41" s="57"/>
      <c r="B41" s="52" t="s">
        <v>142</v>
      </c>
      <c r="C41" s="52" t="s">
        <v>49</v>
      </c>
      <c r="D41" s="53">
        <v>-202200</v>
      </c>
      <c r="E41" s="54">
        <v>2261.6241</v>
      </c>
      <c r="F41" s="55">
        <v>2270.0500000000002</v>
      </c>
      <c r="G41" s="55">
        <v>806.63999849999993</v>
      </c>
      <c r="H41" s="55">
        <f t="shared" si="0"/>
        <v>-4590.0411000000004</v>
      </c>
      <c r="L41" s="56"/>
    </row>
    <row r="42" spans="1:12" x14ac:dyDescent="0.2">
      <c r="A42" s="57"/>
      <c r="B42" s="52" t="s">
        <v>24</v>
      </c>
      <c r="C42" s="52" t="s">
        <v>22</v>
      </c>
      <c r="D42" s="53">
        <v>-4207000</v>
      </c>
      <c r="E42" s="54">
        <v>1349.5234194604232</v>
      </c>
      <c r="F42" s="55">
        <v>1355.55</v>
      </c>
      <c r="G42" s="55">
        <v>10000.2177975</v>
      </c>
      <c r="H42" s="55">
        <f t="shared" si="0"/>
        <v>-57027.988499999999</v>
      </c>
      <c r="L42" s="56"/>
    </row>
    <row r="43" spans="1:12" x14ac:dyDescent="0.2">
      <c r="A43" s="57"/>
      <c r="B43" s="52" t="s">
        <v>673</v>
      </c>
      <c r="C43" s="52" t="s">
        <v>236</v>
      </c>
      <c r="D43" s="53">
        <v>-342000</v>
      </c>
      <c r="E43" s="54">
        <v>821.78880000000004</v>
      </c>
      <c r="F43" s="55">
        <v>791.7</v>
      </c>
      <c r="G43" s="55">
        <v>565.01648999999998</v>
      </c>
      <c r="H43" s="55">
        <f t="shared" si="0"/>
        <v>-2707.614</v>
      </c>
      <c r="L43" s="56"/>
    </row>
    <row r="44" spans="1:12" x14ac:dyDescent="0.2">
      <c r="A44" s="57"/>
      <c r="B44" s="52" t="s">
        <v>674</v>
      </c>
      <c r="C44" s="52" t="s">
        <v>241</v>
      </c>
      <c r="D44" s="53">
        <v>-78750</v>
      </c>
      <c r="E44" s="54">
        <v>178.27860000000001</v>
      </c>
      <c r="F44" s="55">
        <v>176.75</v>
      </c>
      <c r="G44" s="55">
        <v>33.072046899999997</v>
      </c>
      <c r="H44" s="55">
        <f t="shared" si="0"/>
        <v>-139.19062500000001</v>
      </c>
      <c r="L44" s="56"/>
    </row>
    <row r="45" spans="1:12" x14ac:dyDescent="0.2">
      <c r="A45" s="57"/>
      <c r="B45" s="52" t="s">
        <v>675</v>
      </c>
      <c r="C45" s="52" t="s">
        <v>30</v>
      </c>
      <c r="D45" s="53">
        <v>-3388000</v>
      </c>
      <c r="E45" s="54">
        <v>1622.2382</v>
      </c>
      <c r="F45" s="55">
        <v>1578.1</v>
      </c>
      <c r="G45" s="55">
        <v>9604.4209800000008</v>
      </c>
      <c r="H45" s="55">
        <f t="shared" si="0"/>
        <v>-53466.027999999998</v>
      </c>
      <c r="L45" s="56"/>
    </row>
    <row r="46" spans="1:12" x14ac:dyDescent="0.2">
      <c r="A46" s="57"/>
      <c r="B46" s="52" t="s">
        <v>676</v>
      </c>
      <c r="C46" s="52" t="s">
        <v>35</v>
      </c>
      <c r="D46" s="53">
        <v>-731000</v>
      </c>
      <c r="E46" s="54">
        <v>339.35860000000002</v>
      </c>
      <c r="F46" s="55">
        <v>335.85</v>
      </c>
      <c r="G46" s="55">
        <v>582.42242250000004</v>
      </c>
      <c r="H46" s="55">
        <f t="shared" si="0"/>
        <v>-2455.0635000000002</v>
      </c>
      <c r="L46" s="56"/>
    </row>
    <row r="47" spans="1:12" x14ac:dyDescent="0.2">
      <c r="A47" s="57"/>
      <c r="B47" s="52" t="s">
        <v>75</v>
      </c>
      <c r="C47" s="52" t="s">
        <v>76</v>
      </c>
      <c r="D47" s="53">
        <v>-431700</v>
      </c>
      <c r="E47" s="54">
        <v>5032.7598632846884</v>
      </c>
      <c r="F47" s="55">
        <v>5106.8</v>
      </c>
      <c r="G47" s="55">
        <v>4212.1746060000005</v>
      </c>
      <c r="H47" s="55">
        <f t="shared" si="0"/>
        <v>-22046.0556</v>
      </c>
      <c r="L47" s="56"/>
    </row>
    <row r="48" spans="1:12" x14ac:dyDescent="0.2">
      <c r="A48" s="57"/>
      <c r="B48" s="52" t="s">
        <v>349</v>
      </c>
      <c r="C48" s="52" t="s">
        <v>27</v>
      </c>
      <c r="D48" s="53">
        <v>-302250</v>
      </c>
      <c r="E48" s="54">
        <v>132.7653000165426</v>
      </c>
      <c r="F48" s="55">
        <v>128.41</v>
      </c>
      <c r="G48" s="55">
        <v>79.958272899999997</v>
      </c>
      <c r="H48" s="55">
        <f t="shared" si="0"/>
        <v>-388.11922499999997</v>
      </c>
      <c r="L48" s="56"/>
    </row>
    <row r="49" spans="1:12" x14ac:dyDescent="0.2">
      <c r="A49" s="57"/>
      <c r="B49" s="52" t="s">
        <v>677</v>
      </c>
      <c r="C49" s="52" t="s">
        <v>236</v>
      </c>
      <c r="D49" s="53">
        <v>-42000</v>
      </c>
      <c r="E49" s="54">
        <v>711.74270000000001</v>
      </c>
      <c r="F49" s="55">
        <v>729.95</v>
      </c>
      <c r="G49" s="55">
        <v>60.680864999999997</v>
      </c>
      <c r="H49" s="55">
        <f t="shared" si="0"/>
        <v>-306.57900000000006</v>
      </c>
      <c r="L49" s="56"/>
    </row>
    <row r="50" spans="1:12" x14ac:dyDescent="0.2">
      <c r="A50" s="57"/>
      <c r="B50" s="52" t="s">
        <v>144</v>
      </c>
      <c r="C50" s="52" t="s">
        <v>94</v>
      </c>
      <c r="D50" s="53">
        <v>-85000</v>
      </c>
      <c r="E50" s="54">
        <v>906.70839999999998</v>
      </c>
      <c r="F50" s="55">
        <v>915</v>
      </c>
      <c r="G50" s="55">
        <v>158.31675000000001</v>
      </c>
      <c r="H50" s="55">
        <f t="shared" si="0"/>
        <v>-777.75</v>
      </c>
      <c r="L50" s="56"/>
    </row>
    <row r="51" spans="1:12" x14ac:dyDescent="0.2">
      <c r="A51" s="57"/>
      <c r="B51" s="52" t="s">
        <v>678</v>
      </c>
      <c r="C51" s="52" t="s">
        <v>22</v>
      </c>
      <c r="D51" s="53">
        <v>-892000</v>
      </c>
      <c r="E51" s="54">
        <v>2183.5852</v>
      </c>
      <c r="F51" s="55">
        <v>2177.4499999999998</v>
      </c>
      <c r="G51" s="55">
        <v>3382.4706900000001</v>
      </c>
      <c r="H51" s="55">
        <f t="shared" si="0"/>
        <v>-19422.853999999999</v>
      </c>
      <c r="L51" s="56"/>
    </row>
    <row r="52" spans="1:12" x14ac:dyDescent="0.2">
      <c r="A52" s="57"/>
      <c r="B52" s="52" t="s">
        <v>679</v>
      </c>
      <c r="C52" s="52" t="s">
        <v>41</v>
      </c>
      <c r="D52" s="53">
        <v>-66600</v>
      </c>
      <c r="E52" s="54">
        <v>3507.8462</v>
      </c>
      <c r="F52" s="55">
        <v>3500.3</v>
      </c>
      <c r="G52" s="55">
        <v>413.533053</v>
      </c>
      <c r="H52" s="55">
        <f t="shared" si="0"/>
        <v>-2331.1997999999999</v>
      </c>
      <c r="L52" s="56"/>
    </row>
    <row r="53" spans="1:12" x14ac:dyDescent="0.2">
      <c r="A53" s="57"/>
      <c r="B53" s="52" t="s">
        <v>353</v>
      </c>
      <c r="C53" s="52" t="s">
        <v>54</v>
      </c>
      <c r="D53" s="53">
        <v>-25500</v>
      </c>
      <c r="E53" s="54">
        <v>614.96</v>
      </c>
      <c r="F53" s="55">
        <v>615.95000000000005</v>
      </c>
      <c r="G53" s="55">
        <v>36.500253799999996</v>
      </c>
      <c r="H53" s="55">
        <f t="shared" si="0"/>
        <v>-157.06725000000003</v>
      </c>
      <c r="L53" s="56"/>
    </row>
    <row r="54" spans="1:12" x14ac:dyDescent="0.2">
      <c r="A54" s="57"/>
      <c r="B54" s="52" t="s">
        <v>355</v>
      </c>
      <c r="C54" s="52" t="s">
        <v>64</v>
      </c>
      <c r="D54" s="53">
        <v>-24000</v>
      </c>
      <c r="E54" s="54">
        <v>577.81460000000004</v>
      </c>
      <c r="F54" s="55">
        <v>567.1</v>
      </c>
      <c r="G54" s="55">
        <v>28.905239999999999</v>
      </c>
      <c r="H54" s="55">
        <f t="shared" si="0"/>
        <v>-136.10400000000001</v>
      </c>
      <c r="L54" s="56"/>
    </row>
    <row r="55" spans="1:12" x14ac:dyDescent="0.2">
      <c r="A55" s="57"/>
      <c r="B55" s="52" t="s">
        <v>56</v>
      </c>
      <c r="C55" s="52" t="s">
        <v>54</v>
      </c>
      <c r="D55" s="53">
        <v>-19125</v>
      </c>
      <c r="E55" s="54">
        <v>2089.133299869281</v>
      </c>
      <c r="F55" s="55">
        <v>2035.1</v>
      </c>
      <c r="G55" s="55">
        <v>70.180813099999995</v>
      </c>
      <c r="H55" s="55">
        <f t="shared" si="0"/>
        <v>-389.212875</v>
      </c>
      <c r="L55" s="56"/>
    </row>
    <row r="56" spans="1:12" x14ac:dyDescent="0.2">
      <c r="A56" s="57"/>
      <c r="B56" s="52" t="s">
        <v>70</v>
      </c>
      <c r="C56" s="52" t="s">
        <v>59</v>
      </c>
      <c r="D56" s="53">
        <v>-57050</v>
      </c>
      <c r="E56" s="54">
        <v>2740.9069000876425</v>
      </c>
      <c r="F56" s="55">
        <v>2678.3</v>
      </c>
      <c r="G56" s="55">
        <v>311.25938030000003</v>
      </c>
      <c r="H56" s="55">
        <f t="shared" si="0"/>
        <v>-1527.9701500000001</v>
      </c>
      <c r="L56" s="56"/>
    </row>
    <row r="57" spans="1:12" x14ac:dyDescent="0.2">
      <c r="A57" s="57"/>
      <c r="B57" s="52" t="s">
        <v>680</v>
      </c>
      <c r="C57" s="52" t="s">
        <v>59</v>
      </c>
      <c r="D57" s="53">
        <v>-157800</v>
      </c>
      <c r="E57" s="54">
        <v>11833.020051013942</v>
      </c>
      <c r="F57" s="55">
        <v>11547.8</v>
      </c>
      <c r="G57" s="55">
        <v>3270.6464339999998</v>
      </c>
      <c r="H57" s="55">
        <f t="shared" si="0"/>
        <v>-18222.428400000001</v>
      </c>
      <c r="L57" s="56"/>
    </row>
    <row r="58" spans="1:12" x14ac:dyDescent="0.2">
      <c r="A58" s="57"/>
      <c r="B58" s="52" t="s">
        <v>681</v>
      </c>
      <c r="C58" s="52" t="s">
        <v>177</v>
      </c>
      <c r="D58" s="53">
        <v>-10500</v>
      </c>
      <c r="E58" s="54">
        <v>1377.2550000000001</v>
      </c>
      <c r="F58" s="55">
        <v>1403.15</v>
      </c>
      <c r="G58" s="55">
        <v>26.201726299999997</v>
      </c>
      <c r="H58" s="55">
        <f t="shared" si="0"/>
        <v>-147.33075000000002</v>
      </c>
      <c r="L58" s="56"/>
    </row>
    <row r="59" spans="1:12" x14ac:dyDescent="0.2">
      <c r="A59" s="57"/>
      <c r="B59" s="52" t="s">
        <v>682</v>
      </c>
      <c r="C59" s="52" t="s">
        <v>30</v>
      </c>
      <c r="D59" s="53">
        <v>-188650</v>
      </c>
      <c r="E59" s="54">
        <v>2551.7568000000001</v>
      </c>
      <c r="F59" s="55">
        <v>2510.5</v>
      </c>
      <c r="G59" s="55">
        <v>989.87956379999991</v>
      </c>
      <c r="H59" s="55">
        <f t="shared" si="0"/>
        <v>-4736.05825</v>
      </c>
      <c r="L59" s="56"/>
    </row>
    <row r="60" spans="1:12" x14ac:dyDescent="0.2">
      <c r="A60" s="57"/>
      <c r="B60" s="52" t="s">
        <v>683</v>
      </c>
      <c r="C60" s="52" t="s">
        <v>134</v>
      </c>
      <c r="D60" s="53">
        <v>-1679200</v>
      </c>
      <c r="E60" s="54">
        <v>1189.0404000000001</v>
      </c>
      <c r="F60" s="55">
        <v>1187.7</v>
      </c>
      <c r="G60" s="55">
        <v>4926.7644039999996</v>
      </c>
      <c r="H60" s="55">
        <f t="shared" si="0"/>
        <v>-19943.858400000001</v>
      </c>
      <c r="L60" s="56"/>
    </row>
    <row r="61" spans="1:12" x14ac:dyDescent="0.2">
      <c r="A61" s="57"/>
      <c r="B61" s="52" t="s">
        <v>359</v>
      </c>
      <c r="C61" s="52" t="s">
        <v>231</v>
      </c>
      <c r="D61" s="53">
        <v>-105000</v>
      </c>
      <c r="E61" s="54">
        <v>183.06540000000001</v>
      </c>
      <c r="F61" s="55">
        <v>176.49</v>
      </c>
      <c r="G61" s="55">
        <v>51.583507500000003</v>
      </c>
      <c r="H61" s="55">
        <f t="shared" si="0"/>
        <v>-185.31450000000001</v>
      </c>
      <c r="L61" s="56"/>
    </row>
    <row r="62" spans="1:12" x14ac:dyDescent="0.2">
      <c r="A62" s="57"/>
      <c r="B62" s="52" t="s">
        <v>684</v>
      </c>
      <c r="C62" s="52" t="s">
        <v>100</v>
      </c>
      <c r="D62" s="53">
        <v>-37500</v>
      </c>
      <c r="E62" s="54">
        <v>7042.9735615999998</v>
      </c>
      <c r="F62" s="55">
        <v>7194.7</v>
      </c>
      <c r="G62" s="55">
        <v>583.87293750000003</v>
      </c>
      <c r="H62" s="55">
        <f t="shared" si="0"/>
        <v>-2698.0124999999998</v>
      </c>
      <c r="L62" s="56"/>
    </row>
    <row r="63" spans="1:12" x14ac:dyDescent="0.2">
      <c r="A63" s="57"/>
      <c r="B63" s="52" t="s">
        <v>685</v>
      </c>
      <c r="C63" s="52" t="s">
        <v>64</v>
      </c>
      <c r="D63" s="53">
        <v>-232500</v>
      </c>
      <c r="E63" s="54">
        <v>988.8904</v>
      </c>
      <c r="F63" s="55">
        <v>990.7</v>
      </c>
      <c r="G63" s="55">
        <v>566.51996250000002</v>
      </c>
      <c r="H63" s="55">
        <f t="shared" si="0"/>
        <v>-2303.3775000000001</v>
      </c>
      <c r="L63" s="56"/>
    </row>
    <row r="64" spans="1:12" x14ac:dyDescent="0.2">
      <c r="A64" s="57"/>
      <c r="B64" s="52" t="s">
        <v>686</v>
      </c>
      <c r="C64" s="52" t="s">
        <v>38</v>
      </c>
      <c r="D64" s="53">
        <v>-3882000</v>
      </c>
      <c r="E64" s="54">
        <v>363.90890000000002</v>
      </c>
      <c r="F64" s="55">
        <v>359.05</v>
      </c>
      <c r="G64" s="55">
        <v>2706.404235</v>
      </c>
      <c r="H64" s="55">
        <f t="shared" si="0"/>
        <v>-13938.321</v>
      </c>
      <c r="L64" s="56"/>
    </row>
    <row r="65" spans="1:12" x14ac:dyDescent="0.2">
      <c r="A65" s="57"/>
      <c r="B65" s="52" t="s">
        <v>122</v>
      </c>
      <c r="C65" s="52" t="s">
        <v>123</v>
      </c>
      <c r="D65" s="53">
        <v>-338800</v>
      </c>
      <c r="E65" s="54">
        <v>245.4401</v>
      </c>
      <c r="F65" s="55">
        <v>247.6</v>
      </c>
      <c r="G65" s="55">
        <v>171.385368</v>
      </c>
      <c r="H65" s="55">
        <f t="shared" si="0"/>
        <v>-838.86879999999996</v>
      </c>
      <c r="L65" s="56"/>
    </row>
    <row r="66" spans="1:12" x14ac:dyDescent="0.2">
      <c r="A66" s="57"/>
      <c r="B66" s="52" t="s">
        <v>687</v>
      </c>
      <c r="C66" s="52" t="s">
        <v>30</v>
      </c>
      <c r="D66" s="53">
        <v>-4600</v>
      </c>
      <c r="E66" s="54">
        <v>5632.4032999999999</v>
      </c>
      <c r="F66" s="55">
        <v>5526.7</v>
      </c>
      <c r="G66" s="55">
        <v>58.242187000000001</v>
      </c>
      <c r="H66" s="55">
        <f t="shared" si="0"/>
        <v>-254.22819999999999</v>
      </c>
      <c r="L66" s="56"/>
    </row>
    <row r="67" spans="1:12" x14ac:dyDescent="0.2">
      <c r="A67" s="57"/>
      <c r="B67" s="52" t="s">
        <v>363</v>
      </c>
      <c r="C67" s="52" t="s">
        <v>85</v>
      </c>
      <c r="D67" s="53">
        <v>-126000</v>
      </c>
      <c r="E67" s="54">
        <v>301.68689999999998</v>
      </c>
      <c r="F67" s="55">
        <v>295.2</v>
      </c>
      <c r="G67" s="55">
        <v>75.438720000000004</v>
      </c>
      <c r="H67" s="55">
        <f t="shared" si="0"/>
        <v>-371.952</v>
      </c>
      <c r="L67" s="56"/>
    </row>
    <row r="68" spans="1:12" x14ac:dyDescent="0.2">
      <c r="A68" s="57"/>
      <c r="B68" s="52" t="s">
        <v>320</v>
      </c>
      <c r="C68" s="52" t="s">
        <v>149</v>
      </c>
      <c r="D68" s="53">
        <v>-34250</v>
      </c>
      <c r="E68" s="54">
        <v>2857.8809999999999</v>
      </c>
      <c r="F68" s="55">
        <v>2864.4</v>
      </c>
      <c r="G68" s="55">
        <v>174.07699500000001</v>
      </c>
      <c r="H68" s="55">
        <f t="shared" si="0"/>
        <v>-981.05700000000002</v>
      </c>
      <c r="L68" s="56"/>
    </row>
    <row r="69" spans="1:12" x14ac:dyDescent="0.2">
      <c r="A69" s="57"/>
      <c r="B69" s="52" t="s">
        <v>688</v>
      </c>
      <c r="C69" s="52" t="s">
        <v>157</v>
      </c>
      <c r="D69" s="53">
        <v>-16000</v>
      </c>
      <c r="E69" s="54">
        <v>5222.3835575000003</v>
      </c>
      <c r="F69" s="55">
        <v>5168.3999999999996</v>
      </c>
      <c r="G69" s="55">
        <v>217.77984000000001</v>
      </c>
      <c r="H69" s="55">
        <f t="shared" si="0"/>
        <v>-826.94399999999996</v>
      </c>
      <c r="L69" s="56"/>
    </row>
    <row r="70" spans="1:12" x14ac:dyDescent="0.2">
      <c r="A70" s="57"/>
      <c r="B70" s="52" t="s">
        <v>226</v>
      </c>
      <c r="C70" s="52" t="s">
        <v>38</v>
      </c>
      <c r="D70" s="53">
        <v>-3472200</v>
      </c>
      <c r="E70" s="54">
        <v>295.42430000000002</v>
      </c>
      <c r="F70" s="55">
        <v>291.7</v>
      </c>
      <c r="G70" s="55">
        <v>1886.0816790000001</v>
      </c>
      <c r="H70" s="55">
        <f t="shared" si="0"/>
        <v>-10128.4074</v>
      </c>
      <c r="L70" s="56"/>
    </row>
    <row r="71" spans="1:12" x14ac:dyDescent="0.2">
      <c r="A71" s="57"/>
      <c r="B71" s="52" t="s">
        <v>26</v>
      </c>
      <c r="C71" s="52" t="s">
        <v>27</v>
      </c>
      <c r="D71" s="53">
        <v>-6000000</v>
      </c>
      <c r="E71" s="54">
        <v>1285.6509221116667</v>
      </c>
      <c r="F71" s="55">
        <v>1281.55</v>
      </c>
      <c r="G71" s="55">
        <v>13607.655000000001</v>
      </c>
      <c r="H71" s="55">
        <f t="shared" si="0"/>
        <v>-76893</v>
      </c>
      <c r="L71" s="56"/>
    </row>
    <row r="72" spans="1:12" x14ac:dyDescent="0.2">
      <c r="A72" s="57"/>
      <c r="B72" s="52" t="s">
        <v>689</v>
      </c>
      <c r="C72" s="52" t="s">
        <v>94</v>
      </c>
      <c r="D72" s="53">
        <v>-104000</v>
      </c>
      <c r="E72" s="54">
        <v>116.97</v>
      </c>
      <c r="F72" s="55">
        <v>115.5</v>
      </c>
      <c r="G72" s="55">
        <v>31.441800000000001</v>
      </c>
      <c r="H72" s="55">
        <f t="shared" si="0"/>
        <v>-120.12</v>
      </c>
      <c r="L72" s="56"/>
    </row>
    <row r="73" spans="1:12" x14ac:dyDescent="0.2">
      <c r="A73" s="57"/>
      <c r="B73" s="52" t="s">
        <v>72</v>
      </c>
      <c r="C73" s="52" t="s">
        <v>73</v>
      </c>
      <c r="D73" s="53">
        <v>-698625</v>
      </c>
      <c r="E73" s="54">
        <v>1552.4459000035783</v>
      </c>
      <c r="F73" s="55">
        <v>1556.5</v>
      </c>
      <c r="G73" s="55">
        <v>1916.8698093999999</v>
      </c>
      <c r="H73" s="55">
        <f t="shared" si="0"/>
        <v>-10874.098125</v>
      </c>
      <c r="L73" s="56"/>
    </row>
    <row r="74" spans="1:12" x14ac:dyDescent="0.2">
      <c r="A74" s="57"/>
      <c r="B74" s="52" t="s">
        <v>297</v>
      </c>
      <c r="C74" s="52" t="s">
        <v>298</v>
      </c>
      <c r="D74" s="53">
        <v>-345000</v>
      </c>
      <c r="E74" s="54">
        <v>473.69900000000001</v>
      </c>
      <c r="F74" s="55">
        <v>465.25</v>
      </c>
      <c r="G74" s="55">
        <v>358.98543749999999</v>
      </c>
      <c r="H74" s="55">
        <f t="shared" ref="H74:H88" si="2">+(D74*F74)/100000</f>
        <v>-1605.1125</v>
      </c>
      <c r="L74" s="56"/>
    </row>
    <row r="75" spans="1:12" x14ac:dyDescent="0.2">
      <c r="A75" s="57"/>
      <c r="B75" s="52" t="s">
        <v>215</v>
      </c>
      <c r="C75" s="52" t="s">
        <v>64</v>
      </c>
      <c r="D75" s="53">
        <v>-362250</v>
      </c>
      <c r="E75" s="54">
        <v>680.24330001380258</v>
      </c>
      <c r="F75" s="55">
        <v>659.75</v>
      </c>
      <c r="G75" s="55">
        <v>543.30707810000001</v>
      </c>
      <c r="H75" s="55">
        <f t="shared" si="2"/>
        <v>-2389.944375</v>
      </c>
      <c r="L75" s="56"/>
    </row>
    <row r="76" spans="1:12" x14ac:dyDescent="0.2">
      <c r="A76" s="57"/>
      <c r="B76" s="52" t="s">
        <v>238</v>
      </c>
      <c r="C76" s="52" t="s">
        <v>149</v>
      </c>
      <c r="D76" s="53">
        <v>-279000</v>
      </c>
      <c r="E76" s="54">
        <v>2941.1098684587814</v>
      </c>
      <c r="F76" s="55">
        <v>2954.75</v>
      </c>
      <c r="G76" s="55">
        <v>1553.9916375</v>
      </c>
      <c r="H76" s="55">
        <f t="shared" si="2"/>
        <v>-8243.7525000000005</v>
      </c>
      <c r="L76" s="56"/>
    </row>
    <row r="77" spans="1:12" x14ac:dyDescent="0.2">
      <c r="A77" s="57"/>
      <c r="B77" s="52" t="s">
        <v>32</v>
      </c>
      <c r="C77" s="52" t="s">
        <v>22</v>
      </c>
      <c r="D77" s="53">
        <v>-3406500</v>
      </c>
      <c r="E77" s="54">
        <v>775.21821407309551</v>
      </c>
      <c r="F77" s="55">
        <v>775.55</v>
      </c>
      <c r="G77" s="55">
        <v>4669.4343263000001</v>
      </c>
      <c r="H77" s="55">
        <f t="shared" si="2"/>
        <v>-26419.11075</v>
      </c>
      <c r="L77" s="56"/>
    </row>
    <row r="78" spans="1:12" x14ac:dyDescent="0.2">
      <c r="A78" s="57"/>
      <c r="B78" s="52" t="s">
        <v>53</v>
      </c>
      <c r="C78" s="52" t="s">
        <v>54</v>
      </c>
      <c r="D78" s="53">
        <v>-1046500</v>
      </c>
      <c r="E78" s="54">
        <v>1788.803108896321</v>
      </c>
      <c r="F78" s="55">
        <v>1739.3</v>
      </c>
      <c r="G78" s="55">
        <v>3216.1613575000001</v>
      </c>
      <c r="H78" s="55">
        <f t="shared" si="2"/>
        <v>-18201.7745</v>
      </c>
      <c r="L78" s="56"/>
    </row>
    <row r="79" spans="1:12" x14ac:dyDescent="0.2">
      <c r="A79" s="57"/>
      <c r="B79" s="52" t="s">
        <v>690</v>
      </c>
      <c r="C79" s="52" t="s">
        <v>38</v>
      </c>
      <c r="D79" s="53">
        <v>-425250</v>
      </c>
      <c r="E79" s="54">
        <v>381.83499999999998</v>
      </c>
      <c r="F79" s="55">
        <v>376.95</v>
      </c>
      <c r="G79" s="55">
        <v>340.5540206</v>
      </c>
      <c r="H79" s="55">
        <f t="shared" si="2"/>
        <v>-1602.979875</v>
      </c>
      <c r="L79" s="56"/>
    </row>
    <row r="80" spans="1:12" x14ac:dyDescent="0.2">
      <c r="A80" s="57"/>
      <c r="B80" s="52" t="s">
        <v>51</v>
      </c>
      <c r="C80" s="52" t="s">
        <v>30</v>
      </c>
      <c r="D80" s="53">
        <v>-563325</v>
      </c>
      <c r="E80" s="54">
        <v>3674.5708999955623</v>
      </c>
      <c r="F80" s="55">
        <v>3619.55</v>
      </c>
      <c r="G80" s="55">
        <v>3641.2440763</v>
      </c>
      <c r="H80" s="55">
        <f t="shared" si="2"/>
        <v>-20389.8300375</v>
      </c>
      <c r="L80" s="56"/>
    </row>
    <row r="81" spans="1:12" x14ac:dyDescent="0.2">
      <c r="A81" s="57"/>
      <c r="B81" s="52" t="s">
        <v>370</v>
      </c>
      <c r="C81" s="52" t="s">
        <v>30</v>
      </c>
      <c r="D81" s="53">
        <v>-600</v>
      </c>
      <c r="E81" s="54">
        <v>1468.1</v>
      </c>
      <c r="F81" s="55">
        <v>1421.7</v>
      </c>
      <c r="G81" s="55">
        <v>1.5145770000000001</v>
      </c>
      <c r="H81" s="55">
        <f t="shared" si="2"/>
        <v>-8.5302000000000007</v>
      </c>
      <c r="I81" s="43">
        <f t="shared" si="1"/>
        <v>-853020</v>
      </c>
      <c r="L81" s="56"/>
    </row>
    <row r="82" spans="1:12" x14ac:dyDescent="0.2">
      <c r="A82" s="57"/>
      <c r="B82" s="52" t="s">
        <v>174</v>
      </c>
      <c r="C82" s="52" t="s">
        <v>59</v>
      </c>
      <c r="D82" s="53">
        <v>-156750</v>
      </c>
      <c r="E82" s="54">
        <v>672.74430003189798</v>
      </c>
      <c r="F82" s="55">
        <v>678</v>
      </c>
      <c r="G82" s="55">
        <v>209.465025</v>
      </c>
      <c r="H82" s="55">
        <f t="shared" si="2"/>
        <v>-1062.7650000000001</v>
      </c>
      <c r="I82" s="43">
        <f t="shared" si="1"/>
        <v>-106276500</v>
      </c>
      <c r="L82" s="56"/>
    </row>
    <row r="83" spans="1:12" x14ac:dyDescent="0.2">
      <c r="A83" s="57"/>
      <c r="B83" s="52" t="s">
        <v>93</v>
      </c>
      <c r="C83" s="52" t="s">
        <v>94</v>
      </c>
      <c r="D83" s="53">
        <v>-3300000</v>
      </c>
      <c r="E83" s="54">
        <v>156.52940000000001</v>
      </c>
      <c r="F83" s="55">
        <v>155.09</v>
      </c>
      <c r="G83" s="55">
        <v>959.90895</v>
      </c>
      <c r="H83" s="55">
        <f t="shared" si="2"/>
        <v>-5117.97</v>
      </c>
      <c r="I83" s="43">
        <f t="shared" si="1"/>
        <v>-511797000</v>
      </c>
      <c r="L83" s="56"/>
    </row>
    <row r="84" spans="1:12" x14ac:dyDescent="0.2">
      <c r="A84" s="57"/>
      <c r="B84" s="52" t="s">
        <v>200</v>
      </c>
      <c r="C84" s="52" t="s">
        <v>201</v>
      </c>
      <c r="D84" s="53">
        <v>-462875</v>
      </c>
      <c r="E84" s="54">
        <v>3080.2158857574941</v>
      </c>
      <c r="F84" s="55">
        <v>3078</v>
      </c>
      <c r="G84" s="55">
        <v>2532.944575</v>
      </c>
      <c r="H84" s="55">
        <f t="shared" si="2"/>
        <v>-14247.2925</v>
      </c>
      <c r="I84" s="43">
        <f t="shared" si="1"/>
        <v>-1424729250</v>
      </c>
      <c r="L84" s="56"/>
    </row>
    <row r="85" spans="1:12" x14ac:dyDescent="0.2">
      <c r="A85" s="57"/>
      <c r="B85" s="52" t="s">
        <v>372</v>
      </c>
      <c r="C85" s="52" t="s">
        <v>54</v>
      </c>
      <c r="D85" s="53">
        <v>-12500</v>
      </c>
      <c r="E85" s="54">
        <v>3242.6959999999999</v>
      </c>
      <c r="F85" s="55">
        <v>3246.95</v>
      </c>
      <c r="G85" s="55">
        <v>71.730406299999999</v>
      </c>
      <c r="H85" s="55">
        <f t="shared" si="2"/>
        <v>-405.86874999999998</v>
      </c>
      <c r="I85" s="43">
        <f t="shared" si="1"/>
        <v>-40586875</v>
      </c>
      <c r="L85" s="56"/>
    </row>
    <row r="86" spans="1:12" x14ac:dyDescent="0.2">
      <c r="A86" s="57"/>
      <c r="B86" s="52" t="s">
        <v>250</v>
      </c>
      <c r="C86" s="52" t="s">
        <v>251</v>
      </c>
      <c r="D86" s="53">
        <v>-1101615</v>
      </c>
      <c r="E86" s="54">
        <v>657.1801841932072</v>
      </c>
      <c r="F86" s="55">
        <v>637.65</v>
      </c>
      <c r="G86" s="55">
        <v>1375.7821872</v>
      </c>
      <c r="H86" s="55">
        <f t="shared" si="2"/>
        <v>-7024.4480475</v>
      </c>
      <c r="I86" s="43">
        <f t="shared" si="1"/>
        <v>-702444804.75</v>
      </c>
      <c r="L86" s="56"/>
    </row>
    <row r="87" spans="1:12" x14ac:dyDescent="0.2">
      <c r="A87" s="57"/>
      <c r="B87" s="52" t="s">
        <v>46</v>
      </c>
      <c r="C87" s="52" t="s">
        <v>22</v>
      </c>
      <c r="D87" s="53">
        <v>-1875</v>
      </c>
      <c r="E87" s="54">
        <v>1121.8833013333333</v>
      </c>
      <c r="F87" s="55">
        <v>1105.3499999999999</v>
      </c>
      <c r="G87" s="55">
        <v>3.6567609000000001</v>
      </c>
      <c r="H87" s="55">
        <f t="shared" si="2"/>
        <v>-20.725312499999998</v>
      </c>
      <c r="I87" s="43">
        <f t="shared" si="1"/>
        <v>-2072531.2499999998</v>
      </c>
      <c r="L87" s="56"/>
    </row>
    <row r="88" spans="1:12" x14ac:dyDescent="0.2">
      <c r="A88" s="57"/>
      <c r="B88" s="52" t="s">
        <v>691</v>
      </c>
      <c r="C88" s="52" t="s">
        <v>35</v>
      </c>
      <c r="D88" s="53">
        <v>-41000</v>
      </c>
      <c r="E88" s="54">
        <v>1598.3442</v>
      </c>
      <c r="F88" s="55">
        <v>1587.25</v>
      </c>
      <c r="G88" s="55">
        <v>127.5689375</v>
      </c>
      <c r="H88" s="55">
        <f t="shared" si="2"/>
        <v>-650.77250000000004</v>
      </c>
      <c r="I88" s="43">
        <f t="shared" si="1"/>
        <v>-65077250</v>
      </c>
      <c r="L88" s="56"/>
    </row>
    <row r="90" spans="1:12" x14ac:dyDescent="0.2">
      <c r="D90" s="55">
        <f t="shared" ref="D90:G90" si="3">SUM(D9:D89)</f>
        <v>-59917665</v>
      </c>
      <c r="E90" s="55">
        <f t="shared" si="3"/>
        <v>167094.07239956065</v>
      </c>
      <c r="F90" s="55">
        <f t="shared" si="3"/>
        <v>166252.92000000004</v>
      </c>
      <c r="G90" s="55">
        <f t="shared" si="3"/>
        <v>131454.2596668</v>
      </c>
      <c r="H90" s="55">
        <f>SUM(H9:H88)</f>
        <v>-712526.85694749979</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2025-04-08T07:32:18Z</dcterms:created>
  <dcterms:modified xsi:type="dcterms:W3CDTF">2025-04-08T07:36:24Z</dcterms:modified>
</cp:coreProperties>
</file>