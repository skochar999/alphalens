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DerivativeHDFCGR!$A$8:$H$82</definedName>
    <definedName name="_xlnm._FilterDatabase" localSheetId="0" hidden="1">HDFCGR!$A$5:$L$215</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2" i="2" l="1"/>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<sst xmlns="http://schemas.openxmlformats.org/spreadsheetml/2006/main" count="1699" uniqueCount="519">
  <si>
    <t>HDFC Balanced Advantage Fund (AN OPEN-ENDED BALANCE ADVANTAGE SCHEME)</t>
  </si>
  <si>
    <t>Income</t>
  </si>
  <si>
    <t>Hybrid</t>
  </si>
  <si>
    <t>Portfolio as on 31-May-2023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</si>
  <si>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</si>
  <si>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</si>
  <si>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</si>
  <si>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</si>
  <si>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</si>
  <si>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</si>
  <si>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</si>
  <si>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</si>
  <si>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</si>
  <si>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</si>
  <si>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</si>
  <si>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</si>
  <si>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</si>
  <si>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</si>
  <si>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</si>
  <si>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INE090A01021</t>
  </si>
  <si>
    <t/>
  </si>
  <si>
    <t>ICICI Bank Ltd.</t>
  </si>
  <si>
    <t>Banks</t>
  </si>
  <si>
    <t>INE062A01020</t>
  </si>
  <si>
    <t>State Bank of India</t>
  </si>
  <si>
    <t>INE522F01014</t>
  </si>
  <si>
    <t>Coal India Ltd.</t>
  </si>
  <si>
    <t>Consumable Fuels</t>
  </si>
  <si>
    <t>INE040A01034</t>
  </si>
  <si>
    <t>HDFC Bank Ltd.</t>
  </si>
  <si>
    <t>INE154A01025</t>
  </si>
  <si>
    <t>ITC Ltd.</t>
  </si>
  <si>
    <t>Diversified FMCG</t>
  </si>
  <si>
    <t>INE733E01010</t>
  </si>
  <si>
    <t>NTPC Limited</t>
  </si>
  <si>
    <t>Power</t>
  </si>
  <si>
    <t>INE009A01021</t>
  </si>
  <si>
    <t>Infosys Limited</t>
  </si>
  <si>
    <t>IT - Software</t>
  </si>
  <si>
    <t>INE001A01036</t>
  </si>
  <si>
    <t>Housing Development Fin. Corp. Ltd.£</t>
  </si>
  <si>
    <t>Finance</t>
  </si>
  <si>
    <t>INE002A01018</t>
  </si>
  <si>
    <t>Reliance Industries Ltd.</t>
  </si>
  <si>
    <t>Petroleum Products</t>
  </si>
  <si>
    <t>INE018A01030</t>
  </si>
  <si>
    <t>Larsen and Toubro Ltd.</t>
  </si>
  <si>
    <t>Construction</t>
  </si>
  <si>
    <t>INE134E01011</t>
  </si>
  <si>
    <t>Power Finance Corporation Ltd.</t>
  </si>
  <si>
    <t>INE238A01034</t>
  </si>
  <si>
    <t>Axis Bank Ltd.</t>
  </si>
  <si>
    <t>INE020B01018</t>
  </si>
  <si>
    <t>REC Limited.</t>
  </si>
  <si>
    <t>INE397D01024</t>
  </si>
  <si>
    <t>Bharti Airtel Ltd.</t>
  </si>
  <si>
    <t>Telecom - Services</t>
  </si>
  <si>
    <t>INE467B01029</t>
  </si>
  <si>
    <t>Tata Consultancy Services Ltd.</t>
  </si>
  <si>
    <t>INE028A01039</t>
  </si>
  <si>
    <t>Bank of Baroda</t>
  </si>
  <si>
    <t>@</t>
  </si>
  <si>
    <t>INE044A01036</t>
  </si>
  <si>
    <t>Sun Pharmaceutical Industries Ltd.</t>
  </si>
  <si>
    <t>Pharmaceuticals &amp; Biotechnology</t>
  </si>
  <si>
    <t>INE129A01019</t>
  </si>
  <si>
    <t>GAIL (India) Ltd.</t>
  </si>
  <si>
    <t>Gas</t>
  </si>
  <si>
    <t>INE326A01037</t>
  </si>
  <si>
    <t>Lupin Ltd.</t>
  </si>
  <si>
    <t>INE438A01022</t>
  </si>
  <si>
    <t>Apollo Tyres Ltd.</t>
  </si>
  <si>
    <t>Auto Components</t>
  </si>
  <si>
    <t>INE171Z01018</t>
  </si>
  <si>
    <t>Bharat Dynamics Limited</t>
  </si>
  <si>
    <t>Aerospace &amp; Defense</t>
  </si>
  <si>
    <t>INE094A01015</t>
  </si>
  <si>
    <t>Hindustan Petroleum Corp. Ltd.</t>
  </si>
  <si>
    <t>INE029A01011</t>
  </si>
  <si>
    <t>Bharat Petroleum Corporation Ltd.</t>
  </si>
  <si>
    <t>INE101A01026</t>
  </si>
  <si>
    <t>Mahindra &amp; Mahindra Ltd.</t>
  </si>
  <si>
    <t>Automobiles</t>
  </si>
  <si>
    <t>INE066F01012</t>
  </si>
  <si>
    <t>Hindustan Aeronautics Limited</t>
  </si>
  <si>
    <t>INE848E01016</t>
  </si>
  <si>
    <t>NHPC Ltd.</t>
  </si>
  <si>
    <t>INE123W01016</t>
  </si>
  <si>
    <t>SBI Life Insurance Company Ltd.</t>
  </si>
  <si>
    <t>Insurance</t>
  </si>
  <si>
    <t>INE155A01022</t>
  </si>
  <si>
    <t>Tata Motors Ltd.</t>
  </si>
  <si>
    <t>INE382Z01011</t>
  </si>
  <si>
    <t>Garden Reach Shipbuilders &amp; Engineers Limited</t>
  </si>
  <si>
    <t>INE099Z01011</t>
  </si>
  <si>
    <t>Mishra Dhatu Nigam Ltd.</t>
  </si>
  <si>
    <t>INE517F01014</t>
  </si>
  <si>
    <t>Gujarat Pipavav Port Ltd.</t>
  </si>
  <si>
    <t>Transport Infrastructure</t>
  </si>
  <si>
    <t>INE372A01015</t>
  </si>
  <si>
    <t>Apar Industries Limited</t>
  </si>
  <si>
    <t>Electrical Equipment</t>
  </si>
  <si>
    <t>INE918I01026</t>
  </si>
  <si>
    <t>Bajaj Finserv Ltd.</t>
  </si>
  <si>
    <t>INE296A01024</t>
  </si>
  <si>
    <t>Bajaj Finance Ltd.</t>
  </si>
  <si>
    <t>INE095A01012</t>
  </si>
  <si>
    <t>Indusind Bank Ltd.</t>
  </si>
  <si>
    <t>INE615H01020</t>
  </si>
  <si>
    <t>Titagarh Wagons Limited</t>
  </si>
  <si>
    <t>Industrial Manufacturing</t>
  </si>
  <si>
    <t>INE053F01010</t>
  </si>
  <si>
    <t>Indian Railways Finance Corp. Ltd.</t>
  </si>
  <si>
    <t>INE285K01026</t>
  </si>
  <si>
    <t>Techno Electric &amp; Engin. Co. Ltd.</t>
  </si>
  <si>
    <t>INE571A01038</t>
  </si>
  <si>
    <t>Ipca Laboratories Ltd.</t>
  </si>
  <si>
    <t>INE269B01029</t>
  </si>
  <si>
    <t>LAKSHMI MACHINE WORKS LTD.</t>
  </si>
  <si>
    <t>INE018E01016</t>
  </si>
  <si>
    <t>SBI CARDS AND PAYMENT SERVICES LIMITED</t>
  </si>
  <si>
    <t>INE406A01037</t>
  </si>
  <si>
    <t>Aurobindo Pharma Ltd.</t>
  </si>
  <si>
    <t>INE258A01016</t>
  </si>
  <si>
    <t>BEML Limited</t>
  </si>
  <si>
    <t>Agricultural, Commercial &amp; Construction Vehicles</t>
  </si>
  <si>
    <t>INE256A01028</t>
  </si>
  <si>
    <t>Zee Entertainment Enterprises Ltd.</t>
  </si>
  <si>
    <t>Entertainment</t>
  </si>
  <si>
    <t>INE465A01025</t>
  </si>
  <si>
    <t>Bharat Forge Ltd.</t>
  </si>
  <si>
    <t>Industrial Products</t>
  </si>
  <si>
    <t>INE486A01021</t>
  </si>
  <si>
    <t>CESC Ltd.</t>
  </si>
  <si>
    <t>INE213A01029</t>
  </si>
  <si>
    <t>Oil &amp; Natural Gas Corporation Ltd.</t>
  </si>
  <si>
    <t>Oil</t>
  </si>
  <si>
    <t>INE035D01020</t>
  </si>
  <si>
    <t>Savita Oil Technologies Ltd.</t>
  </si>
  <si>
    <t>INE017A01032</t>
  </si>
  <si>
    <t>Great Eastern Shipping Company Ltd.</t>
  </si>
  <si>
    <t>Transport Services</t>
  </si>
  <si>
    <t>INE576I01022</t>
  </si>
  <si>
    <t>J.Kumar Infraprojects Ltd.</t>
  </si>
  <si>
    <t>INE0J1Y01017</t>
  </si>
  <si>
    <t>Life Insurance Corporation of India</t>
  </si>
  <si>
    <t>INE208A01029</t>
  </si>
  <si>
    <t>Ashok Leyland  Ltd</t>
  </si>
  <si>
    <t>INE221B01012</t>
  </si>
  <si>
    <t>Dynamatic Technologies Ltd.</t>
  </si>
  <si>
    <t>INE011K01018</t>
  </si>
  <si>
    <t>TEGA INDUSTRIES LIMITED</t>
  </si>
  <si>
    <t>INE021A01026</t>
  </si>
  <si>
    <t>Asian Paints Limited</t>
  </si>
  <si>
    <t>Consumer Durables</t>
  </si>
  <si>
    <t>INE442H01029</t>
  </si>
  <si>
    <t>Ashoka Buildcon Ltd.</t>
  </si>
  <si>
    <t>INE220B01022</t>
  </si>
  <si>
    <t>Kalpataru Projects International Ltd</t>
  </si>
  <si>
    <t>INE031A01017</t>
  </si>
  <si>
    <t>Housing and Urban Development Corporation Ltd.</t>
  </si>
  <si>
    <t>INE508G01029</t>
  </si>
  <si>
    <t>Time Technoplast Limited</t>
  </si>
  <si>
    <t>INE280A01028</t>
  </si>
  <si>
    <t>Titan Company Ltd.</t>
  </si>
  <si>
    <t>INE059A01026</t>
  </si>
  <si>
    <t>Cipla Ltd.</t>
  </si>
  <si>
    <t>INE237A01028</t>
  </si>
  <si>
    <t>Kotak Mahindra Bank Limited</t>
  </si>
  <si>
    <t>INE585B01010</t>
  </si>
  <si>
    <t>Maruti Suzuki India Limited</t>
  </si>
  <si>
    <t>INE031B01049</t>
  </si>
  <si>
    <t>Ajanta Pharma Limited</t>
  </si>
  <si>
    <t>INE030A01027</t>
  </si>
  <si>
    <t>Hindustan Unilever Ltd.</t>
  </si>
  <si>
    <t>INE602A01031</t>
  </si>
  <si>
    <t>PCBL Ltd.</t>
  </si>
  <si>
    <t>Chemicals &amp; Petrochemicals</t>
  </si>
  <si>
    <t>INE742F01042</t>
  </si>
  <si>
    <t>Adani Ports &amp; Special Economic Zone</t>
  </si>
  <si>
    <t>INE437A01024</t>
  </si>
  <si>
    <t>Apollo Hospitals Enterprise Ltd.</t>
  </si>
  <si>
    <t>Healthcare Services</t>
  </si>
  <si>
    <t>INE162A01010</t>
  </si>
  <si>
    <t>Gujarat Industries Power Co. Ltd.</t>
  </si>
  <si>
    <t>INE621L01012</t>
  </si>
  <si>
    <t>Texmaco Rail &amp; Engineering Ltd.</t>
  </si>
  <si>
    <t>INE404A01024</t>
  </si>
  <si>
    <t>ADITYA BIRLA SUN LIFE AMC LIMITED</t>
  </si>
  <si>
    <t>Capital Markets</t>
  </si>
  <si>
    <t>INE066A01021</t>
  </si>
  <si>
    <t>Eicher Motors Ltd.</t>
  </si>
  <si>
    <t>INE743M01012</t>
  </si>
  <si>
    <t>RHI MAGNESITA INDIA Limited</t>
  </si>
  <si>
    <t>INE669C01036</t>
  </si>
  <si>
    <t>Tech Mahindra Ltd.</t>
  </si>
  <si>
    <t>IN9397D01014</t>
  </si>
  <si>
    <t>Bharti Airtel Ltd. - PARTLY PAID UP SHARES</t>
  </si>
  <si>
    <t>INE731H01025</t>
  </si>
  <si>
    <t>Action Construction Equipments Ltd</t>
  </si>
  <si>
    <t>INE079A01024</t>
  </si>
  <si>
    <t>Ambuja Cements Ltd.</t>
  </si>
  <si>
    <t>Cement &amp; Cement Products</t>
  </si>
  <si>
    <t>INE795G01014</t>
  </si>
  <si>
    <t>HDFC Life Insurance Company Limited</t>
  </si>
  <si>
    <t>INE821I01022</t>
  </si>
  <si>
    <t>IRB Infrastructure Developers Ltd.</t>
  </si>
  <si>
    <t>INE583L01014</t>
  </si>
  <si>
    <t>AGS Transact Technologies Limited</t>
  </si>
  <si>
    <t>Financial Technology (Fintech)</t>
  </si>
  <si>
    <t>INE089A01023</t>
  </si>
  <si>
    <t>Dr Reddys Laboratories Ltd.</t>
  </si>
  <si>
    <t>INE320J01015</t>
  </si>
  <si>
    <t>RITES Limited</t>
  </si>
  <si>
    <t>INE646L01027</t>
  </si>
  <si>
    <t>InterGlobe Aviation Ltd.</t>
  </si>
  <si>
    <t>INE481G01011</t>
  </si>
  <si>
    <t>UltraTech Cement Limited</t>
  </si>
  <si>
    <t>INE0N7W01012</t>
  </si>
  <si>
    <t>BEML Land Assets Limited</t>
  </si>
  <si>
    <t>INE278Y01022</t>
  </si>
  <si>
    <t>Campus Activewear Limited</t>
  </si>
  <si>
    <t>INE749A01030</t>
  </si>
  <si>
    <t>Jindal Steel &amp; Power Ltd.</t>
  </si>
  <si>
    <t>Ferrous Metals</t>
  </si>
  <si>
    <t>INE160A01022</t>
  </si>
  <si>
    <t>Punjab National Bank</t>
  </si>
  <si>
    <t>INE081A01020</t>
  </si>
  <si>
    <t>Tata Steel Ltd.</t>
  </si>
  <si>
    <t>INE012A01025</t>
  </si>
  <si>
    <t>ACC Ltd.</t>
  </si>
  <si>
    <t>INE257A01026</t>
  </si>
  <si>
    <t>Bharat Heavy Electricals Ltd.</t>
  </si>
  <si>
    <t>INE216A01030</t>
  </si>
  <si>
    <t>Britannia Industries Ltd.</t>
  </si>
  <si>
    <t>Food Products</t>
  </si>
  <si>
    <t>INE016A01026</t>
  </si>
  <si>
    <t>Dabur India Ltd.</t>
  </si>
  <si>
    <t>Personal Products</t>
  </si>
  <si>
    <t>INE271C01023</t>
  </si>
  <si>
    <t>DLF LIMITED</t>
  </si>
  <si>
    <t>Realty</t>
  </si>
  <si>
    <t>INE047A01021</t>
  </si>
  <si>
    <t>Grasim Industries Ltd.</t>
  </si>
  <si>
    <t>INE726G01019</t>
  </si>
  <si>
    <t>ICICI Prudential Life Insurance Company Ltd.</t>
  </si>
  <si>
    <t>INE053A01029</t>
  </si>
  <si>
    <t>Indian Hotels Company Ltd.</t>
  </si>
  <si>
    <t>Leisure Services</t>
  </si>
  <si>
    <t>INE776I01010</t>
  </si>
  <si>
    <t>MEP Infrastructure Developers Ltd.</t>
  </si>
  <si>
    <t>INE246B01019</t>
  </si>
  <si>
    <t>Ramco Systems Ltd.</t>
  </si>
  <si>
    <t>INE114A01011</t>
  </si>
  <si>
    <t>Steel Authority Of India Ltd.</t>
  </si>
  <si>
    <t>INE245A01021</t>
  </si>
  <si>
    <t>The Tata Power Company Ltd.</t>
  </si>
  <si>
    <t>INE854D01024</t>
  </si>
  <si>
    <t>United Spirits Limited</t>
  </si>
  <si>
    <t>Beverages</t>
  </si>
  <si>
    <t>INE628A01036</t>
  </si>
  <si>
    <t>UPL Ltd.</t>
  </si>
  <si>
    <t>Fertilizers &amp; Agrochemicals</t>
  </si>
  <si>
    <t>INE102D01028</t>
  </si>
  <si>
    <t>Godrej Consumer Products Ltd.</t>
  </si>
  <si>
    <t>INE860A01027</t>
  </si>
  <si>
    <t>HCL Technologies Ltd.</t>
  </si>
  <si>
    <t>INE192A01025</t>
  </si>
  <si>
    <t>Tata Consumer Products Limited</t>
  </si>
  <si>
    <t>Agricultural Food &amp; Other Products</t>
  </si>
  <si>
    <t>INE006I01046</t>
  </si>
  <si>
    <t>Astral Limited</t>
  </si>
  <si>
    <t>INE545U01014</t>
  </si>
  <si>
    <t>Bandhan Bank Ltd.</t>
  </si>
  <si>
    <t>INE376G01013</t>
  </si>
  <si>
    <t>Biocon Ltd.</t>
  </si>
  <si>
    <t>INE383A01012</t>
  </si>
  <si>
    <t>India Cements Ltd.</t>
  </si>
  <si>
    <t>INE242A01010</t>
  </si>
  <si>
    <t>Indian Oil Corporation Ltd.</t>
  </si>
  <si>
    <t>INE663F01024</t>
  </si>
  <si>
    <t>INFO EDGE (INDIA) LIMITED</t>
  </si>
  <si>
    <t>Retailing</t>
  </si>
  <si>
    <t>INE019A01038</t>
  </si>
  <si>
    <t>JSW Steel Ltd.</t>
  </si>
  <si>
    <t>INE947Q01028</t>
  </si>
  <si>
    <t>Laurus Labs Ltd.</t>
  </si>
  <si>
    <t>INE115A01026</t>
  </si>
  <si>
    <t>LIC Housing Finance Ltd.</t>
  </si>
  <si>
    <t>INE239A01016</t>
  </si>
  <si>
    <t>Nestle India Ltd.</t>
  </si>
  <si>
    <t>INE093I01010</t>
  </si>
  <si>
    <t>Oberoi Realty Ltd.</t>
  </si>
  <si>
    <t>INE347G01014</t>
  </si>
  <si>
    <t>Petronet LNG Ltd.</t>
  </si>
  <si>
    <t>INE140A01024</t>
  </si>
  <si>
    <t>Piramal Enterprises Limited</t>
  </si>
  <si>
    <t>Sub Total</t>
  </si>
  <si>
    <t>Total</t>
  </si>
  <si>
    <t>DEBT INSTRUMENTS</t>
  </si>
  <si>
    <t>Government Securities (Central/State)</t>
  </si>
  <si>
    <t>IN0020220037</t>
  </si>
  <si>
    <t>7.38% GOI MAT 200627^</t>
  </si>
  <si>
    <t>Sovereign</t>
  </si>
  <si>
    <t>IN0020220011</t>
  </si>
  <si>
    <t>7.1% GOI MAT 180429^</t>
  </si>
  <si>
    <t>IN0020210137</t>
  </si>
  <si>
    <t>Floating Rate GOI 2034^</t>
  </si>
  <si>
    <t>IN0020180488</t>
  </si>
  <si>
    <t>7.32% GOI MAT 280124^</t>
  </si>
  <si>
    <t>IN0020200112</t>
  </si>
  <si>
    <t>5.22% GOI MAT 150625^</t>
  </si>
  <si>
    <t>IN0020220060</t>
  </si>
  <si>
    <t>7.26% GOI MAT 220832^</t>
  </si>
  <si>
    <t>IN0020190396</t>
  </si>
  <si>
    <t>6.18% GOI MAT 041124^</t>
  </si>
  <si>
    <t>IN0020230036</t>
  </si>
  <si>
    <t>7.17% GOI MAT 170430^</t>
  </si>
  <si>
    <t>IN0020220151</t>
  </si>
  <si>
    <t>7.26% GOI MAT 060233^</t>
  </si>
  <si>
    <t>IN0020200211</t>
  </si>
  <si>
    <t>4.48% GOI MAT 021123^</t>
  </si>
  <si>
    <t>IN0020210186</t>
  </si>
  <si>
    <t>5.74% GOI MAT 151126^</t>
  </si>
  <si>
    <t>IN0020030055</t>
  </si>
  <si>
    <t>6.17% GOI MAT 120623^</t>
  </si>
  <si>
    <t>IN0020170026</t>
  </si>
  <si>
    <t>6.79% GOI MAT 150527^</t>
  </si>
  <si>
    <t>IN0020230010</t>
  </si>
  <si>
    <t>7.06% GOI MAT 100428^</t>
  </si>
  <si>
    <t>IN0020160035</t>
  </si>
  <si>
    <t>6.97% GOI MAT 060926^</t>
  </si>
  <si>
    <t>IN0020090034</t>
  </si>
  <si>
    <t>7.35% GOI MAT 220624^</t>
  </si>
  <si>
    <t>IN000628C031</t>
  </si>
  <si>
    <t>GOI STRIPS - Mat 170628^</t>
  </si>
  <si>
    <t>Non-Convertible debentures / Bonds</t>
  </si>
  <si>
    <t>INE001A07SR3</t>
  </si>
  <si>
    <t>Housing Development Fin. Corp. Ltd.£^</t>
  </si>
  <si>
    <t>CRISIL - AAA</t>
  </si>
  <si>
    <t>INE090A08UB4</t>
  </si>
  <si>
    <t>ICICI Bank Ltd. (Perpetual) (AT1) (Basel III)^</t>
  </si>
  <si>
    <t>CARE - AA+</t>
  </si>
  <si>
    <t>INE001A07TV3</t>
  </si>
  <si>
    <t>INE556F08KF5</t>
  </si>
  <si>
    <t>Small Industries Development Bank^</t>
  </si>
  <si>
    <t>CARE - AAA</t>
  </si>
  <si>
    <t>INE028A08182</t>
  </si>
  <si>
    <t>Bank of Baroda (Perpetual) (AT1) (Basel III)^</t>
  </si>
  <si>
    <t>CRISIL - AA+</t>
  </si>
  <si>
    <t>INE115A07OL3</t>
  </si>
  <si>
    <t>LIC Housing Finance Ltd.^</t>
  </si>
  <si>
    <t>INE261F08DO9</t>
  </si>
  <si>
    <t>National Bank for Agri &amp; Rural Dev.^</t>
  </si>
  <si>
    <t>INE692Q07399</t>
  </si>
  <si>
    <t>Toyota Financial Services India Ltd.^</t>
  </si>
  <si>
    <t>INE001A07TS9</t>
  </si>
  <si>
    <t>INE261F08DV4</t>
  </si>
  <si>
    <t>INE01XX07026</t>
  </si>
  <si>
    <t>Pipeline Infrastructure Pvt. Ltd.^</t>
  </si>
  <si>
    <t>INE556F08KH1</t>
  </si>
  <si>
    <t>INE020B08CX1</t>
  </si>
  <si>
    <t>REC Limited.^</t>
  </si>
  <si>
    <t>INE029A08065</t>
  </si>
  <si>
    <t>Bharat Petroleum Corporation Ltd.^</t>
  </si>
  <si>
    <t>INE031A08871</t>
  </si>
  <si>
    <t>Housing and Urban Development Corporation Ltd.^</t>
  </si>
  <si>
    <t>INE975F07IJ5</t>
  </si>
  <si>
    <t>Kotak Mahindra Investments Ltd.^</t>
  </si>
  <si>
    <t>INE115A07QD5</t>
  </si>
  <si>
    <t>INE115A07MQ6</t>
  </si>
  <si>
    <t>INE261F08DX0</t>
  </si>
  <si>
    <t>INE134E08ML8</t>
  </si>
  <si>
    <t>Power Finance Corporation Ltd.^</t>
  </si>
  <si>
    <t>INE134E08LU1</t>
  </si>
  <si>
    <t>INE556F08KD0</t>
  </si>
  <si>
    <t>INE062A08256</t>
  </si>
  <si>
    <t>State Bank of India (Tier 2 - Basel III)^</t>
  </si>
  <si>
    <t>INE062A08264</t>
  </si>
  <si>
    <t>INE053F07AA7</t>
  </si>
  <si>
    <t>Indian Railways Finance Corp. Ltd.^</t>
  </si>
  <si>
    <t>INE295J08014</t>
  </si>
  <si>
    <t>The Tata Power Company Ltd.^</t>
  </si>
  <si>
    <t>IND - AA</t>
  </si>
  <si>
    <t>INE306N07NF5</t>
  </si>
  <si>
    <t>Tata Capital Financial Services Ltd.^</t>
  </si>
  <si>
    <t>INE514E08EK0</t>
  </si>
  <si>
    <t>Export - Import Bank of India^</t>
  </si>
  <si>
    <t>INE047A08190</t>
  </si>
  <si>
    <t>Grasim Industries Ltd.^</t>
  </si>
  <si>
    <t>INE047A08208</t>
  </si>
  <si>
    <t>INE134E08MK0</t>
  </si>
  <si>
    <t>INE752E07OF7</t>
  </si>
  <si>
    <t>Power Grid Corporation of India Ltd.^</t>
  </si>
  <si>
    <t>INE692A08029</t>
  </si>
  <si>
    <t>Union Bank of India (Perpetual) (AT1) (Basel III)^</t>
  </si>
  <si>
    <t>CARE - AA</t>
  </si>
  <si>
    <t>INE115A07OS8</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</si>
  <si>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</si>
  <si>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</si>
  <si>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</si>
  <si>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</si>
  <si>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</si>
  <si>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</si>
  <si>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</si>
  <si>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</si>
  <si>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</si>
  <si>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</si>
  <si>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</si>
  <si>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</si>
  <si>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INE238AD6421</t>
  </si>
  <si>
    <t>Axis Bank Ltd.^</t>
  </si>
  <si>
    <t>CRISIL - A1+</t>
  </si>
  <si>
    <t>INE556F16AC6</t>
  </si>
  <si>
    <t>INE562A16LN9</t>
  </si>
  <si>
    <t>Indian Bank^</t>
  </si>
  <si>
    <t>INE238AD6173</t>
  </si>
  <si>
    <t>INE028A16CY7</t>
  </si>
  <si>
    <t>Bank of Baroda^</t>
  </si>
  <si>
    <t>IND - A1+</t>
  </si>
  <si>
    <t>INE028A16CZ4</t>
  </si>
  <si>
    <t>INE514E16CE0</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</si>
  <si>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</si>
  <si>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</si>
  <si>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</si>
  <si>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</si>
  <si>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</si>
  <si>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</si>
  <si>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</si>
  <si>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</si>
  <si>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</si>
  <si>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</si>
  <si>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</si>
  <si>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</si>
  <si>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</si>
  <si>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</si>
  <si>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</si>
  <si>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</si>
  <si>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</si>
  <si>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</si>
  <si>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</si>
  <si>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</si>
  <si>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</si>
  <si>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</si>
  <si>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</si>
  <si>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</si>
  <si>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</si>
  <si>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</si>
  <si>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</si>
  <si>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</si>
  <si>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May 31, 2023</t>
  </si>
  <si>
    <t>April 28, 2023</t>
  </si>
  <si>
    <t>IDCW Plan</t>
  </si>
  <si>
    <t>IDCW Plan - Direct Plan</t>
  </si>
  <si>
    <t>Growth Plan</t>
  </si>
  <si>
    <t>Growth Plan - Direct Plan</t>
  </si>
  <si>
    <t>Dividend History - Dividend declared during the month ended May 31, 2023 :</t>
  </si>
  <si>
    <t xml:space="preserve">Dividend Per Unit (Rs) for </t>
  </si>
  <si>
    <t>Plan Name</t>
  </si>
  <si>
    <t>Record Date</t>
  </si>
  <si>
    <t>Nav as on Record Date</t>
  </si>
  <si>
    <t>Individuals and HUF</t>
  </si>
  <si>
    <t>Others</t>
  </si>
  <si>
    <t>25-May-2023</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</si>
  <si>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</si>
  <si>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</si>
  <si>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</si>
  <si>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</si>
  <si>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(449289.154) Lacs</t>
  </si>
  <si>
    <t>6) Total outstanding exposure of Derivative Instruments in Nifty Index is Rs. (55888.65) lacs which is (1.0051%) of NAV as on May 31, 2023</t>
  </si>
  <si>
    <t>7) Portfolio Turnover Ratio : 15.19%</t>
  </si>
  <si>
    <t>8) Annualised Portfolio YTM : 7.18%</t>
  </si>
  <si>
    <t>9) Macaulay Duration : 947.91 Days</t>
  </si>
  <si>
    <t>10) Residual Maturity (Average Portfolio Maturity-other than equity investments) : 1959.64 Days</t>
  </si>
  <si>
    <t>11) IDCW stands for Income Distribution cum Capital Withdrawal</t>
  </si>
  <si>
    <t>12) Riskometer based on Scheme Portfolio and Portfolio Benchmark "NIFTY 50 Hybrid Composite Debt 50:50 Index" as on May 31, 2023</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</si>
  <si>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</si>
  <si>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</si>
  <si>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</si>
  <si>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</si>
  <si>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May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</si>
  <si>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</si>
  <si>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</si>
  <si>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</si>
  <si>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</si>
  <si>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</si>
  <si>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</si>
  <si>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</si>
  <si>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</si>
  <si>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</si>
  <si>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Ashok Leyland Ltd.</t>
  </si>
  <si>
    <t>Asian Paints Ltd.</t>
  </si>
  <si>
    <t>Astral Ltd.</t>
  </si>
  <si>
    <t>BAJAJ FINANCE LTD.</t>
  </si>
  <si>
    <t>DLF Ltd.</t>
  </si>
  <si>
    <t>Dr. Reddy's Laboratories Ltd.</t>
  </si>
  <si>
    <t>HDFC Life Insurance Company Ltd.</t>
  </si>
  <si>
    <t>Hindustan Petroleum Corporation Ltd.</t>
  </si>
  <si>
    <t>ICICI Lombard General Insurance Company Ltd.</t>
  </si>
  <si>
    <t>Indian Hotels Co. Ltd.</t>
  </si>
  <si>
    <t>Infosys Ltd.</t>
  </si>
  <si>
    <t>Kotak Mahindra Bank Ltd.</t>
  </si>
  <si>
    <t>Larsen &amp; Toubro Ltd.</t>
  </si>
  <si>
    <t>Maruti Suzuki India Ltd.</t>
  </si>
  <si>
    <t>United Spirits Ltd.</t>
  </si>
  <si>
    <t>MphasiS Ltd.</t>
  </si>
  <si>
    <t>Adani Ports and Special Economic Zone Ltd.</t>
  </si>
  <si>
    <t>Info Edge (India) Ltd.</t>
  </si>
  <si>
    <t>Piramal Enterprises Ltd.</t>
  </si>
  <si>
    <t>Nifty Futures</t>
  </si>
  <si>
    <t>Nifty</t>
  </si>
  <si>
    <t>NTPC Ltd.</t>
  </si>
  <si>
    <t>Steel Authority of India Ltd.</t>
  </si>
  <si>
    <t>Tata Chemicals Ltd.</t>
  </si>
  <si>
    <t>Tata Power Co. Ltd.</t>
  </si>
  <si>
    <t>Tata Consumer Products Ltd.</t>
  </si>
  <si>
    <t>Agricultural Food &amp; other Products</t>
  </si>
  <si>
    <t>UltraTech Cement Ltd.</t>
  </si>
  <si>
    <t>Wipro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</si>
</sst>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8"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7"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0" fontId="17" fillId="0" borderId="1" xfId="1" applyFont="1" applyFill="1" applyBorder="1" applyAlignment="1">
      <alignment vertical="top"/>
    </xf>
    <xf numFmtId="4" fontId="13" fillId="0" borderId="4" xfId="1" applyNumberFormat="1" applyFont="1" applyFill="1" applyBorder="1" applyAlignment="1"/>
    <xf numFmtId="0" fontId="15" fillId="0" borderId="0" xfId="1" applyFont="1" applyFill="1" applyBorder="1" applyAlignment="1">
      <alignment horizontal="left" vertical="justify"/>
    </xf>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320</xdr:row>
      <xdr:rowOff>0</xdr:rowOff>
    </xdr:from>
    <xdr:to>
      <xdr:col>2</xdr:col>
      <xdr:colOff>1492250</xdr:colOff>
      <xdr:row>333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1369575"/>
          <a:ext cx="3721100" cy="2540000"/>
        </a:xfrm>
        <a:prstGeom prst="rect">
          <a:avLst/>
        </a:prstGeom>
      </xdr:spPr>
    </xdr:pic>
    <xdr:clientData/>
  </xdr:twoCellAnchor>
  <xdr:twoCellAnchor editAs="oneCell">
    <xdr:from>
      <xdr:col>1</xdr:col>
      <xdr:colOff>0</xdr:colOff>
      <xdr:row>336</xdr:row>
      <xdr:rowOff>0</xdr:rowOff>
    </xdr:from>
    <xdr:to>
      <xdr:col>2</xdr:col>
      <xdr:colOff>1492250</xdr:colOff>
      <xdr:row>349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441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L336"/>
  <sheetViews>
    <sheetView tabSelected="1" workbookViewId="0">
      <selection activeCell="F23" sqref="F23"/>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9" t="s">
        <v>0</v>
      </c>
      <c r="B1" s="39" t="s">
        <v>0</v>
      </c>
      <c r="C1" s="39" t="s">
        <v>0</v>
      </c>
      <c r="D1" s="39" t="s">
        <v>0</v>
      </c>
      <c r="E1" s="39" t="s">
        <v>0</v>
      </c>
      <c r="F1" s="39" t="s">
        <v>0</v>
      </c>
      <c r="G1" s="39" t="s">
        <v>0</v>
      </c>
      <c r="H1" s="39" t="s">
        <v>0</v>
      </c>
      <c r="I1" s="39" t="s">
        <v>0</v>
      </c>
      <c r="J1" s="39" t="s">
        <v>0</v>
      </c>
      <c r="K1" s="1" t="s">
        <v>1</v>
      </c>
      <c r="L1" s="2" t="s">
        <v>2</v>
      </c>
    </row>
    <row r="2" spans="1:12" x14ac:dyDescent="0.25">
      <c r="A2" s="40" t="s">
        <v>3</v>
      </c>
      <c r="B2" s="40" t="s">
        <v>3</v>
      </c>
      <c r="C2" s="40" t="s">
        <v>3</v>
      </c>
      <c r="D2" s="40" t="s">
        <v>3</v>
      </c>
      <c r="E2" s="40" t="s">
        <v>3</v>
      </c>
      <c r="F2" s="40" t="s">
        <v>3</v>
      </c>
      <c r="G2" s="40" t="s">
        <v>3</v>
      </c>
      <c r="H2" s="40" t="s">
        <v>3</v>
      </c>
      <c r="I2" s="40" t="s">
        <v>3</v>
      </c>
      <c r="J2" s="4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26507424</v>
      </c>
      <c r="G9" s="13">
        <v>251595.21</v>
      </c>
      <c r="H9" s="13">
        <v>4.5199999999999996</v>
      </c>
      <c r="I9" s="14" t="s">
        <v>20</v>
      </c>
      <c r="J9" s="14" t="s">
        <v>20</v>
      </c>
      <c r="K9" s="15">
        <v>0.69</v>
      </c>
      <c r="L9" s="16">
        <v>3.84</v>
      </c>
    </row>
    <row r="10" spans="1:12" x14ac:dyDescent="0.25">
      <c r="A10" s="10" t="s">
        <v>18</v>
      </c>
      <c r="B10" s="11" t="s">
        <v>23</v>
      </c>
      <c r="C10" s="11" t="s">
        <v>20</v>
      </c>
      <c r="D10" s="11" t="s">
        <v>24</v>
      </c>
      <c r="E10" s="11" t="s">
        <v>22</v>
      </c>
      <c r="F10" s="12">
        <v>42214771</v>
      </c>
      <c r="G10" s="13">
        <v>244782.35</v>
      </c>
      <c r="H10" s="13">
        <v>4.4000000000000004</v>
      </c>
      <c r="I10" s="14" t="s">
        <v>20</v>
      </c>
      <c r="J10" s="14" t="s">
        <v>20</v>
      </c>
      <c r="K10" s="15">
        <v>0.27</v>
      </c>
      <c r="L10" s="16">
        <v>4.1399999999999997</v>
      </c>
    </row>
    <row r="11" spans="1:12" x14ac:dyDescent="0.25">
      <c r="A11" s="10" t="s">
        <v>18</v>
      </c>
      <c r="B11" s="11" t="s">
        <v>25</v>
      </c>
      <c r="C11" s="11" t="s">
        <v>20</v>
      </c>
      <c r="D11" s="11" t="s">
        <v>26</v>
      </c>
      <c r="E11" s="11" t="s">
        <v>27</v>
      </c>
      <c r="F11" s="12">
        <v>98170711</v>
      </c>
      <c r="G11" s="13">
        <v>236836.84</v>
      </c>
      <c r="H11" s="13">
        <v>4.26</v>
      </c>
      <c r="I11" s="14" t="s">
        <v>20</v>
      </c>
      <c r="J11" s="14" t="s">
        <v>20</v>
      </c>
      <c r="K11" s="15">
        <v>0</v>
      </c>
      <c r="L11" s="16">
        <v>4.26</v>
      </c>
    </row>
    <row r="12" spans="1:12" x14ac:dyDescent="0.25">
      <c r="A12" s="10" t="s">
        <v>18</v>
      </c>
      <c r="B12" s="11" t="s">
        <v>28</v>
      </c>
      <c r="C12" s="11" t="s">
        <v>20</v>
      </c>
      <c r="D12" s="11" t="s">
        <v>29</v>
      </c>
      <c r="E12" s="11" t="s">
        <v>22</v>
      </c>
      <c r="F12" s="12">
        <v>14631299</v>
      </c>
      <c r="G12" s="13">
        <v>235688.28</v>
      </c>
      <c r="H12" s="13">
        <v>4.24</v>
      </c>
      <c r="I12" s="14" t="s">
        <v>20</v>
      </c>
      <c r="J12" s="14" t="s">
        <v>20</v>
      </c>
      <c r="K12" s="15">
        <v>0.7</v>
      </c>
      <c r="L12" s="16">
        <v>3.54</v>
      </c>
    </row>
    <row r="13" spans="1:12" x14ac:dyDescent="0.25">
      <c r="A13" s="10" t="s">
        <v>18</v>
      </c>
      <c r="B13" s="11" t="s">
        <v>30</v>
      </c>
      <c r="C13" s="11" t="s">
        <v>20</v>
      </c>
      <c r="D13" s="11" t="s">
        <v>31</v>
      </c>
      <c r="E13" s="11" t="s">
        <v>32</v>
      </c>
      <c r="F13" s="12">
        <v>45976926</v>
      </c>
      <c r="G13" s="13">
        <v>204827.21</v>
      </c>
      <c r="H13" s="13">
        <v>3.68</v>
      </c>
      <c r="I13" s="14" t="s">
        <v>20</v>
      </c>
      <c r="J13" s="14" t="s">
        <v>20</v>
      </c>
      <c r="K13" s="15">
        <v>0</v>
      </c>
      <c r="L13" s="16">
        <v>3.68</v>
      </c>
    </row>
    <row r="14" spans="1:12" x14ac:dyDescent="0.25">
      <c r="A14" s="10" t="s">
        <v>18</v>
      </c>
      <c r="B14" s="11" t="s">
        <v>33</v>
      </c>
      <c r="C14" s="11" t="s">
        <v>20</v>
      </c>
      <c r="D14" s="11" t="s">
        <v>34</v>
      </c>
      <c r="E14" s="11" t="s">
        <v>35</v>
      </c>
      <c r="F14" s="12">
        <v>103391008</v>
      </c>
      <c r="G14" s="13">
        <v>179745.27</v>
      </c>
      <c r="H14" s="13">
        <v>3.23</v>
      </c>
      <c r="I14" s="14" t="s">
        <v>20</v>
      </c>
      <c r="J14" s="14" t="s">
        <v>20</v>
      </c>
      <c r="K14" s="15">
        <v>0.21</v>
      </c>
      <c r="L14" s="16">
        <v>3.02</v>
      </c>
    </row>
    <row r="15" spans="1:12" x14ac:dyDescent="0.25">
      <c r="A15" s="10" t="s">
        <v>18</v>
      </c>
      <c r="B15" s="11" t="s">
        <v>36</v>
      </c>
      <c r="C15" s="11" t="s">
        <v>20</v>
      </c>
      <c r="D15" s="11" t="s">
        <v>37</v>
      </c>
      <c r="E15" s="11" t="s">
        <v>38</v>
      </c>
      <c r="F15" s="12">
        <v>11415098</v>
      </c>
      <c r="G15" s="13">
        <v>150485.24</v>
      </c>
      <c r="H15" s="13">
        <v>2.71</v>
      </c>
      <c r="I15" s="14" t="s">
        <v>20</v>
      </c>
      <c r="J15" s="14" t="s">
        <v>20</v>
      </c>
      <c r="K15" s="15">
        <v>0.25</v>
      </c>
      <c r="L15" s="16">
        <v>2.46</v>
      </c>
    </row>
    <row r="16" spans="1:12" x14ac:dyDescent="0.25">
      <c r="A16" s="10" t="s">
        <v>18</v>
      </c>
      <c r="B16" s="11" t="s">
        <v>39</v>
      </c>
      <c r="C16" s="11" t="s">
        <v>20</v>
      </c>
      <c r="D16" s="11" t="s">
        <v>40</v>
      </c>
      <c r="E16" s="11" t="s">
        <v>41</v>
      </c>
      <c r="F16" s="12">
        <v>5671698</v>
      </c>
      <c r="G16" s="13">
        <v>149755.51</v>
      </c>
      <c r="H16" s="13">
        <v>2.69</v>
      </c>
      <c r="I16" s="14" t="s">
        <v>20</v>
      </c>
      <c r="J16" s="14" t="s">
        <v>20</v>
      </c>
      <c r="K16" s="15">
        <v>0</v>
      </c>
      <c r="L16" s="16">
        <v>2.69</v>
      </c>
    </row>
    <row r="17" spans="1:12" x14ac:dyDescent="0.25">
      <c r="A17" s="10" t="s">
        <v>20</v>
      </c>
      <c r="B17" s="11" t="s">
        <v>42</v>
      </c>
      <c r="C17" s="11" t="s">
        <v>20</v>
      </c>
      <c r="D17" s="11" t="s">
        <v>43</v>
      </c>
      <c r="E17" s="11" t="s">
        <v>44</v>
      </c>
      <c r="F17" s="12">
        <v>6037433</v>
      </c>
      <c r="G17" s="13">
        <v>149118.56</v>
      </c>
      <c r="H17" s="13">
        <v>2.68</v>
      </c>
      <c r="I17" s="14" t="s">
        <v>20</v>
      </c>
      <c r="J17" s="14" t="s">
        <v>20</v>
      </c>
      <c r="K17" s="15">
        <v>0.47</v>
      </c>
      <c r="L17" s="16">
        <v>2.21</v>
      </c>
    </row>
    <row r="18" spans="1:12" x14ac:dyDescent="0.25">
      <c r="A18" s="10" t="s">
        <v>20</v>
      </c>
      <c r="B18" s="11" t="s">
        <v>45</v>
      </c>
      <c r="C18" s="11" t="s">
        <v>20</v>
      </c>
      <c r="D18" s="11" t="s">
        <v>46</v>
      </c>
      <c r="E18" s="11" t="s">
        <v>47</v>
      </c>
      <c r="F18" s="12">
        <v>5845015</v>
      </c>
      <c r="G18" s="13">
        <v>128920.57</v>
      </c>
      <c r="H18" s="13">
        <v>2.3199999999999998</v>
      </c>
      <c r="I18" s="14" t="s">
        <v>20</v>
      </c>
      <c r="J18" s="14" t="s">
        <v>20</v>
      </c>
      <c r="K18" s="15">
        <v>0.11</v>
      </c>
      <c r="L18" s="16">
        <v>2.21</v>
      </c>
    </row>
    <row r="19" spans="1:12" x14ac:dyDescent="0.25">
      <c r="A19" s="10" t="s">
        <v>20</v>
      </c>
      <c r="B19" s="11" t="s">
        <v>48</v>
      </c>
      <c r="C19" s="11" t="s">
        <v>20</v>
      </c>
      <c r="D19" s="11" t="s">
        <v>49</v>
      </c>
      <c r="E19" s="11" t="s">
        <v>41</v>
      </c>
      <c r="F19" s="12">
        <v>67248759</v>
      </c>
      <c r="G19" s="13">
        <v>122661.74</v>
      </c>
      <c r="H19" s="13">
        <v>2.21</v>
      </c>
      <c r="I19" s="14" t="s">
        <v>20</v>
      </c>
      <c r="J19" s="14" t="s">
        <v>20</v>
      </c>
      <c r="K19" s="15">
        <v>0</v>
      </c>
      <c r="L19" s="16">
        <v>2.21</v>
      </c>
    </row>
    <row r="20" spans="1:12" x14ac:dyDescent="0.25">
      <c r="A20" s="10" t="s">
        <v>20</v>
      </c>
      <c r="B20" s="11" t="s">
        <v>50</v>
      </c>
      <c r="C20" s="11" t="s">
        <v>20</v>
      </c>
      <c r="D20" s="11" t="s">
        <v>51</v>
      </c>
      <c r="E20" s="11" t="s">
        <v>22</v>
      </c>
      <c r="F20" s="12">
        <v>11819535</v>
      </c>
      <c r="G20" s="13">
        <v>108131.02</v>
      </c>
      <c r="H20" s="13">
        <v>1.94</v>
      </c>
      <c r="I20" s="14" t="s">
        <v>20</v>
      </c>
      <c r="J20" s="14" t="s">
        <v>20</v>
      </c>
      <c r="K20" s="15">
        <v>0.41</v>
      </c>
      <c r="L20" s="16">
        <v>1.54</v>
      </c>
    </row>
    <row r="21" spans="1:12" x14ac:dyDescent="0.25">
      <c r="A21" s="10" t="s">
        <v>20</v>
      </c>
      <c r="B21" s="11" t="s">
        <v>52</v>
      </c>
      <c r="C21" s="11" t="s">
        <v>20</v>
      </c>
      <c r="D21" s="11" t="s">
        <v>53</v>
      </c>
      <c r="E21" s="11" t="s">
        <v>41</v>
      </c>
      <c r="F21" s="12">
        <v>60404981</v>
      </c>
      <c r="G21" s="13">
        <v>85503.25</v>
      </c>
      <c r="H21" s="13">
        <v>1.54</v>
      </c>
      <c r="I21" s="14" t="s">
        <v>20</v>
      </c>
      <c r="J21" s="14" t="s">
        <v>20</v>
      </c>
      <c r="K21" s="15">
        <v>0</v>
      </c>
      <c r="L21" s="16">
        <v>1.54</v>
      </c>
    </row>
    <row r="22" spans="1:12" x14ac:dyDescent="0.25">
      <c r="A22" s="10" t="s">
        <v>20</v>
      </c>
      <c r="B22" s="11" t="s">
        <v>54</v>
      </c>
      <c r="C22" s="11" t="s">
        <v>20</v>
      </c>
      <c r="D22" s="11" t="s">
        <v>55</v>
      </c>
      <c r="E22" s="11" t="s">
        <v>56</v>
      </c>
      <c r="F22" s="12">
        <v>9650954</v>
      </c>
      <c r="G22" s="13">
        <v>82023.460000000006</v>
      </c>
      <c r="H22" s="13">
        <v>1.48</v>
      </c>
      <c r="I22" s="14" t="s">
        <v>20</v>
      </c>
      <c r="J22" s="14" t="s">
        <v>20</v>
      </c>
      <c r="K22" s="15">
        <v>0.09</v>
      </c>
      <c r="L22" s="16">
        <v>1.38</v>
      </c>
    </row>
    <row r="23" spans="1:12" x14ac:dyDescent="0.25">
      <c r="A23" s="10" t="s">
        <v>20</v>
      </c>
      <c r="B23" s="11" t="s">
        <v>57</v>
      </c>
      <c r="C23" s="11" t="s">
        <v>20</v>
      </c>
      <c r="D23" s="11" t="s">
        <v>58</v>
      </c>
      <c r="E23" s="11" t="s">
        <v>38</v>
      </c>
      <c r="F23" s="12">
        <v>2333718</v>
      </c>
      <c r="G23" s="13">
        <v>76767.649999999994</v>
      </c>
      <c r="H23" s="13">
        <v>1.38</v>
      </c>
      <c r="I23" s="14" t="s">
        <v>20</v>
      </c>
      <c r="J23" s="14" t="s">
        <v>20</v>
      </c>
      <c r="K23" s="15">
        <v>0.03</v>
      </c>
      <c r="L23" s="16">
        <v>1.35</v>
      </c>
    </row>
    <row r="24" spans="1:12" x14ac:dyDescent="0.25">
      <c r="A24" s="10" t="s">
        <v>20</v>
      </c>
      <c r="B24" s="11" t="s">
        <v>59</v>
      </c>
      <c r="C24" s="11" t="s">
        <v>20</v>
      </c>
      <c r="D24" s="11" t="s">
        <v>60</v>
      </c>
      <c r="E24" s="11" t="s">
        <v>22</v>
      </c>
      <c r="F24" s="12">
        <v>37402030</v>
      </c>
      <c r="G24" s="13">
        <v>69193.759999999995</v>
      </c>
      <c r="H24" s="13">
        <v>1.24</v>
      </c>
      <c r="I24" s="14" t="s">
        <v>20</v>
      </c>
      <c r="J24" s="14" t="s">
        <v>20</v>
      </c>
      <c r="K24" s="15" t="s">
        <v>61</v>
      </c>
      <c r="L24" s="16">
        <v>1.24</v>
      </c>
    </row>
    <row r="25" spans="1:12" x14ac:dyDescent="0.25">
      <c r="A25" s="10" t="s">
        <v>20</v>
      </c>
      <c r="B25" s="11" t="s">
        <v>62</v>
      </c>
      <c r="C25" s="11" t="s">
        <v>20</v>
      </c>
      <c r="D25" s="11" t="s">
        <v>63</v>
      </c>
      <c r="E25" s="11" t="s">
        <v>64</v>
      </c>
      <c r="F25" s="12">
        <v>6649512</v>
      </c>
      <c r="G25" s="13">
        <v>64856.02</v>
      </c>
      <c r="H25" s="13">
        <v>1.17</v>
      </c>
      <c r="I25" s="14" t="s">
        <v>20</v>
      </c>
      <c r="J25" s="14" t="s">
        <v>20</v>
      </c>
      <c r="K25" s="15">
        <v>0.08</v>
      </c>
      <c r="L25" s="16">
        <v>1.0900000000000001</v>
      </c>
    </row>
    <row r="26" spans="1:12" x14ac:dyDescent="0.25">
      <c r="A26" s="10" t="s">
        <v>20</v>
      </c>
      <c r="B26" s="11" t="s">
        <v>65</v>
      </c>
      <c r="C26" s="11" t="s">
        <v>20</v>
      </c>
      <c r="D26" s="11" t="s">
        <v>66</v>
      </c>
      <c r="E26" s="11" t="s">
        <v>67</v>
      </c>
      <c r="F26" s="12">
        <v>59393088</v>
      </c>
      <c r="G26" s="13">
        <v>62243.96</v>
      </c>
      <c r="H26" s="13">
        <v>1.1200000000000001</v>
      </c>
      <c r="I26" s="14" t="s">
        <v>20</v>
      </c>
      <c r="J26" s="14" t="s">
        <v>20</v>
      </c>
      <c r="K26" s="15">
        <v>0</v>
      </c>
      <c r="L26" s="16">
        <v>1.1200000000000001</v>
      </c>
    </row>
    <row r="27" spans="1:12" x14ac:dyDescent="0.25">
      <c r="A27" s="10" t="s">
        <v>20</v>
      </c>
      <c r="B27" s="11" t="s">
        <v>68</v>
      </c>
      <c r="C27" s="11" t="s">
        <v>20</v>
      </c>
      <c r="D27" s="11" t="s">
        <v>69</v>
      </c>
      <c r="E27" s="11" t="s">
        <v>64</v>
      </c>
      <c r="F27" s="12">
        <v>5767165</v>
      </c>
      <c r="G27" s="13">
        <v>46396.84</v>
      </c>
      <c r="H27" s="13">
        <v>0.83</v>
      </c>
      <c r="I27" s="14" t="s">
        <v>20</v>
      </c>
      <c r="J27" s="14" t="s">
        <v>20</v>
      </c>
      <c r="K27" s="15" t="s">
        <v>61</v>
      </c>
      <c r="L27" s="16">
        <v>0.83</v>
      </c>
    </row>
    <row r="28" spans="1:12" x14ac:dyDescent="0.25">
      <c r="A28" s="10" t="s">
        <v>20</v>
      </c>
      <c r="B28" s="11" t="s">
        <v>70</v>
      </c>
      <c r="C28" s="11" t="s">
        <v>20</v>
      </c>
      <c r="D28" s="11" t="s">
        <v>71</v>
      </c>
      <c r="E28" s="11" t="s">
        <v>72</v>
      </c>
      <c r="F28" s="12">
        <v>11653152</v>
      </c>
      <c r="G28" s="13">
        <v>45540.52</v>
      </c>
      <c r="H28" s="13">
        <v>0.82</v>
      </c>
      <c r="I28" s="14" t="s">
        <v>20</v>
      </c>
      <c r="J28" s="14" t="s">
        <v>20</v>
      </c>
      <c r="K28" s="15">
        <v>0</v>
      </c>
      <c r="L28" s="16">
        <v>0.82</v>
      </c>
    </row>
    <row r="29" spans="1:12" x14ac:dyDescent="0.25">
      <c r="A29" s="10" t="s">
        <v>20</v>
      </c>
      <c r="B29" s="11" t="s">
        <v>73</v>
      </c>
      <c r="C29" s="11" t="s">
        <v>20</v>
      </c>
      <c r="D29" s="11" t="s">
        <v>74</v>
      </c>
      <c r="E29" s="11" t="s">
        <v>75</v>
      </c>
      <c r="F29" s="12">
        <v>3865105</v>
      </c>
      <c r="G29" s="13">
        <v>42583.79</v>
      </c>
      <c r="H29" s="13">
        <v>0.77</v>
      </c>
      <c r="I29" s="14" t="s">
        <v>20</v>
      </c>
      <c r="J29" s="14" t="s">
        <v>20</v>
      </c>
      <c r="K29" s="15">
        <v>0</v>
      </c>
      <c r="L29" s="16">
        <v>0.77</v>
      </c>
    </row>
    <row r="30" spans="1:12" x14ac:dyDescent="0.25">
      <c r="A30" s="10" t="s">
        <v>20</v>
      </c>
      <c r="B30" s="11" t="s">
        <v>76</v>
      </c>
      <c r="C30" s="11" t="s">
        <v>20</v>
      </c>
      <c r="D30" s="11" t="s">
        <v>77</v>
      </c>
      <c r="E30" s="11" t="s">
        <v>44</v>
      </c>
      <c r="F30" s="12">
        <v>16485605</v>
      </c>
      <c r="G30" s="13">
        <v>43010.94</v>
      </c>
      <c r="H30" s="13">
        <v>0.77</v>
      </c>
      <c r="I30" s="14" t="s">
        <v>20</v>
      </c>
      <c r="J30" s="14" t="s">
        <v>20</v>
      </c>
      <c r="K30" s="15">
        <v>0.01</v>
      </c>
      <c r="L30" s="16">
        <v>0.76</v>
      </c>
    </row>
    <row r="31" spans="1:12" x14ac:dyDescent="0.25">
      <c r="A31" s="10" t="s">
        <v>20</v>
      </c>
      <c r="B31" s="11" t="s">
        <v>78</v>
      </c>
      <c r="C31" s="11" t="s">
        <v>20</v>
      </c>
      <c r="D31" s="11" t="s">
        <v>79</v>
      </c>
      <c r="E31" s="11" t="s">
        <v>44</v>
      </c>
      <c r="F31" s="12">
        <v>11525907</v>
      </c>
      <c r="G31" s="13">
        <v>41896.67</v>
      </c>
      <c r="H31" s="13">
        <v>0.75</v>
      </c>
      <c r="I31" s="14" t="s">
        <v>20</v>
      </c>
      <c r="J31" s="14" t="s">
        <v>20</v>
      </c>
      <c r="K31" s="15">
        <v>0.06</v>
      </c>
      <c r="L31" s="16">
        <v>0.69</v>
      </c>
    </row>
    <row r="32" spans="1:12" x14ac:dyDescent="0.25">
      <c r="A32" s="10" t="s">
        <v>20</v>
      </c>
      <c r="B32" s="11" t="s">
        <v>80</v>
      </c>
      <c r="C32" s="11" t="s">
        <v>20</v>
      </c>
      <c r="D32" s="11" t="s">
        <v>81</v>
      </c>
      <c r="E32" s="11" t="s">
        <v>82</v>
      </c>
      <c r="F32" s="12">
        <v>3122629</v>
      </c>
      <c r="G32" s="13">
        <v>41187.480000000003</v>
      </c>
      <c r="H32" s="13">
        <v>0.74</v>
      </c>
      <c r="I32" s="14" t="s">
        <v>20</v>
      </c>
      <c r="J32" s="14" t="s">
        <v>20</v>
      </c>
      <c r="K32" s="15">
        <v>0.06</v>
      </c>
      <c r="L32" s="16">
        <v>0.68</v>
      </c>
    </row>
    <row r="33" spans="1:12" x14ac:dyDescent="0.25">
      <c r="A33" s="10" t="s">
        <v>20</v>
      </c>
      <c r="B33" s="11" t="s">
        <v>83</v>
      </c>
      <c r="C33" s="11" t="s">
        <v>20</v>
      </c>
      <c r="D33" s="11" t="s">
        <v>84</v>
      </c>
      <c r="E33" s="11" t="s">
        <v>75</v>
      </c>
      <c r="F33" s="12">
        <v>1135962</v>
      </c>
      <c r="G33" s="13">
        <v>35408.5</v>
      </c>
      <c r="H33" s="13">
        <v>0.64</v>
      </c>
      <c r="I33" s="14" t="s">
        <v>20</v>
      </c>
      <c r="J33" s="14" t="s">
        <v>20</v>
      </c>
      <c r="K33" s="15">
        <v>0</v>
      </c>
      <c r="L33" s="16">
        <v>0.64</v>
      </c>
    </row>
    <row r="34" spans="1:12" x14ac:dyDescent="0.25">
      <c r="A34" s="10" t="s">
        <v>20</v>
      </c>
      <c r="B34" s="11" t="s">
        <v>85</v>
      </c>
      <c r="C34" s="11" t="s">
        <v>20</v>
      </c>
      <c r="D34" s="11" t="s">
        <v>86</v>
      </c>
      <c r="E34" s="11" t="s">
        <v>35</v>
      </c>
      <c r="F34" s="12">
        <v>81944835</v>
      </c>
      <c r="G34" s="13">
        <v>35605.03</v>
      </c>
      <c r="H34" s="13">
        <v>0.64</v>
      </c>
      <c r="I34" s="14" t="s">
        <v>20</v>
      </c>
      <c r="J34" s="14" t="s">
        <v>20</v>
      </c>
      <c r="K34" s="15">
        <v>0</v>
      </c>
      <c r="L34" s="16">
        <v>0.64</v>
      </c>
    </row>
    <row r="35" spans="1:12" x14ac:dyDescent="0.25">
      <c r="A35" s="10" t="s">
        <v>20</v>
      </c>
      <c r="B35" s="11" t="s">
        <v>87</v>
      </c>
      <c r="C35" s="11" t="s">
        <v>20</v>
      </c>
      <c r="D35" s="11" t="s">
        <v>88</v>
      </c>
      <c r="E35" s="11" t="s">
        <v>89</v>
      </c>
      <c r="F35" s="12">
        <v>2764496</v>
      </c>
      <c r="G35" s="13">
        <v>34141.53</v>
      </c>
      <c r="H35" s="13">
        <v>0.61</v>
      </c>
      <c r="I35" s="14" t="s">
        <v>20</v>
      </c>
      <c r="J35" s="14" t="s">
        <v>20</v>
      </c>
      <c r="K35" s="15">
        <v>0.04</v>
      </c>
      <c r="L35" s="16">
        <v>0.56999999999999995</v>
      </c>
    </row>
    <row r="36" spans="1:12" x14ac:dyDescent="0.25">
      <c r="A36" s="10" t="s">
        <v>20</v>
      </c>
      <c r="B36" s="11" t="s">
        <v>90</v>
      </c>
      <c r="C36" s="11" t="s">
        <v>20</v>
      </c>
      <c r="D36" s="11" t="s">
        <v>91</v>
      </c>
      <c r="E36" s="11" t="s">
        <v>82</v>
      </c>
      <c r="F36" s="12">
        <v>6345531</v>
      </c>
      <c r="G36" s="13">
        <v>33396.53</v>
      </c>
      <c r="H36" s="13">
        <v>0.6</v>
      </c>
      <c r="I36" s="14" t="s">
        <v>20</v>
      </c>
      <c r="J36" s="14" t="s">
        <v>20</v>
      </c>
      <c r="K36" s="15">
        <v>0.33</v>
      </c>
      <c r="L36" s="16">
        <v>0.27</v>
      </c>
    </row>
    <row r="37" spans="1:12" x14ac:dyDescent="0.25">
      <c r="A37" s="10" t="s">
        <v>20</v>
      </c>
      <c r="B37" s="11" t="s">
        <v>92</v>
      </c>
      <c r="C37" s="11" t="s">
        <v>20</v>
      </c>
      <c r="D37" s="11" t="s">
        <v>93</v>
      </c>
      <c r="E37" s="11" t="s">
        <v>75</v>
      </c>
      <c r="F37" s="12">
        <v>7243837</v>
      </c>
      <c r="G37" s="13">
        <v>32944.97</v>
      </c>
      <c r="H37" s="13">
        <v>0.59</v>
      </c>
      <c r="I37" s="14" t="s">
        <v>20</v>
      </c>
      <c r="J37" s="14" t="s">
        <v>20</v>
      </c>
      <c r="K37" s="15">
        <v>0</v>
      </c>
      <c r="L37" s="16">
        <v>0.59</v>
      </c>
    </row>
    <row r="38" spans="1:12" x14ac:dyDescent="0.25">
      <c r="A38" s="10" t="s">
        <v>20</v>
      </c>
      <c r="B38" s="11" t="s">
        <v>94</v>
      </c>
      <c r="C38" s="11" t="s">
        <v>20</v>
      </c>
      <c r="D38" s="11" t="s">
        <v>95</v>
      </c>
      <c r="E38" s="11" t="s">
        <v>75</v>
      </c>
      <c r="F38" s="12">
        <v>14531611</v>
      </c>
      <c r="G38" s="13">
        <v>31482.74</v>
      </c>
      <c r="H38" s="13">
        <v>0.56999999999999995</v>
      </c>
      <c r="I38" s="14" t="s">
        <v>20</v>
      </c>
      <c r="J38" s="14" t="s">
        <v>20</v>
      </c>
      <c r="K38" s="15">
        <v>0</v>
      </c>
      <c r="L38" s="16">
        <v>0.56999999999999995</v>
      </c>
    </row>
    <row r="39" spans="1:12" x14ac:dyDescent="0.25">
      <c r="A39" s="10" t="s">
        <v>20</v>
      </c>
      <c r="B39" s="11" t="s">
        <v>96</v>
      </c>
      <c r="C39" s="11" t="s">
        <v>20</v>
      </c>
      <c r="D39" s="11" t="s">
        <v>97</v>
      </c>
      <c r="E39" s="11" t="s">
        <v>98</v>
      </c>
      <c r="F39" s="12">
        <v>27886019</v>
      </c>
      <c r="G39" s="13">
        <v>29977.47</v>
      </c>
      <c r="H39" s="13">
        <v>0.54</v>
      </c>
      <c r="I39" s="14" t="s">
        <v>20</v>
      </c>
      <c r="J39" s="14" t="s">
        <v>20</v>
      </c>
      <c r="K39" s="15">
        <v>0</v>
      </c>
      <c r="L39" s="16">
        <v>0.54</v>
      </c>
    </row>
    <row r="40" spans="1:12" x14ac:dyDescent="0.25">
      <c r="A40" s="10" t="s">
        <v>20</v>
      </c>
      <c r="B40" s="11" t="s">
        <v>99</v>
      </c>
      <c r="C40" s="11" t="s">
        <v>20</v>
      </c>
      <c r="D40" s="11" t="s">
        <v>100</v>
      </c>
      <c r="E40" s="11" t="s">
        <v>101</v>
      </c>
      <c r="F40" s="12">
        <v>1000000</v>
      </c>
      <c r="G40" s="13">
        <v>27793.5</v>
      </c>
      <c r="H40" s="13">
        <v>0.5</v>
      </c>
      <c r="I40" s="14" t="s">
        <v>20</v>
      </c>
      <c r="J40" s="14" t="s">
        <v>20</v>
      </c>
      <c r="K40" s="15">
        <v>0</v>
      </c>
      <c r="L40" s="16">
        <v>0.5</v>
      </c>
    </row>
    <row r="41" spans="1:12" x14ac:dyDescent="0.25">
      <c r="A41" s="10" t="s">
        <v>20</v>
      </c>
      <c r="B41" s="11" t="s">
        <v>102</v>
      </c>
      <c r="C41" s="11" t="s">
        <v>20</v>
      </c>
      <c r="D41" s="11" t="s">
        <v>103</v>
      </c>
      <c r="E41" s="11" t="s">
        <v>41</v>
      </c>
      <c r="F41" s="12">
        <v>1761000</v>
      </c>
      <c r="G41" s="13">
        <v>25552.99</v>
      </c>
      <c r="H41" s="13">
        <v>0.46</v>
      </c>
      <c r="I41" s="14" t="s">
        <v>20</v>
      </c>
      <c r="J41" s="14" t="s">
        <v>20</v>
      </c>
      <c r="K41" s="15">
        <v>0.46</v>
      </c>
      <c r="L41" s="16">
        <v>0</v>
      </c>
    </row>
    <row r="42" spans="1:12" x14ac:dyDescent="0.25">
      <c r="A42" s="10" t="s">
        <v>20</v>
      </c>
      <c r="B42" s="11" t="s">
        <v>104</v>
      </c>
      <c r="C42" s="11" t="s">
        <v>20</v>
      </c>
      <c r="D42" s="11" t="s">
        <v>105</v>
      </c>
      <c r="E42" s="11" t="s">
        <v>41</v>
      </c>
      <c r="F42" s="12">
        <v>330000</v>
      </c>
      <c r="G42" s="13">
        <v>23066.51</v>
      </c>
      <c r="H42" s="13">
        <v>0.41</v>
      </c>
      <c r="I42" s="14" t="s">
        <v>20</v>
      </c>
      <c r="J42" s="14" t="s">
        <v>20</v>
      </c>
      <c r="K42" s="15">
        <v>0.42</v>
      </c>
      <c r="L42" s="16">
        <v>0</v>
      </c>
    </row>
    <row r="43" spans="1:12" x14ac:dyDescent="0.25">
      <c r="A43" s="10" t="s">
        <v>20</v>
      </c>
      <c r="B43" s="11" t="s">
        <v>106</v>
      </c>
      <c r="C43" s="11" t="s">
        <v>20</v>
      </c>
      <c r="D43" s="11" t="s">
        <v>107</v>
      </c>
      <c r="E43" s="11" t="s">
        <v>22</v>
      </c>
      <c r="F43" s="12">
        <v>1757250</v>
      </c>
      <c r="G43" s="13">
        <v>22608.78</v>
      </c>
      <c r="H43" s="13">
        <v>0.41</v>
      </c>
      <c r="I43" s="14" t="s">
        <v>20</v>
      </c>
      <c r="J43" s="14" t="s">
        <v>20</v>
      </c>
      <c r="K43" s="15">
        <v>0.41</v>
      </c>
      <c r="L43" s="16">
        <v>0</v>
      </c>
    </row>
    <row r="44" spans="1:12" x14ac:dyDescent="0.25">
      <c r="A44" s="10" t="s">
        <v>20</v>
      </c>
      <c r="B44" s="11" t="s">
        <v>108</v>
      </c>
      <c r="C44" s="11" t="s">
        <v>20</v>
      </c>
      <c r="D44" s="11" t="s">
        <v>109</v>
      </c>
      <c r="E44" s="11" t="s">
        <v>110</v>
      </c>
      <c r="F44" s="12">
        <v>6151556</v>
      </c>
      <c r="G44" s="13">
        <v>21696.54</v>
      </c>
      <c r="H44" s="13">
        <v>0.39</v>
      </c>
      <c r="I44" s="14" t="s">
        <v>20</v>
      </c>
      <c r="J44" s="14" t="s">
        <v>20</v>
      </c>
      <c r="K44" s="15">
        <v>0</v>
      </c>
      <c r="L44" s="16">
        <v>0.39</v>
      </c>
    </row>
    <row r="45" spans="1:12" x14ac:dyDescent="0.25">
      <c r="A45" s="10" t="s">
        <v>20</v>
      </c>
      <c r="B45" s="11" t="s">
        <v>111</v>
      </c>
      <c r="C45" s="11" t="s">
        <v>20</v>
      </c>
      <c r="D45" s="11" t="s">
        <v>112</v>
      </c>
      <c r="E45" s="11" t="s">
        <v>41</v>
      </c>
      <c r="F45" s="12">
        <v>61018113</v>
      </c>
      <c r="G45" s="13">
        <v>19647.830000000002</v>
      </c>
      <c r="H45" s="13">
        <v>0.35</v>
      </c>
      <c r="I45" s="14" t="s">
        <v>20</v>
      </c>
      <c r="J45" s="14" t="s">
        <v>20</v>
      </c>
      <c r="K45" s="15">
        <v>0</v>
      </c>
      <c r="L45" s="16">
        <v>0.35</v>
      </c>
    </row>
    <row r="46" spans="1:12" x14ac:dyDescent="0.25">
      <c r="A46" s="10" t="s">
        <v>20</v>
      </c>
      <c r="B46" s="11" t="s">
        <v>113</v>
      </c>
      <c r="C46" s="11" t="s">
        <v>20</v>
      </c>
      <c r="D46" s="11" t="s">
        <v>114</v>
      </c>
      <c r="E46" s="11" t="s">
        <v>47</v>
      </c>
      <c r="F46" s="12">
        <v>4989000</v>
      </c>
      <c r="G46" s="13">
        <v>19719.02</v>
      </c>
      <c r="H46" s="13">
        <v>0.35</v>
      </c>
      <c r="I46" s="14" t="s">
        <v>20</v>
      </c>
      <c r="J46" s="14" t="s">
        <v>20</v>
      </c>
      <c r="K46" s="15">
        <v>0</v>
      </c>
      <c r="L46" s="16">
        <v>0.35</v>
      </c>
    </row>
    <row r="47" spans="1:12" x14ac:dyDescent="0.25">
      <c r="A47" s="10" t="s">
        <v>20</v>
      </c>
      <c r="B47" s="11" t="s">
        <v>115</v>
      </c>
      <c r="C47" s="11" t="s">
        <v>20</v>
      </c>
      <c r="D47" s="11" t="s">
        <v>116</v>
      </c>
      <c r="E47" s="11" t="s">
        <v>64</v>
      </c>
      <c r="F47" s="12">
        <v>2447056</v>
      </c>
      <c r="G47" s="13">
        <v>17152.64</v>
      </c>
      <c r="H47" s="13">
        <v>0.31</v>
      </c>
      <c r="I47" s="14" t="s">
        <v>20</v>
      </c>
      <c r="J47" s="14" t="s">
        <v>20</v>
      </c>
      <c r="K47" s="15">
        <v>0</v>
      </c>
      <c r="L47" s="16">
        <v>0.31</v>
      </c>
    </row>
    <row r="48" spans="1:12" x14ac:dyDescent="0.25">
      <c r="A48" s="10" t="s">
        <v>20</v>
      </c>
      <c r="B48" s="11" t="s">
        <v>117</v>
      </c>
      <c r="C48" s="11" t="s">
        <v>20</v>
      </c>
      <c r="D48" s="11" t="s">
        <v>118</v>
      </c>
      <c r="E48" s="11" t="s">
        <v>110</v>
      </c>
      <c r="F48" s="12">
        <v>152223</v>
      </c>
      <c r="G48" s="13">
        <v>17433.490000000002</v>
      </c>
      <c r="H48" s="13">
        <v>0.31</v>
      </c>
      <c r="I48" s="14" t="s">
        <v>20</v>
      </c>
      <c r="J48" s="14" t="s">
        <v>20</v>
      </c>
      <c r="K48" s="15">
        <v>0</v>
      </c>
      <c r="L48" s="16">
        <v>0.31</v>
      </c>
    </row>
    <row r="49" spans="1:12" x14ac:dyDescent="0.25">
      <c r="A49" s="10" t="s">
        <v>20</v>
      </c>
      <c r="B49" s="11" t="s">
        <v>119</v>
      </c>
      <c r="C49" s="11" t="s">
        <v>20</v>
      </c>
      <c r="D49" s="11" t="s">
        <v>120</v>
      </c>
      <c r="E49" s="11" t="s">
        <v>41</v>
      </c>
      <c r="F49" s="12">
        <v>1877975</v>
      </c>
      <c r="G49" s="13">
        <v>17220.09</v>
      </c>
      <c r="H49" s="13">
        <v>0.31</v>
      </c>
      <c r="I49" s="14" t="s">
        <v>20</v>
      </c>
      <c r="J49" s="14" t="s">
        <v>20</v>
      </c>
      <c r="K49" s="15">
        <v>0</v>
      </c>
      <c r="L49" s="16">
        <v>0.31</v>
      </c>
    </row>
    <row r="50" spans="1:12" x14ac:dyDescent="0.25">
      <c r="A50" s="10" t="s">
        <v>20</v>
      </c>
      <c r="B50" s="11" t="s">
        <v>121</v>
      </c>
      <c r="C50" s="11" t="s">
        <v>20</v>
      </c>
      <c r="D50" s="11" t="s">
        <v>122</v>
      </c>
      <c r="E50" s="11" t="s">
        <v>64</v>
      </c>
      <c r="F50" s="12">
        <v>2522312</v>
      </c>
      <c r="G50" s="13">
        <v>16611.95</v>
      </c>
      <c r="H50" s="13">
        <v>0.3</v>
      </c>
      <c r="I50" s="14" t="s">
        <v>20</v>
      </c>
      <c r="J50" s="14" t="s">
        <v>20</v>
      </c>
      <c r="K50" s="15">
        <v>0</v>
      </c>
      <c r="L50" s="16">
        <v>0.3</v>
      </c>
    </row>
    <row r="51" spans="1:12" x14ac:dyDescent="0.25">
      <c r="A51" s="10" t="s">
        <v>20</v>
      </c>
      <c r="B51" s="11" t="s">
        <v>123</v>
      </c>
      <c r="C51" s="11" t="s">
        <v>20</v>
      </c>
      <c r="D51" s="11" t="s">
        <v>124</v>
      </c>
      <c r="E51" s="11" t="s">
        <v>125</v>
      </c>
      <c r="F51" s="12">
        <v>1113681</v>
      </c>
      <c r="G51" s="13">
        <v>15998.58</v>
      </c>
      <c r="H51" s="13">
        <v>0.28999999999999998</v>
      </c>
      <c r="I51" s="14" t="s">
        <v>20</v>
      </c>
      <c r="J51" s="14" t="s">
        <v>20</v>
      </c>
      <c r="K51" s="15">
        <v>0</v>
      </c>
      <c r="L51" s="16">
        <v>0.28999999999999998</v>
      </c>
    </row>
    <row r="52" spans="1:12" x14ac:dyDescent="0.25">
      <c r="A52" s="10" t="s">
        <v>20</v>
      </c>
      <c r="B52" s="11" t="s">
        <v>126</v>
      </c>
      <c r="C52" s="11" t="s">
        <v>20</v>
      </c>
      <c r="D52" s="11" t="s">
        <v>127</v>
      </c>
      <c r="E52" s="11" t="s">
        <v>128</v>
      </c>
      <c r="F52" s="12">
        <v>8160030</v>
      </c>
      <c r="G52" s="13">
        <v>15916.14</v>
      </c>
      <c r="H52" s="13">
        <v>0.28999999999999998</v>
      </c>
      <c r="I52" s="14" t="s">
        <v>20</v>
      </c>
      <c r="J52" s="14" t="s">
        <v>20</v>
      </c>
      <c r="K52" s="15">
        <v>0</v>
      </c>
      <c r="L52" s="16">
        <v>0.28999999999999998</v>
      </c>
    </row>
    <row r="53" spans="1:12" x14ac:dyDescent="0.25">
      <c r="A53" s="10" t="s">
        <v>20</v>
      </c>
      <c r="B53" s="11" t="s">
        <v>129</v>
      </c>
      <c r="C53" s="11" t="s">
        <v>20</v>
      </c>
      <c r="D53" s="11" t="s">
        <v>130</v>
      </c>
      <c r="E53" s="11" t="s">
        <v>131</v>
      </c>
      <c r="F53" s="12">
        <v>1869073</v>
      </c>
      <c r="G53" s="13">
        <v>14789.97</v>
      </c>
      <c r="H53" s="13">
        <v>0.27</v>
      </c>
      <c r="I53" s="14" t="s">
        <v>20</v>
      </c>
      <c r="J53" s="14" t="s">
        <v>20</v>
      </c>
      <c r="K53" s="15">
        <v>0</v>
      </c>
      <c r="L53" s="16">
        <v>0.27</v>
      </c>
    </row>
    <row r="54" spans="1:12" x14ac:dyDescent="0.25">
      <c r="A54" s="10" t="s">
        <v>20</v>
      </c>
      <c r="B54" s="11" t="s">
        <v>132</v>
      </c>
      <c r="C54" s="11" t="s">
        <v>20</v>
      </c>
      <c r="D54" s="11" t="s">
        <v>133</v>
      </c>
      <c r="E54" s="11" t="s">
        <v>35</v>
      </c>
      <c r="F54" s="12">
        <v>22002518</v>
      </c>
      <c r="G54" s="13">
        <v>15236.74</v>
      </c>
      <c r="H54" s="13">
        <v>0.27</v>
      </c>
      <c r="I54" s="14" t="s">
        <v>20</v>
      </c>
      <c r="J54" s="14" t="s">
        <v>20</v>
      </c>
      <c r="K54" s="15">
        <v>0</v>
      </c>
      <c r="L54" s="16">
        <v>0.27</v>
      </c>
    </row>
    <row r="55" spans="1:12" x14ac:dyDescent="0.25">
      <c r="A55" s="10" t="s">
        <v>20</v>
      </c>
      <c r="B55" s="11" t="s">
        <v>134</v>
      </c>
      <c r="C55" s="11" t="s">
        <v>20</v>
      </c>
      <c r="D55" s="11" t="s">
        <v>135</v>
      </c>
      <c r="E55" s="11" t="s">
        <v>136</v>
      </c>
      <c r="F55" s="12">
        <v>9801250</v>
      </c>
      <c r="G55" s="13">
        <v>15182.14</v>
      </c>
      <c r="H55" s="13">
        <v>0.27</v>
      </c>
      <c r="I55" s="14" t="s">
        <v>20</v>
      </c>
      <c r="J55" s="14" t="s">
        <v>20</v>
      </c>
      <c r="K55" s="15">
        <v>0.02</v>
      </c>
      <c r="L55" s="16">
        <v>0.25</v>
      </c>
    </row>
    <row r="56" spans="1:12" x14ac:dyDescent="0.25">
      <c r="A56" s="10" t="s">
        <v>20</v>
      </c>
      <c r="B56" s="11" t="s">
        <v>137</v>
      </c>
      <c r="C56" s="11" t="s">
        <v>20</v>
      </c>
      <c r="D56" s="11" t="s">
        <v>138</v>
      </c>
      <c r="E56" s="11" t="s">
        <v>44</v>
      </c>
      <c r="F56" s="12">
        <v>5110935</v>
      </c>
      <c r="G56" s="13">
        <v>14359.17</v>
      </c>
      <c r="H56" s="13">
        <v>0.26</v>
      </c>
      <c r="I56" s="14" t="s">
        <v>20</v>
      </c>
      <c r="J56" s="14" t="s">
        <v>20</v>
      </c>
      <c r="K56" s="15">
        <v>0</v>
      </c>
      <c r="L56" s="16">
        <v>0.26</v>
      </c>
    </row>
    <row r="57" spans="1:12" x14ac:dyDescent="0.25">
      <c r="A57" s="10" t="s">
        <v>20</v>
      </c>
      <c r="B57" s="11" t="s">
        <v>139</v>
      </c>
      <c r="C57" s="11" t="s">
        <v>20</v>
      </c>
      <c r="D57" s="11" t="s">
        <v>140</v>
      </c>
      <c r="E57" s="11" t="s">
        <v>141</v>
      </c>
      <c r="F57" s="12">
        <v>1983182</v>
      </c>
      <c r="G57" s="13">
        <v>13627.44</v>
      </c>
      <c r="H57" s="13">
        <v>0.25</v>
      </c>
      <c r="I57" s="14" t="s">
        <v>20</v>
      </c>
      <c r="J57" s="14" t="s">
        <v>20</v>
      </c>
      <c r="K57" s="15">
        <v>0</v>
      </c>
      <c r="L57" s="16">
        <v>0.25</v>
      </c>
    </row>
    <row r="58" spans="1:12" x14ac:dyDescent="0.25">
      <c r="A58" s="10" t="s">
        <v>20</v>
      </c>
      <c r="B58" s="11" t="s">
        <v>142</v>
      </c>
      <c r="C58" s="11" t="s">
        <v>20</v>
      </c>
      <c r="D58" s="11" t="s">
        <v>143</v>
      </c>
      <c r="E58" s="11" t="s">
        <v>47</v>
      </c>
      <c r="F58" s="12">
        <v>5097308</v>
      </c>
      <c r="G58" s="13">
        <v>13079.69</v>
      </c>
      <c r="H58" s="13">
        <v>0.24</v>
      </c>
      <c r="I58" s="14" t="s">
        <v>20</v>
      </c>
      <c r="J58" s="14" t="s">
        <v>20</v>
      </c>
      <c r="K58" s="15">
        <v>0</v>
      </c>
      <c r="L58" s="16">
        <v>0.24</v>
      </c>
    </row>
    <row r="59" spans="1:12" x14ac:dyDescent="0.25">
      <c r="A59" s="10" t="s">
        <v>20</v>
      </c>
      <c r="B59" s="11" t="s">
        <v>144</v>
      </c>
      <c r="C59" s="11" t="s">
        <v>20</v>
      </c>
      <c r="D59" s="11" t="s">
        <v>145</v>
      </c>
      <c r="E59" s="11" t="s">
        <v>89</v>
      </c>
      <c r="F59" s="12">
        <v>2107485</v>
      </c>
      <c r="G59" s="13">
        <v>12542.7</v>
      </c>
      <c r="H59" s="13">
        <v>0.23</v>
      </c>
      <c r="I59" s="14" t="s">
        <v>20</v>
      </c>
      <c r="J59" s="14" t="s">
        <v>20</v>
      </c>
      <c r="K59" s="15">
        <v>0</v>
      </c>
      <c r="L59" s="16">
        <v>0.23</v>
      </c>
    </row>
    <row r="60" spans="1:12" x14ac:dyDescent="0.25">
      <c r="A60" s="10" t="s">
        <v>20</v>
      </c>
      <c r="B60" s="11" t="s">
        <v>146</v>
      </c>
      <c r="C60" s="11" t="s">
        <v>20</v>
      </c>
      <c r="D60" s="11" t="s">
        <v>147</v>
      </c>
      <c r="E60" s="11" t="s">
        <v>125</v>
      </c>
      <c r="F60" s="12">
        <v>8385581</v>
      </c>
      <c r="G60" s="13">
        <v>12268.11</v>
      </c>
      <c r="H60" s="13">
        <v>0.22</v>
      </c>
      <c r="I60" s="14" t="s">
        <v>20</v>
      </c>
      <c r="J60" s="14" t="s">
        <v>20</v>
      </c>
      <c r="K60" s="15">
        <v>0.03</v>
      </c>
      <c r="L60" s="16">
        <v>0.19</v>
      </c>
    </row>
    <row r="61" spans="1:12" x14ac:dyDescent="0.25">
      <c r="A61" s="10" t="s">
        <v>20</v>
      </c>
      <c r="B61" s="11" t="s">
        <v>148</v>
      </c>
      <c r="C61" s="11" t="s">
        <v>20</v>
      </c>
      <c r="D61" s="11" t="s">
        <v>149</v>
      </c>
      <c r="E61" s="11" t="s">
        <v>110</v>
      </c>
      <c r="F61" s="12">
        <v>351859</v>
      </c>
      <c r="G61" s="13">
        <v>12272.84</v>
      </c>
      <c r="H61" s="13">
        <v>0.22</v>
      </c>
      <c r="I61" s="14" t="s">
        <v>20</v>
      </c>
      <c r="J61" s="14" t="s">
        <v>20</v>
      </c>
      <c r="K61" s="15">
        <v>0</v>
      </c>
      <c r="L61" s="16">
        <v>0.22</v>
      </c>
    </row>
    <row r="62" spans="1:12" x14ac:dyDescent="0.25">
      <c r="A62" s="10" t="s">
        <v>20</v>
      </c>
      <c r="B62" s="11" t="s">
        <v>150</v>
      </c>
      <c r="C62" s="11" t="s">
        <v>20</v>
      </c>
      <c r="D62" s="11" t="s">
        <v>151</v>
      </c>
      <c r="E62" s="11" t="s">
        <v>110</v>
      </c>
      <c r="F62" s="12">
        <v>1365949</v>
      </c>
      <c r="G62" s="13">
        <v>12286.03</v>
      </c>
      <c r="H62" s="13">
        <v>0.22</v>
      </c>
      <c r="I62" s="14" t="s">
        <v>20</v>
      </c>
      <c r="J62" s="14" t="s">
        <v>20</v>
      </c>
      <c r="K62" s="15">
        <v>0</v>
      </c>
      <c r="L62" s="16">
        <v>0.22</v>
      </c>
    </row>
    <row r="63" spans="1:12" x14ac:dyDescent="0.25">
      <c r="A63" s="10" t="s">
        <v>20</v>
      </c>
      <c r="B63" s="11" t="s">
        <v>152</v>
      </c>
      <c r="C63" s="11" t="s">
        <v>20</v>
      </c>
      <c r="D63" s="11" t="s">
        <v>153</v>
      </c>
      <c r="E63" s="11" t="s">
        <v>154</v>
      </c>
      <c r="F63" s="12">
        <v>357200</v>
      </c>
      <c r="G63" s="13">
        <v>11405.22</v>
      </c>
      <c r="H63" s="13">
        <v>0.21</v>
      </c>
      <c r="I63" s="14" t="s">
        <v>20</v>
      </c>
      <c r="J63" s="14" t="s">
        <v>20</v>
      </c>
      <c r="K63" s="15">
        <v>0.21</v>
      </c>
      <c r="L63" s="16">
        <v>0</v>
      </c>
    </row>
    <row r="64" spans="1:12" x14ac:dyDescent="0.25">
      <c r="A64" s="10" t="s">
        <v>20</v>
      </c>
      <c r="B64" s="11" t="s">
        <v>155</v>
      </c>
      <c r="C64" s="11" t="s">
        <v>20</v>
      </c>
      <c r="D64" s="11" t="s">
        <v>156</v>
      </c>
      <c r="E64" s="11" t="s">
        <v>47</v>
      </c>
      <c r="F64" s="12">
        <v>14834080</v>
      </c>
      <c r="G64" s="13">
        <v>11214.56</v>
      </c>
      <c r="H64" s="13">
        <v>0.2</v>
      </c>
      <c r="I64" s="14" t="s">
        <v>20</v>
      </c>
      <c r="J64" s="14" t="s">
        <v>20</v>
      </c>
      <c r="K64" s="15">
        <v>0</v>
      </c>
      <c r="L64" s="16">
        <v>0.2</v>
      </c>
    </row>
    <row r="65" spans="1:12" x14ac:dyDescent="0.25">
      <c r="A65" s="10" t="s">
        <v>20</v>
      </c>
      <c r="B65" s="11" t="s">
        <v>157</v>
      </c>
      <c r="C65" s="11" t="s">
        <v>20</v>
      </c>
      <c r="D65" s="11" t="s">
        <v>158</v>
      </c>
      <c r="E65" s="11" t="s">
        <v>47</v>
      </c>
      <c r="F65" s="12">
        <v>2021606</v>
      </c>
      <c r="G65" s="13">
        <v>10858.05</v>
      </c>
      <c r="H65" s="13">
        <v>0.2</v>
      </c>
      <c r="I65" s="14" t="s">
        <v>20</v>
      </c>
      <c r="J65" s="14" t="s">
        <v>20</v>
      </c>
      <c r="K65" s="15">
        <v>0</v>
      </c>
      <c r="L65" s="16">
        <v>0.2</v>
      </c>
    </row>
    <row r="66" spans="1:12" x14ac:dyDescent="0.25">
      <c r="A66" s="10" t="s">
        <v>20</v>
      </c>
      <c r="B66" s="11" t="s">
        <v>159</v>
      </c>
      <c r="C66" s="11" t="s">
        <v>20</v>
      </c>
      <c r="D66" s="11" t="s">
        <v>160</v>
      </c>
      <c r="E66" s="11" t="s">
        <v>41</v>
      </c>
      <c r="F66" s="12">
        <v>18922753</v>
      </c>
      <c r="G66" s="13">
        <v>10814.35</v>
      </c>
      <c r="H66" s="13">
        <v>0.19</v>
      </c>
      <c r="I66" s="14" t="s">
        <v>20</v>
      </c>
      <c r="J66" s="14" t="s">
        <v>20</v>
      </c>
      <c r="K66" s="15">
        <v>0</v>
      </c>
      <c r="L66" s="16">
        <v>0.19</v>
      </c>
    </row>
    <row r="67" spans="1:12" x14ac:dyDescent="0.25">
      <c r="A67" s="10" t="s">
        <v>20</v>
      </c>
      <c r="B67" s="11" t="s">
        <v>161</v>
      </c>
      <c r="C67" s="11" t="s">
        <v>20</v>
      </c>
      <c r="D67" s="11" t="s">
        <v>162</v>
      </c>
      <c r="E67" s="11" t="s">
        <v>131</v>
      </c>
      <c r="F67" s="12">
        <v>10688305</v>
      </c>
      <c r="G67" s="13">
        <v>9945.4699999999993</v>
      </c>
      <c r="H67" s="13">
        <v>0.18</v>
      </c>
      <c r="I67" s="14" t="s">
        <v>20</v>
      </c>
      <c r="J67" s="14" t="s">
        <v>20</v>
      </c>
      <c r="K67" s="15">
        <v>0</v>
      </c>
      <c r="L67" s="16">
        <v>0.18</v>
      </c>
    </row>
    <row r="68" spans="1:12" x14ac:dyDescent="0.25">
      <c r="A68" s="10" t="s">
        <v>20</v>
      </c>
      <c r="B68" s="11" t="s">
        <v>163</v>
      </c>
      <c r="C68" s="11" t="s">
        <v>20</v>
      </c>
      <c r="D68" s="11" t="s">
        <v>164</v>
      </c>
      <c r="E68" s="11" t="s">
        <v>154</v>
      </c>
      <c r="F68" s="12">
        <v>345375</v>
      </c>
      <c r="G68" s="13">
        <v>9750.7999999999993</v>
      </c>
      <c r="H68" s="13">
        <v>0.18</v>
      </c>
      <c r="I68" s="14" t="s">
        <v>20</v>
      </c>
      <c r="J68" s="14" t="s">
        <v>20</v>
      </c>
      <c r="K68" s="15">
        <v>0.18</v>
      </c>
      <c r="L68" s="16">
        <v>0</v>
      </c>
    </row>
    <row r="69" spans="1:12" x14ac:dyDescent="0.25">
      <c r="A69" s="10" t="s">
        <v>20</v>
      </c>
      <c r="B69" s="11" t="s">
        <v>165</v>
      </c>
      <c r="C69" s="11" t="s">
        <v>20</v>
      </c>
      <c r="D69" s="11" t="s">
        <v>166</v>
      </c>
      <c r="E69" s="11" t="s">
        <v>64</v>
      </c>
      <c r="F69" s="12">
        <v>936993</v>
      </c>
      <c r="G69" s="13">
        <v>8930.01</v>
      </c>
      <c r="H69" s="13">
        <v>0.16</v>
      </c>
      <c r="I69" s="14" t="s">
        <v>20</v>
      </c>
      <c r="J69" s="14" t="s">
        <v>20</v>
      </c>
      <c r="K69" s="15">
        <v>0.02</v>
      </c>
      <c r="L69" s="16">
        <v>0.14000000000000001</v>
      </c>
    </row>
    <row r="70" spans="1:12" x14ac:dyDescent="0.25">
      <c r="A70" s="10" t="s">
        <v>20</v>
      </c>
      <c r="B70" s="11" t="s">
        <v>167</v>
      </c>
      <c r="C70" s="11" t="s">
        <v>20</v>
      </c>
      <c r="D70" s="11" t="s">
        <v>168</v>
      </c>
      <c r="E70" s="11" t="s">
        <v>22</v>
      </c>
      <c r="F70" s="12">
        <v>452000</v>
      </c>
      <c r="G70" s="13">
        <v>9104.86</v>
      </c>
      <c r="H70" s="13">
        <v>0.16</v>
      </c>
      <c r="I70" s="14" t="s">
        <v>20</v>
      </c>
      <c r="J70" s="14" t="s">
        <v>20</v>
      </c>
      <c r="K70" s="15">
        <v>0.16</v>
      </c>
      <c r="L70" s="16">
        <v>0</v>
      </c>
    </row>
    <row r="71" spans="1:12" x14ac:dyDescent="0.25">
      <c r="A71" s="10" t="s">
        <v>20</v>
      </c>
      <c r="B71" s="11" t="s">
        <v>169</v>
      </c>
      <c r="C71" s="11" t="s">
        <v>20</v>
      </c>
      <c r="D71" s="11" t="s">
        <v>170</v>
      </c>
      <c r="E71" s="11" t="s">
        <v>82</v>
      </c>
      <c r="F71" s="12">
        <v>96000</v>
      </c>
      <c r="G71" s="13">
        <v>8992.99</v>
      </c>
      <c r="H71" s="13">
        <v>0.16</v>
      </c>
      <c r="I71" s="14" t="s">
        <v>20</v>
      </c>
      <c r="J71" s="14" t="s">
        <v>20</v>
      </c>
      <c r="K71" s="15">
        <v>0.16</v>
      </c>
      <c r="L71" s="16">
        <v>0</v>
      </c>
    </row>
    <row r="72" spans="1:12" x14ac:dyDescent="0.25">
      <c r="A72" s="10" t="s">
        <v>20</v>
      </c>
      <c r="B72" s="11" t="s">
        <v>171</v>
      </c>
      <c r="C72" s="11" t="s">
        <v>20</v>
      </c>
      <c r="D72" s="11" t="s">
        <v>172</v>
      </c>
      <c r="E72" s="11" t="s">
        <v>64</v>
      </c>
      <c r="F72" s="12">
        <v>658626</v>
      </c>
      <c r="G72" s="13">
        <v>8616.4699999999993</v>
      </c>
      <c r="H72" s="13">
        <v>0.15</v>
      </c>
      <c r="I72" s="14" t="s">
        <v>20</v>
      </c>
      <c r="J72" s="14" t="s">
        <v>20</v>
      </c>
      <c r="K72" s="15">
        <v>0</v>
      </c>
      <c r="L72" s="16">
        <v>0.15</v>
      </c>
    </row>
    <row r="73" spans="1:12" x14ac:dyDescent="0.25">
      <c r="A73" s="10" t="s">
        <v>20</v>
      </c>
      <c r="B73" s="11" t="s">
        <v>173</v>
      </c>
      <c r="C73" s="11" t="s">
        <v>20</v>
      </c>
      <c r="D73" s="11" t="s">
        <v>174</v>
      </c>
      <c r="E73" s="11" t="s">
        <v>32</v>
      </c>
      <c r="F73" s="12">
        <v>303000</v>
      </c>
      <c r="G73" s="13">
        <v>8082.68</v>
      </c>
      <c r="H73" s="13">
        <v>0.15</v>
      </c>
      <c r="I73" s="14" t="s">
        <v>20</v>
      </c>
      <c r="J73" s="14" t="s">
        <v>20</v>
      </c>
      <c r="K73" s="15">
        <v>0.15</v>
      </c>
      <c r="L73" s="16">
        <v>0</v>
      </c>
    </row>
    <row r="74" spans="1:12" x14ac:dyDescent="0.25">
      <c r="A74" s="10" t="s">
        <v>20</v>
      </c>
      <c r="B74" s="11" t="s">
        <v>175</v>
      </c>
      <c r="C74" s="11" t="s">
        <v>20</v>
      </c>
      <c r="D74" s="11" t="s">
        <v>176</v>
      </c>
      <c r="E74" s="11" t="s">
        <v>177</v>
      </c>
      <c r="F74" s="12">
        <v>6278237</v>
      </c>
      <c r="G74" s="13">
        <v>8569.7900000000009</v>
      </c>
      <c r="H74" s="13">
        <v>0.15</v>
      </c>
      <c r="I74" s="14" t="s">
        <v>20</v>
      </c>
      <c r="J74" s="14" t="s">
        <v>20</v>
      </c>
      <c r="K74" s="15">
        <v>0</v>
      </c>
      <c r="L74" s="16">
        <v>0.15</v>
      </c>
    </row>
    <row r="75" spans="1:12" x14ac:dyDescent="0.25">
      <c r="A75" s="10" t="s">
        <v>20</v>
      </c>
      <c r="B75" s="11" t="s">
        <v>178</v>
      </c>
      <c r="C75" s="11" t="s">
        <v>20</v>
      </c>
      <c r="D75" s="11" t="s">
        <v>179</v>
      </c>
      <c r="E75" s="11" t="s">
        <v>98</v>
      </c>
      <c r="F75" s="12">
        <v>916875</v>
      </c>
      <c r="G75" s="13">
        <v>6774.33</v>
      </c>
      <c r="H75" s="13">
        <v>0.12</v>
      </c>
      <c r="I75" s="14" t="s">
        <v>20</v>
      </c>
      <c r="J75" s="14" t="s">
        <v>20</v>
      </c>
      <c r="K75" s="15">
        <v>0.12</v>
      </c>
      <c r="L75" s="16">
        <v>0</v>
      </c>
    </row>
    <row r="76" spans="1:12" x14ac:dyDescent="0.25">
      <c r="A76" s="10" t="s">
        <v>20</v>
      </c>
      <c r="B76" s="11" t="s">
        <v>180</v>
      </c>
      <c r="C76" s="11" t="s">
        <v>20</v>
      </c>
      <c r="D76" s="11" t="s">
        <v>181</v>
      </c>
      <c r="E76" s="11" t="s">
        <v>182</v>
      </c>
      <c r="F76" s="12">
        <v>141125</v>
      </c>
      <c r="G76" s="13">
        <v>6522.73</v>
      </c>
      <c r="H76" s="13">
        <v>0.12</v>
      </c>
      <c r="I76" s="14" t="s">
        <v>20</v>
      </c>
      <c r="J76" s="14" t="s">
        <v>20</v>
      </c>
      <c r="K76" s="15">
        <v>0.12</v>
      </c>
      <c r="L76" s="16">
        <v>0</v>
      </c>
    </row>
    <row r="77" spans="1:12" x14ac:dyDescent="0.25">
      <c r="A77" s="10" t="s">
        <v>20</v>
      </c>
      <c r="B77" s="11" t="s">
        <v>183</v>
      </c>
      <c r="C77" s="11" t="s">
        <v>20</v>
      </c>
      <c r="D77" s="11" t="s">
        <v>184</v>
      </c>
      <c r="E77" s="11" t="s">
        <v>35</v>
      </c>
      <c r="F77" s="12">
        <v>7027000</v>
      </c>
      <c r="G77" s="13">
        <v>6644.03</v>
      </c>
      <c r="H77" s="13">
        <v>0.12</v>
      </c>
      <c r="I77" s="14" t="s">
        <v>20</v>
      </c>
      <c r="J77" s="14" t="s">
        <v>20</v>
      </c>
      <c r="K77" s="15">
        <v>0</v>
      </c>
      <c r="L77" s="16">
        <v>0.12</v>
      </c>
    </row>
    <row r="78" spans="1:12" x14ac:dyDescent="0.25">
      <c r="A78" s="10" t="s">
        <v>20</v>
      </c>
      <c r="B78" s="11" t="s">
        <v>185</v>
      </c>
      <c r="C78" s="11" t="s">
        <v>20</v>
      </c>
      <c r="D78" s="11" t="s">
        <v>186</v>
      </c>
      <c r="E78" s="11" t="s">
        <v>110</v>
      </c>
      <c r="F78" s="12">
        <v>11839244</v>
      </c>
      <c r="G78" s="13">
        <v>6612.22</v>
      </c>
      <c r="H78" s="13">
        <v>0.12</v>
      </c>
      <c r="I78" s="14" t="s">
        <v>20</v>
      </c>
      <c r="J78" s="14" t="s">
        <v>20</v>
      </c>
      <c r="K78" s="15">
        <v>0</v>
      </c>
      <c r="L78" s="16">
        <v>0.12</v>
      </c>
    </row>
    <row r="79" spans="1:12" x14ac:dyDescent="0.25">
      <c r="A79" s="10" t="s">
        <v>20</v>
      </c>
      <c r="B79" s="11" t="s">
        <v>187</v>
      </c>
      <c r="C79" s="11" t="s">
        <v>20</v>
      </c>
      <c r="D79" s="11" t="s">
        <v>188</v>
      </c>
      <c r="E79" s="11" t="s">
        <v>189</v>
      </c>
      <c r="F79" s="12">
        <v>1462378</v>
      </c>
      <c r="G79" s="13">
        <v>5212.6499999999996</v>
      </c>
      <c r="H79" s="13">
        <v>0.09</v>
      </c>
      <c r="I79" s="14" t="s">
        <v>20</v>
      </c>
      <c r="J79" s="14" t="s">
        <v>20</v>
      </c>
      <c r="K79" s="15">
        <v>0</v>
      </c>
      <c r="L79" s="16">
        <v>0.09</v>
      </c>
    </row>
    <row r="80" spans="1:12" x14ac:dyDescent="0.25">
      <c r="A80" s="10" t="s">
        <v>20</v>
      </c>
      <c r="B80" s="11" t="s">
        <v>190</v>
      </c>
      <c r="C80" s="11" t="s">
        <v>20</v>
      </c>
      <c r="D80" s="11" t="s">
        <v>191</v>
      </c>
      <c r="E80" s="11" t="s">
        <v>82</v>
      </c>
      <c r="F80" s="12">
        <v>137200</v>
      </c>
      <c r="G80" s="13">
        <v>5037.92</v>
      </c>
      <c r="H80" s="13">
        <v>0.09</v>
      </c>
      <c r="I80" s="14" t="s">
        <v>20</v>
      </c>
      <c r="J80" s="14" t="s">
        <v>20</v>
      </c>
      <c r="K80" s="15">
        <v>0.09</v>
      </c>
      <c r="L80" s="16">
        <v>0</v>
      </c>
    </row>
    <row r="81" spans="1:12" x14ac:dyDescent="0.25">
      <c r="A81" s="10" t="s">
        <v>20</v>
      </c>
      <c r="B81" s="11" t="s">
        <v>192</v>
      </c>
      <c r="C81" s="11" t="s">
        <v>20</v>
      </c>
      <c r="D81" s="11" t="s">
        <v>193</v>
      </c>
      <c r="E81" s="11" t="s">
        <v>131</v>
      </c>
      <c r="F81" s="12">
        <v>758182</v>
      </c>
      <c r="G81" s="13">
        <v>4968.75</v>
      </c>
      <c r="H81" s="13">
        <v>0.09</v>
      </c>
      <c r="I81" s="14" t="s">
        <v>20</v>
      </c>
      <c r="J81" s="14" t="s">
        <v>20</v>
      </c>
      <c r="K81" s="15">
        <v>0</v>
      </c>
      <c r="L81" s="16">
        <v>0.09</v>
      </c>
    </row>
    <row r="82" spans="1:12" x14ac:dyDescent="0.25">
      <c r="A82" s="10" t="s">
        <v>20</v>
      </c>
      <c r="B82" s="11" t="s">
        <v>194</v>
      </c>
      <c r="C82" s="11" t="s">
        <v>20</v>
      </c>
      <c r="D82" s="11" t="s">
        <v>195</v>
      </c>
      <c r="E82" s="11" t="s">
        <v>38</v>
      </c>
      <c r="F82" s="12">
        <v>410400</v>
      </c>
      <c r="G82" s="13">
        <v>4578.22</v>
      </c>
      <c r="H82" s="13">
        <v>0.08</v>
      </c>
      <c r="I82" s="14" t="s">
        <v>20</v>
      </c>
      <c r="J82" s="14" t="s">
        <v>20</v>
      </c>
      <c r="K82" s="15">
        <v>0.08</v>
      </c>
      <c r="L82" s="16">
        <v>0</v>
      </c>
    </row>
    <row r="83" spans="1:12" x14ac:dyDescent="0.25">
      <c r="A83" s="10" t="s">
        <v>20</v>
      </c>
      <c r="B83" s="11" t="s">
        <v>196</v>
      </c>
      <c r="C83" s="11" t="s">
        <v>20</v>
      </c>
      <c r="D83" s="11" t="s">
        <v>197</v>
      </c>
      <c r="E83" s="11" t="s">
        <v>56</v>
      </c>
      <c r="F83" s="12">
        <v>904571</v>
      </c>
      <c r="G83" s="13">
        <v>4119.42</v>
      </c>
      <c r="H83" s="13">
        <v>7.0000000000000007E-2</v>
      </c>
      <c r="I83" s="14" t="s">
        <v>20</v>
      </c>
      <c r="J83" s="14" t="s">
        <v>20</v>
      </c>
      <c r="K83" s="15">
        <v>0</v>
      </c>
      <c r="L83" s="16">
        <v>7.0000000000000007E-2</v>
      </c>
    </row>
    <row r="84" spans="1:12" x14ac:dyDescent="0.25">
      <c r="A84" s="10" t="s">
        <v>20</v>
      </c>
      <c r="B84" s="11" t="s">
        <v>198</v>
      </c>
      <c r="C84" s="11" t="s">
        <v>20</v>
      </c>
      <c r="D84" s="11" t="s">
        <v>199</v>
      </c>
      <c r="E84" s="11" t="s">
        <v>125</v>
      </c>
      <c r="F84" s="12">
        <v>682049</v>
      </c>
      <c r="G84" s="13">
        <v>3219.27</v>
      </c>
      <c r="H84" s="13">
        <v>0.06</v>
      </c>
      <c r="I84" s="14" t="s">
        <v>20</v>
      </c>
      <c r="J84" s="14" t="s">
        <v>20</v>
      </c>
      <c r="K84" s="15">
        <v>0</v>
      </c>
      <c r="L84" s="16">
        <v>0.06</v>
      </c>
    </row>
    <row r="85" spans="1:12" x14ac:dyDescent="0.25">
      <c r="A85" s="10" t="s">
        <v>20</v>
      </c>
      <c r="B85" s="11" t="s">
        <v>200</v>
      </c>
      <c r="C85" s="11" t="s">
        <v>20</v>
      </c>
      <c r="D85" s="11" t="s">
        <v>201</v>
      </c>
      <c r="E85" s="11" t="s">
        <v>202</v>
      </c>
      <c r="F85" s="12">
        <v>811800</v>
      </c>
      <c r="G85" s="13">
        <v>3438.78</v>
      </c>
      <c r="H85" s="13">
        <v>0.06</v>
      </c>
      <c r="I85" s="14" t="s">
        <v>20</v>
      </c>
      <c r="J85" s="14" t="s">
        <v>20</v>
      </c>
      <c r="K85" s="15">
        <v>0.06</v>
      </c>
      <c r="L85" s="16">
        <v>0</v>
      </c>
    </row>
    <row r="86" spans="1:12" x14ac:dyDescent="0.25">
      <c r="A86" s="10" t="s">
        <v>20</v>
      </c>
      <c r="B86" s="11" t="s">
        <v>203</v>
      </c>
      <c r="C86" s="11" t="s">
        <v>20</v>
      </c>
      <c r="D86" s="11" t="s">
        <v>204</v>
      </c>
      <c r="E86" s="11" t="s">
        <v>89</v>
      </c>
      <c r="F86" s="12">
        <v>558800</v>
      </c>
      <c r="G86" s="13">
        <v>3310.05</v>
      </c>
      <c r="H86" s="13">
        <v>0.06</v>
      </c>
      <c r="I86" s="14" t="s">
        <v>20</v>
      </c>
      <c r="J86" s="14" t="s">
        <v>20</v>
      </c>
      <c r="K86" s="15">
        <v>0.06</v>
      </c>
      <c r="L86" s="16">
        <v>0</v>
      </c>
    </row>
    <row r="87" spans="1:12" x14ac:dyDescent="0.25">
      <c r="A87" s="10" t="s">
        <v>20</v>
      </c>
      <c r="B87" s="11" t="s">
        <v>205</v>
      </c>
      <c r="C87" s="11" t="s">
        <v>20</v>
      </c>
      <c r="D87" s="11" t="s">
        <v>206</v>
      </c>
      <c r="E87" s="11" t="s">
        <v>47</v>
      </c>
      <c r="F87" s="12">
        <v>11358810</v>
      </c>
      <c r="G87" s="13">
        <v>3248.62</v>
      </c>
      <c r="H87" s="13">
        <v>0.06</v>
      </c>
      <c r="I87" s="14" t="s">
        <v>20</v>
      </c>
      <c r="J87" s="14" t="s">
        <v>20</v>
      </c>
      <c r="K87" s="15">
        <v>0</v>
      </c>
      <c r="L87" s="16">
        <v>0.06</v>
      </c>
    </row>
    <row r="88" spans="1:12" x14ac:dyDescent="0.25">
      <c r="A88" s="10" t="s">
        <v>20</v>
      </c>
      <c r="B88" s="11" t="s">
        <v>207</v>
      </c>
      <c r="C88" s="11" t="s">
        <v>20</v>
      </c>
      <c r="D88" s="11" t="s">
        <v>208</v>
      </c>
      <c r="E88" s="11" t="s">
        <v>209</v>
      </c>
      <c r="F88" s="12">
        <v>4587241</v>
      </c>
      <c r="G88" s="13">
        <v>2688.12</v>
      </c>
      <c r="H88" s="13">
        <v>0.05</v>
      </c>
      <c r="I88" s="14" t="s">
        <v>20</v>
      </c>
      <c r="J88" s="14" t="s">
        <v>20</v>
      </c>
      <c r="K88" s="15">
        <v>0</v>
      </c>
      <c r="L88" s="16">
        <v>0.05</v>
      </c>
    </row>
    <row r="89" spans="1:12" x14ac:dyDescent="0.25">
      <c r="A89" s="10" t="s">
        <v>20</v>
      </c>
      <c r="B89" s="11" t="s">
        <v>210</v>
      </c>
      <c r="C89" s="11" t="s">
        <v>20</v>
      </c>
      <c r="D89" s="11" t="s">
        <v>211</v>
      </c>
      <c r="E89" s="11" t="s">
        <v>64</v>
      </c>
      <c r="F89" s="12">
        <v>64750</v>
      </c>
      <c r="G89" s="13">
        <v>2914.43</v>
      </c>
      <c r="H89" s="13">
        <v>0.05</v>
      </c>
      <c r="I89" s="14" t="s">
        <v>20</v>
      </c>
      <c r="J89" s="14" t="s">
        <v>20</v>
      </c>
      <c r="K89" s="15">
        <v>0.05</v>
      </c>
      <c r="L89" s="16">
        <v>0</v>
      </c>
    </row>
    <row r="90" spans="1:12" x14ac:dyDescent="0.25">
      <c r="A90" s="10" t="s">
        <v>20</v>
      </c>
      <c r="B90" s="11" t="s">
        <v>212</v>
      </c>
      <c r="C90" s="11" t="s">
        <v>20</v>
      </c>
      <c r="D90" s="11" t="s">
        <v>213</v>
      </c>
      <c r="E90" s="11" t="s">
        <v>47</v>
      </c>
      <c r="F90" s="12">
        <v>800000</v>
      </c>
      <c r="G90" s="13">
        <v>2996.8</v>
      </c>
      <c r="H90" s="13">
        <v>0.05</v>
      </c>
      <c r="I90" s="14" t="s">
        <v>20</v>
      </c>
      <c r="J90" s="14" t="s">
        <v>20</v>
      </c>
      <c r="K90" s="15">
        <v>0</v>
      </c>
      <c r="L90" s="16">
        <v>0.05</v>
      </c>
    </row>
    <row r="91" spans="1:12" x14ac:dyDescent="0.25">
      <c r="A91" s="10" t="s">
        <v>20</v>
      </c>
      <c r="B91" s="11" t="s">
        <v>214</v>
      </c>
      <c r="C91" s="11" t="s">
        <v>20</v>
      </c>
      <c r="D91" s="11" t="s">
        <v>215</v>
      </c>
      <c r="E91" s="11" t="s">
        <v>141</v>
      </c>
      <c r="F91" s="12">
        <v>95400</v>
      </c>
      <c r="G91" s="13">
        <v>2263.37</v>
      </c>
      <c r="H91" s="13">
        <v>0.04</v>
      </c>
      <c r="I91" s="14" t="s">
        <v>20</v>
      </c>
      <c r="J91" s="14" t="s">
        <v>20</v>
      </c>
      <c r="K91" s="15">
        <v>0.04</v>
      </c>
      <c r="L91" s="16">
        <v>0</v>
      </c>
    </row>
    <row r="92" spans="1:12" x14ac:dyDescent="0.25">
      <c r="A92" s="10" t="s">
        <v>20</v>
      </c>
      <c r="B92" s="11" t="s">
        <v>216</v>
      </c>
      <c r="C92" s="11" t="s">
        <v>20</v>
      </c>
      <c r="D92" s="11" t="s">
        <v>217</v>
      </c>
      <c r="E92" s="11" t="s">
        <v>202</v>
      </c>
      <c r="F92" s="12">
        <v>27800</v>
      </c>
      <c r="G92" s="13">
        <v>2187.87</v>
      </c>
      <c r="H92" s="13">
        <v>0.04</v>
      </c>
      <c r="I92" s="14" t="s">
        <v>20</v>
      </c>
      <c r="J92" s="14" t="s">
        <v>20</v>
      </c>
      <c r="K92" s="15">
        <v>0.04</v>
      </c>
      <c r="L92" s="16">
        <v>0</v>
      </c>
    </row>
    <row r="93" spans="1:12" x14ac:dyDescent="0.25">
      <c r="A93" s="10" t="s">
        <v>20</v>
      </c>
      <c r="B93" s="11" t="s">
        <v>218</v>
      </c>
      <c r="C93" s="11" t="s">
        <v>20</v>
      </c>
      <c r="D93" s="11" t="s">
        <v>219</v>
      </c>
      <c r="E93" s="11" t="s">
        <v>41</v>
      </c>
      <c r="F93" s="12">
        <v>1113681</v>
      </c>
      <c r="G93" s="13">
        <v>1716.74</v>
      </c>
      <c r="H93" s="13">
        <v>0.03</v>
      </c>
      <c r="I93" s="14" t="s">
        <v>20</v>
      </c>
      <c r="J93" s="14" t="s">
        <v>20</v>
      </c>
      <c r="K93" s="15">
        <v>0</v>
      </c>
      <c r="L93" s="16">
        <v>0.03</v>
      </c>
    </row>
    <row r="94" spans="1:12" x14ac:dyDescent="0.25">
      <c r="A94" s="10" t="s">
        <v>20</v>
      </c>
      <c r="B94" s="11" t="s">
        <v>220</v>
      </c>
      <c r="C94" s="11" t="s">
        <v>20</v>
      </c>
      <c r="D94" s="11" t="s">
        <v>221</v>
      </c>
      <c r="E94" s="11" t="s">
        <v>154</v>
      </c>
      <c r="F94" s="12">
        <v>458949</v>
      </c>
      <c r="G94" s="13">
        <v>1395.43</v>
      </c>
      <c r="H94" s="13">
        <v>0.03</v>
      </c>
      <c r="I94" s="14" t="s">
        <v>20</v>
      </c>
      <c r="J94" s="14" t="s">
        <v>20</v>
      </c>
      <c r="K94" s="15">
        <v>0</v>
      </c>
      <c r="L94" s="16">
        <v>0.03</v>
      </c>
    </row>
    <row r="95" spans="1:12" x14ac:dyDescent="0.25">
      <c r="A95" s="10" t="s">
        <v>20</v>
      </c>
      <c r="B95" s="11" t="s">
        <v>222</v>
      </c>
      <c r="C95" s="11" t="s">
        <v>20</v>
      </c>
      <c r="D95" s="11" t="s">
        <v>223</v>
      </c>
      <c r="E95" s="11" t="s">
        <v>224</v>
      </c>
      <c r="F95" s="12">
        <v>342500</v>
      </c>
      <c r="G95" s="13">
        <v>1771.58</v>
      </c>
      <c r="H95" s="13">
        <v>0.03</v>
      </c>
      <c r="I95" s="14" t="s">
        <v>20</v>
      </c>
      <c r="J95" s="14" t="s">
        <v>20</v>
      </c>
      <c r="K95" s="15">
        <v>0.03</v>
      </c>
      <c r="L95" s="16">
        <v>0</v>
      </c>
    </row>
    <row r="96" spans="1:12" x14ac:dyDescent="0.25">
      <c r="A96" s="10" t="s">
        <v>20</v>
      </c>
      <c r="B96" s="11" t="s">
        <v>225</v>
      </c>
      <c r="C96" s="11" t="s">
        <v>20</v>
      </c>
      <c r="D96" s="11" t="s">
        <v>226</v>
      </c>
      <c r="E96" s="11" t="s">
        <v>22</v>
      </c>
      <c r="F96" s="12">
        <v>3216000</v>
      </c>
      <c r="G96" s="13">
        <v>1667.5</v>
      </c>
      <c r="H96" s="13">
        <v>0.03</v>
      </c>
      <c r="I96" s="14" t="s">
        <v>20</v>
      </c>
      <c r="J96" s="14" t="s">
        <v>20</v>
      </c>
      <c r="K96" s="15">
        <v>0.03</v>
      </c>
      <c r="L96" s="16">
        <v>0</v>
      </c>
    </row>
    <row r="97" spans="1:12" x14ac:dyDescent="0.25">
      <c r="A97" s="10" t="s">
        <v>20</v>
      </c>
      <c r="B97" s="11" t="s">
        <v>227</v>
      </c>
      <c r="C97" s="11" t="s">
        <v>20</v>
      </c>
      <c r="D97" s="11" t="s">
        <v>228</v>
      </c>
      <c r="E97" s="11" t="s">
        <v>224</v>
      </c>
      <c r="F97" s="12">
        <v>1606000</v>
      </c>
      <c r="G97" s="13">
        <v>1699.15</v>
      </c>
      <c r="H97" s="13">
        <v>0.03</v>
      </c>
      <c r="I97" s="14" t="s">
        <v>20</v>
      </c>
      <c r="J97" s="14" t="s">
        <v>20</v>
      </c>
      <c r="K97" s="15">
        <v>0.03</v>
      </c>
      <c r="L97" s="16">
        <v>0</v>
      </c>
    </row>
    <row r="98" spans="1:12" x14ac:dyDescent="0.25">
      <c r="A98" s="10" t="s">
        <v>20</v>
      </c>
      <c r="B98" s="11" t="s">
        <v>229</v>
      </c>
      <c r="C98" s="11" t="s">
        <v>20</v>
      </c>
      <c r="D98" s="11" t="s">
        <v>230</v>
      </c>
      <c r="E98" s="11" t="s">
        <v>202</v>
      </c>
      <c r="F98" s="12">
        <v>58250</v>
      </c>
      <c r="G98" s="13">
        <v>1035.22</v>
      </c>
      <c r="H98" s="13">
        <v>0.02</v>
      </c>
      <c r="I98" s="14" t="s">
        <v>20</v>
      </c>
      <c r="J98" s="14" t="s">
        <v>20</v>
      </c>
      <c r="K98" s="15">
        <v>0.02</v>
      </c>
      <c r="L98" s="16">
        <v>0</v>
      </c>
    </row>
    <row r="99" spans="1:12" x14ac:dyDescent="0.25">
      <c r="A99" s="10" t="s">
        <v>20</v>
      </c>
      <c r="B99" s="11" t="s">
        <v>231</v>
      </c>
      <c r="C99" s="11" t="s">
        <v>20</v>
      </c>
      <c r="D99" s="11" t="s">
        <v>232</v>
      </c>
      <c r="E99" s="11" t="s">
        <v>101</v>
      </c>
      <c r="F99" s="12">
        <v>1648500</v>
      </c>
      <c r="G99" s="13">
        <v>1350.12</v>
      </c>
      <c r="H99" s="13">
        <v>0.02</v>
      </c>
      <c r="I99" s="14" t="s">
        <v>20</v>
      </c>
      <c r="J99" s="14" t="s">
        <v>20</v>
      </c>
      <c r="K99" s="15">
        <v>0.02</v>
      </c>
      <c r="L99" s="16">
        <v>0</v>
      </c>
    </row>
    <row r="100" spans="1:12" x14ac:dyDescent="0.25">
      <c r="A100" s="10" t="s">
        <v>20</v>
      </c>
      <c r="B100" s="11" t="s">
        <v>233</v>
      </c>
      <c r="C100" s="11" t="s">
        <v>20</v>
      </c>
      <c r="D100" s="11" t="s">
        <v>234</v>
      </c>
      <c r="E100" s="11" t="s">
        <v>235</v>
      </c>
      <c r="F100" s="12">
        <v>29200</v>
      </c>
      <c r="G100" s="13">
        <v>1359.86</v>
      </c>
      <c r="H100" s="13">
        <v>0.02</v>
      </c>
      <c r="I100" s="14" t="s">
        <v>20</v>
      </c>
      <c r="J100" s="14" t="s">
        <v>20</v>
      </c>
      <c r="K100" s="15">
        <v>0.02</v>
      </c>
      <c r="L100" s="16">
        <v>0</v>
      </c>
    </row>
    <row r="101" spans="1:12" x14ac:dyDescent="0.25">
      <c r="A101" s="10" t="s">
        <v>20</v>
      </c>
      <c r="B101" s="11" t="s">
        <v>236</v>
      </c>
      <c r="C101" s="11" t="s">
        <v>20</v>
      </c>
      <c r="D101" s="11" t="s">
        <v>237</v>
      </c>
      <c r="E101" s="11" t="s">
        <v>238</v>
      </c>
      <c r="F101" s="12">
        <v>155000</v>
      </c>
      <c r="G101" s="13">
        <v>860.87</v>
      </c>
      <c r="H101" s="13">
        <v>0.02</v>
      </c>
      <c r="I101" s="14" t="s">
        <v>20</v>
      </c>
      <c r="J101" s="14" t="s">
        <v>20</v>
      </c>
      <c r="K101" s="15">
        <v>0.02</v>
      </c>
      <c r="L101" s="16">
        <v>0</v>
      </c>
    </row>
    <row r="102" spans="1:12" x14ac:dyDescent="0.25">
      <c r="A102" s="10" t="s">
        <v>20</v>
      </c>
      <c r="B102" s="11" t="s">
        <v>239</v>
      </c>
      <c r="C102" s="11" t="s">
        <v>20</v>
      </c>
      <c r="D102" s="11" t="s">
        <v>240</v>
      </c>
      <c r="E102" s="11" t="s">
        <v>241</v>
      </c>
      <c r="F102" s="12">
        <v>272250</v>
      </c>
      <c r="G102" s="13">
        <v>1292.92</v>
      </c>
      <c r="H102" s="13">
        <v>0.02</v>
      </c>
      <c r="I102" s="14" t="s">
        <v>20</v>
      </c>
      <c r="J102" s="14" t="s">
        <v>20</v>
      </c>
      <c r="K102" s="15">
        <v>0.02</v>
      </c>
      <c r="L102" s="16">
        <v>0</v>
      </c>
    </row>
    <row r="103" spans="1:12" x14ac:dyDescent="0.25">
      <c r="A103" s="10" t="s">
        <v>20</v>
      </c>
      <c r="B103" s="11" t="s">
        <v>242</v>
      </c>
      <c r="C103" s="11" t="s">
        <v>20</v>
      </c>
      <c r="D103" s="11" t="s">
        <v>243</v>
      </c>
      <c r="E103" s="11" t="s">
        <v>202</v>
      </c>
      <c r="F103" s="12">
        <v>63650</v>
      </c>
      <c r="G103" s="13">
        <v>1093.73</v>
      </c>
      <c r="H103" s="13">
        <v>0.02</v>
      </c>
      <c r="I103" s="14" t="s">
        <v>20</v>
      </c>
      <c r="J103" s="14" t="s">
        <v>20</v>
      </c>
      <c r="K103" s="15">
        <v>0.02</v>
      </c>
      <c r="L103" s="16">
        <v>0</v>
      </c>
    </row>
    <row r="104" spans="1:12" x14ac:dyDescent="0.25">
      <c r="A104" s="10" t="s">
        <v>20</v>
      </c>
      <c r="B104" s="11" t="s">
        <v>244</v>
      </c>
      <c r="C104" s="11" t="s">
        <v>20</v>
      </c>
      <c r="D104" s="11" t="s">
        <v>245</v>
      </c>
      <c r="E104" s="11" t="s">
        <v>89</v>
      </c>
      <c r="F104" s="12">
        <v>199500</v>
      </c>
      <c r="G104" s="13">
        <v>929.67</v>
      </c>
      <c r="H104" s="13">
        <v>0.02</v>
      </c>
      <c r="I104" s="14" t="s">
        <v>20</v>
      </c>
      <c r="J104" s="14" t="s">
        <v>20</v>
      </c>
      <c r="K104" s="15">
        <v>0.02</v>
      </c>
      <c r="L104" s="16">
        <v>0</v>
      </c>
    </row>
    <row r="105" spans="1:12" x14ac:dyDescent="0.25">
      <c r="A105" s="10" t="s">
        <v>20</v>
      </c>
      <c r="B105" s="11" t="s">
        <v>246</v>
      </c>
      <c r="C105" s="11" t="s">
        <v>20</v>
      </c>
      <c r="D105" s="11" t="s">
        <v>247</v>
      </c>
      <c r="E105" s="11" t="s">
        <v>248</v>
      </c>
      <c r="F105" s="12">
        <v>232000</v>
      </c>
      <c r="G105" s="13">
        <v>904.1</v>
      </c>
      <c r="H105" s="13">
        <v>0.02</v>
      </c>
      <c r="I105" s="14" t="s">
        <v>20</v>
      </c>
      <c r="J105" s="14" t="s">
        <v>20</v>
      </c>
      <c r="K105" s="15">
        <v>0.02</v>
      </c>
      <c r="L105" s="16">
        <v>0</v>
      </c>
    </row>
    <row r="106" spans="1:12" x14ac:dyDescent="0.25">
      <c r="A106" s="10" t="s">
        <v>20</v>
      </c>
      <c r="B106" s="11" t="s">
        <v>249</v>
      </c>
      <c r="C106" s="11" t="s">
        <v>20</v>
      </c>
      <c r="D106" s="11" t="s">
        <v>250</v>
      </c>
      <c r="E106" s="11" t="s">
        <v>98</v>
      </c>
      <c r="F106" s="12">
        <v>8083148</v>
      </c>
      <c r="G106" s="13">
        <v>1010.39</v>
      </c>
      <c r="H106" s="13">
        <v>0.02</v>
      </c>
      <c r="I106" s="14" t="s">
        <v>20</v>
      </c>
      <c r="J106" s="14" t="s">
        <v>20</v>
      </c>
      <c r="K106" s="15">
        <v>0</v>
      </c>
      <c r="L106" s="16">
        <v>0.02</v>
      </c>
    </row>
    <row r="107" spans="1:12" x14ac:dyDescent="0.25">
      <c r="A107" s="10" t="s">
        <v>20</v>
      </c>
      <c r="B107" s="11" t="s">
        <v>251</v>
      </c>
      <c r="C107" s="11" t="s">
        <v>20</v>
      </c>
      <c r="D107" s="11" t="s">
        <v>252</v>
      </c>
      <c r="E107" s="11" t="s">
        <v>38</v>
      </c>
      <c r="F107" s="12">
        <v>569833</v>
      </c>
      <c r="G107" s="13">
        <v>1237.96</v>
      </c>
      <c r="H107" s="13">
        <v>0.02</v>
      </c>
      <c r="I107" s="14" t="s">
        <v>20</v>
      </c>
      <c r="J107" s="14" t="s">
        <v>20</v>
      </c>
      <c r="K107" s="15">
        <v>0</v>
      </c>
      <c r="L107" s="16">
        <v>0.02</v>
      </c>
    </row>
    <row r="108" spans="1:12" x14ac:dyDescent="0.25">
      <c r="A108" s="10" t="s">
        <v>20</v>
      </c>
      <c r="B108" s="11" t="s">
        <v>253</v>
      </c>
      <c r="C108" s="11" t="s">
        <v>20</v>
      </c>
      <c r="D108" s="11" t="s">
        <v>254</v>
      </c>
      <c r="E108" s="11" t="s">
        <v>224</v>
      </c>
      <c r="F108" s="12">
        <v>1600000</v>
      </c>
      <c r="G108" s="13">
        <v>1320</v>
      </c>
      <c r="H108" s="13">
        <v>0.02</v>
      </c>
      <c r="I108" s="14" t="s">
        <v>20</v>
      </c>
      <c r="J108" s="14" t="s">
        <v>20</v>
      </c>
      <c r="K108" s="15">
        <v>0.02</v>
      </c>
      <c r="L108" s="16">
        <v>0</v>
      </c>
    </row>
    <row r="109" spans="1:12" x14ac:dyDescent="0.25">
      <c r="A109" s="10" t="s">
        <v>20</v>
      </c>
      <c r="B109" s="11" t="s">
        <v>255</v>
      </c>
      <c r="C109" s="11" t="s">
        <v>20</v>
      </c>
      <c r="D109" s="11" t="s">
        <v>256</v>
      </c>
      <c r="E109" s="11" t="s">
        <v>35</v>
      </c>
      <c r="F109" s="12">
        <v>499500</v>
      </c>
      <c r="G109" s="13">
        <v>1066.68</v>
      </c>
      <c r="H109" s="13">
        <v>0.02</v>
      </c>
      <c r="I109" s="14" t="s">
        <v>20</v>
      </c>
      <c r="J109" s="14" t="s">
        <v>20</v>
      </c>
      <c r="K109" s="15">
        <v>0.02</v>
      </c>
      <c r="L109" s="16">
        <v>0</v>
      </c>
    </row>
    <row r="110" spans="1:12" x14ac:dyDescent="0.25">
      <c r="A110" s="10" t="s">
        <v>20</v>
      </c>
      <c r="B110" s="11" t="s">
        <v>257</v>
      </c>
      <c r="C110" s="11" t="s">
        <v>20</v>
      </c>
      <c r="D110" s="11" t="s">
        <v>258</v>
      </c>
      <c r="E110" s="11" t="s">
        <v>259</v>
      </c>
      <c r="F110" s="12">
        <v>98125</v>
      </c>
      <c r="G110" s="13">
        <v>866.93</v>
      </c>
      <c r="H110" s="13">
        <v>0.02</v>
      </c>
      <c r="I110" s="14" t="s">
        <v>20</v>
      </c>
      <c r="J110" s="14" t="s">
        <v>20</v>
      </c>
      <c r="K110" s="15">
        <v>0.02</v>
      </c>
      <c r="L110" s="16">
        <v>0</v>
      </c>
    </row>
    <row r="111" spans="1:12" x14ac:dyDescent="0.25">
      <c r="A111" s="10" t="s">
        <v>20</v>
      </c>
      <c r="B111" s="11" t="s">
        <v>260</v>
      </c>
      <c r="C111" s="11" t="s">
        <v>20</v>
      </c>
      <c r="D111" s="11" t="s">
        <v>261</v>
      </c>
      <c r="E111" s="11" t="s">
        <v>262</v>
      </c>
      <c r="F111" s="12">
        <v>141700</v>
      </c>
      <c r="G111" s="13">
        <v>970.79</v>
      </c>
      <c r="H111" s="13">
        <v>0.02</v>
      </c>
      <c r="I111" s="14" t="s">
        <v>20</v>
      </c>
      <c r="J111" s="14" t="s">
        <v>20</v>
      </c>
      <c r="K111" s="15">
        <v>0.02</v>
      </c>
      <c r="L111" s="16">
        <v>0</v>
      </c>
    </row>
    <row r="112" spans="1:12" x14ac:dyDescent="0.25">
      <c r="A112" s="10" t="s">
        <v>20</v>
      </c>
      <c r="B112" s="11" t="s">
        <v>263</v>
      </c>
      <c r="C112" s="11" t="s">
        <v>20</v>
      </c>
      <c r="D112" s="11" t="s">
        <v>264</v>
      </c>
      <c r="E112" s="11" t="s">
        <v>238</v>
      </c>
      <c r="F112" s="12">
        <v>68000</v>
      </c>
      <c r="G112" s="13">
        <v>719.68</v>
      </c>
      <c r="H112" s="13">
        <v>0.01</v>
      </c>
      <c r="I112" s="14" t="s">
        <v>20</v>
      </c>
      <c r="J112" s="14" t="s">
        <v>20</v>
      </c>
      <c r="K112" s="15">
        <v>0.01</v>
      </c>
      <c r="L112" s="16">
        <v>0</v>
      </c>
    </row>
    <row r="113" spans="1:12" x14ac:dyDescent="0.25">
      <c r="A113" s="10" t="s">
        <v>20</v>
      </c>
      <c r="B113" s="11" t="s">
        <v>265</v>
      </c>
      <c r="C113" s="11" t="s">
        <v>20</v>
      </c>
      <c r="D113" s="11" t="s">
        <v>266</v>
      </c>
      <c r="E113" s="11" t="s">
        <v>38</v>
      </c>
      <c r="F113" s="12">
        <v>32200</v>
      </c>
      <c r="G113" s="13">
        <v>368.72</v>
      </c>
      <c r="H113" s="13">
        <v>0.01</v>
      </c>
      <c r="I113" s="14" t="s">
        <v>20</v>
      </c>
      <c r="J113" s="14" t="s">
        <v>20</v>
      </c>
      <c r="K113" s="15" t="s">
        <v>61</v>
      </c>
      <c r="L113" s="16">
        <v>0</v>
      </c>
    </row>
    <row r="114" spans="1:12" x14ac:dyDescent="0.25">
      <c r="A114" s="10" t="s">
        <v>20</v>
      </c>
      <c r="B114" s="11" t="s">
        <v>267</v>
      </c>
      <c r="C114" s="11" t="s">
        <v>20</v>
      </c>
      <c r="D114" s="11" t="s">
        <v>268</v>
      </c>
      <c r="E114" s="11" t="s">
        <v>269</v>
      </c>
      <c r="F114" s="12">
        <v>90900</v>
      </c>
      <c r="G114" s="13">
        <v>725.97</v>
      </c>
      <c r="H114" s="13">
        <v>0.01</v>
      </c>
      <c r="I114" s="14" t="s">
        <v>20</v>
      </c>
      <c r="J114" s="14" t="s">
        <v>20</v>
      </c>
      <c r="K114" s="15">
        <v>0.01</v>
      </c>
      <c r="L114" s="16">
        <v>0</v>
      </c>
    </row>
    <row r="115" spans="1:12" x14ac:dyDescent="0.25">
      <c r="A115" s="10" t="s">
        <v>20</v>
      </c>
      <c r="B115" s="11" t="s">
        <v>270</v>
      </c>
      <c r="C115" s="11" t="s">
        <v>20</v>
      </c>
      <c r="D115" s="11" t="s">
        <v>271</v>
      </c>
      <c r="E115" s="11" t="s">
        <v>131</v>
      </c>
      <c r="F115" s="12">
        <v>743</v>
      </c>
      <c r="G115" s="13">
        <v>13.53</v>
      </c>
      <c r="H115" s="13" t="s">
        <v>61</v>
      </c>
      <c r="I115" s="14" t="s">
        <v>20</v>
      </c>
      <c r="J115" s="14" t="s">
        <v>20</v>
      </c>
      <c r="K115" s="15" t="s">
        <v>61</v>
      </c>
      <c r="L115" s="16">
        <v>0</v>
      </c>
    </row>
    <row r="116" spans="1:12" x14ac:dyDescent="0.25">
      <c r="A116" s="10" t="s">
        <v>20</v>
      </c>
      <c r="B116" s="11" t="s">
        <v>272</v>
      </c>
      <c r="C116" s="11" t="s">
        <v>20</v>
      </c>
      <c r="D116" s="11" t="s">
        <v>273</v>
      </c>
      <c r="E116" s="11" t="s">
        <v>22</v>
      </c>
      <c r="F116" s="12">
        <v>14400</v>
      </c>
      <c r="G116" s="13">
        <v>38.590000000000003</v>
      </c>
      <c r="H116" s="13" t="s">
        <v>61</v>
      </c>
      <c r="I116" s="14" t="s">
        <v>20</v>
      </c>
      <c r="J116" s="14" t="s">
        <v>20</v>
      </c>
      <c r="K116" s="15" t="s">
        <v>61</v>
      </c>
      <c r="L116" s="16">
        <v>0</v>
      </c>
    </row>
    <row r="117" spans="1:12" x14ac:dyDescent="0.25">
      <c r="A117" s="10" t="s">
        <v>20</v>
      </c>
      <c r="B117" s="11" t="s">
        <v>274</v>
      </c>
      <c r="C117" s="11" t="s">
        <v>20</v>
      </c>
      <c r="D117" s="11" t="s">
        <v>275</v>
      </c>
      <c r="E117" s="11" t="s">
        <v>64</v>
      </c>
      <c r="F117" s="12">
        <v>2300</v>
      </c>
      <c r="G117" s="13">
        <v>5.64</v>
      </c>
      <c r="H117" s="13" t="s">
        <v>61</v>
      </c>
      <c r="I117" s="14" t="s">
        <v>20</v>
      </c>
      <c r="J117" s="14" t="s">
        <v>20</v>
      </c>
      <c r="K117" s="15" t="s">
        <v>61</v>
      </c>
      <c r="L117" s="16">
        <v>0</v>
      </c>
    </row>
    <row r="118" spans="1:12" x14ac:dyDescent="0.25">
      <c r="A118" s="10" t="s">
        <v>20</v>
      </c>
      <c r="B118" s="11" t="s">
        <v>276</v>
      </c>
      <c r="C118" s="11" t="s">
        <v>20</v>
      </c>
      <c r="D118" s="11" t="s">
        <v>277</v>
      </c>
      <c r="E118" s="11" t="s">
        <v>202</v>
      </c>
      <c r="F118" s="12">
        <v>17400</v>
      </c>
      <c r="G118" s="13">
        <v>35.21</v>
      </c>
      <c r="H118" s="13" t="s">
        <v>61</v>
      </c>
      <c r="I118" s="14" t="s">
        <v>20</v>
      </c>
      <c r="J118" s="14" t="s">
        <v>20</v>
      </c>
      <c r="K118" s="15" t="s">
        <v>61</v>
      </c>
      <c r="L118" s="16">
        <v>0</v>
      </c>
    </row>
    <row r="119" spans="1:12" x14ac:dyDescent="0.25">
      <c r="A119" s="10" t="s">
        <v>20</v>
      </c>
      <c r="B119" s="11" t="s">
        <v>278</v>
      </c>
      <c r="C119" s="11" t="s">
        <v>20</v>
      </c>
      <c r="D119" s="11" t="s">
        <v>279</v>
      </c>
      <c r="E119" s="11" t="s">
        <v>44</v>
      </c>
      <c r="F119" s="12">
        <v>78000</v>
      </c>
      <c r="G119" s="13">
        <v>70.2</v>
      </c>
      <c r="H119" s="13" t="s">
        <v>61</v>
      </c>
      <c r="I119" s="14" t="s">
        <v>20</v>
      </c>
      <c r="J119" s="14" t="s">
        <v>20</v>
      </c>
      <c r="K119" s="15" t="s">
        <v>61</v>
      </c>
      <c r="L119" s="16">
        <v>0</v>
      </c>
    </row>
    <row r="120" spans="1:12" x14ac:dyDescent="0.25">
      <c r="A120" s="10" t="s">
        <v>20</v>
      </c>
      <c r="B120" s="11" t="s">
        <v>280</v>
      </c>
      <c r="C120" s="11" t="s">
        <v>20</v>
      </c>
      <c r="D120" s="11" t="s">
        <v>281</v>
      </c>
      <c r="E120" s="11" t="s">
        <v>282</v>
      </c>
      <c r="F120" s="12">
        <v>250</v>
      </c>
      <c r="G120" s="13">
        <v>10.18</v>
      </c>
      <c r="H120" s="13" t="s">
        <v>61</v>
      </c>
      <c r="I120" s="14" t="s">
        <v>20</v>
      </c>
      <c r="J120" s="14" t="s">
        <v>20</v>
      </c>
      <c r="K120" s="15" t="s">
        <v>61</v>
      </c>
      <c r="L120" s="16">
        <v>0</v>
      </c>
    </row>
    <row r="121" spans="1:12" x14ac:dyDescent="0.25">
      <c r="A121" s="10" t="s">
        <v>20</v>
      </c>
      <c r="B121" s="11" t="s">
        <v>283</v>
      </c>
      <c r="C121" s="11" t="s">
        <v>20</v>
      </c>
      <c r="D121" s="11" t="s">
        <v>284</v>
      </c>
      <c r="E121" s="11" t="s">
        <v>224</v>
      </c>
      <c r="F121" s="12">
        <v>24300</v>
      </c>
      <c r="G121" s="13">
        <v>169.2</v>
      </c>
      <c r="H121" s="13" t="s">
        <v>61</v>
      </c>
      <c r="I121" s="14" t="s">
        <v>20</v>
      </c>
      <c r="J121" s="14" t="s">
        <v>20</v>
      </c>
      <c r="K121" s="15" t="s">
        <v>61</v>
      </c>
      <c r="L121" s="16">
        <v>0</v>
      </c>
    </row>
    <row r="122" spans="1:12" x14ac:dyDescent="0.25">
      <c r="A122" s="10" t="s">
        <v>20</v>
      </c>
      <c r="B122" s="11" t="s">
        <v>285</v>
      </c>
      <c r="C122" s="11" t="s">
        <v>20</v>
      </c>
      <c r="D122" s="11" t="s">
        <v>286</v>
      </c>
      <c r="E122" s="11" t="s">
        <v>64</v>
      </c>
      <c r="F122" s="12">
        <v>15400</v>
      </c>
      <c r="G122" s="13">
        <v>50.93</v>
      </c>
      <c r="H122" s="13" t="s">
        <v>61</v>
      </c>
      <c r="I122" s="14" t="s">
        <v>20</v>
      </c>
      <c r="J122" s="14" t="s">
        <v>20</v>
      </c>
      <c r="K122" s="15" t="s">
        <v>61</v>
      </c>
      <c r="L122" s="16">
        <v>0</v>
      </c>
    </row>
    <row r="123" spans="1:12" x14ac:dyDescent="0.25">
      <c r="A123" s="10" t="s">
        <v>20</v>
      </c>
      <c r="B123" s="11" t="s">
        <v>287</v>
      </c>
      <c r="C123" s="11" t="s">
        <v>20</v>
      </c>
      <c r="D123" s="11" t="s">
        <v>288</v>
      </c>
      <c r="E123" s="11" t="s">
        <v>41</v>
      </c>
      <c r="F123" s="12">
        <v>14000</v>
      </c>
      <c r="G123" s="13">
        <v>52.08</v>
      </c>
      <c r="H123" s="13" t="s">
        <v>61</v>
      </c>
      <c r="I123" s="14" t="s">
        <v>20</v>
      </c>
      <c r="J123" s="14" t="s">
        <v>20</v>
      </c>
      <c r="K123" s="15" t="s">
        <v>61</v>
      </c>
      <c r="L123" s="16">
        <v>0</v>
      </c>
    </row>
    <row r="124" spans="1:12" x14ac:dyDescent="0.25">
      <c r="A124" s="10" t="s">
        <v>20</v>
      </c>
      <c r="B124" s="11" t="s">
        <v>289</v>
      </c>
      <c r="C124" s="11" t="s">
        <v>20</v>
      </c>
      <c r="D124" s="11" t="s">
        <v>290</v>
      </c>
      <c r="E124" s="11" t="s">
        <v>235</v>
      </c>
      <c r="F124" s="12">
        <v>280</v>
      </c>
      <c r="G124" s="13">
        <v>60.68</v>
      </c>
      <c r="H124" s="13" t="s">
        <v>61</v>
      </c>
      <c r="I124" s="14" t="s">
        <v>20</v>
      </c>
      <c r="J124" s="14" t="s">
        <v>20</v>
      </c>
      <c r="K124" s="15" t="s">
        <v>61</v>
      </c>
      <c r="L124" s="16">
        <v>0</v>
      </c>
    </row>
    <row r="125" spans="1:12" x14ac:dyDescent="0.25">
      <c r="A125" s="10" t="s">
        <v>20</v>
      </c>
      <c r="B125" s="11" t="s">
        <v>291</v>
      </c>
      <c r="C125" s="11" t="s">
        <v>20</v>
      </c>
      <c r="D125" s="11" t="s">
        <v>292</v>
      </c>
      <c r="E125" s="11" t="s">
        <v>241</v>
      </c>
      <c r="F125" s="12">
        <v>9100</v>
      </c>
      <c r="G125" s="13">
        <v>84.7</v>
      </c>
      <c r="H125" s="13" t="s">
        <v>61</v>
      </c>
      <c r="I125" s="14" t="s">
        <v>20</v>
      </c>
      <c r="J125" s="14" t="s">
        <v>20</v>
      </c>
      <c r="K125" s="15" t="s">
        <v>61</v>
      </c>
      <c r="L125" s="16">
        <v>0</v>
      </c>
    </row>
    <row r="126" spans="1:12" x14ac:dyDescent="0.25">
      <c r="A126" s="10" t="s">
        <v>20</v>
      </c>
      <c r="B126" s="11" t="s">
        <v>293</v>
      </c>
      <c r="C126" s="11" t="s">
        <v>20</v>
      </c>
      <c r="D126" s="11" t="s">
        <v>294</v>
      </c>
      <c r="E126" s="11" t="s">
        <v>67</v>
      </c>
      <c r="F126" s="12">
        <v>87000</v>
      </c>
      <c r="G126" s="13">
        <v>196.49</v>
      </c>
      <c r="H126" s="13" t="s">
        <v>61</v>
      </c>
      <c r="I126" s="14" t="s">
        <v>20</v>
      </c>
      <c r="J126" s="14" t="s">
        <v>20</v>
      </c>
      <c r="K126" s="15" t="s">
        <v>61</v>
      </c>
      <c r="L126" s="16">
        <v>0</v>
      </c>
    </row>
    <row r="127" spans="1:12" x14ac:dyDescent="0.25">
      <c r="A127" s="10" t="s">
        <v>20</v>
      </c>
      <c r="B127" s="11" t="s">
        <v>295</v>
      </c>
      <c r="C127" s="11" t="s">
        <v>20</v>
      </c>
      <c r="D127" s="11" t="s">
        <v>296</v>
      </c>
      <c r="E127" s="11" t="s">
        <v>41</v>
      </c>
      <c r="F127" s="12">
        <v>34650</v>
      </c>
      <c r="G127" s="13">
        <v>267.24</v>
      </c>
      <c r="H127" s="13" t="s">
        <v>61</v>
      </c>
      <c r="I127" s="14" t="s">
        <v>20</v>
      </c>
      <c r="J127" s="14" t="s">
        <v>20</v>
      </c>
      <c r="K127" s="15" t="s">
        <v>61</v>
      </c>
      <c r="L127" s="16">
        <v>0</v>
      </c>
    </row>
    <row r="128" spans="1:12" x14ac:dyDescent="0.25">
      <c r="A128" s="17"/>
      <c r="B128" s="9" t="s">
        <v>297</v>
      </c>
      <c r="C128" s="17"/>
      <c r="D128" s="17"/>
      <c r="E128" s="17"/>
      <c r="F128" s="17"/>
      <c r="G128" s="18">
        <v>3712213.3100000038</v>
      </c>
      <c r="H128" s="18">
        <v>66.730000000000032</v>
      </c>
      <c r="I128" s="17"/>
      <c r="J128" s="17"/>
      <c r="K128" s="17"/>
      <c r="L128" s="17"/>
    </row>
    <row r="129" spans="1:12" x14ac:dyDescent="0.25">
      <c r="A129" s="8"/>
      <c r="B129" s="9" t="s">
        <v>298</v>
      </c>
      <c r="C129" s="8"/>
      <c r="D129" s="8"/>
      <c r="E129" s="8"/>
      <c r="F129" s="8"/>
      <c r="G129" s="18">
        <v>3712213.3100000038</v>
      </c>
      <c r="H129" s="18">
        <v>66.730000000000032</v>
      </c>
      <c r="I129" s="8"/>
      <c r="J129" s="8"/>
      <c r="K129" s="8"/>
      <c r="L129" s="8"/>
    </row>
    <row r="130" spans="1:12" x14ac:dyDescent="0.25">
      <c r="A130" s="8"/>
      <c r="B130" s="9" t="s">
        <v>299</v>
      </c>
      <c r="C130" s="8"/>
      <c r="D130" s="8"/>
      <c r="E130" s="8"/>
      <c r="F130" s="8"/>
      <c r="G130" s="8"/>
      <c r="H130" s="8"/>
      <c r="I130" s="8"/>
      <c r="J130" s="8"/>
      <c r="K130" s="8"/>
      <c r="L130" s="8"/>
    </row>
    <row r="131" spans="1:12" x14ac:dyDescent="0.25">
      <c r="A131" s="8"/>
      <c r="B131" s="9" t="s">
        <v>16</v>
      </c>
      <c r="C131" s="8"/>
      <c r="D131" s="8"/>
      <c r="E131" s="8"/>
      <c r="F131" s="8"/>
      <c r="G131" s="8"/>
      <c r="H131" s="8"/>
      <c r="I131" s="8"/>
      <c r="J131" s="8"/>
      <c r="K131" s="8"/>
      <c r="L131" s="8"/>
    </row>
    <row r="132" spans="1:12" x14ac:dyDescent="0.25">
      <c r="A132" s="8"/>
      <c r="B132" s="9" t="s">
        <v>300</v>
      </c>
      <c r="C132" s="8"/>
      <c r="D132" s="8"/>
      <c r="E132" s="8"/>
      <c r="F132" s="8"/>
      <c r="G132" s="8"/>
      <c r="H132" s="8"/>
      <c r="I132" s="8"/>
      <c r="J132" s="8"/>
      <c r="K132" s="8"/>
      <c r="L132" s="8"/>
    </row>
    <row r="133" spans="1:12" x14ac:dyDescent="0.25">
      <c r="A133" s="10" t="s">
        <v>18</v>
      </c>
      <c r="B133" s="11" t="s">
        <v>301</v>
      </c>
      <c r="C133" s="11">
        <v>7.38</v>
      </c>
      <c r="D133" s="11" t="s">
        <v>302</v>
      </c>
      <c r="E133" s="11" t="s">
        <v>303</v>
      </c>
      <c r="F133" s="12">
        <v>272081800</v>
      </c>
      <c r="G133" s="13">
        <v>276426.67</v>
      </c>
      <c r="H133" s="13">
        <v>4.97</v>
      </c>
      <c r="I133" s="14">
        <v>7.0396999999999998</v>
      </c>
      <c r="J133" s="14" t="s">
        <v>20</v>
      </c>
      <c r="K133" s="15" t="s">
        <v>20</v>
      </c>
      <c r="L133" s="16" t="s">
        <v>20</v>
      </c>
    </row>
    <row r="134" spans="1:12" x14ac:dyDescent="0.25">
      <c r="A134" s="10" t="s">
        <v>18</v>
      </c>
      <c r="B134" s="11" t="s">
        <v>304</v>
      </c>
      <c r="C134" s="11">
        <v>7.1</v>
      </c>
      <c r="D134" s="11" t="s">
        <v>305</v>
      </c>
      <c r="E134" s="11" t="s">
        <v>303</v>
      </c>
      <c r="F134" s="12">
        <v>156500000</v>
      </c>
      <c r="G134" s="13">
        <v>157407.39000000001</v>
      </c>
      <c r="H134" s="13">
        <v>2.83</v>
      </c>
      <c r="I134" s="14">
        <v>7.0987</v>
      </c>
      <c r="J134" s="14" t="s">
        <v>20</v>
      </c>
      <c r="K134" s="15" t="s">
        <v>20</v>
      </c>
      <c r="L134" s="16" t="s">
        <v>20</v>
      </c>
    </row>
    <row r="135" spans="1:12" x14ac:dyDescent="0.25">
      <c r="A135" s="10" t="s">
        <v>20</v>
      </c>
      <c r="B135" s="11" t="s">
        <v>306</v>
      </c>
      <c r="C135" s="11">
        <v>7.93</v>
      </c>
      <c r="D135" s="11" t="s">
        <v>307</v>
      </c>
      <c r="E135" s="11" t="s">
        <v>303</v>
      </c>
      <c r="F135" s="12">
        <v>150000000</v>
      </c>
      <c r="G135" s="13">
        <v>146475</v>
      </c>
      <c r="H135" s="13">
        <v>2.63</v>
      </c>
      <c r="I135" s="14">
        <v>8.1149000000000004</v>
      </c>
      <c r="J135" s="14" t="s">
        <v>20</v>
      </c>
      <c r="K135" s="15" t="s">
        <v>20</v>
      </c>
      <c r="L135" s="16" t="s">
        <v>20</v>
      </c>
    </row>
    <row r="136" spans="1:12" x14ac:dyDescent="0.25">
      <c r="A136" s="10" t="s">
        <v>20</v>
      </c>
      <c r="B136" s="11" t="s">
        <v>308</v>
      </c>
      <c r="C136" s="11">
        <v>7.32</v>
      </c>
      <c r="D136" s="11" t="s">
        <v>309</v>
      </c>
      <c r="E136" s="11" t="s">
        <v>303</v>
      </c>
      <c r="F136" s="12">
        <v>80000000</v>
      </c>
      <c r="G136" s="13">
        <v>80202</v>
      </c>
      <c r="H136" s="13">
        <v>1.44</v>
      </c>
      <c r="I136" s="14">
        <v>7.0194000000000001</v>
      </c>
      <c r="J136" s="14" t="s">
        <v>20</v>
      </c>
      <c r="K136" s="15" t="s">
        <v>20</v>
      </c>
      <c r="L136" s="16" t="s">
        <v>20</v>
      </c>
    </row>
    <row r="137" spans="1:12" x14ac:dyDescent="0.25">
      <c r="A137" s="10" t="s">
        <v>20</v>
      </c>
      <c r="B137" s="11" t="s">
        <v>310</v>
      </c>
      <c r="C137" s="11">
        <v>5.22</v>
      </c>
      <c r="D137" s="11" t="s">
        <v>311</v>
      </c>
      <c r="E137" s="11" t="s">
        <v>303</v>
      </c>
      <c r="F137" s="12">
        <v>61500000</v>
      </c>
      <c r="G137" s="13">
        <v>59636.55</v>
      </c>
      <c r="H137" s="13">
        <v>1.07</v>
      </c>
      <c r="I137" s="14">
        <v>6.9512</v>
      </c>
      <c r="J137" s="14" t="s">
        <v>20</v>
      </c>
      <c r="K137" s="15" t="s">
        <v>20</v>
      </c>
      <c r="L137" s="16" t="s">
        <v>20</v>
      </c>
    </row>
    <row r="138" spans="1:12" x14ac:dyDescent="0.25">
      <c r="A138" s="10" t="s">
        <v>20</v>
      </c>
      <c r="B138" s="11" t="s">
        <v>312</v>
      </c>
      <c r="C138" s="11">
        <v>7.26</v>
      </c>
      <c r="D138" s="11" t="s">
        <v>313</v>
      </c>
      <c r="E138" s="11" t="s">
        <v>303</v>
      </c>
      <c r="F138" s="12">
        <v>55000000</v>
      </c>
      <c r="G138" s="13">
        <v>55839.96</v>
      </c>
      <c r="H138" s="13">
        <v>1</v>
      </c>
      <c r="I138" s="14">
        <v>7.1516999999999999</v>
      </c>
      <c r="J138" s="14" t="s">
        <v>20</v>
      </c>
      <c r="K138" s="15" t="s">
        <v>20</v>
      </c>
      <c r="L138" s="16" t="s">
        <v>20</v>
      </c>
    </row>
    <row r="139" spans="1:12" x14ac:dyDescent="0.25">
      <c r="A139" s="10" t="s">
        <v>20</v>
      </c>
      <c r="B139" s="11" t="s">
        <v>314</v>
      </c>
      <c r="C139" s="11">
        <v>6.18</v>
      </c>
      <c r="D139" s="11" t="s">
        <v>315</v>
      </c>
      <c r="E139" s="11" t="s">
        <v>303</v>
      </c>
      <c r="F139" s="12">
        <v>42500000</v>
      </c>
      <c r="G139" s="13">
        <v>42131.91</v>
      </c>
      <c r="H139" s="13">
        <v>0.76</v>
      </c>
      <c r="I139" s="14">
        <v>6.9398</v>
      </c>
      <c r="J139" s="14" t="s">
        <v>20</v>
      </c>
      <c r="K139" s="15" t="s">
        <v>20</v>
      </c>
      <c r="L139" s="16" t="s">
        <v>20</v>
      </c>
    </row>
    <row r="140" spans="1:12" x14ac:dyDescent="0.25">
      <c r="A140" s="10" t="s">
        <v>20</v>
      </c>
      <c r="B140" s="11" t="s">
        <v>316</v>
      </c>
      <c r="C140" s="11">
        <v>7.17</v>
      </c>
      <c r="D140" s="11" t="s">
        <v>317</v>
      </c>
      <c r="E140" s="11" t="s">
        <v>303</v>
      </c>
      <c r="F140" s="12">
        <v>33141700</v>
      </c>
      <c r="G140" s="13">
        <v>33470.1</v>
      </c>
      <c r="H140" s="13">
        <v>0.6</v>
      </c>
      <c r="I140" s="14">
        <v>7.1079999999999997</v>
      </c>
      <c r="J140" s="14" t="s">
        <v>20</v>
      </c>
      <c r="K140" s="15" t="s">
        <v>20</v>
      </c>
      <c r="L140" s="16" t="s">
        <v>20</v>
      </c>
    </row>
    <row r="141" spans="1:12" x14ac:dyDescent="0.25">
      <c r="A141" s="10" t="s">
        <v>20</v>
      </c>
      <c r="B141" s="11" t="s">
        <v>318</v>
      </c>
      <c r="C141" s="11">
        <v>7.26</v>
      </c>
      <c r="D141" s="11" t="s">
        <v>319</v>
      </c>
      <c r="E141" s="11" t="s">
        <v>303</v>
      </c>
      <c r="F141" s="12">
        <v>30558900</v>
      </c>
      <c r="G141" s="13">
        <v>31129.83</v>
      </c>
      <c r="H141" s="13">
        <v>0.56000000000000005</v>
      </c>
      <c r="I141" s="14">
        <v>7.1105999999999998</v>
      </c>
      <c r="J141" s="14" t="s">
        <v>20</v>
      </c>
      <c r="K141" s="15" t="s">
        <v>20</v>
      </c>
      <c r="L141" s="16" t="s">
        <v>20</v>
      </c>
    </row>
    <row r="142" spans="1:12" x14ac:dyDescent="0.25">
      <c r="A142" s="10" t="s">
        <v>20</v>
      </c>
      <c r="B142" s="11" t="s">
        <v>320</v>
      </c>
      <c r="C142" s="11">
        <v>4.4800000000000004</v>
      </c>
      <c r="D142" s="11" t="s">
        <v>321</v>
      </c>
      <c r="E142" s="11" t="s">
        <v>303</v>
      </c>
      <c r="F142" s="12">
        <v>20000000</v>
      </c>
      <c r="G142" s="13">
        <v>19800.68</v>
      </c>
      <c r="H142" s="13">
        <v>0.36</v>
      </c>
      <c r="I142" s="14">
        <v>6.8593999999999999</v>
      </c>
      <c r="J142" s="14" t="s">
        <v>20</v>
      </c>
      <c r="K142" s="15" t="s">
        <v>20</v>
      </c>
      <c r="L142" s="16" t="s">
        <v>20</v>
      </c>
    </row>
    <row r="143" spans="1:12" x14ac:dyDescent="0.25">
      <c r="A143" s="10" t="s">
        <v>20</v>
      </c>
      <c r="B143" s="11" t="s">
        <v>322</v>
      </c>
      <c r="C143" s="11">
        <v>5.74</v>
      </c>
      <c r="D143" s="11" t="s">
        <v>323</v>
      </c>
      <c r="E143" s="11" t="s">
        <v>303</v>
      </c>
      <c r="F143" s="12">
        <v>20500000</v>
      </c>
      <c r="G143" s="13">
        <v>19799.21</v>
      </c>
      <c r="H143" s="13">
        <v>0.36</v>
      </c>
      <c r="I143" s="14">
        <v>6.9823000000000004</v>
      </c>
      <c r="J143" s="14" t="s">
        <v>20</v>
      </c>
      <c r="K143" s="15" t="s">
        <v>20</v>
      </c>
      <c r="L143" s="16" t="s">
        <v>20</v>
      </c>
    </row>
    <row r="144" spans="1:12" x14ac:dyDescent="0.25">
      <c r="A144" s="10" t="s">
        <v>20</v>
      </c>
      <c r="B144" s="11" t="s">
        <v>324</v>
      </c>
      <c r="C144" s="11">
        <v>6.17</v>
      </c>
      <c r="D144" s="11" t="s">
        <v>325</v>
      </c>
      <c r="E144" s="11" t="s">
        <v>303</v>
      </c>
      <c r="F144" s="12">
        <v>10000000</v>
      </c>
      <c r="G144" s="13">
        <v>9998.07</v>
      </c>
      <c r="H144" s="13">
        <v>0.18</v>
      </c>
      <c r="I144" s="14">
        <v>6.7028999999999996</v>
      </c>
      <c r="J144" s="14" t="s">
        <v>20</v>
      </c>
      <c r="K144" s="15" t="s">
        <v>20</v>
      </c>
      <c r="L144" s="16" t="s">
        <v>20</v>
      </c>
    </row>
    <row r="145" spans="1:12" x14ac:dyDescent="0.25">
      <c r="A145" s="10" t="s">
        <v>20</v>
      </c>
      <c r="B145" s="11" t="s">
        <v>326</v>
      </c>
      <c r="C145" s="11">
        <v>6.79</v>
      </c>
      <c r="D145" s="11" t="s">
        <v>327</v>
      </c>
      <c r="E145" s="11" t="s">
        <v>303</v>
      </c>
      <c r="F145" s="12">
        <v>6500000</v>
      </c>
      <c r="G145" s="13">
        <v>6469.45</v>
      </c>
      <c r="H145" s="13">
        <v>0.12</v>
      </c>
      <c r="I145" s="14">
        <v>7.0439999999999996</v>
      </c>
      <c r="J145" s="14" t="s">
        <v>20</v>
      </c>
      <c r="K145" s="15" t="s">
        <v>20</v>
      </c>
      <c r="L145" s="16" t="s">
        <v>20</v>
      </c>
    </row>
    <row r="146" spans="1:12" x14ac:dyDescent="0.25">
      <c r="A146" s="10" t="s">
        <v>20</v>
      </c>
      <c r="B146" s="11" t="s">
        <v>328</v>
      </c>
      <c r="C146" s="11">
        <v>7.06</v>
      </c>
      <c r="D146" s="11" t="s">
        <v>329</v>
      </c>
      <c r="E146" s="11" t="s">
        <v>303</v>
      </c>
      <c r="F146" s="12">
        <v>4500000</v>
      </c>
      <c r="G146" s="13">
        <v>4525.8500000000004</v>
      </c>
      <c r="H146" s="13">
        <v>0.08</v>
      </c>
      <c r="I146" s="14">
        <v>7.0377000000000001</v>
      </c>
      <c r="J146" s="14" t="s">
        <v>20</v>
      </c>
      <c r="K146" s="15" t="s">
        <v>20</v>
      </c>
      <c r="L146" s="16" t="s">
        <v>20</v>
      </c>
    </row>
    <row r="147" spans="1:12" x14ac:dyDescent="0.25">
      <c r="A147" s="10" t="s">
        <v>20</v>
      </c>
      <c r="B147" s="11" t="s">
        <v>330</v>
      </c>
      <c r="C147" s="11">
        <v>6.97</v>
      </c>
      <c r="D147" s="11" t="s">
        <v>331</v>
      </c>
      <c r="E147" s="11" t="s">
        <v>303</v>
      </c>
      <c r="F147" s="12">
        <v>2500000</v>
      </c>
      <c r="G147" s="13">
        <v>2502.6</v>
      </c>
      <c r="H147" s="13">
        <v>0.05</v>
      </c>
      <c r="I147" s="14">
        <v>7.0494000000000003</v>
      </c>
      <c r="J147" s="14" t="s">
        <v>20</v>
      </c>
      <c r="K147" s="15" t="s">
        <v>20</v>
      </c>
      <c r="L147" s="16" t="s">
        <v>20</v>
      </c>
    </row>
    <row r="148" spans="1:12" x14ac:dyDescent="0.25">
      <c r="A148" s="10" t="s">
        <v>20</v>
      </c>
      <c r="B148" s="11" t="s">
        <v>332</v>
      </c>
      <c r="C148" s="11">
        <v>7.35</v>
      </c>
      <c r="D148" s="11" t="s">
        <v>333</v>
      </c>
      <c r="E148" s="11" t="s">
        <v>303</v>
      </c>
      <c r="F148" s="12">
        <v>3000000</v>
      </c>
      <c r="G148" s="13">
        <v>3011.55</v>
      </c>
      <c r="H148" s="13">
        <v>0.05</v>
      </c>
      <c r="I148" s="14">
        <v>7.0804999999999998</v>
      </c>
      <c r="J148" s="14" t="s">
        <v>20</v>
      </c>
      <c r="K148" s="15" t="s">
        <v>20</v>
      </c>
      <c r="L148" s="16" t="s">
        <v>20</v>
      </c>
    </row>
    <row r="149" spans="1:12" x14ac:dyDescent="0.25">
      <c r="A149" s="10" t="s">
        <v>20</v>
      </c>
      <c r="B149" s="11" t="s">
        <v>334</v>
      </c>
      <c r="C149" s="11" t="s">
        <v>20</v>
      </c>
      <c r="D149" s="11" t="s">
        <v>335</v>
      </c>
      <c r="E149" s="11" t="s">
        <v>303</v>
      </c>
      <c r="F149" s="12">
        <v>1897500</v>
      </c>
      <c r="G149" s="13">
        <v>1334.35</v>
      </c>
      <c r="H149" s="13">
        <v>0.02</v>
      </c>
      <c r="I149" s="14">
        <v>7.2291999999999996</v>
      </c>
      <c r="J149" s="14" t="s">
        <v>20</v>
      </c>
      <c r="K149" s="15" t="s">
        <v>20</v>
      </c>
      <c r="L149" s="16" t="s">
        <v>20</v>
      </c>
    </row>
    <row r="150" spans="1:12" x14ac:dyDescent="0.25">
      <c r="A150" s="8"/>
      <c r="B150" s="9" t="s">
        <v>336</v>
      </c>
      <c r="C150" s="8"/>
      <c r="D150" s="8"/>
      <c r="E150" s="8"/>
      <c r="F150" s="8"/>
      <c r="G150" s="8"/>
      <c r="H150" s="8"/>
      <c r="I150" s="8"/>
      <c r="J150" s="8"/>
      <c r="K150" s="8"/>
      <c r="L150" s="8"/>
    </row>
    <row r="151" spans="1:12" x14ac:dyDescent="0.25">
      <c r="A151" s="10" t="s">
        <v>20</v>
      </c>
      <c r="B151" s="11" t="s">
        <v>337</v>
      </c>
      <c r="C151" s="11">
        <v>6.43</v>
      </c>
      <c r="D151" s="11" t="s">
        <v>338</v>
      </c>
      <c r="E151" s="11" t="s">
        <v>339</v>
      </c>
      <c r="F151" s="12">
        <v>3200</v>
      </c>
      <c r="G151" s="13">
        <v>31097.18</v>
      </c>
      <c r="H151" s="13">
        <v>0.56000000000000005</v>
      </c>
      <c r="I151" s="14">
        <v>7.7750000000000004</v>
      </c>
      <c r="J151" s="14" t="s">
        <v>20</v>
      </c>
      <c r="K151" s="15" t="s">
        <v>20</v>
      </c>
      <c r="L151" s="16" t="s">
        <v>20</v>
      </c>
    </row>
    <row r="152" spans="1:12" x14ac:dyDescent="0.25">
      <c r="A152" s="10" t="s">
        <v>20</v>
      </c>
      <c r="B152" s="11" t="s">
        <v>340</v>
      </c>
      <c r="C152" s="11">
        <v>9.15</v>
      </c>
      <c r="D152" s="11" t="s">
        <v>341</v>
      </c>
      <c r="E152" s="11" t="s">
        <v>342</v>
      </c>
      <c r="F152" s="12">
        <v>2690</v>
      </c>
      <c r="G152" s="13">
        <v>26909.200000000001</v>
      </c>
      <c r="H152" s="13">
        <v>0.48</v>
      </c>
      <c r="I152" s="14">
        <v>7.81</v>
      </c>
      <c r="J152" s="14">
        <v>7.8125</v>
      </c>
      <c r="K152" s="15" t="s">
        <v>20</v>
      </c>
      <c r="L152" s="16" t="s">
        <v>20</v>
      </c>
    </row>
    <row r="153" spans="1:12" x14ac:dyDescent="0.25">
      <c r="A153" s="10" t="s">
        <v>20</v>
      </c>
      <c r="B153" s="11" t="s">
        <v>343</v>
      </c>
      <c r="C153" s="11">
        <v>7.97</v>
      </c>
      <c r="D153" s="11" t="s">
        <v>338</v>
      </c>
      <c r="E153" s="11" t="s">
        <v>339</v>
      </c>
      <c r="F153" s="12">
        <v>25000</v>
      </c>
      <c r="G153" s="13">
        <v>25435.23</v>
      </c>
      <c r="H153" s="13">
        <v>0.46</v>
      </c>
      <c r="I153" s="14">
        <v>7.7</v>
      </c>
      <c r="J153" s="14" t="s">
        <v>20</v>
      </c>
      <c r="K153" s="15" t="s">
        <v>20</v>
      </c>
      <c r="L153" s="16" t="s">
        <v>20</v>
      </c>
    </row>
    <row r="154" spans="1:12" x14ac:dyDescent="0.25">
      <c r="A154" s="10" t="s">
        <v>20</v>
      </c>
      <c r="B154" s="11" t="s">
        <v>344</v>
      </c>
      <c r="C154" s="11">
        <v>7.54</v>
      </c>
      <c r="D154" s="11" t="s">
        <v>345</v>
      </c>
      <c r="E154" s="11" t="s">
        <v>346</v>
      </c>
      <c r="F154" s="12">
        <v>2500</v>
      </c>
      <c r="G154" s="13">
        <v>25051.45</v>
      </c>
      <c r="H154" s="13">
        <v>0.45</v>
      </c>
      <c r="I154" s="14">
        <v>7.43</v>
      </c>
      <c r="J154" s="14" t="s">
        <v>20</v>
      </c>
      <c r="K154" s="15" t="s">
        <v>20</v>
      </c>
      <c r="L154" s="16" t="s">
        <v>20</v>
      </c>
    </row>
    <row r="155" spans="1:12" x14ac:dyDescent="0.25">
      <c r="A155" s="10" t="s">
        <v>20</v>
      </c>
      <c r="B155" s="11" t="s">
        <v>347</v>
      </c>
      <c r="C155" s="11">
        <v>8.99</v>
      </c>
      <c r="D155" s="11" t="s">
        <v>348</v>
      </c>
      <c r="E155" s="11" t="s">
        <v>349</v>
      </c>
      <c r="F155" s="12">
        <v>2110</v>
      </c>
      <c r="G155" s="13">
        <v>21318.36</v>
      </c>
      <c r="H155" s="13">
        <v>0.38</v>
      </c>
      <c r="I155" s="14">
        <v>8.89</v>
      </c>
      <c r="J155" s="14">
        <v>8.1908999999999992</v>
      </c>
      <c r="K155" s="15" t="s">
        <v>20</v>
      </c>
      <c r="L155" s="16" t="s">
        <v>20</v>
      </c>
    </row>
    <row r="156" spans="1:12" x14ac:dyDescent="0.25">
      <c r="A156" s="10" t="s">
        <v>20</v>
      </c>
      <c r="B156" s="11" t="s">
        <v>350</v>
      </c>
      <c r="C156" s="11">
        <v>7.75</v>
      </c>
      <c r="D156" s="11" t="s">
        <v>351</v>
      </c>
      <c r="E156" s="11" t="s">
        <v>339</v>
      </c>
      <c r="F156" s="12">
        <v>2000</v>
      </c>
      <c r="G156" s="13">
        <v>19996.04</v>
      </c>
      <c r="H156" s="13">
        <v>0.36</v>
      </c>
      <c r="I156" s="14">
        <v>7.7350000000000003</v>
      </c>
      <c r="J156" s="14" t="s">
        <v>20</v>
      </c>
      <c r="K156" s="15" t="s">
        <v>20</v>
      </c>
      <c r="L156" s="16" t="s">
        <v>20</v>
      </c>
    </row>
    <row r="157" spans="1:12" x14ac:dyDescent="0.25">
      <c r="A157" s="10" t="s">
        <v>20</v>
      </c>
      <c r="B157" s="11" t="s">
        <v>352</v>
      </c>
      <c r="C157" s="11">
        <v>7.4</v>
      </c>
      <c r="D157" s="11" t="s">
        <v>353</v>
      </c>
      <c r="E157" s="11" t="s">
        <v>339</v>
      </c>
      <c r="F157" s="12">
        <v>2000</v>
      </c>
      <c r="G157" s="13">
        <v>19962.48</v>
      </c>
      <c r="H157" s="13">
        <v>0.36</v>
      </c>
      <c r="I157" s="14">
        <v>7.4550000000000001</v>
      </c>
      <c r="J157" s="14" t="s">
        <v>20</v>
      </c>
      <c r="K157" s="15" t="s">
        <v>20</v>
      </c>
      <c r="L157" s="16" t="s">
        <v>20</v>
      </c>
    </row>
    <row r="158" spans="1:12" x14ac:dyDescent="0.25">
      <c r="A158" s="10" t="s">
        <v>20</v>
      </c>
      <c r="B158" s="11" t="s">
        <v>354</v>
      </c>
      <c r="C158" s="11">
        <v>8</v>
      </c>
      <c r="D158" s="11" t="s">
        <v>355</v>
      </c>
      <c r="E158" s="11" t="s">
        <v>339</v>
      </c>
      <c r="F158" s="12">
        <v>2000</v>
      </c>
      <c r="G158" s="13">
        <v>19983.759999999998</v>
      </c>
      <c r="H158" s="13">
        <v>0.36</v>
      </c>
      <c r="I158" s="14">
        <v>8.01</v>
      </c>
      <c r="J158" s="14" t="s">
        <v>20</v>
      </c>
      <c r="K158" s="15" t="s">
        <v>20</v>
      </c>
      <c r="L158" s="16" t="s">
        <v>20</v>
      </c>
    </row>
    <row r="159" spans="1:12" x14ac:dyDescent="0.25">
      <c r="A159" s="10" t="s">
        <v>20</v>
      </c>
      <c r="B159" s="11" t="s">
        <v>356</v>
      </c>
      <c r="C159" s="11">
        <v>7.7</v>
      </c>
      <c r="D159" s="11" t="s">
        <v>338</v>
      </c>
      <c r="E159" s="11" t="s">
        <v>339</v>
      </c>
      <c r="F159" s="12">
        <v>1500</v>
      </c>
      <c r="G159" s="13">
        <v>14950.17</v>
      </c>
      <c r="H159" s="13">
        <v>0.27</v>
      </c>
      <c r="I159" s="14">
        <v>7.82</v>
      </c>
      <c r="J159" s="14" t="s">
        <v>20</v>
      </c>
      <c r="K159" s="15" t="s">
        <v>20</v>
      </c>
      <c r="L159" s="16" t="s">
        <v>20</v>
      </c>
    </row>
    <row r="160" spans="1:12" x14ac:dyDescent="0.25">
      <c r="A160" s="10" t="s">
        <v>20</v>
      </c>
      <c r="B160" s="11" t="s">
        <v>357</v>
      </c>
      <c r="C160" s="11">
        <v>7.62</v>
      </c>
      <c r="D160" s="11" t="s">
        <v>353</v>
      </c>
      <c r="E160" s="11" t="s">
        <v>339</v>
      </c>
      <c r="F160" s="12">
        <v>15000</v>
      </c>
      <c r="G160" s="13">
        <v>15106.37</v>
      </c>
      <c r="H160" s="13">
        <v>0.27</v>
      </c>
      <c r="I160" s="14">
        <v>7.42</v>
      </c>
      <c r="J160" s="14" t="s">
        <v>20</v>
      </c>
      <c r="K160" s="15" t="s">
        <v>20</v>
      </c>
      <c r="L160" s="16" t="s">
        <v>20</v>
      </c>
    </row>
    <row r="161" spans="1:12" x14ac:dyDescent="0.25">
      <c r="A161" s="10" t="s">
        <v>20</v>
      </c>
      <c r="B161" s="11" t="s">
        <v>358</v>
      </c>
      <c r="C161" s="11">
        <v>8.9507999999999992</v>
      </c>
      <c r="D161" s="11" t="s">
        <v>359</v>
      </c>
      <c r="E161" s="11" t="s">
        <v>339</v>
      </c>
      <c r="F161" s="12">
        <v>1500</v>
      </c>
      <c r="G161" s="13">
        <v>15180.9</v>
      </c>
      <c r="H161" s="13">
        <v>0.27</v>
      </c>
      <c r="I161" s="14">
        <v>7.6050000000000004</v>
      </c>
      <c r="J161" s="14" t="s">
        <v>20</v>
      </c>
      <c r="K161" s="15" t="s">
        <v>20</v>
      </c>
      <c r="L161" s="16" t="s">
        <v>20</v>
      </c>
    </row>
    <row r="162" spans="1:12" x14ac:dyDescent="0.25">
      <c r="A162" s="10" t="s">
        <v>20</v>
      </c>
      <c r="B162" s="11" t="s">
        <v>360</v>
      </c>
      <c r="C162" s="11">
        <v>7.43</v>
      </c>
      <c r="D162" s="11" t="s">
        <v>345</v>
      </c>
      <c r="E162" s="11" t="s">
        <v>339</v>
      </c>
      <c r="F162" s="12">
        <v>12550</v>
      </c>
      <c r="G162" s="13">
        <v>12553.9</v>
      </c>
      <c r="H162" s="13">
        <v>0.23</v>
      </c>
      <c r="I162" s="14">
        <v>7.44</v>
      </c>
      <c r="J162" s="14" t="s">
        <v>20</v>
      </c>
      <c r="K162" s="15" t="s">
        <v>20</v>
      </c>
      <c r="L162" s="16" t="s">
        <v>20</v>
      </c>
    </row>
    <row r="163" spans="1:12" x14ac:dyDescent="0.25">
      <c r="A163" s="10" t="s">
        <v>20</v>
      </c>
      <c r="B163" s="11" t="s">
        <v>361</v>
      </c>
      <c r="C163" s="11">
        <v>7.96</v>
      </c>
      <c r="D163" s="11" t="s">
        <v>362</v>
      </c>
      <c r="E163" s="11" t="s">
        <v>339</v>
      </c>
      <c r="F163" s="12">
        <v>1099</v>
      </c>
      <c r="G163" s="13">
        <v>11318.73</v>
      </c>
      <c r="H163" s="13">
        <v>0.2</v>
      </c>
      <c r="I163" s="14">
        <v>7.4</v>
      </c>
      <c r="J163" s="14" t="s">
        <v>20</v>
      </c>
      <c r="K163" s="15" t="s">
        <v>20</v>
      </c>
      <c r="L163" s="16" t="s">
        <v>20</v>
      </c>
    </row>
    <row r="164" spans="1:12" x14ac:dyDescent="0.25">
      <c r="A164" s="10" t="s">
        <v>20</v>
      </c>
      <c r="B164" s="11" t="s">
        <v>363</v>
      </c>
      <c r="C164" s="11">
        <v>6.11</v>
      </c>
      <c r="D164" s="11" t="s">
        <v>364</v>
      </c>
      <c r="E164" s="11" t="s">
        <v>339</v>
      </c>
      <c r="F164" s="12">
        <v>1000</v>
      </c>
      <c r="G164" s="13">
        <v>9772.2099999999991</v>
      </c>
      <c r="H164" s="13">
        <v>0.18</v>
      </c>
      <c r="I164" s="14">
        <v>7.3150000000000004</v>
      </c>
      <c r="J164" s="14" t="s">
        <v>20</v>
      </c>
      <c r="K164" s="15" t="s">
        <v>20</v>
      </c>
      <c r="L164" s="16" t="s">
        <v>20</v>
      </c>
    </row>
    <row r="165" spans="1:12" x14ac:dyDescent="0.25">
      <c r="A165" s="10" t="s">
        <v>20</v>
      </c>
      <c r="B165" s="11" t="s">
        <v>365</v>
      </c>
      <c r="C165" s="11">
        <v>7.68</v>
      </c>
      <c r="D165" s="11" t="s">
        <v>366</v>
      </c>
      <c r="E165" s="11" t="s">
        <v>346</v>
      </c>
      <c r="F165" s="12">
        <v>10000</v>
      </c>
      <c r="G165" s="13">
        <v>10087.69</v>
      </c>
      <c r="H165" s="13">
        <v>0.18</v>
      </c>
      <c r="I165" s="14">
        <v>7.335</v>
      </c>
      <c r="J165" s="14" t="s">
        <v>20</v>
      </c>
      <c r="K165" s="15" t="s">
        <v>20</v>
      </c>
      <c r="L165" s="16" t="s">
        <v>20</v>
      </c>
    </row>
    <row r="166" spans="1:12" x14ac:dyDescent="0.25">
      <c r="A166" s="10" t="s">
        <v>20</v>
      </c>
      <c r="B166" s="11" t="s">
        <v>367</v>
      </c>
      <c r="C166" s="11">
        <v>8.1083999999999996</v>
      </c>
      <c r="D166" s="11" t="s">
        <v>368</v>
      </c>
      <c r="E166" s="11" t="s">
        <v>339</v>
      </c>
      <c r="F166" s="12">
        <v>9900</v>
      </c>
      <c r="G166" s="13">
        <v>9954.64</v>
      </c>
      <c r="H166" s="13">
        <v>0.18</v>
      </c>
      <c r="I166" s="14">
        <v>7.915</v>
      </c>
      <c r="J166" s="14" t="s">
        <v>20</v>
      </c>
      <c r="K166" s="15" t="s">
        <v>20</v>
      </c>
      <c r="L166" s="16" t="s">
        <v>20</v>
      </c>
    </row>
    <row r="167" spans="1:12" x14ac:dyDescent="0.25">
      <c r="A167" s="10" t="s">
        <v>20</v>
      </c>
      <c r="B167" s="11" t="s">
        <v>369</v>
      </c>
      <c r="C167" s="11">
        <v>7.82</v>
      </c>
      <c r="D167" s="11" t="s">
        <v>351</v>
      </c>
      <c r="E167" s="11" t="s">
        <v>339</v>
      </c>
      <c r="F167" s="12">
        <v>1000</v>
      </c>
      <c r="G167" s="13">
        <v>9992.24</v>
      </c>
      <c r="H167" s="13">
        <v>0.18</v>
      </c>
      <c r="I167" s="14">
        <v>7.835</v>
      </c>
      <c r="J167" s="14" t="s">
        <v>20</v>
      </c>
      <c r="K167" s="15" t="s">
        <v>20</v>
      </c>
      <c r="L167" s="16" t="s">
        <v>20</v>
      </c>
    </row>
    <row r="168" spans="1:12" x14ac:dyDescent="0.25">
      <c r="A168" s="10" t="s">
        <v>20</v>
      </c>
      <c r="B168" s="11" t="s">
        <v>370</v>
      </c>
      <c r="C168" s="11">
        <v>7.75</v>
      </c>
      <c r="D168" s="11" t="s">
        <v>351</v>
      </c>
      <c r="E168" s="11" t="s">
        <v>339</v>
      </c>
      <c r="F168" s="12">
        <v>1000</v>
      </c>
      <c r="G168" s="13">
        <v>10003.81</v>
      </c>
      <c r="H168" s="13">
        <v>0.18</v>
      </c>
      <c r="I168" s="14">
        <v>7.72</v>
      </c>
      <c r="J168" s="14" t="s">
        <v>20</v>
      </c>
      <c r="K168" s="15" t="s">
        <v>20</v>
      </c>
      <c r="L168" s="16" t="s">
        <v>20</v>
      </c>
    </row>
    <row r="169" spans="1:12" x14ac:dyDescent="0.25">
      <c r="A169" s="10" t="s">
        <v>20</v>
      </c>
      <c r="B169" s="11" t="s">
        <v>371</v>
      </c>
      <c r="C169" s="11">
        <v>7.58</v>
      </c>
      <c r="D169" s="11" t="s">
        <v>353</v>
      </c>
      <c r="E169" s="11" t="s">
        <v>339</v>
      </c>
      <c r="F169" s="12">
        <v>10000</v>
      </c>
      <c r="G169" s="13">
        <v>10030.81</v>
      </c>
      <c r="H169" s="13">
        <v>0.18</v>
      </c>
      <c r="I169" s="14">
        <v>7.47</v>
      </c>
      <c r="J169" s="14" t="s">
        <v>20</v>
      </c>
      <c r="K169" s="15" t="s">
        <v>20</v>
      </c>
      <c r="L169" s="16" t="s">
        <v>20</v>
      </c>
    </row>
    <row r="170" spans="1:12" x14ac:dyDescent="0.25">
      <c r="A170" s="10" t="s">
        <v>20</v>
      </c>
      <c r="B170" s="11" t="s">
        <v>372</v>
      </c>
      <c r="C170" s="11">
        <v>7.55</v>
      </c>
      <c r="D170" s="11" t="s">
        <v>373</v>
      </c>
      <c r="E170" s="11" t="s">
        <v>339</v>
      </c>
      <c r="F170" s="12">
        <v>10000</v>
      </c>
      <c r="G170" s="13">
        <v>10047.049999999999</v>
      </c>
      <c r="H170" s="13">
        <v>0.18</v>
      </c>
      <c r="I170" s="14">
        <v>7.38</v>
      </c>
      <c r="J170" s="14" t="s">
        <v>20</v>
      </c>
      <c r="K170" s="15" t="s">
        <v>20</v>
      </c>
      <c r="L170" s="16" t="s">
        <v>20</v>
      </c>
    </row>
    <row r="171" spans="1:12" x14ac:dyDescent="0.25">
      <c r="A171" s="10" t="s">
        <v>20</v>
      </c>
      <c r="B171" s="11" t="s">
        <v>374</v>
      </c>
      <c r="C171" s="11">
        <v>7.59</v>
      </c>
      <c r="D171" s="11" t="s">
        <v>373</v>
      </c>
      <c r="E171" s="11" t="s">
        <v>339</v>
      </c>
      <c r="F171" s="12">
        <v>1000</v>
      </c>
      <c r="G171" s="13">
        <v>10028.99</v>
      </c>
      <c r="H171" s="13">
        <v>0.18</v>
      </c>
      <c r="I171" s="14">
        <v>7.4249999999999998</v>
      </c>
      <c r="J171" s="14" t="s">
        <v>20</v>
      </c>
      <c r="K171" s="15" t="s">
        <v>20</v>
      </c>
      <c r="L171" s="16" t="s">
        <v>20</v>
      </c>
    </row>
    <row r="172" spans="1:12" x14ac:dyDescent="0.25">
      <c r="A172" s="10" t="s">
        <v>20</v>
      </c>
      <c r="B172" s="11" t="s">
        <v>375</v>
      </c>
      <c r="C172" s="11">
        <v>7.75</v>
      </c>
      <c r="D172" s="11" t="s">
        <v>345</v>
      </c>
      <c r="E172" s="11" t="s">
        <v>346</v>
      </c>
      <c r="F172" s="12">
        <v>1000</v>
      </c>
      <c r="G172" s="13">
        <v>10056.950000000001</v>
      </c>
      <c r="H172" s="13">
        <v>0.18</v>
      </c>
      <c r="I172" s="14">
        <v>7.4550000000000001</v>
      </c>
      <c r="J172" s="14" t="s">
        <v>20</v>
      </c>
      <c r="K172" s="15" t="s">
        <v>20</v>
      </c>
      <c r="L172" s="16" t="s">
        <v>20</v>
      </c>
    </row>
    <row r="173" spans="1:12" x14ac:dyDescent="0.25">
      <c r="A173" s="10" t="s">
        <v>20</v>
      </c>
      <c r="B173" s="11" t="s">
        <v>376</v>
      </c>
      <c r="C173" s="11">
        <v>6.24</v>
      </c>
      <c r="D173" s="11" t="s">
        <v>377</v>
      </c>
      <c r="E173" s="11" t="s">
        <v>339</v>
      </c>
      <c r="F173" s="12">
        <v>1000</v>
      </c>
      <c r="G173" s="13">
        <v>9701.9500000000007</v>
      </c>
      <c r="H173" s="13">
        <v>0.17</v>
      </c>
      <c r="I173" s="14">
        <v>6.7649999999999997</v>
      </c>
      <c r="J173" s="14">
        <v>7.6782000000000004</v>
      </c>
      <c r="K173" s="15" t="s">
        <v>20</v>
      </c>
      <c r="L173" s="16" t="s">
        <v>20</v>
      </c>
    </row>
    <row r="174" spans="1:12" x14ac:dyDescent="0.25">
      <c r="A174" s="10" t="s">
        <v>20</v>
      </c>
      <c r="B174" s="11" t="s">
        <v>378</v>
      </c>
      <c r="C174" s="11">
        <v>5.83</v>
      </c>
      <c r="D174" s="11" t="s">
        <v>377</v>
      </c>
      <c r="E174" s="11" t="s">
        <v>339</v>
      </c>
      <c r="F174" s="12">
        <v>1000</v>
      </c>
      <c r="G174" s="13">
        <v>9601.7000000000007</v>
      </c>
      <c r="H174" s="13">
        <v>0.17</v>
      </c>
      <c r="I174" s="14">
        <v>6.5149999999999997</v>
      </c>
      <c r="J174" s="14">
        <v>7.6881000000000004</v>
      </c>
      <c r="K174" s="15" t="s">
        <v>20</v>
      </c>
      <c r="L174" s="16" t="s">
        <v>20</v>
      </c>
    </row>
    <row r="175" spans="1:12" x14ac:dyDescent="0.25">
      <c r="A175" s="10" t="s">
        <v>20</v>
      </c>
      <c r="B175" s="11" t="s">
        <v>379</v>
      </c>
      <c r="C175" s="11">
        <v>7.49</v>
      </c>
      <c r="D175" s="11" t="s">
        <v>380</v>
      </c>
      <c r="E175" s="11" t="s">
        <v>339</v>
      </c>
      <c r="F175" s="12">
        <v>750</v>
      </c>
      <c r="G175" s="13">
        <v>7550.97</v>
      </c>
      <c r="H175" s="13">
        <v>0.14000000000000001</v>
      </c>
      <c r="I175" s="14">
        <v>7.2850000000000001</v>
      </c>
      <c r="J175" s="14" t="s">
        <v>20</v>
      </c>
      <c r="K175" s="15" t="s">
        <v>20</v>
      </c>
      <c r="L175" s="16" t="s">
        <v>20</v>
      </c>
    </row>
    <row r="176" spans="1:12" x14ac:dyDescent="0.25">
      <c r="A176" s="10" t="s">
        <v>20</v>
      </c>
      <c r="B176" s="11" t="s">
        <v>381</v>
      </c>
      <c r="C176" s="11">
        <v>9.6999999999999993</v>
      </c>
      <c r="D176" s="11" t="s">
        <v>382</v>
      </c>
      <c r="E176" s="11" t="s">
        <v>383</v>
      </c>
      <c r="F176" s="12">
        <v>750</v>
      </c>
      <c r="G176" s="13">
        <v>7531.4</v>
      </c>
      <c r="H176" s="13">
        <v>0.14000000000000001</v>
      </c>
      <c r="I176" s="14">
        <v>7.33</v>
      </c>
      <c r="J176" s="14" t="s">
        <v>20</v>
      </c>
      <c r="K176" s="15" t="s">
        <v>20</v>
      </c>
      <c r="L176" s="16" t="s">
        <v>20</v>
      </c>
    </row>
    <row r="177" spans="1:12" x14ac:dyDescent="0.25">
      <c r="A177" s="10" t="s">
        <v>20</v>
      </c>
      <c r="B177" s="11" t="s">
        <v>384</v>
      </c>
      <c r="C177" s="11">
        <v>7.89</v>
      </c>
      <c r="D177" s="11" t="s">
        <v>385</v>
      </c>
      <c r="E177" s="11" t="s">
        <v>339</v>
      </c>
      <c r="F177" s="12">
        <v>600</v>
      </c>
      <c r="G177" s="13">
        <v>6001.4</v>
      </c>
      <c r="H177" s="13">
        <v>0.11</v>
      </c>
      <c r="I177" s="14">
        <v>7.8449999999999998</v>
      </c>
      <c r="J177" s="14" t="s">
        <v>20</v>
      </c>
      <c r="K177" s="15" t="s">
        <v>20</v>
      </c>
      <c r="L177" s="16" t="s">
        <v>20</v>
      </c>
    </row>
    <row r="178" spans="1:12" x14ac:dyDescent="0.25">
      <c r="A178" s="10" t="s">
        <v>20</v>
      </c>
      <c r="B178" s="11" t="s">
        <v>386</v>
      </c>
      <c r="C178" s="11">
        <v>8.11</v>
      </c>
      <c r="D178" s="11" t="s">
        <v>387</v>
      </c>
      <c r="E178" s="11" t="s">
        <v>339</v>
      </c>
      <c r="F178" s="12">
        <v>500</v>
      </c>
      <c r="G178" s="13">
        <v>5058.04</v>
      </c>
      <c r="H178" s="13">
        <v>0.09</v>
      </c>
      <c r="I178" s="14">
        <v>7.31</v>
      </c>
      <c r="J178" s="14" t="s">
        <v>20</v>
      </c>
      <c r="K178" s="15" t="s">
        <v>20</v>
      </c>
      <c r="L178" s="16" t="s">
        <v>20</v>
      </c>
    </row>
    <row r="179" spans="1:12" x14ac:dyDescent="0.25">
      <c r="A179" s="10" t="s">
        <v>20</v>
      </c>
      <c r="B179" s="11" t="s">
        <v>388</v>
      </c>
      <c r="C179" s="11">
        <v>7.5</v>
      </c>
      <c r="D179" s="11" t="s">
        <v>389</v>
      </c>
      <c r="E179" s="11" t="s">
        <v>339</v>
      </c>
      <c r="F179" s="12">
        <v>500</v>
      </c>
      <c r="G179" s="13">
        <v>5025.0200000000004</v>
      </c>
      <c r="H179" s="13">
        <v>0.09</v>
      </c>
      <c r="I179" s="14">
        <v>7.35</v>
      </c>
      <c r="J179" s="14" t="s">
        <v>20</v>
      </c>
      <c r="K179" s="15" t="s">
        <v>20</v>
      </c>
      <c r="L179" s="16" t="s">
        <v>20</v>
      </c>
    </row>
    <row r="180" spans="1:12" x14ac:dyDescent="0.25">
      <c r="A180" s="10" t="s">
        <v>20</v>
      </c>
      <c r="B180" s="11" t="s">
        <v>390</v>
      </c>
      <c r="C180" s="11">
        <v>7.63</v>
      </c>
      <c r="D180" s="11" t="s">
        <v>389</v>
      </c>
      <c r="E180" s="11" t="s">
        <v>339</v>
      </c>
      <c r="F180" s="12">
        <v>500</v>
      </c>
      <c r="G180" s="13">
        <v>5048.68</v>
      </c>
      <c r="H180" s="13">
        <v>0.09</v>
      </c>
      <c r="I180" s="14">
        <v>7.35</v>
      </c>
      <c r="J180" s="14" t="s">
        <v>20</v>
      </c>
      <c r="K180" s="15" t="s">
        <v>20</v>
      </c>
      <c r="L180" s="16" t="s">
        <v>20</v>
      </c>
    </row>
    <row r="181" spans="1:12" x14ac:dyDescent="0.25">
      <c r="A181" s="10" t="s">
        <v>20</v>
      </c>
      <c r="B181" s="11" t="s">
        <v>391</v>
      </c>
      <c r="C181" s="11">
        <v>7.7</v>
      </c>
      <c r="D181" s="11" t="s">
        <v>373</v>
      </c>
      <c r="E181" s="11" t="s">
        <v>339</v>
      </c>
      <c r="F181" s="12">
        <v>5000</v>
      </c>
      <c r="G181" s="13">
        <v>5046.07</v>
      </c>
      <c r="H181" s="13">
        <v>0.09</v>
      </c>
      <c r="I181" s="14">
        <v>7.38</v>
      </c>
      <c r="J181" s="14" t="s">
        <v>20</v>
      </c>
      <c r="K181" s="15" t="s">
        <v>20</v>
      </c>
      <c r="L181" s="16" t="s">
        <v>20</v>
      </c>
    </row>
    <row r="182" spans="1:12" x14ac:dyDescent="0.25">
      <c r="A182" s="10" t="s">
        <v>20</v>
      </c>
      <c r="B182" s="11" t="s">
        <v>392</v>
      </c>
      <c r="C182" s="11">
        <v>7.3</v>
      </c>
      <c r="D182" s="11" t="s">
        <v>393</v>
      </c>
      <c r="E182" s="11" t="s">
        <v>339</v>
      </c>
      <c r="F182" s="12">
        <v>500</v>
      </c>
      <c r="G182" s="13">
        <v>5012.18</v>
      </c>
      <c r="H182" s="13">
        <v>0.09</v>
      </c>
      <c r="I182" s="14">
        <v>7.2249999999999996</v>
      </c>
      <c r="J182" s="14" t="s">
        <v>20</v>
      </c>
      <c r="K182" s="15" t="s">
        <v>20</v>
      </c>
      <c r="L182" s="16" t="s">
        <v>20</v>
      </c>
    </row>
    <row r="183" spans="1:12" x14ac:dyDescent="0.25">
      <c r="A183" s="10" t="s">
        <v>20</v>
      </c>
      <c r="B183" s="11" t="s">
        <v>394</v>
      </c>
      <c r="C183" s="11">
        <v>9.5</v>
      </c>
      <c r="D183" s="11" t="s">
        <v>395</v>
      </c>
      <c r="E183" s="11" t="s">
        <v>396</v>
      </c>
      <c r="F183" s="12">
        <v>500</v>
      </c>
      <c r="G183" s="13">
        <v>5280.84</v>
      </c>
      <c r="H183" s="13">
        <v>0.09</v>
      </c>
      <c r="I183" s="14">
        <v>8.9849999999999994</v>
      </c>
      <c r="J183" s="14">
        <v>7.4874999999999998</v>
      </c>
      <c r="K183" s="15" t="s">
        <v>20</v>
      </c>
      <c r="L183" s="16" t="s">
        <v>20</v>
      </c>
    </row>
    <row r="184" spans="1:12" x14ac:dyDescent="0.25">
      <c r="A184" s="10" t="s">
        <v>20</v>
      </c>
      <c r="B184" s="11" t="s">
        <v>397</v>
      </c>
      <c r="C184" s="11">
        <v>7.33</v>
      </c>
      <c r="D184" s="11" t="s">
        <v>351</v>
      </c>
      <c r="E184" s="11" t="s">
        <v>339</v>
      </c>
      <c r="F184" s="12">
        <v>250</v>
      </c>
      <c r="G184" s="13">
        <v>2481.7600000000002</v>
      </c>
      <c r="H184" s="13">
        <v>0.04</v>
      </c>
      <c r="I184" s="14">
        <v>7.7649999999999997</v>
      </c>
      <c r="J184" s="14" t="s">
        <v>20</v>
      </c>
      <c r="K184" s="15" t="s">
        <v>20</v>
      </c>
      <c r="L184" s="16" t="s">
        <v>20</v>
      </c>
    </row>
    <row r="185" spans="1:12" x14ac:dyDescent="0.25">
      <c r="A185" s="10" t="s">
        <v>20</v>
      </c>
      <c r="B185" s="11" t="s">
        <v>398</v>
      </c>
      <c r="C185" s="11">
        <v>8.6999999999999993</v>
      </c>
      <c r="D185" s="11" t="s">
        <v>348</v>
      </c>
      <c r="E185" s="11" t="s">
        <v>349</v>
      </c>
      <c r="F185" s="12">
        <v>50</v>
      </c>
      <c r="G185" s="13">
        <v>503.26</v>
      </c>
      <c r="H185" s="13">
        <v>0.01</v>
      </c>
      <c r="I185" s="14">
        <v>8.64</v>
      </c>
      <c r="J185" s="14">
        <v>8.1565999999999992</v>
      </c>
      <c r="K185" s="15" t="s">
        <v>20</v>
      </c>
      <c r="L185" s="16" t="s">
        <v>20</v>
      </c>
    </row>
    <row r="186" spans="1:12" x14ac:dyDescent="0.25">
      <c r="A186" s="17"/>
      <c r="B186" s="9" t="s">
        <v>297</v>
      </c>
      <c r="C186" s="17"/>
      <c r="D186" s="17"/>
      <c r="E186" s="17"/>
      <c r="F186" s="17"/>
      <c r="G186" s="18">
        <v>1372842.5999999996</v>
      </c>
      <c r="H186" s="18">
        <v>24.669999999999995</v>
      </c>
      <c r="I186" s="17"/>
      <c r="J186" s="17"/>
      <c r="K186" s="17"/>
      <c r="L186" s="17"/>
    </row>
    <row r="187" spans="1:12" x14ac:dyDescent="0.25">
      <c r="A187" s="8"/>
      <c r="B187" s="9" t="s">
        <v>298</v>
      </c>
      <c r="C187" s="8"/>
      <c r="D187" s="8"/>
      <c r="E187" s="8"/>
      <c r="F187" s="8"/>
      <c r="G187" s="18">
        <v>1372842.5999999996</v>
      </c>
      <c r="H187" s="18">
        <v>24.669999999999995</v>
      </c>
      <c r="I187" s="8"/>
      <c r="J187" s="8"/>
      <c r="K187" s="8"/>
      <c r="L187" s="8"/>
    </row>
    <row r="188" spans="1:12" x14ac:dyDescent="0.25">
      <c r="A188" s="8"/>
      <c r="B188" s="9" t="s">
        <v>399</v>
      </c>
      <c r="C188" s="8"/>
      <c r="D188" s="8"/>
      <c r="E188" s="8"/>
      <c r="F188" s="8"/>
      <c r="G188" s="8"/>
      <c r="H188" s="8"/>
      <c r="I188" s="8"/>
      <c r="J188" s="8"/>
      <c r="K188" s="8"/>
      <c r="L188" s="8"/>
    </row>
    <row r="189" spans="1:12" x14ac:dyDescent="0.25">
      <c r="A189" s="8"/>
      <c r="B189" s="9" t="s">
        <v>400</v>
      </c>
      <c r="C189" s="8"/>
      <c r="D189" s="8"/>
      <c r="E189" s="8"/>
      <c r="F189" s="8"/>
      <c r="G189" s="8"/>
      <c r="H189" s="8"/>
      <c r="I189" s="8"/>
      <c r="J189" s="8"/>
      <c r="K189" s="8"/>
      <c r="L189" s="8"/>
    </row>
    <row r="190" spans="1:12" x14ac:dyDescent="0.25">
      <c r="A190" s="10" t="s">
        <v>20</v>
      </c>
      <c r="B190" s="11" t="s">
        <v>401</v>
      </c>
      <c r="C190" s="11" t="s">
        <v>20</v>
      </c>
      <c r="D190" s="11" t="s">
        <v>402</v>
      </c>
      <c r="E190" s="11" t="s">
        <v>35</v>
      </c>
      <c r="F190" s="12">
        <v>23593900</v>
      </c>
      <c r="G190" s="13">
        <v>27626.1</v>
      </c>
      <c r="H190" s="13">
        <v>0.5</v>
      </c>
      <c r="I190" s="14" t="s">
        <v>20</v>
      </c>
      <c r="J190" s="14" t="s">
        <v>20</v>
      </c>
      <c r="K190" s="15" t="s">
        <v>20</v>
      </c>
      <c r="L190" s="16" t="s">
        <v>20</v>
      </c>
    </row>
    <row r="191" spans="1:12" x14ac:dyDescent="0.25">
      <c r="A191" s="8"/>
      <c r="B191" s="9" t="s">
        <v>403</v>
      </c>
      <c r="C191" s="8"/>
      <c r="D191" s="8"/>
      <c r="E191" s="8"/>
      <c r="F191" s="8"/>
      <c r="G191" s="8"/>
      <c r="H191" s="8"/>
      <c r="I191" s="8"/>
      <c r="J191" s="8"/>
      <c r="K191" s="8"/>
      <c r="L191" s="8"/>
    </row>
    <row r="192" spans="1:12" x14ac:dyDescent="0.25">
      <c r="A192" s="10" t="s">
        <v>20</v>
      </c>
      <c r="B192" s="11" t="s">
        <v>404</v>
      </c>
      <c r="C192" s="11" t="s">
        <v>20</v>
      </c>
      <c r="D192" s="11" t="s">
        <v>405</v>
      </c>
      <c r="E192" s="11" t="s">
        <v>241</v>
      </c>
      <c r="F192" s="12">
        <v>15567000</v>
      </c>
      <c r="G192" s="13">
        <v>42803.02</v>
      </c>
      <c r="H192" s="13">
        <v>0.77</v>
      </c>
      <c r="I192" s="14" t="s">
        <v>20</v>
      </c>
      <c r="J192" s="14" t="s">
        <v>20</v>
      </c>
      <c r="K192" s="15" t="s">
        <v>20</v>
      </c>
      <c r="L192" s="16" t="s">
        <v>20</v>
      </c>
    </row>
    <row r="193" spans="1:12" x14ac:dyDescent="0.25">
      <c r="A193" s="10" t="s">
        <v>20</v>
      </c>
      <c r="B193" s="11" t="s">
        <v>406</v>
      </c>
      <c r="C193" s="11" t="s">
        <v>20</v>
      </c>
      <c r="D193" s="11" t="s">
        <v>407</v>
      </c>
      <c r="E193" s="11" t="s">
        <v>241</v>
      </c>
      <c r="F193" s="12">
        <v>11403400</v>
      </c>
      <c r="G193" s="13">
        <v>35121.33</v>
      </c>
      <c r="H193" s="13">
        <v>0.63</v>
      </c>
      <c r="I193" s="14" t="s">
        <v>20</v>
      </c>
      <c r="J193" s="14" t="s">
        <v>20</v>
      </c>
      <c r="K193" s="15" t="s">
        <v>20</v>
      </c>
      <c r="L193" s="16" t="s">
        <v>20</v>
      </c>
    </row>
    <row r="194" spans="1:12" x14ac:dyDescent="0.25">
      <c r="A194" s="17"/>
      <c r="B194" s="9" t="s">
        <v>297</v>
      </c>
      <c r="C194" s="17"/>
      <c r="D194" s="17"/>
      <c r="E194" s="17"/>
      <c r="F194" s="17"/>
      <c r="G194" s="18">
        <v>105550.45</v>
      </c>
      <c r="H194" s="18">
        <v>1.9</v>
      </c>
      <c r="I194" s="17"/>
      <c r="J194" s="17"/>
      <c r="K194" s="17"/>
      <c r="L194" s="17"/>
    </row>
    <row r="195" spans="1:12" x14ac:dyDescent="0.25">
      <c r="A195" s="8"/>
      <c r="B195" s="9" t="s">
        <v>298</v>
      </c>
      <c r="C195" s="8"/>
      <c r="D195" s="8"/>
      <c r="E195" s="8"/>
      <c r="F195" s="8"/>
      <c r="G195" s="18">
        <v>105550.45</v>
      </c>
      <c r="H195" s="18">
        <v>1.9</v>
      </c>
      <c r="I195" s="8"/>
      <c r="J195" s="8"/>
      <c r="K195" s="8"/>
      <c r="L195" s="8"/>
    </row>
    <row r="196" spans="1:12" x14ac:dyDescent="0.25">
      <c r="A196" s="8"/>
      <c r="B196" s="9" t="s">
        <v>408</v>
      </c>
      <c r="C196" s="8"/>
      <c r="D196" s="8"/>
      <c r="E196" s="8"/>
      <c r="F196" s="8"/>
      <c r="G196" s="8"/>
      <c r="H196" s="8"/>
      <c r="I196" s="8"/>
      <c r="J196" s="8"/>
      <c r="K196" s="8"/>
      <c r="L196" s="8"/>
    </row>
    <row r="197" spans="1:12" x14ac:dyDescent="0.25">
      <c r="A197" s="8"/>
      <c r="B197" s="9" t="s">
        <v>409</v>
      </c>
      <c r="C197" s="8"/>
      <c r="D197" s="8"/>
      <c r="E197" s="8"/>
      <c r="F197" s="8"/>
      <c r="G197" s="8"/>
      <c r="H197" s="8"/>
      <c r="I197" s="8"/>
      <c r="J197" s="8"/>
      <c r="K197" s="8"/>
      <c r="L197" s="8"/>
    </row>
    <row r="198" spans="1:12" x14ac:dyDescent="0.25">
      <c r="A198" s="10" t="s">
        <v>20</v>
      </c>
      <c r="B198" s="11" t="s">
        <v>410</v>
      </c>
      <c r="C198" s="11" t="s">
        <v>20</v>
      </c>
      <c r="D198" s="11" t="s">
        <v>411</v>
      </c>
      <c r="E198" s="11" t="s">
        <v>412</v>
      </c>
      <c r="F198" s="12">
        <v>4000</v>
      </c>
      <c r="G198" s="13">
        <v>18686.740000000002</v>
      </c>
      <c r="H198" s="13">
        <v>0.34</v>
      </c>
      <c r="I198" s="14">
        <v>7.35</v>
      </c>
      <c r="J198" s="14" t="s">
        <v>20</v>
      </c>
      <c r="K198" s="15" t="s">
        <v>20</v>
      </c>
      <c r="L198" s="16" t="s">
        <v>20</v>
      </c>
    </row>
    <row r="199" spans="1:12" x14ac:dyDescent="0.25">
      <c r="A199" s="10" t="s">
        <v>20</v>
      </c>
      <c r="B199" s="11" t="s">
        <v>413</v>
      </c>
      <c r="C199" s="11" t="s">
        <v>20</v>
      </c>
      <c r="D199" s="11" t="s">
        <v>345</v>
      </c>
      <c r="E199" s="11" t="s">
        <v>412</v>
      </c>
      <c r="F199" s="12">
        <v>4000</v>
      </c>
      <c r="G199" s="13">
        <v>19018.900000000001</v>
      </c>
      <c r="H199" s="13">
        <v>0.34</v>
      </c>
      <c r="I199" s="14">
        <v>7.3</v>
      </c>
      <c r="J199" s="14" t="s">
        <v>20</v>
      </c>
      <c r="K199" s="15" t="s">
        <v>20</v>
      </c>
      <c r="L199" s="16" t="s">
        <v>20</v>
      </c>
    </row>
    <row r="200" spans="1:12" x14ac:dyDescent="0.25">
      <c r="A200" s="10" t="s">
        <v>20</v>
      </c>
      <c r="B200" s="11" t="s">
        <v>414</v>
      </c>
      <c r="C200" s="11" t="s">
        <v>20</v>
      </c>
      <c r="D200" s="11" t="s">
        <v>415</v>
      </c>
      <c r="E200" s="11" t="s">
        <v>412</v>
      </c>
      <c r="F200" s="12">
        <v>3000</v>
      </c>
      <c r="G200" s="13">
        <v>14208.9</v>
      </c>
      <c r="H200" s="13">
        <v>0.26</v>
      </c>
      <c r="I200" s="14">
        <v>7.31</v>
      </c>
      <c r="J200" s="14" t="s">
        <v>20</v>
      </c>
      <c r="K200" s="15" t="s">
        <v>20</v>
      </c>
      <c r="L200" s="16" t="s">
        <v>20</v>
      </c>
    </row>
    <row r="201" spans="1:12" x14ac:dyDescent="0.25">
      <c r="A201" s="10" t="s">
        <v>20</v>
      </c>
      <c r="B201" s="11" t="s">
        <v>416</v>
      </c>
      <c r="C201" s="11" t="s">
        <v>20</v>
      </c>
      <c r="D201" s="11" t="s">
        <v>411</v>
      </c>
      <c r="E201" s="11" t="s">
        <v>412</v>
      </c>
      <c r="F201" s="12">
        <v>2000</v>
      </c>
      <c r="G201" s="13">
        <v>9656.19</v>
      </c>
      <c r="H201" s="13">
        <v>0.17</v>
      </c>
      <c r="I201" s="14">
        <v>7.18</v>
      </c>
      <c r="J201" s="14" t="s">
        <v>20</v>
      </c>
      <c r="K201" s="15" t="s">
        <v>20</v>
      </c>
      <c r="L201" s="16" t="s">
        <v>20</v>
      </c>
    </row>
    <row r="202" spans="1:12" x14ac:dyDescent="0.25">
      <c r="A202" s="10" t="s">
        <v>20</v>
      </c>
      <c r="B202" s="11" t="s">
        <v>417</v>
      </c>
      <c r="C202" s="11" t="s">
        <v>20</v>
      </c>
      <c r="D202" s="11" t="s">
        <v>418</v>
      </c>
      <c r="E202" s="11" t="s">
        <v>419</v>
      </c>
      <c r="F202" s="12">
        <v>2000</v>
      </c>
      <c r="G202" s="13">
        <v>9682.3700000000008</v>
      </c>
      <c r="H202" s="13">
        <v>0.17</v>
      </c>
      <c r="I202" s="14">
        <v>7.17</v>
      </c>
      <c r="J202" s="14" t="s">
        <v>20</v>
      </c>
      <c r="K202" s="15" t="s">
        <v>20</v>
      </c>
      <c r="L202" s="16" t="s">
        <v>20</v>
      </c>
    </row>
    <row r="203" spans="1:12" x14ac:dyDescent="0.25">
      <c r="A203" s="10" t="s">
        <v>20</v>
      </c>
      <c r="B203" s="11" t="s">
        <v>420</v>
      </c>
      <c r="C203" s="11" t="s">
        <v>20</v>
      </c>
      <c r="D203" s="11" t="s">
        <v>418</v>
      </c>
      <c r="E203" s="11" t="s">
        <v>412</v>
      </c>
      <c r="F203" s="12">
        <v>2000</v>
      </c>
      <c r="G203" s="13">
        <v>9654.82</v>
      </c>
      <c r="H203" s="13">
        <v>0.17</v>
      </c>
      <c r="I203" s="14">
        <v>7.17</v>
      </c>
      <c r="J203" s="14" t="s">
        <v>20</v>
      </c>
      <c r="K203" s="15" t="s">
        <v>20</v>
      </c>
      <c r="L203" s="16" t="s">
        <v>20</v>
      </c>
    </row>
    <row r="204" spans="1:12" x14ac:dyDescent="0.25">
      <c r="A204" s="10" t="s">
        <v>20</v>
      </c>
      <c r="B204" s="11" t="s">
        <v>421</v>
      </c>
      <c r="C204" s="11" t="s">
        <v>20</v>
      </c>
      <c r="D204" s="11" t="s">
        <v>387</v>
      </c>
      <c r="E204" s="11" t="s">
        <v>412</v>
      </c>
      <c r="F204" s="12">
        <v>2000</v>
      </c>
      <c r="G204" s="13">
        <v>9461.3799999999992</v>
      </c>
      <c r="H204" s="13">
        <v>0.17</v>
      </c>
      <c r="I204" s="14">
        <v>7.24</v>
      </c>
      <c r="J204" s="14" t="s">
        <v>20</v>
      </c>
      <c r="K204" s="15" t="s">
        <v>20</v>
      </c>
      <c r="L204" s="16" t="s">
        <v>20</v>
      </c>
    </row>
    <row r="205" spans="1:12" x14ac:dyDescent="0.25">
      <c r="A205" s="8"/>
      <c r="B205" s="9" t="s">
        <v>422</v>
      </c>
      <c r="C205" s="8"/>
      <c r="D205" s="8"/>
      <c r="E205" s="8"/>
      <c r="F205" s="8"/>
      <c r="G205" s="8"/>
      <c r="H205" s="8"/>
      <c r="I205" s="8"/>
      <c r="J205" s="8"/>
      <c r="K205" s="8"/>
      <c r="L205" s="8"/>
    </row>
    <row r="206" spans="1:12" x14ac:dyDescent="0.25">
      <c r="A206" s="10" t="s">
        <v>20</v>
      </c>
      <c r="B206" s="11" t="s">
        <v>20</v>
      </c>
      <c r="C206" s="11" t="s">
        <v>20</v>
      </c>
      <c r="D206" s="11" t="s">
        <v>422</v>
      </c>
      <c r="E206" s="11" t="s">
        <v>20</v>
      </c>
      <c r="F206" s="12" t="s">
        <v>20</v>
      </c>
      <c r="G206" s="13">
        <v>102177.64</v>
      </c>
      <c r="H206" s="13">
        <v>1.84</v>
      </c>
      <c r="I206" s="14">
        <v>6.2389000000000001</v>
      </c>
      <c r="J206" s="14" t="s">
        <v>20</v>
      </c>
      <c r="K206" s="15" t="s">
        <v>20</v>
      </c>
      <c r="L206" s="16" t="s">
        <v>20</v>
      </c>
    </row>
    <row r="207" spans="1:12" x14ac:dyDescent="0.25">
      <c r="A207" s="8"/>
      <c r="B207" s="9" t="s">
        <v>423</v>
      </c>
      <c r="C207" s="8"/>
      <c r="D207" s="8"/>
      <c r="E207" s="8"/>
      <c r="F207" s="8"/>
      <c r="G207" s="8"/>
      <c r="H207" s="8"/>
      <c r="I207" s="8"/>
      <c r="J207" s="8"/>
      <c r="K207" s="8"/>
      <c r="L207" s="8"/>
    </row>
    <row r="208" spans="1:12" x14ac:dyDescent="0.25">
      <c r="A208" s="10" t="s">
        <v>20</v>
      </c>
      <c r="B208" s="11" t="s">
        <v>20</v>
      </c>
      <c r="C208" s="11" t="s">
        <v>20</v>
      </c>
      <c r="D208" s="11" t="s">
        <v>423</v>
      </c>
      <c r="E208" s="11" t="s">
        <v>20</v>
      </c>
      <c r="F208" s="12" t="s">
        <v>20</v>
      </c>
      <c r="G208" s="13">
        <v>143048.09</v>
      </c>
      <c r="H208" s="13">
        <v>2.57</v>
      </c>
      <c r="I208" s="14">
        <v>6.2773000000000003</v>
      </c>
      <c r="J208" s="14" t="s">
        <v>20</v>
      </c>
      <c r="K208" s="15" t="s">
        <v>20</v>
      </c>
      <c r="L208" s="16" t="s">
        <v>20</v>
      </c>
    </row>
    <row r="209" spans="1:12" x14ac:dyDescent="0.25">
      <c r="A209" s="17"/>
      <c r="B209" s="9" t="s">
        <v>297</v>
      </c>
      <c r="C209" s="17"/>
      <c r="D209" s="17"/>
      <c r="E209" s="17"/>
      <c r="F209" s="17"/>
      <c r="G209" s="18">
        <v>335595.03</v>
      </c>
      <c r="H209" s="18">
        <v>6.0299999999999994</v>
      </c>
      <c r="I209" s="17"/>
      <c r="J209" s="17"/>
      <c r="K209" s="17"/>
      <c r="L209" s="17"/>
    </row>
    <row r="210" spans="1:12" x14ac:dyDescent="0.25">
      <c r="A210" s="8"/>
      <c r="B210" s="9" t="s">
        <v>298</v>
      </c>
      <c r="C210" s="8"/>
      <c r="D210" s="8"/>
      <c r="E210" s="8"/>
      <c r="F210" s="8"/>
      <c r="G210" s="18">
        <v>335595.03</v>
      </c>
      <c r="H210" s="18">
        <v>6.0299999999999994</v>
      </c>
      <c r="I210" s="8"/>
      <c r="J210" s="8"/>
      <c r="K210" s="8"/>
      <c r="L210" s="8"/>
    </row>
    <row r="211" spans="1:12" x14ac:dyDescent="0.25">
      <c r="A211" s="8"/>
      <c r="B211" s="9" t="s">
        <v>424</v>
      </c>
      <c r="C211" s="8"/>
      <c r="D211" s="8"/>
      <c r="E211" s="8"/>
      <c r="F211" s="8"/>
      <c r="G211" s="8"/>
      <c r="H211" s="8"/>
      <c r="I211" s="8"/>
      <c r="J211" s="8"/>
      <c r="K211" s="8"/>
      <c r="L211" s="8"/>
    </row>
    <row r="212" spans="1:12" x14ac:dyDescent="0.25">
      <c r="A212" s="8"/>
      <c r="B212" s="9" t="s">
        <v>425</v>
      </c>
      <c r="C212" s="8"/>
      <c r="D212" s="8"/>
      <c r="E212" s="8"/>
      <c r="F212" s="8"/>
      <c r="G212" s="8"/>
      <c r="H212" s="8"/>
      <c r="I212" s="8"/>
      <c r="J212" s="8"/>
      <c r="K212" s="8"/>
      <c r="L212" s="8"/>
    </row>
    <row r="213" spans="1:12" x14ac:dyDescent="0.25">
      <c r="A213" s="10" t="s">
        <v>20</v>
      </c>
      <c r="B213" s="11" t="s">
        <v>20</v>
      </c>
      <c r="C213" s="11" t="s">
        <v>20</v>
      </c>
      <c r="D213" s="11" t="s">
        <v>425</v>
      </c>
      <c r="E213" s="11" t="s">
        <v>20</v>
      </c>
      <c r="F213" s="12" t="s">
        <v>20</v>
      </c>
      <c r="G213" s="13">
        <v>34253.230000000003</v>
      </c>
      <c r="H213" s="13">
        <v>0.67</v>
      </c>
      <c r="I213" s="14" t="s">
        <v>20</v>
      </c>
      <c r="J213" s="14" t="s">
        <v>20</v>
      </c>
      <c r="K213" s="15" t="s">
        <v>20</v>
      </c>
      <c r="L213" s="16" t="s">
        <v>20</v>
      </c>
    </row>
    <row r="214" spans="1:12" x14ac:dyDescent="0.25">
      <c r="A214" s="17"/>
      <c r="B214" s="9" t="s">
        <v>297</v>
      </c>
      <c r="C214" s="17"/>
      <c r="D214" s="17"/>
      <c r="E214" s="17"/>
      <c r="F214" s="17"/>
      <c r="G214" s="18">
        <v>34253.230000000003</v>
      </c>
      <c r="H214" s="18">
        <v>0.67</v>
      </c>
      <c r="I214" s="17"/>
      <c r="J214" s="17"/>
      <c r="K214" s="17"/>
      <c r="L214" s="17"/>
    </row>
    <row r="215" spans="1:12" x14ac:dyDescent="0.25">
      <c r="A215" s="8"/>
      <c r="B215" s="9" t="s">
        <v>298</v>
      </c>
      <c r="C215" s="8"/>
      <c r="D215" s="8"/>
      <c r="E215" s="8"/>
      <c r="F215" s="8"/>
      <c r="G215" s="18">
        <v>34253.230000000003</v>
      </c>
      <c r="H215" s="18">
        <v>0.67</v>
      </c>
      <c r="I215" s="8"/>
      <c r="J215" s="8"/>
      <c r="K215" s="8"/>
      <c r="L215" s="8"/>
    </row>
    <row r="216" spans="1:12" x14ac:dyDescent="0.25">
      <c r="A216" s="4"/>
      <c r="B216" s="4"/>
      <c r="C216" s="4"/>
      <c r="D216" s="4"/>
      <c r="E216" s="4"/>
      <c r="F216" s="4"/>
      <c r="G216" s="4"/>
      <c r="H216" s="4"/>
      <c r="I216" s="4"/>
      <c r="J216" s="4"/>
      <c r="K216" s="4"/>
      <c r="L216" s="4"/>
    </row>
    <row r="217" spans="1:12" x14ac:dyDescent="0.25">
      <c r="A217" s="4"/>
      <c r="B217" s="19" t="s">
        <v>426</v>
      </c>
      <c r="C217" s="4"/>
      <c r="D217" s="4"/>
      <c r="E217" s="4"/>
      <c r="F217" s="4"/>
      <c r="G217" s="20">
        <v>5560454.6200000048</v>
      </c>
      <c r="H217" s="20">
        <v>100.00000000000011</v>
      </c>
      <c r="I217" s="4"/>
      <c r="J217" s="4"/>
      <c r="K217" s="4"/>
      <c r="L217" s="4"/>
    </row>
    <row r="218" spans="1:12" x14ac:dyDescent="0.25">
      <c r="A218" s="10" t="s">
        <v>18</v>
      </c>
      <c r="B218" s="41" t="s">
        <v>427</v>
      </c>
      <c r="C218" s="41" t="s">
        <v>427</v>
      </c>
      <c r="D218" s="41" t="s">
        <v>427</v>
      </c>
      <c r="E218" s="41" t="s">
        <v>427</v>
      </c>
      <c r="F218" s="41" t="s">
        <v>427</v>
      </c>
      <c r="G218" s="11"/>
      <c r="H218" s="11"/>
      <c r="I218" s="11"/>
      <c r="J218" s="11"/>
      <c r="K218" s="11"/>
      <c r="L218" s="11"/>
    </row>
    <row r="219" spans="1:12" x14ac:dyDescent="0.25">
      <c r="A219" s="11"/>
      <c r="B219" s="36" t="s">
        <v>428</v>
      </c>
      <c r="C219" s="36" t="s">
        <v>428</v>
      </c>
      <c r="D219" s="36" t="s">
        <v>428</v>
      </c>
      <c r="E219" s="36" t="s">
        <v>428</v>
      </c>
      <c r="F219" s="36" t="s">
        <v>428</v>
      </c>
      <c r="G219" s="11"/>
      <c r="H219" s="11"/>
      <c r="I219" s="11"/>
      <c r="J219" s="11"/>
      <c r="K219" s="11"/>
      <c r="L219" s="11"/>
    </row>
    <row r="220" spans="1:12" x14ac:dyDescent="0.25">
      <c r="A220" s="11"/>
      <c r="B220" s="36" t="s">
        <v>429</v>
      </c>
      <c r="C220" s="36" t="s">
        <v>429</v>
      </c>
      <c r="D220" s="36" t="s">
        <v>429</v>
      </c>
      <c r="E220" s="36" t="s">
        <v>429</v>
      </c>
      <c r="F220" s="36" t="s">
        <v>429</v>
      </c>
      <c r="G220" s="11"/>
      <c r="H220" s="11"/>
      <c r="I220" s="11"/>
      <c r="J220" s="11"/>
      <c r="K220" s="11"/>
      <c r="L220" s="11"/>
    </row>
    <row r="221" spans="1:12" x14ac:dyDescent="0.25">
      <c r="A221" s="11"/>
      <c r="B221" s="36" t="s">
        <v>430</v>
      </c>
      <c r="C221" s="36" t="s">
        <v>430</v>
      </c>
      <c r="D221" s="36" t="s">
        <v>430</v>
      </c>
      <c r="E221" s="36" t="s">
        <v>430</v>
      </c>
      <c r="F221" s="36" t="s">
        <v>430</v>
      </c>
      <c r="G221" s="11"/>
      <c r="H221" s="11"/>
      <c r="I221" s="11"/>
      <c r="J221" s="11"/>
      <c r="K221" s="11"/>
      <c r="L221" s="11"/>
    </row>
    <row r="222" spans="1:12" x14ac:dyDescent="0.25">
      <c r="A222" s="11"/>
      <c r="B222" s="36" t="s">
        <v>431</v>
      </c>
      <c r="C222" s="36" t="s">
        <v>431</v>
      </c>
      <c r="D222" s="36" t="s">
        <v>431</v>
      </c>
      <c r="E222" s="36" t="s">
        <v>431</v>
      </c>
      <c r="F222" s="36" t="s">
        <v>431</v>
      </c>
      <c r="G222" s="11"/>
      <c r="H222" s="11"/>
      <c r="I222" s="11"/>
      <c r="J222" s="11"/>
      <c r="K222" s="11"/>
      <c r="L222" s="11"/>
    </row>
    <row r="223" spans="1:12" x14ac:dyDescent="0.25">
      <c r="A223" s="11"/>
      <c r="B223" s="36" t="s">
        <v>432</v>
      </c>
      <c r="C223" s="36" t="s">
        <v>432</v>
      </c>
      <c r="D223" s="36" t="s">
        <v>432</v>
      </c>
      <c r="E223" s="36" t="s">
        <v>432</v>
      </c>
      <c r="F223" s="36" t="s">
        <v>432</v>
      </c>
      <c r="G223" s="11"/>
      <c r="H223" s="11"/>
      <c r="I223" s="11"/>
      <c r="J223" s="11"/>
      <c r="K223" s="11"/>
      <c r="L223" s="11"/>
    </row>
    <row r="224" spans="1:12" x14ac:dyDescent="0.25">
      <c r="A224" s="11"/>
      <c r="B224" s="36" t="s">
        <v>433</v>
      </c>
      <c r="C224" s="36" t="s">
        <v>433</v>
      </c>
      <c r="D224" s="36" t="s">
        <v>433</v>
      </c>
      <c r="E224" s="36" t="s">
        <v>433</v>
      </c>
      <c r="F224" s="36" t="s">
        <v>433</v>
      </c>
      <c r="G224" s="11"/>
      <c r="H224" s="11"/>
      <c r="I224" s="11"/>
      <c r="J224" s="11"/>
      <c r="K224" s="11"/>
      <c r="L224" s="11"/>
    </row>
    <row r="225" spans="1:12" x14ac:dyDescent="0.25">
      <c r="A225" s="11"/>
      <c r="B225" s="36" t="s">
        <v>434</v>
      </c>
      <c r="C225" s="36" t="s">
        <v>434</v>
      </c>
      <c r="D225" s="36" t="s">
        <v>434</v>
      </c>
      <c r="E225" s="36" t="s">
        <v>434</v>
      </c>
      <c r="F225" s="36" t="s">
        <v>434</v>
      </c>
      <c r="G225" s="11"/>
      <c r="H225" s="11"/>
      <c r="I225" s="11"/>
      <c r="J225" s="11"/>
      <c r="K225" s="11"/>
      <c r="L225" s="11"/>
    </row>
    <row r="226" spans="1:12" ht="30" customHeight="1" x14ac:dyDescent="0.25">
      <c r="A226" s="11"/>
      <c r="B226" s="37" t="s">
        <v>435</v>
      </c>
      <c r="C226" s="37" t="s">
        <v>435</v>
      </c>
      <c r="D226" s="37" t="s">
        <v>435</v>
      </c>
      <c r="E226" s="37" t="s">
        <v>435</v>
      </c>
      <c r="F226" s="37" t="s">
        <v>435</v>
      </c>
      <c r="G226" s="11"/>
      <c r="H226" s="11"/>
      <c r="I226" s="11"/>
      <c r="J226" s="11"/>
      <c r="K226" s="11"/>
      <c r="L226" s="11"/>
    </row>
    <row r="227" spans="1:12" x14ac:dyDescent="0.25">
      <c r="A227" s="11"/>
      <c r="B227" s="11"/>
      <c r="C227" s="11"/>
      <c r="D227" s="11"/>
      <c r="E227" s="11"/>
      <c r="F227" s="11"/>
      <c r="G227" s="11"/>
      <c r="H227" s="11"/>
    </row>
    <row r="228" spans="1:12" x14ac:dyDescent="0.25">
      <c r="A228" s="21"/>
      <c r="B228" s="21" t="s">
        <v>436</v>
      </c>
      <c r="C228" s="21"/>
      <c r="D228" s="21"/>
      <c r="E228" s="11"/>
      <c r="F228" s="11"/>
      <c r="G228" s="11"/>
      <c r="H228" s="11"/>
    </row>
    <row r="229" spans="1:12" x14ac:dyDescent="0.25">
      <c r="A229" s="21"/>
      <c r="B229" s="22" t="s">
        <v>17</v>
      </c>
      <c r="C229" s="22"/>
      <c r="D229" s="23">
        <v>59.689999999999991</v>
      </c>
      <c r="E229" s="11"/>
      <c r="F229" s="11"/>
      <c r="G229" s="11"/>
      <c r="H229" s="11"/>
    </row>
    <row r="230" spans="1:12" x14ac:dyDescent="0.25">
      <c r="A230" s="21"/>
      <c r="B230" s="22" t="s">
        <v>437</v>
      </c>
      <c r="C230" s="22"/>
      <c r="D230" s="23">
        <v>7.0399999999999938</v>
      </c>
      <c r="E230" s="11"/>
      <c r="F230" s="11"/>
      <c r="G230" s="11"/>
      <c r="H230" s="11"/>
    </row>
    <row r="231" spans="1:12" x14ac:dyDescent="0.25">
      <c r="A231" s="21"/>
      <c r="B231" s="22" t="s">
        <v>400</v>
      </c>
      <c r="C231" s="22"/>
      <c r="D231" s="23">
        <v>0.5</v>
      </c>
      <c r="E231" s="11"/>
      <c r="F231" s="11"/>
      <c r="G231" s="11"/>
      <c r="H231" s="11"/>
    </row>
    <row r="232" spans="1:12" x14ac:dyDescent="0.25">
      <c r="A232" s="21"/>
      <c r="B232" s="22" t="s">
        <v>403</v>
      </c>
      <c r="C232" s="22"/>
      <c r="D232" s="23">
        <v>1.4</v>
      </c>
      <c r="E232" s="11"/>
      <c r="F232" s="11"/>
      <c r="G232" s="11"/>
      <c r="H232" s="11"/>
    </row>
    <row r="233" spans="1:12" x14ac:dyDescent="0.25">
      <c r="A233" s="21"/>
      <c r="B233" s="22" t="s">
        <v>438</v>
      </c>
      <c r="C233" s="22"/>
      <c r="D233" s="23">
        <v>17.079999999999998</v>
      </c>
      <c r="E233" s="11"/>
      <c r="F233" s="11"/>
      <c r="G233" s="11"/>
      <c r="H233" s="11"/>
    </row>
    <row r="234" spans="1:12" x14ac:dyDescent="0.25">
      <c r="A234" s="21"/>
      <c r="B234" s="22" t="s">
        <v>439</v>
      </c>
      <c r="C234" s="22"/>
      <c r="D234" s="23">
        <v>1.62</v>
      </c>
      <c r="E234" s="11"/>
      <c r="F234" s="11"/>
      <c r="G234" s="11"/>
      <c r="H234" s="11"/>
    </row>
    <row r="235" spans="1:12" x14ac:dyDescent="0.25">
      <c r="A235" s="21"/>
      <c r="B235" s="22" t="s">
        <v>440</v>
      </c>
      <c r="C235" s="22"/>
      <c r="D235" s="23">
        <v>7.5900000000000016</v>
      </c>
      <c r="E235" s="11"/>
      <c r="F235" s="11"/>
      <c r="G235" s="11"/>
      <c r="H235" s="11"/>
    </row>
    <row r="236" spans="1:12" x14ac:dyDescent="0.25">
      <c r="A236" s="21"/>
      <c r="B236" s="22" t="s">
        <v>441</v>
      </c>
      <c r="C236" s="22"/>
      <c r="D236" s="23">
        <v>5.08</v>
      </c>
      <c r="E236" s="11"/>
      <c r="F236" s="11"/>
      <c r="G236" s="11"/>
      <c r="H236" s="11"/>
    </row>
    <row r="237" spans="1:12" x14ac:dyDescent="0.25">
      <c r="A237" s="21"/>
      <c r="B237" s="21" t="s">
        <v>442</v>
      </c>
      <c r="C237" s="21"/>
      <c r="D237" s="21"/>
      <c r="E237" s="11"/>
      <c r="F237" s="11"/>
      <c r="G237" s="11"/>
      <c r="H237" s="11"/>
    </row>
    <row r="238" spans="1:12" x14ac:dyDescent="0.25">
      <c r="A238" s="21"/>
      <c r="B238" s="22" t="s">
        <v>17</v>
      </c>
      <c r="C238" s="22"/>
      <c r="D238" s="23">
        <v>66.730000000000018</v>
      </c>
      <c r="E238" s="11"/>
      <c r="F238" s="11"/>
      <c r="G238" s="11"/>
      <c r="H238" s="11"/>
    </row>
    <row r="239" spans="1:12" x14ac:dyDescent="0.25">
      <c r="A239" s="21"/>
      <c r="B239" s="22" t="s">
        <v>400</v>
      </c>
      <c r="C239" s="22"/>
      <c r="D239" s="23">
        <v>0.5</v>
      </c>
      <c r="E239" s="11"/>
      <c r="F239" s="11"/>
      <c r="G239" s="11"/>
      <c r="H239" s="11"/>
    </row>
    <row r="240" spans="1:12" x14ac:dyDescent="0.25">
      <c r="A240" s="21"/>
      <c r="B240" s="22" t="s">
        <v>403</v>
      </c>
      <c r="C240" s="22"/>
      <c r="D240" s="23">
        <v>1.4</v>
      </c>
      <c r="E240" s="11"/>
      <c r="F240" s="11"/>
      <c r="G240" s="11"/>
      <c r="H240" s="11"/>
    </row>
    <row r="241" spans="1:8" x14ac:dyDescent="0.25">
      <c r="A241" s="21"/>
      <c r="B241" s="22" t="s">
        <v>303</v>
      </c>
      <c r="C241" s="22"/>
      <c r="D241" s="23">
        <v>17.079999999999998</v>
      </c>
      <c r="E241" s="11"/>
      <c r="F241" s="11"/>
      <c r="G241" s="11"/>
      <c r="H241" s="11"/>
    </row>
    <row r="242" spans="1:8" x14ac:dyDescent="0.25">
      <c r="A242" s="21"/>
      <c r="B242" s="22" t="s">
        <v>443</v>
      </c>
      <c r="C242" s="22"/>
      <c r="D242" s="23">
        <v>8.1100000000000012</v>
      </c>
      <c r="E242" s="11"/>
      <c r="F242" s="11"/>
      <c r="G242" s="11"/>
      <c r="H242" s="11"/>
    </row>
    <row r="243" spans="1:8" x14ac:dyDescent="0.25">
      <c r="A243" s="21"/>
      <c r="B243" s="22" t="s">
        <v>444</v>
      </c>
      <c r="C243" s="22"/>
      <c r="D243" s="23">
        <v>0.87</v>
      </c>
      <c r="E243" s="11"/>
      <c r="F243" s="11"/>
      <c r="G243" s="11"/>
      <c r="H243" s="11"/>
    </row>
    <row r="244" spans="1:8" x14ac:dyDescent="0.25">
      <c r="A244" s="21"/>
      <c r="B244" s="22" t="s">
        <v>445</v>
      </c>
      <c r="C244" s="22"/>
      <c r="D244" s="23">
        <v>0.23</v>
      </c>
      <c r="E244" s="11"/>
      <c r="F244" s="11"/>
      <c r="G244" s="11"/>
      <c r="H244" s="11"/>
    </row>
    <row r="245" spans="1:8" x14ac:dyDescent="0.25">
      <c r="A245" s="21"/>
      <c r="B245" s="22" t="s">
        <v>441</v>
      </c>
      <c r="C245" s="22"/>
      <c r="D245" s="23">
        <v>5.08</v>
      </c>
      <c r="E245" s="11"/>
      <c r="F245" s="11"/>
      <c r="G245" s="11"/>
      <c r="H245" s="11"/>
    </row>
    <row r="246" spans="1:8" x14ac:dyDescent="0.25">
      <c r="A246" s="24"/>
      <c r="B246" s="21" t="s">
        <v>446</v>
      </c>
      <c r="C246" s="24"/>
      <c r="D246" s="24"/>
      <c r="E246" s="11"/>
      <c r="F246" s="11"/>
      <c r="G246" s="11"/>
      <c r="H246" s="11"/>
    </row>
    <row r="247" spans="1:8" x14ac:dyDescent="0.25">
      <c r="A247" s="24"/>
      <c r="B247" s="25" t="s">
        <v>22</v>
      </c>
      <c r="C247" s="22"/>
      <c r="D247" s="26">
        <v>14.27</v>
      </c>
      <c r="E247" s="11"/>
      <c r="F247" s="11"/>
      <c r="G247" s="11"/>
      <c r="H247" s="11"/>
    </row>
    <row r="248" spans="1:8" x14ac:dyDescent="0.25">
      <c r="A248" s="24"/>
      <c r="B248" s="25" t="s">
        <v>41</v>
      </c>
      <c r="C248" s="22"/>
      <c r="D248" s="26">
        <v>7.31</v>
      </c>
      <c r="E248" s="11"/>
      <c r="F248" s="11"/>
      <c r="G248" s="11"/>
      <c r="H248" s="11"/>
    </row>
    <row r="249" spans="1:8" x14ac:dyDescent="0.25">
      <c r="A249" s="24"/>
      <c r="B249" s="25" t="s">
        <v>27</v>
      </c>
      <c r="C249" s="22"/>
      <c r="D249" s="26">
        <v>4.26</v>
      </c>
      <c r="E249" s="11"/>
      <c r="F249" s="11"/>
      <c r="G249" s="11"/>
      <c r="H249" s="11"/>
    </row>
    <row r="250" spans="1:8" x14ac:dyDescent="0.25">
      <c r="A250" s="24"/>
      <c r="B250" s="25" t="s">
        <v>35</v>
      </c>
      <c r="C250" s="22"/>
      <c r="D250" s="26">
        <v>4.55</v>
      </c>
      <c r="E250" s="11"/>
      <c r="F250" s="11"/>
      <c r="G250" s="11"/>
      <c r="H250" s="11"/>
    </row>
    <row r="251" spans="1:8" x14ac:dyDescent="0.25">
      <c r="A251" s="24"/>
      <c r="B251" s="25" t="s">
        <v>44</v>
      </c>
      <c r="C251" s="22"/>
      <c r="D251" s="26">
        <v>3.92</v>
      </c>
      <c r="E251" s="11"/>
      <c r="F251" s="11"/>
      <c r="G251" s="11"/>
      <c r="H251" s="11"/>
    </row>
    <row r="252" spans="1:8" x14ac:dyDescent="0.25">
      <c r="A252" s="24"/>
      <c r="B252" s="25" t="s">
        <v>38</v>
      </c>
      <c r="C252" s="22"/>
      <c r="D252" s="26">
        <v>3.84</v>
      </c>
      <c r="E252" s="11"/>
      <c r="F252" s="11"/>
      <c r="G252" s="11"/>
      <c r="H252" s="11"/>
    </row>
    <row r="253" spans="1:8" x14ac:dyDescent="0.25">
      <c r="A253" s="24"/>
      <c r="B253" s="25" t="s">
        <v>32</v>
      </c>
      <c r="C253" s="22"/>
      <c r="D253" s="26">
        <v>3.68</v>
      </c>
      <c r="E253" s="11"/>
      <c r="F253" s="11"/>
      <c r="G253" s="11"/>
      <c r="H253" s="11"/>
    </row>
    <row r="254" spans="1:8" x14ac:dyDescent="0.25">
      <c r="A254" s="24"/>
      <c r="B254" s="25" t="s">
        <v>47</v>
      </c>
      <c r="C254" s="22"/>
      <c r="D254" s="26">
        <v>3.31</v>
      </c>
      <c r="E254" s="11"/>
      <c r="F254" s="11"/>
      <c r="G254" s="11"/>
      <c r="H254" s="11"/>
    </row>
    <row r="255" spans="1:8" x14ac:dyDescent="0.25">
      <c r="A255" s="24"/>
      <c r="B255" s="25" t="s">
        <v>64</v>
      </c>
      <c r="C255" s="22"/>
      <c r="D255" s="26">
        <v>2.82</v>
      </c>
      <c r="E255" s="11"/>
      <c r="F255" s="11"/>
      <c r="G255" s="11"/>
      <c r="H255" s="11"/>
    </row>
    <row r="256" spans="1:8" x14ac:dyDescent="0.25">
      <c r="A256" s="24"/>
      <c r="B256" s="25" t="s">
        <v>75</v>
      </c>
      <c r="C256" s="22"/>
      <c r="D256" s="26">
        <v>2.57</v>
      </c>
      <c r="E256" s="11"/>
      <c r="F256" s="11"/>
      <c r="G256" s="11"/>
      <c r="H256" s="11"/>
    </row>
    <row r="257" spans="1:8" x14ac:dyDescent="0.25">
      <c r="A257" s="24"/>
      <c r="B257" s="25" t="s">
        <v>56</v>
      </c>
      <c r="C257" s="22"/>
      <c r="D257" s="26">
        <v>1.46</v>
      </c>
      <c r="E257" s="11"/>
      <c r="F257" s="11"/>
      <c r="G257" s="11"/>
      <c r="H257" s="11"/>
    </row>
    <row r="258" spans="1:8" x14ac:dyDescent="0.25">
      <c r="A258" s="24"/>
      <c r="B258" s="25" t="s">
        <v>110</v>
      </c>
      <c r="C258" s="22"/>
      <c r="D258" s="26">
        <v>1.26</v>
      </c>
      <c r="E258" s="11"/>
      <c r="F258" s="11"/>
      <c r="G258" s="11"/>
      <c r="H258" s="11"/>
    </row>
    <row r="259" spans="1:8" x14ac:dyDescent="0.25">
      <c r="A259" s="24"/>
      <c r="B259" s="25" t="s">
        <v>67</v>
      </c>
      <c r="C259" s="22"/>
      <c r="D259" s="26">
        <v>1.1200000000000001</v>
      </c>
      <c r="E259" s="11"/>
      <c r="F259" s="11"/>
      <c r="G259" s="11"/>
      <c r="H259" s="11"/>
    </row>
    <row r="260" spans="1:8" x14ac:dyDescent="0.25">
      <c r="A260" s="24"/>
      <c r="B260" s="25" t="s">
        <v>82</v>
      </c>
      <c r="C260" s="22"/>
      <c r="D260" s="26">
        <v>0.95</v>
      </c>
      <c r="E260" s="11"/>
      <c r="F260" s="11"/>
      <c r="G260" s="11"/>
      <c r="H260" s="11"/>
    </row>
    <row r="261" spans="1:8" x14ac:dyDescent="0.25">
      <c r="A261" s="24"/>
      <c r="B261" s="25" t="s">
        <v>72</v>
      </c>
      <c r="C261" s="22"/>
      <c r="D261" s="26">
        <v>0.82</v>
      </c>
      <c r="E261" s="11"/>
      <c r="F261" s="11"/>
      <c r="G261" s="11"/>
      <c r="H261" s="11"/>
    </row>
    <row r="262" spans="1:8" x14ac:dyDescent="0.25">
      <c r="A262" s="24"/>
      <c r="B262" s="25" t="s">
        <v>89</v>
      </c>
      <c r="C262" s="22"/>
      <c r="D262" s="26">
        <v>0.79999999999999993</v>
      </c>
      <c r="E262" s="11"/>
      <c r="F262" s="11"/>
      <c r="G262" s="11"/>
      <c r="H262" s="11"/>
    </row>
    <row r="263" spans="1:8" x14ac:dyDescent="0.25">
      <c r="A263" s="24"/>
      <c r="B263" s="25" t="s">
        <v>98</v>
      </c>
      <c r="C263" s="22"/>
      <c r="D263" s="26">
        <v>0.56000000000000005</v>
      </c>
      <c r="E263" s="11"/>
      <c r="F263" s="11"/>
      <c r="G263" s="11"/>
      <c r="H263" s="11"/>
    </row>
    <row r="264" spans="1:8" x14ac:dyDescent="0.25">
      <c r="A264" s="24"/>
      <c r="B264" s="25" t="s">
        <v>125</v>
      </c>
      <c r="C264" s="22"/>
      <c r="D264" s="26">
        <v>0.54</v>
      </c>
      <c r="E264" s="11"/>
      <c r="F264" s="11"/>
      <c r="G264" s="11"/>
      <c r="H264" s="11"/>
    </row>
    <row r="265" spans="1:8" x14ac:dyDescent="0.25">
      <c r="A265" s="24"/>
      <c r="B265" s="25" t="s">
        <v>131</v>
      </c>
      <c r="C265" s="22"/>
      <c r="D265" s="26">
        <v>0.54</v>
      </c>
      <c r="E265" s="11"/>
      <c r="F265" s="11"/>
      <c r="G265" s="11"/>
      <c r="H265" s="11"/>
    </row>
    <row r="266" spans="1:8" x14ac:dyDescent="0.25">
      <c r="A266" s="24"/>
      <c r="B266" s="25" t="s">
        <v>101</v>
      </c>
      <c r="C266" s="22"/>
      <c r="D266" s="26">
        <v>0.5</v>
      </c>
      <c r="E266" s="11"/>
      <c r="F266" s="11"/>
      <c r="G266" s="11"/>
      <c r="H266" s="11"/>
    </row>
    <row r="267" spans="1:8" x14ac:dyDescent="0.25">
      <c r="A267" s="24"/>
      <c r="B267" s="25" t="s">
        <v>128</v>
      </c>
      <c r="C267" s="22"/>
      <c r="D267" s="26">
        <v>0.28999999999999998</v>
      </c>
      <c r="E267" s="11"/>
      <c r="F267" s="11"/>
      <c r="G267" s="11"/>
      <c r="H267" s="11"/>
    </row>
    <row r="268" spans="1:8" x14ac:dyDescent="0.25">
      <c r="A268" s="24"/>
      <c r="B268" s="25" t="s">
        <v>136</v>
      </c>
      <c r="C268" s="22"/>
      <c r="D268" s="26">
        <v>0.25</v>
      </c>
      <c r="E268" s="11"/>
      <c r="F268" s="11"/>
      <c r="G268" s="11"/>
      <c r="H268" s="11"/>
    </row>
    <row r="269" spans="1:8" x14ac:dyDescent="0.25">
      <c r="A269" s="24"/>
      <c r="B269" s="25" t="s">
        <v>141</v>
      </c>
      <c r="C269" s="22"/>
      <c r="D269" s="26">
        <v>0.25</v>
      </c>
      <c r="E269" s="11"/>
      <c r="F269" s="11"/>
      <c r="G269" s="11"/>
      <c r="H269" s="11"/>
    </row>
    <row r="270" spans="1:8" x14ac:dyDescent="0.25">
      <c r="A270" s="24"/>
      <c r="B270" s="25" t="s">
        <v>177</v>
      </c>
      <c r="C270" s="22"/>
      <c r="D270" s="26">
        <v>0.15</v>
      </c>
      <c r="E270" s="11"/>
      <c r="F270" s="11"/>
      <c r="G270" s="11"/>
      <c r="H270" s="11"/>
    </row>
    <row r="271" spans="1:8" x14ac:dyDescent="0.25">
      <c r="A271" s="24"/>
      <c r="B271" s="25" t="s">
        <v>189</v>
      </c>
      <c r="C271" s="22"/>
      <c r="D271" s="26">
        <v>0.09</v>
      </c>
      <c r="E271" s="11"/>
      <c r="F271" s="11"/>
      <c r="G271" s="11"/>
      <c r="H271" s="11"/>
    </row>
    <row r="272" spans="1:8" x14ac:dyDescent="0.25">
      <c r="A272" s="24"/>
      <c r="B272" s="25" t="s">
        <v>209</v>
      </c>
      <c r="C272" s="22"/>
      <c r="D272" s="26">
        <v>0.05</v>
      </c>
      <c r="E272" s="11"/>
      <c r="F272" s="11"/>
      <c r="G272" s="11"/>
      <c r="H272" s="11"/>
    </row>
    <row r="273" spans="1:8" x14ac:dyDescent="0.25">
      <c r="A273" s="24"/>
      <c r="B273" s="25" t="s">
        <v>154</v>
      </c>
      <c r="C273" s="22"/>
      <c r="D273" s="26">
        <v>0.03</v>
      </c>
      <c r="E273" s="11"/>
      <c r="F273" s="11"/>
      <c r="G273" s="11"/>
      <c r="H273" s="11"/>
    </row>
    <row r="274" spans="1:8" x14ac:dyDescent="0.25">
      <c r="A274" s="24"/>
      <c r="B274" s="25" t="s">
        <v>269</v>
      </c>
      <c r="C274" s="22"/>
      <c r="D274" s="26">
        <v>0</v>
      </c>
      <c r="E274" s="11"/>
      <c r="F274" s="11"/>
      <c r="G274" s="11"/>
      <c r="H274" s="11"/>
    </row>
    <row r="275" spans="1:8" x14ac:dyDescent="0.25">
      <c r="A275" s="24"/>
      <c r="B275" s="25" t="s">
        <v>259</v>
      </c>
      <c r="C275" s="22"/>
      <c r="D275" s="26">
        <v>0</v>
      </c>
      <c r="E275" s="11"/>
      <c r="F275" s="11"/>
      <c r="G275" s="11"/>
      <c r="H275" s="11"/>
    </row>
    <row r="276" spans="1:8" x14ac:dyDescent="0.25">
      <c r="A276" s="24"/>
      <c r="B276" s="25" t="s">
        <v>202</v>
      </c>
      <c r="C276" s="22"/>
      <c r="D276" s="26">
        <v>0</v>
      </c>
      <c r="E276" s="11"/>
      <c r="F276" s="11"/>
      <c r="G276" s="11"/>
      <c r="H276" s="11"/>
    </row>
    <row r="277" spans="1:8" x14ac:dyDescent="0.25">
      <c r="A277" s="24"/>
      <c r="B277" s="25" t="s">
        <v>224</v>
      </c>
      <c r="C277" s="22"/>
      <c r="D277" s="26">
        <v>0</v>
      </c>
      <c r="E277" s="11"/>
      <c r="F277" s="11"/>
      <c r="G277" s="11"/>
      <c r="H277" s="11"/>
    </row>
    <row r="278" spans="1:8" x14ac:dyDescent="0.25">
      <c r="A278" s="24"/>
      <c r="B278" s="25" t="s">
        <v>262</v>
      </c>
      <c r="C278" s="22"/>
      <c r="D278" s="26">
        <v>0</v>
      </c>
      <c r="E278" s="11"/>
      <c r="F278" s="11"/>
      <c r="G278" s="11"/>
      <c r="H278" s="11"/>
    </row>
    <row r="279" spans="1:8" x14ac:dyDescent="0.25">
      <c r="A279" s="24"/>
      <c r="B279" s="25" t="s">
        <v>235</v>
      </c>
      <c r="C279" s="22"/>
      <c r="D279" s="26">
        <v>0</v>
      </c>
      <c r="E279" s="11"/>
      <c r="F279" s="11"/>
      <c r="G279" s="11"/>
      <c r="H279" s="11"/>
    </row>
    <row r="280" spans="1:8" x14ac:dyDescent="0.25">
      <c r="A280" s="24"/>
      <c r="B280" s="25" t="s">
        <v>182</v>
      </c>
      <c r="C280" s="22"/>
      <c r="D280" s="26">
        <v>0</v>
      </c>
      <c r="E280" s="11"/>
      <c r="F280" s="11"/>
      <c r="G280" s="11"/>
      <c r="H280" s="11"/>
    </row>
    <row r="281" spans="1:8" x14ac:dyDescent="0.25">
      <c r="A281" s="24"/>
      <c r="B281" s="25" t="s">
        <v>248</v>
      </c>
      <c r="C281" s="22"/>
      <c r="D281" s="26">
        <v>0</v>
      </c>
      <c r="E281" s="11"/>
      <c r="F281" s="11"/>
      <c r="G281" s="11"/>
      <c r="H281" s="11"/>
    </row>
    <row r="282" spans="1:8" x14ac:dyDescent="0.25">
      <c r="A282" s="24"/>
      <c r="B282" s="25" t="s">
        <v>238</v>
      </c>
      <c r="C282" s="22"/>
      <c r="D282" s="26">
        <v>0</v>
      </c>
      <c r="E282" s="11"/>
      <c r="F282" s="11"/>
      <c r="G282" s="11"/>
      <c r="H282" s="11"/>
    </row>
    <row r="283" spans="1:8" x14ac:dyDescent="0.25">
      <c r="A283" s="24"/>
      <c r="B283" s="25" t="s">
        <v>241</v>
      </c>
      <c r="C283" s="22"/>
      <c r="D283" s="26">
        <v>1.4</v>
      </c>
      <c r="E283" s="11"/>
      <c r="F283" s="11"/>
      <c r="G283" s="11"/>
      <c r="H283" s="11"/>
    </row>
    <row r="284" spans="1:8" x14ac:dyDescent="0.25">
      <c r="A284" s="24"/>
      <c r="B284" s="25" t="s">
        <v>282</v>
      </c>
      <c r="C284" s="22"/>
      <c r="D284" s="26">
        <v>0</v>
      </c>
      <c r="E284" s="11"/>
      <c r="F284" s="11"/>
      <c r="G284" s="11"/>
      <c r="H284" s="11"/>
    </row>
    <row r="285" spans="1:8" x14ac:dyDescent="0.25">
      <c r="A285" s="24"/>
      <c r="B285" s="25" t="s">
        <v>437</v>
      </c>
      <c r="C285" s="22"/>
      <c r="D285" s="26">
        <v>7.0399999999999938</v>
      </c>
      <c r="E285" s="11"/>
      <c r="F285" s="11"/>
      <c r="G285" s="11"/>
      <c r="H285" s="11"/>
    </row>
    <row r="286" spans="1:8" x14ac:dyDescent="0.25">
      <c r="A286" s="24"/>
      <c r="B286" s="25" t="s">
        <v>438</v>
      </c>
      <c r="C286" s="22"/>
      <c r="D286" s="26">
        <v>17.079999999999998</v>
      </c>
      <c r="E286" s="11"/>
      <c r="F286" s="11"/>
      <c r="G286" s="11"/>
      <c r="H286" s="11"/>
    </row>
    <row r="287" spans="1:8" x14ac:dyDescent="0.25">
      <c r="A287" s="24"/>
      <c r="B287" s="25" t="s">
        <v>439</v>
      </c>
      <c r="C287" s="22"/>
      <c r="D287" s="26">
        <v>1.62</v>
      </c>
      <c r="E287" s="11"/>
      <c r="F287" s="11"/>
      <c r="G287" s="11"/>
      <c r="H287" s="11"/>
    </row>
    <row r="288" spans="1:8" x14ac:dyDescent="0.25">
      <c r="A288" s="24"/>
      <c r="B288" s="25" t="s">
        <v>440</v>
      </c>
      <c r="C288" s="22"/>
      <c r="D288" s="26">
        <v>7.5900000000000016</v>
      </c>
      <c r="E288" s="11"/>
      <c r="F288" s="11"/>
      <c r="G288" s="11"/>
      <c r="H288" s="11"/>
    </row>
    <row r="289" spans="1:8" x14ac:dyDescent="0.25">
      <c r="A289" s="24"/>
      <c r="B289" s="25" t="s">
        <v>441</v>
      </c>
      <c r="C289" s="22"/>
      <c r="D289" s="26">
        <v>5.08</v>
      </c>
      <c r="E289" s="11"/>
      <c r="F289" s="11"/>
      <c r="G289" s="11"/>
      <c r="H289" s="11"/>
    </row>
    <row r="290" spans="1:8" x14ac:dyDescent="0.25">
      <c r="A290" s="27"/>
      <c r="B290" s="27"/>
      <c r="C290" s="27"/>
      <c r="D290" s="27"/>
      <c r="E290" s="27"/>
      <c r="F290" s="27"/>
      <c r="G290" s="27"/>
      <c r="H290" s="27"/>
    </row>
    <row r="291" spans="1:8" x14ac:dyDescent="0.25">
      <c r="A291" s="27"/>
      <c r="B291" s="8" t="s">
        <v>447</v>
      </c>
      <c r="C291" s="27"/>
      <c r="D291" s="27"/>
      <c r="E291" s="27"/>
      <c r="F291" s="27"/>
      <c r="G291" s="27"/>
      <c r="H291" s="27"/>
    </row>
    <row r="292" spans="1:8" x14ac:dyDescent="0.25">
      <c r="A292" s="11"/>
      <c r="B292" s="11" t="s">
        <v>448</v>
      </c>
      <c r="C292" s="11"/>
      <c r="D292" s="11"/>
      <c r="E292" s="11"/>
      <c r="F292" s="11"/>
      <c r="G292" s="11"/>
      <c r="H292" s="27"/>
    </row>
    <row r="293" spans="1:8" x14ac:dyDescent="0.25">
      <c r="A293" s="11"/>
      <c r="B293" s="28" t="s">
        <v>449</v>
      </c>
      <c r="C293" s="29" t="s">
        <v>450</v>
      </c>
      <c r="D293" s="28" t="s">
        <v>451</v>
      </c>
      <c r="E293" s="11"/>
      <c r="F293" s="11"/>
      <c r="G293" s="11"/>
      <c r="H293" s="27"/>
    </row>
    <row r="294" spans="1:8" x14ac:dyDescent="0.25">
      <c r="A294" s="11"/>
      <c r="B294" s="8" t="s">
        <v>452</v>
      </c>
      <c r="C294" s="30">
        <v>30.327999999999999</v>
      </c>
      <c r="D294" s="30">
        <v>30.056000000000001</v>
      </c>
      <c r="E294" s="11"/>
      <c r="F294" s="11"/>
      <c r="G294" s="11"/>
      <c r="H294" s="27"/>
    </row>
    <row r="295" spans="1:8" x14ac:dyDescent="0.25">
      <c r="A295" s="11"/>
      <c r="B295" s="8" t="s">
        <v>453</v>
      </c>
      <c r="C295" s="30">
        <v>34.216000000000001</v>
      </c>
      <c r="D295" s="30">
        <v>33.862000000000002</v>
      </c>
      <c r="E295" s="11"/>
      <c r="F295" s="11"/>
      <c r="G295" s="11"/>
      <c r="H295" s="27"/>
    </row>
    <row r="296" spans="1:8" x14ac:dyDescent="0.25">
      <c r="A296" s="11"/>
      <c r="B296" s="8" t="s">
        <v>454</v>
      </c>
      <c r="C296" s="30">
        <v>340.245</v>
      </c>
      <c r="D296" s="30">
        <v>334.64499999999998</v>
      </c>
      <c r="E296" s="11"/>
      <c r="F296" s="11"/>
      <c r="G296" s="11"/>
      <c r="H296" s="27"/>
    </row>
    <row r="297" spans="1:8" x14ac:dyDescent="0.25">
      <c r="A297" s="11"/>
      <c r="B297" s="8" t="s">
        <v>455</v>
      </c>
      <c r="C297" s="30">
        <v>362.99299999999999</v>
      </c>
      <c r="D297" s="30">
        <v>356.81700000000001</v>
      </c>
      <c r="E297" s="11"/>
      <c r="F297" s="11"/>
      <c r="G297" s="11"/>
      <c r="H297" s="27"/>
    </row>
    <row r="298" spans="1:8" x14ac:dyDescent="0.25">
      <c r="A298" s="11"/>
      <c r="B298" s="8" t="s">
        <v>20</v>
      </c>
      <c r="C298" s="11"/>
      <c r="D298" s="11"/>
      <c r="E298" s="11"/>
      <c r="F298" s="11"/>
      <c r="G298" s="11"/>
      <c r="H298" s="27"/>
    </row>
    <row r="299" spans="1:8" x14ac:dyDescent="0.25">
      <c r="A299" s="11"/>
      <c r="B299" s="11"/>
      <c r="C299" s="11"/>
      <c r="D299" s="11"/>
      <c r="E299" s="11"/>
      <c r="F299" s="11"/>
      <c r="G299" s="11"/>
      <c r="H299" s="27"/>
    </row>
    <row r="300" spans="1:8" x14ac:dyDescent="0.25">
      <c r="A300" s="11"/>
      <c r="B300" s="11" t="s">
        <v>456</v>
      </c>
      <c r="C300" s="11"/>
      <c r="D300" s="11"/>
      <c r="E300" s="11"/>
      <c r="F300" s="11"/>
      <c r="G300" s="11"/>
      <c r="H300" s="27"/>
    </row>
    <row r="301" spans="1:8" x14ac:dyDescent="0.25">
      <c r="A301" s="11"/>
      <c r="B301" s="31" t="s">
        <v>20</v>
      </c>
      <c r="C301" s="32" t="s">
        <v>20</v>
      </c>
      <c r="D301" s="32" t="s">
        <v>20</v>
      </c>
      <c r="E301" s="38" t="s">
        <v>457</v>
      </c>
      <c r="F301" s="38" t="s">
        <v>457</v>
      </c>
      <c r="G301" s="11"/>
      <c r="H301" s="27"/>
    </row>
    <row r="302" spans="1:8" x14ac:dyDescent="0.25">
      <c r="A302" s="11"/>
      <c r="B302" s="33" t="s">
        <v>458</v>
      </c>
      <c r="C302" s="33" t="s">
        <v>459</v>
      </c>
      <c r="D302" s="33" t="s">
        <v>460</v>
      </c>
      <c r="E302" s="28" t="s">
        <v>461</v>
      </c>
      <c r="F302" s="28" t="s">
        <v>462</v>
      </c>
      <c r="G302" s="11"/>
      <c r="H302" s="27"/>
    </row>
    <row r="303" spans="1:8" x14ac:dyDescent="0.25">
      <c r="A303" s="11"/>
      <c r="B303" s="11" t="s">
        <v>452</v>
      </c>
      <c r="C303" s="34" t="s">
        <v>463</v>
      </c>
      <c r="D303" s="30">
        <v>30.298999999999999</v>
      </c>
      <c r="E303" s="30">
        <v>0.23</v>
      </c>
      <c r="F303" s="30">
        <v>0.23</v>
      </c>
      <c r="G303" s="11"/>
      <c r="H303" s="27"/>
    </row>
    <row r="304" spans="1:8" x14ac:dyDescent="0.25">
      <c r="A304" s="11"/>
      <c r="B304" s="11" t="s">
        <v>453</v>
      </c>
      <c r="C304" s="34" t="s">
        <v>463</v>
      </c>
      <c r="D304" s="30">
        <v>34.15</v>
      </c>
      <c r="E304" s="30">
        <v>0.23</v>
      </c>
      <c r="F304" s="30">
        <v>0.23</v>
      </c>
      <c r="G304" s="11"/>
      <c r="H304" s="27"/>
    </row>
    <row r="305" spans="1:8" x14ac:dyDescent="0.25">
      <c r="A305" s="11"/>
      <c r="B305" s="11"/>
      <c r="C305" s="11"/>
      <c r="D305" s="11"/>
      <c r="E305" s="11"/>
      <c r="F305" s="11"/>
      <c r="G305" s="11"/>
      <c r="H305" s="27"/>
    </row>
    <row r="306" spans="1:8" x14ac:dyDescent="0.25">
      <c r="A306" s="11"/>
      <c r="B306" s="11" t="s">
        <v>464</v>
      </c>
      <c r="C306" s="11"/>
      <c r="D306" s="11"/>
      <c r="E306" s="11"/>
      <c r="F306" s="11"/>
      <c r="G306" s="11"/>
      <c r="H306" s="27"/>
    </row>
    <row r="307" spans="1:8" x14ac:dyDescent="0.25">
      <c r="A307" s="27"/>
      <c r="B307" s="27"/>
      <c r="C307" s="27"/>
      <c r="D307" s="27"/>
      <c r="E307" s="27"/>
      <c r="F307" s="27"/>
      <c r="G307" s="27"/>
      <c r="H307" s="27"/>
    </row>
    <row r="308" spans="1:8" x14ac:dyDescent="0.25">
      <c r="A308" s="11"/>
      <c r="B308" s="11" t="s">
        <v>465</v>
      </c>
      <c r="C308" s="11"/>
      <c r="D308" s="11"/>
      <c r="E308" s="11"/>
      <c r="F308" s="11"/>
      <c r="G308" s="11"/>
      <c r="H308" s="11"/>
    </row>
    <row r="309" spans="1:8" x14ac:dyDescent="0.25">
      <c r="A309" s="11"/>
      <c r="B309" s="11" t="s">
        <v>466</v>
      </c>
      <c r="C309" s="11"/>
      <c r="D309" s="11"/>
      <c r="E309" s="11"/>
      <c r="F309" s="11"/>
      <c r="G309" s="11"/>
      <c r="H309" s="27"/>
    </row>
    <row r="310" spans="1:8" x14ac:dyDescent="0.25">
      <c r="A310" s="11"/>
      <c r="B310" s="11" t="s">
        <v>467</v>
      </c>
      <c r="C310" s="11"/>
      <c r="D310" s="11"/>
      <c r="E310" s="11"/>
      <c r="F310" s="11"/>
      <c r="G310" s="11"/>
      <c r="H310" s="27"/>
    </row>
    <row r="311" spans="1:8" x14ac:dyDescent="0.25">
      <c r="A311" s="11"/>
      <c r="B311" s="11" t="s">
        <v>468</v>
      </c>
      <c r="C311" s="11"/>
      <c r="D311" s="11"/>
      <c r="E311" s="11"/>
      <c r="F311" s="11"/>
      <c r="G311" s="11"/>
      <c r="H311" s="27"/>
    </row>
    <row r="312" spans="1:8" x14ac:dyDescent="0.25">
      <c r="A312" s="11"/>
      <c r="B312" s="11" t="s">
        <v>469</v>
      </c>
      <c r="C312" s="11"/>
      <c r="D312" s="11"/>
      <c r="E312" s="11"/>
      <c r="F312" s="11"/>
      <c r="G312" s="11"/>
      <c r="H312" s="27"/>
    </row>
    <row r="313" spans="1:8" x14ac:dyDescent="0.25">
      <c r="A313" s="11"/>
      <c r="B313" s="11" t="s">
        <v>470</v>
      </c>
      <c r="C313" s="11"/>
      <c r="D313" s="11"/>
      <c r="E313" s="11"/>
      <c r="F313" s="11"/>
      <c r="G313" s="11"/>
      <c r="H313" s="27"/>
    </row>
    <row r="314" spans="1:8" x14ac:dyDescent="0.25">
      <c r="A314" s="11"/>
      <c r="B314" s="11" t="s">
        <v>471</v>
      </c>
      <c r="C314" s="11"/>
      <c r="D314" s="11"/>
      <c r="E314" s="11"/>
      <c r="F314" s="11"/>
      <c r="G314" s="11"/>
      <c r="H314" s="27"/>
    </row>
    <row r="315" spans="1:8" x14ac:dyDescent="0.25">
      <c r="A315" s="11"/>
      <c r="B315" s="11" t="s">
        <v>472</v>
      </c>
      <c r="C315" s="11"/>
      <c r="D315" s="11"/>
      <c r="E315" s="11"/>
      <c r="F315" s="11"/>
      <c r="G315" s="11"/>
      <c r="H315" s="27"/>
    </row>
    <row r="316" spans="1:8" x14ac:dyDescent="0.25">
      <c r="A316" s="11"/>
      <c r="B316" s="11" t="s">
        <v>473</v>
      </c>
      <c r="C316" s="11"/>
      <c r="D316" s="11"/>
      <c r="E316" s="11"/>
      <c r="F316" s="11"/>
      <c r="G316" s="11"/>
      <c r="H316" s="27"/>
    </row>
    <row r="317" spans="1:8" x14ac:dyDescent="0.25">
      <c r="A317" s="11"/>
      <c r="B317" s="11" t="s">
        <v>474</v>
      </c>
      <c r="C317" s="11"/>
      <c r="D317" s="11"/>
      <c r="E317" s="11"/>
      <c r="F317" s="11"/>
      <c r="G317" s="11"/>
      <c r="H317" s="27"/>
    </row>
    <row r="318" spans="1:8" x14ac:dyDescent="0.25">
      <c r="A318" s="11"/>
      <c r="B318" s="11" t="s">
        <v>475</v>
      </c>
      <c r="C318" s="11"/>
      <c r="D318" s="11"/>
      <c r="E318" s="11"/>
      <c r="F318" s="11"/>
      <c r="G318" s="11"/>
      <c r="H318" s="27"/>
    </row>
    <row r="320" spans="1:8" x14ac:dyDescent="0.25">
      <c r="B320" s="35" t="s">
        <v>476</v>
      </c>
    </row>
    <row r="336" spans="2:2" x14ac:dyDescent="0.25">
      <c r="B336" s="35" t="s">
        <v>477</v>
      </c>
    </row>
  </sheetData>
  <autoFilter ref="A5:L215"/>
  <mergeCells count="12">
    <mergeCell ref="E301:F301"/>
    <mergeCell ref="A1:J1"/>
    <mergeCell ref="A2:J2"/>
    <mergeCell ref="B218:F218"/>
    <mergeCell ref="B219:F219"/>
    <mergeCell ref="B220:F220"/>
    <mergeCell ref="B221:F221"/>
    <mergeCell ref="B222:F222"/>
    <mergeCell ref="B223:F223"/>
    <mergeCell ref="B224:F224"/>
    <mergeCell ref="B225:F225"/>
    <mergeCell ref="B226:F2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5"/>
  <sheetViews>
    <sheetView workbookViewId="0">
      <selection activeCell="A5" sqref="A5"/>
    </sheetView>
  </sheetViews>
  <sheetFormatPr defaultColWidth="9.140625" defaultRowHeight="12.75" x14ac:dyDescent="0.2"/>
  <cols>
    <col min="1" max="1" width="46.5703125" style="42" customWidth="1"/>
    <col min="2" max="2" width="41.28515625" style="42" bestFit="1" customWidth="1"/>
    <col min="3" max="3" width="32.42578125" style="42" customWidth="1"/>
    <col min="4" max="4" width="22.7109375" style="42" customWidth="1"/>
    <col min="5" max="5" width="18.7109375" style="42" customWidth="1"/>
    <col min="6" max="6" width="16.140625" style="42" customWidth="1"/>
    <col min="7" max="7" width="13.7109375" style="42" customWidth="1"/>
    <col min="8" max="8" width="38.5703125" style="42" customWidth="1"/>
    <col min="9" max="9" width="9.140625" style="42" customWidth="1"/>
    <col min="10" max="10" width="11.7109375" style="42" customWidth="1"/>
    <col min="11" max="11" width="12.7109375" style="42" customWidth="1"/>
    <col min="12" max="12" width="27.28515625" style="42" customWidth="1"/>
    <col min="13" max="14" width="9.140625" style="42" customWidth="1"/>
    <col min="15" max="15" width="10.7109375" style="42" customWidth="1"/>
    <col min="16" max="16384" width="9.140625" style="42"/>
  </cols>
  <sheetData>
    <row r="2" spans="1:8" x14ac:dyDescent="0.2">
      <c r="G2" s="43"/>
    </row>
    <row r="3" spans="1:8" x14ac:dyDescent="0.2">
      <c r="A3" s="44" t="s">
        <v>478</v>
      </c>
      <c r="B3" s="44"/>
      <c r="C3" s="44"/>
      <c r="D3" s="44"/>
      <c r="E3" s="44"/>
      <c r="F3" s="44"/>
      <c r="G3" s="44"/>
    </row>
    <row r="5" spans="1:8" x14ac:dyDescent="0.2">
      <c r="A5" s="42" t="s">
        <v>479</v>
      </c>
    </row>
    <row r="7" spans="1:8" ht="12.75" customHeight="1" x14ac:dyDescent="0.2">
      <c r="A7" s="45" t="s">
        <v>480</v>
      </c>
      <c r="B7" s="45"/>
      <c r="C7" s="45"/>
      <c r="D7" s="45"/>
      <c r="E7" s="45"/>
      <c r="F7" s="45"/>
    </row>
    <row r="8" spans="1:8" ht="38.25" x14ac:dyDescent="0.2">
      <c r="A8" s="46" t="s">
        <v>481</v>
      </c>
      <c r="B8" s="47" t="s">
        <v>482</v>
      </c>
      <c r="C8" s="47" t="s">
        <v>483</v>
      </c>
      <c r="D8" s="47" t="s">
        <v>484</v>
      </c>
      <c r="E8" s="47" t="s">
        <v>485</v>
      </c>
      <c r="F8" s="47" t="s">
        <v>486</v>
      </c>
      <c r="G8" s="47" t="s">
        <v>487</v>
      </c>
      <c r="H8" s="48" t="s">
        <v>488</v>
      </c>
    </row>
    <row r="9" spans="1:8" x14ac:dyDescent="0.2">
      <c r="A9" s="49" t="s">
        <v>489</v>
      </c>
      <c r="B9" s="50" t="s">
        <v>230</v>
      </c>
      <c r="C9" s="50" t="s">
        <v>202</v>
      </c>
      <c r="D9" s="51">
        <v>-58250</v>
      </c>
      <c r="E9" s="52">
        <v>1750.5025000858368</v>
      </c>
      <c r="F9" s="53">
        <v>1771.15</v>
      </c>
      <c r="G9" s="53">
        <v>218.1565894</v>
      </c>
      <c r="H9" s="54">
        <f>(D9*F9)/100000</f>
        <v>-1031.6948749999999</v>
      </c>
    </row>
    <row r="10" spans="1:8" x14ac:dyDescent="0.2">
      <c r="A10" s="55"/>
      <c r="B10" s="50" t="s">
        <v>181</v>
      </c>
      <c r="C10" s="50" t="s">
        <v>182</v>
      </c>
      <c r="D10" s="51">
        <v>-141125</v>
      </c>
      <c r="E10" s="52">
        <v>4417.9551910717446</v>
      </c>
      <c r="F10" s="53">
        <v>4532.7</v>
      </c>
      <c r="G10" s="53">
        <v>1236.2666403000001</v>
      </c>
      <c r="H10" s="54">
        <f t="shared" ref="H10:H73" si="0">(D10*F10)/100000</f>
        <v>-6396.7728749999997</v>
      </c>
    </row>
    <row r="11" spans="1:8" x14ac:dyDescent="0.2">
      <c r="A11" s="55"/>
      <c r="B11" s="50" t="s">
        <v>490</v>
      </c>
      <c r="C11" s="50" t="s">
        <v>125</v>
      </c>
      <c r="D11" s="51">
        <v>-1215000</v>
      </c>
      <c r="E11" s="52">
        <v>141.12280000000001</v>
      </c>
      <c r="F11" s="53">
        <v>146.44999999999999</v>
      </c>
      <c r="G11" s="53">
        <v>371.63204999999999</v>
      </c>
      <c r="H11" s="54">
        <f t="shared" si="0"/>
        <v>-1779.3675000000001</v>
      </c>
    </row>
    <row r="12" spans="1:8" x14ac:dyDescent="0.2">
      <c r="A12" s="55"/>
      <c r="B12" s="50" t="s">
        <v>491</v>
      </c>
      <c r="C12" s="50" t="s">
        <v>154</v>
      </c>
      <c r="D12" s="51">
        <v>-357200</v>
      </c>
      <c r="E12" s="52">
        <v>2911.8886000000002</v>
      </c>
      <c r="F12" s="53">
        <v>2912.65</v>
      </c>
      <c r="G12" s="53">
        <v>1838.7343290000001</v>
      </c>
      <c r="H12" s="54">
        <f t="shared" si="0"/>
        <v>-10403.9858</v>
      </c>
    </row>
    <row r="13" spans="1:8" x14ac:dyDescent="0.2">
      <c r="A13" s="55"/>
      <c r="B13" s="50" t="s">
        <v>492</v>
      </c>
      <c r="C13" s="50" t="s">
        <v>131</v>
      </c>
      <c r="D13" s="51">
        <v>-734</v>
      </c>
      <c r="E13" s="52">
        <v>1404.1</v>
      </c>
      <c r="F13" s="53">
        <v>1456.65</v>
      </c>
      <c r="G13" s="53">
        <v>2.2664377</v>
      </c>
      <c r="H13" s="54">
        <f t="shared" si="0"/>
        <v>-10.691811000000001</v>
      </c>
    </row>
    <row r="14" spans="1:8" x14ac:dyDescent="0.2">
      <c r="A14" s="55"/>
      <c r="B14" s="50" t="s">
        <v>493</v>
      </c>
      <c r="C14" s="50" t="s">
        <v>41</v>
      </c>
      <c r="D14" s="51">
        <v>-330000</v>
      </c>
      <c r="E14" s="52">
        <v>6242.4539000000004</v>
      </c>
      <c r="F14" s="53">
        <v>6300.7</v>
      </c>
      <c r="G14" s="53">
        <v>4208.2812750000003</v>
      </c>
      <c r="H14" s="54">
        <f t="shared" si="0"/>
        <v>-20792.310000000001</v>
      </c>
    </row>
    <row r="15" spans="1:8" x14ac:dyDescent="0.2">
      <c r="A15" s="55"/>
      <c r="B15" s="50" t="s">
        <v>273</v>
      </c>
      <c r="C15" s="50" t="s">
        <v>22</v>
      </c>
      <c r="D15" s="51">
        <v>-14400</v>
      </c>
      <c r="E15" s="52">
        <v>223.7312</v>
      </c>
      <c r="F15" s="53">
        <v>230.15</v>
      </c>
      <c r="G15" s="53">
        <v>8.1061920000000001</v>
      </c>
      <c r="H15" s="54">
        <f t="shared" si="0"/>
        <v>-33.141599999999997</v>
      </c>
    </row>
    <row r="16" spans="1:8" x14ac:dyDescent="0.2">
      <c r="A16" s="55"/>
      <c r="B16" s="50" t="s">
        <v>60</v>
      </c>
      <c r="C16" s="50" t="s">
        <v>22</v>
      </c>
      <c r="D16" s="51">
        <v>-87750</v>
      </c>
      <c r="E16" s="52">
        <v>185.23330005698006</v>
      </c>
      <c r="F16" s="53">
        <v>188.65</v>
      </c>
      <c r="G16" s="53">
        <v>40.471177500000003</v>
      </c>
      <c r="H16" s="54">
        <f t="shared" si="0"/>
        <v>-165.54037500000001</v>
      </c>
    </row>
    <row r="17" spans="1:8" x14ac:dyDescent="0.2">
      <c r="A17" s="55"/>
      <c r="B17" s="50" t="s">
        <v>103</v>
      </c>
      <c r="C17" s="50" t="s">
        <v>41</v>
      </c>
      <c r="D17" s="51">
        <v>-1761000</v>
      </c>
      <c r="E17" s="52">
        <v>1371.9028000000001</v>
      </c>
      <c r="F17" s="53">
        <v>1360.2</v>
      </c>
      <c r="G17" s="53">
        <v>4894.5013875000004</v>
      </c>
      <c r="H17" s="54">
        <f t="shared" si="0"/>
        <v>-23953.121999999999</v>
      </c>
    </row>
    <row r="18" spans="1:8" x14ac:dyDescent="0.2">
      <c r="A18" s="55"/>
      <c r="B18" s="50" t="s">
        <v>232</v>
      </c>
      <c r="C18" s="50" t="s">
        <v>101</v>
      </c>
      <c r="D18" s="51">
        <v>-1648500</v>
      </c>
      <c r="E18" s="52">
        <v>77.515199999999993</v>
      </c>
      <c r="F18" s="53">
        <v>78.849999999999994</v>
      </c>
      <c r="G18" s="53">
        <v>338.29692749999998</v>
      </c>
      <c r="H18" s="54">
        <f t="shared" si="0"/>
        <v>-1299.8422499999999</v>
      </c>
    </row>
    <row r="19" spans="1:8" x14ac:dyDescent="0.2">
      <c r="A19" s="55"/>
      <c r="B19" s="50" t="s">
        <v>79</v>
      </c>
      <c r="C19" s="50" t="s">
        <v>44</v>
      </c>
      <c r="D19" s="51">
        <v>-916200</v>
      </c>
      <c r="E19" s="52">
        <v>349.61919999999998</v>
      </c>
      <c r="F19" s="53">
        <v>358.8</v>
      </c>
      <c r="G19" s="53">
        <v>581.21437500000002</v>
      </c>
      <c r="H19" s="54">
        <f t="shared" si="0"/>
        <v>-3287.3256000000001</v>
      </c>
    </row>
    <row r="20" spans="1:8" x14ac:dyDescent="0.2">
      <c r="A20" s="55"/>
      <c r="B20" s="50" t="s">
        <v>55</v>
      </c>
      <c r="C20" s="50" t="s">
        <v>56</v>
      </c>
      <c r="D20" s="51">
        <v>-589950</v>
      </c>
      <c r="E20" s="52">
        <v>779.89550000847532</v>
      </c>
      <c r="F20" s="53">
        <v>801.9</v>
      </c>
      <c r="G20" s="53">
        <v>836.66709500000002</v>
      </c>
      <c r="H20" s="54">
        <f t="shared" si="0"/>
        <v>-4730.8090499999998</v>
      </c>
    </row>
    <row r="21" spans="1:8" x14ac:dyDescent="0.2">
      <c r="A21" s="55"/>
      <c r="B21" s="50" t="s">
        <v>275</v>
      </c>
      <c r="C21" s="50" t="s">
        <v>64</v>
      </c>
      <c r="D21" s="51">
        <v>-2300</v>
      </c>
      <c r="E21" s="52">
        <v>231.45</v>
      </c>
      <c r="F21" s="53">
        <v>233.4</v>
      </c>
      <c r="G21" s="53">
        <v>1.0962260000000001</v>
      </c>
      <c r="H21" s="54">
        <f t="shared" si="0"/>
        <v>-5.3681999999999999</v>
      </c>
    </row>
    <row r="22" spans="1:8" x14ac:dyDescent="0.2">
      <c r="A22" s="55"/>
      <c r="B22" s="50" t="s">
        <v>234</v>
      </c>
      <c r="C22" s="50" t="s">
        <v>235</v>
      </c>
      <c r="D22" s="51">
        <v>-29200</v>
      </c>
      <c r="E22" s="52">
        <v>4411.0721999999996</v>
      </c>
      <c r="F22" s="53">
        <v>4568.1499999999996</v>
      </c>
      <c r="G22" s="53">
        <v>235.7681</v>
      </c>
      <c r="H22" s="54">
        <f t="shared" si="0"/>
        <v>-1333.8997999999999</v>
      </c>
    </row>
    <row r="23" spans="1:8" x14ac:dyDescent="0.2">
      <c r="A23" s="55"/>
      <c r="B23" s="50" t="s">
        <v>166</v>
      </c>
      <c r="C23" s="50" t="s">
        <v>64</v>
      </c>
      <c r="D23" s="51">
        <v>-139100</v>
      </c>
      <c r="E23" s="52">
        <v>916.70180000000005</v>
      </c>
      <c r="F23" s="53">
        <v>913.9</v>
      </c>
      <c r="G23" s="53">
        <v>224.2260703</v>
      </c>
      <c r="H23" s="54">
        <f t="shared" si="0"/>
        <v>-1271.2348999999999</v>
      </c>
    </row>
    <row r="24" spans="1:8" x14ac:dyDescent="0.2">
      <c r="A24" s="55"/>
      <c r="B24" s="50" t="s">
        <v>237</v>
      </c>
      <c r="C24" s="50" t="s">
        <v>238</v>
      </c>
      <c r="D24" s="51">
        <v>-155000</v>
      </c>
      <c r="E24" s="52">
        <v>535.03790000000004</v>
      </c>
      <c r="F24" s="53">
        <v>534.85</v>
      </c>
      <c r="G24" s="53">
        <v>146.54591249999999</v>
      </c>
      <c r="H24" s="54">
        <f t="shared" si="0"/>
        <v>-829.01750000000004</v>
      </c>
    </row>
    <row r="25" spans="1:8" x14ac:dyDescent="0.2">
      <c r="A25" s="55"/>
      <c r="B25" s="50" t="s">
        <v>494</v>
      </c>
      <c r="C25" s="50" t="s">
        <v>241</v>
      </c>
      <c r="D25" s="51">
        <v>-272250</v>
      </c>
      <c r="E25" s="52">
        <v>421.63270001836548</v>
      </c>
      <c r="F25" s="53">
        <v>427.5</v>
      </c>
      <c r="G25" s="53">
        <v>257.57300249999997</v>
      </c>
      <c r="H25" s="54">
        <f t="shared" si="0"/>
        <v>-1163.8687500000001</v>
      </c>
    </row>
    <row r="26" spans="1:8" x14ac:dyDescent="0.2">
      <c r="A26" s="55"/>
      <c r="B26" s="50" t="s">
        <v>495</v>
      </c>
      <c r="C26" s="50" t="s">
        <v>64</v>
      </c>
      <c r="D26" s="51">
        <v>-64750</v>
      </c>
      <c r="E26" s="52">
        <v>4902.5241000772203</v>
      </c>
      <c r="F26" s="53">
        <v>4946.1499999999996</v>
      </c>
      <c r="G26" s="53">
        <v>566.14923810000005</v>
      </c>
      <c r="H26" s="54">
        <f t="shared" si="0"/>
        <v>-3202.6321250000001</v>
      </c>
    </row>
    <row r="27" spans="1:8" x14ac:dyDescent="0.2">
      <c r="A27" s="55"/>
      <c r="B27" s="50" t="s">
        <v>191</v>
      </c>
      <c r="C27" s="50" t="s">
        <v>82</v>
      </c>
      <c r="D27" s="51">
        <v>-151900</v>
      </c>
      <c r="E27" s="52">
        <v>3268.6723000000002</v>
      </c>
      <c r="F27" s="53">
        <v>3317.8</v>
      </c>
      <c r="G27" s="53">
        <v>928.05317680000007</v>
      </c>
      <c r="H27" s="54">
        <f t="shared" si="0"/>
        <v>-5039.7381999999998</v>
      </c>
    </row>
    <row r="28" spans="1:8" x14ac:dyDescent="0.2">
      <c r="A28" s="55"/>
      <c r="B28" s="50" t="s">
        <v>264</v>
      </c>
      <c r="C28" s="50" t="s">
        <v>238</v>
      </c>
      <c r="D28" s="51">
        <v>-68000</v>
      </c>
      <c r="E28" s="52">
        <v>996.55</v>
      </c>
      <c r="F28" s="53">
        <v>912.55</v>
      </c>
      <c r="G28" s="53">
        <v>110.7822</v>
      </c>
      <c r="H28" s="54">
        <f t="shared" si="0"/>
        <v>-620.53399999999999</v>
      </c>
    </row>
    <row r="29" spans="1:8" x14ac:dyDescent="0.2">
      <c r="A29" s="55"/>
      <c r="B29" s="50" t="s">
        <v>243</v>
      </c>
      <c r="C29" s="50" t="s">
        <v>202</v>
      </c>
      <c r="D29" s="51">
        <v>-63650</v>
      </c>
      <c r="E29" s="52">
        <v>1704.5608</v>
      </c>
      <c r="F29" s="53">
        <v>1732.55</v>
      </c>
      <c r="G29" s="53">
        <v>194.40508610000001</v>
      </c>
      <c r="H29" s="54">
        <f t="shared" si="0"/>
        <v>-1102.768075</v>
      </c>
    </row>
    <row r="30" spans="1:8" x14ac:dyDescent="0.2">
      <c r="A30" s="55"/>
      <c r="B30" s="50" t="s">
        <v>201</v>
      </c>
      <c r="C30" s="50" t="s">
        <v>202</v>
      </c>
      <c r="D30" s="51">
        <v>-811800</v>
      </c>
      <c r="E30" s="52">
        <v>387.48500000000001</v>
      </c>
      <c r="F30" s="53">
        <v>399.3</v>
      </c>
      <c r="G30" s="53">
        <v>1131.3386865</v>
      </c>
      <c r="H30" s="54">
        <f t="shared" si="0"/>
        <v>-3241.5174000000002</v>
      </c>
    </row>
    <row r="31" spans="1:8" x14ac:dyDescent="0.2">
      <c r="A31" s="55"/>
      <c r="B31" s="50" t="s">
        <v>266</v>
      </c>
      <c r="C31" s="50" t="s">
        <v>38</v>
      </c>
      <c r="D31" s="51">
        <v>-32200</v>
      </c>
      <c r="E31" s="52">
        <v>1056.5956000000001</v>
      </c>
      <c r="F31" s="53">
        <v>1067.7</v>
      </c>
      <c r="G31" s="53">
        <v>60.802455000000002</v>
      </c>
      <c r="H31" s="54">
        <f t="shared" si="0"/>
        <v>-343.79939999999999</v>
      </c>
    </row>
    <row r="32" spans="1:8" x14ac:dyDescent="0.2">
      <c r="A32" s="55"/>
      <c r="B32" s="50" t="s">
        <v>29</v>
      </c>
      <c r="C32" s="50" t="s">
        <v>22</v>
      </c>
      <c r="D32" s="51">
        <v>-2414500</v>
      </c>
      <c r="E32" s="52">
        <v>1663.6638640795195</v>
      </c>
      <c r="F32" s="53">
        <v>1676.35</v>
      </c>
      <c r="G32" s="53">
        <v>7214.5018550000004</v>
      </c>
      <c r="H32" s="54">
        <f t="shared" si="0"/>
        <v>-40475.47075</v>
      </c>
    </row>
    <row r="33" spans="1:8" x14ac:dyDescent="0.2">
      <c r="A33" s="55"/>
      <c r="B33" s="50" t="s">
        <v>496</v>
      </c>
      <c r="C33" s="50" t="s">
        <v>89</v>
      </c>
      <c r="D33" s="51">
        <v>-558800</v>
      </c>
      <c r="E33" s="52">
        <v>521.97670000000005</v>
      </c>
      <c r="F33" s="53">
        <v>532.79999999999995</v>
      </c>
      <c r="G33" s="53">
        <v>577.41781900000001</v>
      </c>
      <c r="H33" s="54">
        <f t="shared" si="0"/>
        <v>-2977.2864</v>
      </c>
    </row>
    <row r="34" spans="1:8" x14ac:dyDescent="0.2">
      <c r="A34" s="55"/>
      <c r="B34" s="50" t="s">
        <v>497</v>
      </c>
      <c r="C34" s="50" t="s">
        <v>44</v>
      </c>
      <c r="D34" s="51">
        <v>-218700</v>
      </c>
      <c r="E34" s="52">
        <v>249.1506</v>
      </c>
      <c r="F34" s="53">
        <v>252.9</v>
      </c>
      <c r="G34" s="53">
        <v>112.96839150000001</v>
      </c>
      <c r="H34" s="54">
        <f t="shared" si="0"/>
        <v>-553.09230000000002</v>
      </c>
    </row>
    <row r="35" spans="1:8" x14ac:dyDescent="0.2">
      <c r="A35" s="55"/>
      <c r="B35" s="50" t="s">
        <v>174</v>
      </c>
      <c r="C35" s="50" t="s">
        <v>32</v>
      </c>
      <c r="D35" s="51">
        <v>-303000</v>
      </c>
      <c r="E35" s="52">
        <v>2485.4157</v>
      </c>
      <c r="F35" s="53">
        <v>2468.15</v>
      </c>
      <c r="G35" s="53">
        <v>1321.5837375000001</v>
      </c>
      <c r="H35" s="54">
        <f t="shared" si="0"/>
        <v>-7478.4944999999998</v>
      </c>
    </row>
    <row r="36" spans="1:8" x14ac:dyDescent="0.2">
      <c r="A36" s="55"/>
      <c r="B36" s="50" t="s">
        <v>21</v>
      </c>
      <c r="C36" s="50" t="s">
        <v>22</v>
      </c>
      <c r="D36" s="51">
        <v>-4015200</v>
      </c>
      <c r="E36" s="52">
        <v>921.27940000000001</v>
      </c>
      <c r="F36" s="53">
        <v>923</v>
      </c>
      <c r="G36" s="53">
        <v>6541.3329659999999</v>
      </c>
      <c r="H36" s="54">
        <f t="shared" si="0"/>
        <v>-37060.296000000002</v>
      </c>
    </row>
    <row r="37" spans="1:8" x14ac:dyDescent="0.2">
      <c r="A37" s="55"/>
      <c r="B37" s="50" t="s">
        <v>498</v>
      </c>
      <c r="C37" s="50" t="s">
        <v>89</v>
      </c>
      <c r="D37" s="51">
        <v>-21250</v>
      </c>
      <c r="E37" s="52">
        <v>1084.6130000000001</v>
      </c>
      <c r="F37" s="53">
        <v>1086.75</v>
      </c>
      <c r="G37" s="53">
        <v>40.706292500000004</v>
      </c>
      <c r="H37" s="54">
        <f t="shared" si="0"/>
        <v>-230.93437499999999</v>
      </c>
    </row>
    <row r="38" spans="1:8" x14ac:dyDescent="0.2">
      <c r="A38" s="55"/>
      <c r="B38" s="50" t="s">
        <v>245</v>
      </c>
      <c r="C38" s="50" t="s">
        <v>89</v>
      </c>
      <c r="D38" s="51">
        <v>-199500</v>
      </c>
      <c r="E38" s="52">
        <v>436.20679999999999</v>
      </c>
      <c r="F38" s="53">
        <v>436.9</v>
      </c>
      <c r="G38" s="53">
        <v>173.04280879999999</v>
      </c>
      <c r="H38" s="54">
        <f t="shared" si="0"/>
        <v>-871.6155</v>
      </c>
    </row>
    <row r="39" spans="1:8" x14ac:dyDescent="0.2">
      <c r="A39" s="55"/>
      <c r="B39" s="50" t="s">
        <v>499</v>
      </c>
      <c r="C39" s="50" t="s">
        <v>248</v>
      </c>
      <c r="D39" s="51">
        <v>-232000</v>
      </c>
      <c r="E39" s="52">
        <v>341.90809999999999</v>
      </c>
      <c r="F39" s="53">
        <v>340.95</v>
      </c>
      <c r="G39" s="53">
        <v>169.7747</v>
      </c>
      <c r="H39" s="54">
        <f t="shared" si="0"/>
        <v>-791.00400000000002</v>
      </c>
    </row>
    <row r="40" spans="1:8" x14ac:dyDescent="0.2">
      <c r="A40" s="55"/>
      <c r="B40" s="50" t="s">
        <v>277</v>
      </c>
      <c r="C40" s="50" t="s">
        <v>202</v>
      </c>
      <c r="D40" s="51">
        <v>-17400</v>
      </c>
      <c r="E40" s="52">
        <v>180.75</v>
      </c>
      <c r="F40" s="53">
        <v>186.95</v>
      </c>
      <c r="G40" s="53">
        <v>8.6430585000000004</v>
      </c>
      <c r="H40" s="54">
        <f t="shared" si="0"/>
        <v>-32.529299999999999</v>
      </c>
    </row>
    <row r="41" spans="1:8" x14ac:dyDescent="0.2">
      <c r="A41" s="55"/>
      <c r="B41" s="50" t="s">
        <v>107</v>
      </c>
      <c r="C41" s="50" t="s">
        <v>22</v>
      </c>
      <c r="D41" s="51">
        <v>-1757250</v>
      </c>
      <c r="E41" s="52">
        <v>1142.9750274007683</v>
      </c>
      <c r="F41" s="53">
        <v>1158.45</v>
      </c>
      <c r="G41" s="53">
        <v>4662.7750175000001</v>
      </c>
      <c r="H41" s="54">
        <f t="shared" si="0"/>
        <v>-20356.862625000002</v>
      </c>
    </row>
    <row r="42" spans="1:8" x14ac:dyDescent="0.2">
      <c r="A42" s="55"/>
      <c r="B42" s="50" t="s">
        <v>500</v>
      </c>
      <c r="C42" s="50" t="s">
        <v>38</v>
      </c>
      <c r="D42" s="51">
        <v>-1051600</v>
      </c>
      <c r="E42" s="52">
        <v>1238.5190407759605</v>
      </c>
      <c r="F42" s="53">
        <v>1258.25</v>
      </c>
      <c r="G42" s="53">
        <v>2354.7427200000002</v>
      </c>
      <c r="H42" s="54">
        <f t="shared" si="0"/>
        <v>-13231.757</v>
      </c>
    </row>
    <row r="43" spans="1:8" x14ac:dyDescent="0.2">
      <c r="A43" s="55"/>
      <c r="B43" s="50" t="s">
        <v>215</v>
      </c>
      <c r="C43" s="50" t="s">
        <v>141</v>
      </c>
      <c r="D43" s="51">
        <v>-95400</v>
      </c>
      <c r="E43" s="52">
        <v>2006.5902000000001</v>
      </c>
      <c r="F43" s="53">
        <v>2034.8</v>
      </c>
      <c r="G43" s="53">
        <v>399.237075</v>
      </c>
      <c r="H43" s="54">
        <f t="shared" si="0"/>
        <v>-1941.1992</v>
      </c>
    </row>
    <row r="44" spans="1:8" x14ac:dyDescent="0.2">
      <c r="A44" s="55"/>
      <c r="B44" s="50" t="s">
        <v>279</v>
      </c>
      <c r="C44" s="50" t="s">
        <v>44</v>
      </c>
      <c r="D44" s="51">
        <v>-78000</v>
      </c>
      <c r="E44" s="52">
        <v>79.243700000000004</v>
      </c>
      <c r="F44" s="53">
        <v>81.75</v>
      </c>
      <c r="G44" s="53">
        <v>11.261445</v>
      </c>
      <c r="H44" s="54">
        <f t="shared" si="0"/>
        <v>-63.765000000000001</v>
      </c>
    </row>
    <row r="45" spans="1:8" x14ac:dyDescent="0.2">
      <c r="A45" s="55"/>
      <c r="B45" s="50" t="s">
        <v>223</v>
      </c>
      <c r="C45" s="50" t="s">
        <v>224</v>
      </c>
      <c r="D45" s="51">
        <v>-342500</v>
      </c>
      <c r="E45" s="52">
        <v>568.84429999999998</v>
      </c>
      <c r="F45" s="53">
        <v>584.70000000000005</v>
      </c>
      <c r="G45" s="53">
        <v>513.57875000000001</v>
      </c>
      <c r="H45" s="54">
        <f t="shared" si="0"/>
        <v>-2002.5975000000003</v>
      </c>
    </row>
    <row r="46" spans="1:8" x14ac:dyDescent="0.2">
      <c r="A46" s="55"/>
      <c r="B46" s="50" t="s">
        <v>284</v>
      </c>
      <c r="C46" s="50" t="s">
        <v>224</v>
      </c>
      <c r="D46" s="51">
        <v>-24300</v>
      </c>
      <c r="E46" s="52">
        <v>733.90549999999996</v>
      </c>
      <c r="F46" s="53">
        <v>730.15</v>
      </c>
      <c r="G46" s="53">
        <v>36.034712999999996</v>
      </c>
      <c r="H46" s="54">
        <f t="shared" si="0"/>
        <v>-177.42644999999999</v>
      </c>
    </row>
    <row r="47" spans="1:8" x14ac:dyDescent="0.2">
      <c r="A47" s="55"/>
      <c r="B47" s="50" t="s">
        <v>501</v>
      </c>
      <c r="C47" s="50" t="s">
        <v>22</v>
      </c>
      <c r="D47" s="51">
        <v>-2014800</v>
      </c>
      <c r="E47" s="52">
        <v>1902.9151368076236</v>
      </c>
      <c r="F47" s="53">
        <v>1946.05</v>
      </c>
      <c r="G47" s="53">
        <v>6928.3935000000001</v>
      </c>
      <c r="H47" s="54">
        <f t="shared" si="0"/>
        <v>-39209.015399999997</v>
      </c>
    </row>
    <row r="48" spans="1:8" x14ac:dyDescent="0.2">
      <c r="A48" s="55"/>
      <c r="B48" s="50" t="s">
        <v>502</v>
      </c>
      <c r="C48" s="50" t="s">
        <v>47</v>
      </c>
      <c r="D48" s="51">
        <v>-267600</v>
      </c>
      <c r="E48" s="52">
        <v>2311.3164999999999</v>
      </c>
      <c r="F48" s="53">
        <v>2371.9</v>
      </c>
      <c r="G48" s="53">
        <v>1122.456897</v>
      </c>
      <c r="H48" s="54">
        <f t="shared" si="0"/>
        <v>-6347.2043999999996</v>
      </c>
    </row>
    <row r="49" spans="1:8" x14ac:dyDescent="0.2">
      <c r="A49" s="55"/>
      <c r="B49" s="50" t="s">
        <v>286</v>
      </c>
      <c r="C49" s="50" t="s">
        <v>64</v>
      </c>
      <c r="D49" s="51">
        <v>-15400</v>
      </c>
      <c r="E49" s="52">
        <v>304.46420000000001</v>
      </c>
      <c r="F49" s="53">
        <v>308.35000000000002</v>
      </c>
      <c r="G49" s="53">
        <v>10.372515999999999</v>
      </c>
      <c r="H49" s="54">
        <f t="shared" si="0"/>
        <v>-47.485900000000001</v>
      </c>
    </row>
    <row r="50" spans="1:8" x14ac:dyDescent="0.2">
      <c r="A50" s="55"/>
      <c r="B50" s="50" t="s">
        <v>288</v>
      </c>
      <c r="C50" s="50" t="s">
        <v>41</v>
      </c>
      <c r="D50" s="51">
        <v>-14000</v>
      </c>
      <c r="E50" s="52">
        <v>341.2285</v>
      </c>
      <c r="F50" s="53">
        <v>346.45</v>
      </c>
      <c r="G50" s="53">
        <v>10.146045000000001</v>
      </c>
      <c r="H50" s="54">
        <f t="shared" si="0"/>
        <v>-48.503</v>
      </c>
    </row>
    <row r="51" spans="1:8" x14ac:dyDescent="0.2">
      <c r="A51" s="55"/>
      <c r="B51" s="50" t="s">
        <v>69</v>
      </c>
      <c r="C51" s="50" t="s">
        <v>64</v>
      </c>
      <c r="D51" s="51">
        <v>-3400</v>
      </c>
      <c r="E51" s="52">
        <v>708.38750000000005</v>
      </c>
      <c r="F51" s="53">
        <v>713.7</v>
      </c>
      <c r="G51" s="53">
        <v>4.6399460000000001</v>
      </c>
      <c r="H51" s="54">
        <f t="shared" si="0"/>
        <v>-24.265799999999999</v>
      </c>
    </row>
    <row r="52" spans="1:8" x14ac:dyDescent="0.2">
      <c r="A52" s="55"/>
      <c r="B52" s="50" t="s">
        <v>81</v>
      </c>
      <c r="C52" s="50" t="s">
        <v>82</v>
      </c>
      <c r="D52" s="51">
        <v>-256900</v>
      </c>
      <c r="E52" s="52">
        <v>1216.3507999999999</v>
      </c>
      <c r="F52" s="53">
        <v>1231.4000000000001</v>
      </c>
      <c r="G52" s="53">
        <v>559.14734579999993</v>
      </c>
      <c r="H52" s="54">
        <f t="shared" si="0"/>
        <v>-3163.4666000000002</v>
      </c>
    </row>
    <row r="53" spans="1:8" x14ac:dyDescent="0.2">
      <c r="A53" s="55"/>
      <c r="B53" s="50" t="s">
        <v>503</v>
      </c>
      <c r="C53" s="50" t="s">
        <v>82</v>
      </c>
      <c r="D53" s="51">
        <v>-96000</v>
      </c>
      <c r="E53" s="52">
        <v>8569.4156000000003</v>
      </c>
      <c r="F53" s="53">
        <v>8648.2999999999993</v>
      </c>
      <c r="G53" s="53">
        <v>1464.2690399999999</v>
      </c>
      <c r="H53" s="54">
        <f t="shared" si="0"/>
        <v>-8302.3679999999986</v>
      </c>
    </row>
    <row r="54" spans="1:8" x14ac:dyDescent="0.2">
      <c r="A54" s="55"/>
      <c r="B54" s="50" t="s">
        <v>504</v>
      </c>
      <c r="C54" s="50" t="s">
        <v>259</v>
      </c>
      <c r="D54" s="51">
        <v>-98125</v>
      </c>
      <c r="E54" s="52">
        <v>775.20790002547767</v>
      </c>
      <c r="F54" s="53">
        <v>782.3</v>
      </c>
      <c r="G54" s="53">
        <v>136.5480566</v>
      </c>
      <c r="H54" s="54">
        <f t="shared" si="0"/>
        <v>-767.63187500000004</v>
      </c>
    </row>
    <row r="55" spans="1:8" x14ac:dyDescent="0.2">
      <c r="A55" s="55"/>
      <c r="B55" s="50" t="s">
        <v>505</v>
      </c>
      <c r="C55" s="50" t="s">
        <v>38</v>
      </c>
      <c r="D55" s="51">
        <v>-13475</v>
      </c>
      <c r="E55" s="52">
        <v>1766.2682998144712</v>
      </c>
      <c r="F55" s="53">
        <v>1825.95</v>
      </c>
      <c r="G55" s="53">
        <v>52.457229299999995</v>
      </c>
      <c r="H55" s="54">
        <f t="shared" si="0"/>
        <v>-246.0467625</v>
      </c>
    </row>
    <row r="56" spans="1:8" x14ac:dyDescent="0.2">
      <c r="A56" s="55"/>
      <c r="B56" s="50" t="s">
        <v>506</v>
      </c>
      <c r="C56" s="50" t="s">
        <v>98</v>
      </c>
      <c r="D56" s="51">
        <v>-916875</v>
      </c>
      <c r="E56" s="52">
        <v>663.87629999727335</v>
      </c>
      <c r="F56" s="53">
        <v>685.7</v>
      </c>
      <c r="G56" s="53">
        <v>1826.0940912999999</v>
      </c>
      <c r="H56" s="54">
        <f t="shared" si="0"/>
        <v>-6287.0118750000001</v>
      </c>
    </row>
    <row r="57" spans="1:8" x14ac:dyDescent="0.2">
      <c r="A57" s="55"/>
      <c r="B57" s="50" t="s">
        <v>507</v>
      </c>
      <c r="C57" s="50" t="s">
        <v>282</v>
      </c>
      <c r="D57" s="51">
        <v>-250</v>
      </c>
      <c r="E57" s="52">
        <v>3717.875</v>
      </c>
      <c r="F57" s="53">
        <v>3788.6</v>
      </c>
      <c r="G57" s="53">
        <v>2.1734238000000001</v>
      </c>
      <c r="H57" s="54">
        <f t="shared" si="0"/>
        <v>-9.4715000000000007</v>
      </c>
    </row>
    <row r="58" spans="1:8" x14ac:dyDescent="0.2">
      <c r="A58" s="55"/>
      <c r="B58" s="50" t="s">
        <v>290</v>
      </c>
      <c r="C58" s="50" t="s">
        <v>235</v>
      </c>
      <c r="D58" s="51">
        <v>-280</v>
      </c>
      <c r="E58" s="52">
        <v>21219.957107142858</v>
      </c>
      <c r="F58" s="53">
        <v>21819.599999999999</v>
      </c>
      <c r="G58" s="53">
        <v>10.8101191</v>
      </c>
      <c r="H58" s="54">
        <f t="shared" si="0"/>
        <v>-61.094880000000003</v>
      </c>
    </row>
    <row r="59" spans="1:8" x14ac:dyDescent="0.2">
      <c r="A59" s="55"/>
      <c r="B59" s="50" t="s">
        <v>508</v>
      </c>
      <c r="C59" s="50" t="s">
        <v>41</v>
      </c>
      <c r="D59" s="51">
        <v>-34650</v>
      </c>
      <c r="E59" s="52">
        <v>718.3333001443001</v>
      </c>
      <c r="F59" s="53">
        <v>741.6</v>
      </c>
      <c r="G59" s="53">
        <v>62.918076399999997</v>
      </c>
      <c r="H59" s="54">
        <f t="shared" si="0"/>
        <v>-256.96440000000001</v>
      </c>
    </row>
    <row r="60" spans="1:8" x14ac:dyDescent="0.2">
      <c r="A60" s="55"/>
      <c r="B60" s="50" t="s">
        <v>509</v>
      </c>
      <c r="C60" s="50" t="s">
        <v>510</v>
      </c>
      <c r="D60" s="51">
        <v>-300000</v>
      </c>
      <c r="E60" s="52">
        <v>17765.651000000002</v>
      </c>
      <c r="F60" s="53">
        <v>18111.150000000001</v>
      </c>
      <c r="G60" s="53">
        <v>6130.3620000000001</v>
      </c>
      <c r="H60" s="54">
        <f t="shared" si="0"/>
        <v>-54333.45</v>
      </c>
    </row>
    <row r="61" spans="1:8" x14ac:dyDescent="0.2">
      <c r="A61" s="55"/>
      <c r="B61" s="50" t="s">
        <v>511</v>
      </c>
      <c r="C61" s="50" t="s">
        <v>35</v>
      </c>
      <c r="D61" s="51">
        <v>-6788700</v>
      </c>
      <c r="E61" s="52">
        <v>171.29</v>
      </c>
      <c r="F61" s="53">
        <v>172.7</v>
      </c>
      <c r="G61" s="53">
        <v>2071.9791270000001</v>
      </c>
      <c r="H61" s="54">
        <f t="shared" si="0"/>
        <v>-11724.0849</v>
      </c>
    </row>
    <row r="62" spans="1:8" x14ac:dyDescent="0.2">
      <c r="A62" s="55"/>
      <c r="B62" s="50" t="s">
        <v>292</v>
      </c>
      <c r="C62" s="50" t="s">
        <v>241</v>
      </c>
      <c r="D62" s="51">
        <v>-9100</v>
      </c>
      <c r="E62" s="52">
        <v>913.01919999999996</v>
      </c>
      <c r="F62" s="53">
        <v>920.9</v>
      </c>
      <c r="G62" s="53">
        <v>18.149267500000001</v>
      </c>
      <c r="H62" s="54">
        <f t="shared" si="0"/>
        <v>-83.801900000000003</v>
      </c>
    </row>
    <row r="63" spans="1:8" x14ac:dyDescent="0.2">
      <c r="A63" s="55"/>
      <c r="B63" s="50" t="s">
        <v>135</v>
      </c>
      <c r="C63" s="50" t="s">
        <v>136</v>
      </c>
      <c r="D63" s="51">
        <v>-866250</v>
      </c>
      <c r="E63" s="52">
        <v>161</v>
      </c>
      <c r="F63" s="53">
        <v>159.75</v>
      </c>
      <c r="G63" s="53">
        <v>284.58478629999996</v>
      </c>
      <c r="H63" s="54">
        <f t="shared" si="0"/>
        <v>-1383.8343749999999</v>
      </c>
    </row>
    <row r="64" spans="1:8" x14ac:dyDescent="0.2">
      <c r="A64" s="55"/>
      <c r="B64" s="50" t="s">
        <v>294</v>
      </c>
      <c r="C64" s="50" t="s">
        <v>67</v>
      </c>
      <c r="D64" s="51">
        <v>-180000</v>
      </c>
      <c r="E64" s="52">
        <v>237.26580000000001</v>
      </c>
      <c r="F64" s="53">
        <v>238.35</v>
      </c>
      <c r="G64" s="53">
        <v>75.687749999999994</v>
      </c>
      <c r="H64" s="54">
        <f t="shared" si="0"/>
        <v>-429.03</v>
      </c>
    </row>
    <row r="65" spans="1:8" x14ac:dyDescent="0.2">
      <c r="A65" s="55"/>
      <c r="B65" s="50" t="s">
        <v>226</v>
      </c>
      <c r="C65" s="50" t="s">
        <v>22</v>
      </c>
      <c r="D65" s="51">
        <v>-3216000</v>
      </c>
      <c r="E65" s="52">
        <v>50.602699999999999</v>
      </c>
      <c r="F65" s="53">
        <v>52.55</v>
      </c>
      <c r="G65" s="53">
        <v>420.25080000000003</v>
      </c>
      <c r="H65" s="54">
        <f t="shared" si="0"/>
        <v>-1690.008</v>
      </c>
    </row>
    <row r="66" spans="1:8" x14ac:dyDescent="0.2">
      <c r="A66" s="55"/>
      <c r="B66" s="50" t="s">
        <v>43</v>
      </c>
      <c r="C66" s="50" t="s">
        <v>44</v>
      </c>
      <c r="D66" s="51">
        <v>-1056500</v>
      </c>
      <c r="E66" s="52">
        <v>2382.8832000000002</v>
      </c>
      <c r="F66" s="53">
        <v>2430.6</v>
      </c>
      <c r="G66" s="53">
        <v>4536.9649275000002</v>
      </c>
      <c r="H66" s="54">
        <f t="shared" si="0"/>
        <v>-25679.289000000001</v>
      </c>
    </row>
    <row r="67" spans="1:8" x14ac:dyDescent="0.2">
      <c r="A67" s="55"/>
      <c r="B67" s="50" t="s">
        <v>512</v>
      </c>
      <c r="C67" s="50" t="s">
        <v>224</v>
      </c>
      <c r="D67" s="51">
        <v>-1600000</v>
      </c>
      <c r="E67" s="52">
        <v>82.759200000000007</v>
      </c>
      <c r="F67" s="53">
        <v>83.3</v>
      </c>
      <c r="G67" s="53">
        <v>321.10399999999998</v>
      </c>
      <c r="H67" s="54">
        <f t="shared" si="0"/>
        <v>-1332.8</v>
      </c>
    </row>
    <row r="68" spans="1:8" x14ac:dyDescent="0.2">
      <c r="A68" s="55"/>
      <c r="B68" s="50" t="s">
        <v>88</v>
      </c>
      <c r="C68" s="50" t="s">
        <v>89</v>
      </c>
      <c r="D68" s="51">
        <v>-183000</v>
      </c>
      <c r="E68" s="52">
        <v>1142.4946</v>
      </c>
      <c r="F68" s="53">
        <v>1146.25</v>
      </c>
      <c r="G68" s="53">
        <v>370.26206999999999</v>
      </c>
      <c r="H68" s="54">
        <f t="shared" si="0"/>
        <v>-2097.6374999999998</v>
      </c>
    </row>
    <row r="69" spans="1:8" x14ac:dyDescent="0.2">
      <c r="A69" s="55"/>
      <c r="B69" s="50" t="s">
        <v>24</v>
      </c>
      <c r="C69" s="50" t="s">
        <v>22</v>
      </c>
      <c r="D69" s="51">
        <v>-2548500</v>
      </c>
      <c r="E69" s="52">
        <v>566.35257628016484</v>
      </c>
      <c r="F69" s="53">
        <v>575.95000000000005</v>
      </c>
      <c r="G69" s="53">
        <v>2682.0732563000001</v>
      </c>
      <c r="H69" s="54">
        <f t="shared" si="0"/>
        <v>-14678.08575</v>
      </c>
    </row>
    <row r="70" spans="1:8" x14ac:dyDescent="0.2">
      <c r="A70" s="55"/>
      <c r="B70" s="50" t="s">
        <v>63</v>
      </c>
      <c r="C70" s="50" t="s">
        <v>64</v>
      </c>
      <c r="D70" s="51">
        <v>-457100</v>
      </c>
      <c r="E70" s="52">
        <v>979.68520000000001</v>
      </c>
      <c r="F70" s="53">
        <v>992.2</v>
      </c>
      <c r="G70" s="53">
        <v>800.87919629999999</v>
      </c>
      <c r="H70" s="54">
        <f t="shared" si="0"/>
        <v>-4535.3462</v>
      </c>
    </row>
    <row r="71" spans="1:8" x14ac:dyDescent="0.2">
      <c r="A71" s="55"/>
      <c r="B71" s="50" t="s">
        <v>513</v>
      </c>
      <c r="C71" s="50" t="s">
        <v>177</v>
      </c>
      <c r="D71" s="51">
        <v>-63000</v>
      </c>
      <c r="E71" s="52">
        <v>946.82140000000004</v>
      </c>
      <c r="F71" s="53">
        <v>958.4</v>
      </c>
      <c r="G71" s="53">
        <v>127.0572975</v>
      </c>
      <c r="H71" s="54">
        <f t="shared" si="0"/>
        <v>-603.79200000000003</v>
      </c>
    </row>
    <row r="72" spans="1:8" x14ac:dyDescent="0.2">
      <c r="A72" s="55"/>
      <c r="B72" s="50" t="s">
        <v>514</v>
      </c>
      <c r="C72" s="50" t="s">
        <v>35</v>
      </c>
      <c r="D72" s="51">
        <v>-499500</v>
      </c>
      <c r="E72" s="52">
        <v>199.24860000000001</v>
      </c>
      <c r="F72" s="53">
        <v>202.55</v>
      </c>
      <c r="G72" s="53">
        <v>217.23754500000001</v>
      </c>
      <c r="H72" s="54">
        <f t="shared" si="0"/>
        <v>-1011.73725</v>
      </c>
    </row>
    <row r="73" spans="1:8" x14ac:dyDescent="0.2">
      <c r="A73" s="55"/>
      <c r="B73" s="50" t="s">
        <v>515</v>
      </c>
      <c r="C73" s="50" t="s">
        <v>516</v>
      </c>
      <c r="D73" s="51">
        <v>-90900</v>
      </c>
      <c r="E73" s="52">
        <v>729.2509</v>
      </c>
      <c r="F73" s="53">
        <v>757.8</v>
      </c>
      <c r="G73" s="53">
        <v>122.88111980000001</v>
      </c>
      <c r="H73" s="54">
        <f t="shared" si="0"/>
        <v>-688.84019999999998</v>
      </c>
    </row>
    <row r="74" spans="1:8" x14ac:dyDescent="0.2">
      <c r="A74" s="55"/>
      <c r="B74" s="50" t="s">
        <v>58</v>
      </c>
      <c r="C74" s="50" t="s">
        <v>38</v>
      </c>
      <c r="D74" s="51">
        <v>-43575</v>
      </c>
      <c r="E74" s="52">
        <v>3169.3446999426278</v>
      </c>
      <c r="F74" s="53">
        <v>3232.5</v>
      </c>
      <c r="G74" s="53">
        <v>250.24404010000001</v>
      </c>
      <c r="H74" s="54">
        <f t="shared" ref="H74:H82" si="1">(D74*F74)/100000</f>
        <v>-1408.5618750000001</v>
      </c>
    </row>
    <row r="75" spans="1:8" x14ac:dyDescent="0.2">
      <c r="A75" s="55"/>
      <c r="B75" s="50" t="s">
        <v>195</v>
      </c>
      <c r="C75" s="50" t="s">
        <v>38</v>
      </c>
      <c r="D75" s="51">
        <v>-410400</v>
      </c>
      <c r="E75" s="52">
        <v>1002.7962599415205</v>
      </c>
      <c r="F75" s="53">
        <v>1029.5999999999999</v>
      </c>
      <c r="G75" s="53">
        <v>810.76264200000003</v>
      </c>
      <c r="H75" s="54">
        <f t="shared" si="1"/>
        <v>-4225.4783999999991</v>
      </c>
    </row>
    <row r="76" spans="1:8" x14ac:dyDescent="0.2">
      <c r="A76" s="55"/>
      <c r="B76" s="50" t="s">
        <v>91</v>
      </c>
      <c r="C76" s="50" t="s">
        <v>82</v>
      </c>
      <c r="D76" s="51">
        <v>-3441375</v>
      </c>
      <c r="E76" s="52">
        <v>478.62650869492575</v>
      </c>
      <c r="F76" s="53">
        <v>488.2</v>
      </c>
      <c r="G76" s="53">
        <v>3820.6833550000001</v>
      </c>
      <c r="H76" s="54">
        <f t="shared" si="1"/>
        <v>-16800.792750000001</v>
      </c>
    </row>
    <row r="77" spans="1:8" x14ac:dyDescent="0.2">
      <c r="A77" s="55"/>
      <c r="B77" s="50" t="s">
        <v>228</v>
      </c>
      <c r="C77" s="50" t="s">
        <v>224</v>
      </c>
      <c r="D77" s="51">
        <v>-1606000</v>
      </c>
      <c r="E77" s="52">
        <v>108.0056</v>
      </c>
      <c r="F77" s="53">
        <v>108.7</v>
      </c>
      <c r="G77" s="53">
        <v>384.86986999999999</v>
      </c>
      <c r="H77" s="54">
        <f t="shared" si="1"/>
        <v>-1745.722</v>
      </c>
    </row>
    <row r="78" spans="1:8" x14ac:dyDescent="0.2">
      <c r="A78" s="55"/>
      <c r="B78" s="50" t="s">
        <v>164</v>
      </c>
      <c r="C78" s="50" t="s">
        <v>154</v>
      </c>
      <c r="D78" s="51">
        <v>-345375</v>
      </c>
      <c r="E78" s="52">
        <v>2652.0219999999999</v>
      </c>
      <c r="F78" s="53">
        <v>2649.3</v>
      </c>
      <c r="G78" s="53">
        <v>1618.7726224999999</v>
      </c>
      <c r="H78" s="54">
        <f t="shared" si="1"/>
        <v>-9150.0198750000018</v>
      </c>
    </row>
    <row r="79" spans="1:8" x14ac:dyDescent="0.2">
      <c r="A79" s="55"/>
      <c r="B79" s="50" t="s">
        <v>517</v>
      </c>
      <c r="C79" s="50" t="s">
        <v>202</v>
      </c>
      <c r="D79" s="51">
        <v>-27800</v>
      </c>
      <c r="E79" s="52">
        <v>7383.2</v>
      </c>
      <c r="F79" s="53">
        <v>7602.5</v>
      </c>
      <c r="G79" s="53">
        <v>372.74726500000003</v>
      </c>
      <c r="H79" s="54">
        <f t="shared" si="1"/>
        <v>-2113.4949999999999</v>
      </c>
    </row>
    <row r="80" spans="1:8" x14ac:dyDescent="0.2">
      <c r="A80" s="55"/>
      <c r="B80" s="50" t="s">
        <v>261</v>
      </c>
      <c r="C80" s="50" t="s">
        <v>262</v>
      </c>
      <c r="D80" s="51">
        <v>-141700</v>
      </c>
      <c r="E80" s="52">
        <v>723.27797431192664</v>
      </c>
      <c r="F80" s="53">
        <v>744.8</v>
      </c>
      <c r="G80" s="53">
        <v>200.86683500000001</v>
      </c>
      <c r="H80" s="54">
        <f t="shared" si="1"/>
        <v>-1055.3815999999999</v>
      </c>
    </row>
    <row r="81" spans="1:8" x14ac:dyDescent="0.2">
      <c r="A81" s="55"/>
      <c r="B81" s="50" t="s">
        <v>51</v>
      </c>
      <c r="C81" s="50" t="s">
        <v>22</v>
      </c>
      <c r="D81" s="51">
        <v>-2446800</v>
      </c>
      <c r="E81" s="52">
        <v>889.16610000000003</v>
      </c>
      <c r="F81" s="53">
        <v>865.1</v>
      </c>
      <c r="G81" s="53">
        <v>3833.1629969999999</v>
      </c>
      <c r="H81" s="54">
        <f t="shared" si="1"/>
        <v>-21167.266800000001</v>
      </c>
    </row>
    <row r="82" spans="1:8" x14ac:dyDescent="0.2">
      <c r="A82" s="55"/>
      <c r="B82" s="50" t="s">
        <v>518</v>
      </c>
      <c r="C82" s="50" t="s">
        <v>38</v>
      </c>
      <c r="D82" s="51">
        <v>-1257000</v>
      </c>
      <c r="E82" s="52">
        <v>375.62299999999999</v>
      </c>
      <c r="F82" s="53">
        <v>386.4</v>
      </c>
      <c r="G82" s="53">
        <v>858.68498250000005</v>
      </c>
      <c r="H82" s="54">
        <f t="shared" si="1"/>
        <v>-4857.0479999999998</v>
      </c>
    </row>
    <row r="83" spans="1:8" x14ac:dyDescent="0.2">
      <c r="A83" s="56"/>
      <c r="B83" s="57"/>
      <c r="C83" s="57"/>
      <c r="D83" s="51"/>
      <c r="E83" s="52"/>
      <c r="F83" s="53"/>
      <c r="G83" s="58"/>
    </row>
    <row r="84" spans="1:8" x14ac:dyDescent="0.2">
      <c r="A84" s="59"/>
      <c r="B84" s="59"/>
      <c r="C84" s="59"/>
      <c r="D84" s="59"/>
      <c r="E84" s="59"/>
      <c r="F84" s="59"/>
    </row>
    <row r="85" spans="1:8" ht="12.75" customHeight="1" x14ac:dyDescent="0.2">
      <c r="A85" s="59"/>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2023-06-08T10:49:10Z</dcterms:created>
  <dcterms:modified xsi:type="dcterms:W3CDTF">2023-06-08T10:58:43Z</dcterms:modified>
</cp:coreProperties>
</file>