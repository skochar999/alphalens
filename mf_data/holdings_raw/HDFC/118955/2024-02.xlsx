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EQ" sheetId="1" r:id="rId1"/>
    <sheet name="DerivativeHDFC Flexi Cap Fund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HDFCEQ!$A$8:$L$73</definedName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1" i="1" l="1"/>
</calcChain>
</file>

<file path=xl/sharedStrings.xml><?xml version="1.0" encoding="utf-8"?>
<sst xmlns="http://schemas.openxmlformats.org/spreadsheetml/2006/main" count="428" uniqueCount="190">
  <si>
    <t>HDFC Flexi Cap Fund (An open ended equity scheme investing across large cap, mid cap &amp; small cap stocks)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</si>
  <si>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</si>
  <si>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</si>
  <si>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</si>
  <si>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</si>
  <si>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</si>
  <si>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</si>
  <si>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</si>
  <si>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</si>
  <si>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</si>
  <si>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</si>
  <si>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</si>
  <si>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</si>
  <si>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</si>
  <si>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</si>
  <si>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</si>
  <si>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</si>
  <si>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</si>
  <si>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</si>
  <si>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INE090A01021</t>
  </si>
  <si>
    <t/>
  </si>
  <si>
    <t>ICICI Bank Ltd.</t>
  </si>
  <si>
    <t>Banks</t>
  </si>
  <si>
    <t>INE040A01034</t>
  </si>
  <si>
    <t>HDFC Bank Ltd.£</t>
  </si>
  <si>
    <t>INE238A01034</t>
  </si>
  <si>
    <t>Axis Bank Ltd.</t>
  </si>
  <si>
    <t>INE059A01026</t>
  </si>
  <si>
    <t>Cipla Ltd.</t>
  </si>
  <si>
    <t>Pharmaceuticals &amp; Biotechnology</t>
  </si>
  <si>
    <t>INE066F01020</t>
  </si>
  <si>
    <t>Hindustan Aeronautics Limited</t>
  </si>
  <si>
    <t>Aerospace &amp; Defense</t>
  </si>
  <si>
    <t>INE062A01020</t>
  </si>
  <si>
    <t>State Bank of India</t>
  </si>
  <si>
    <t>INE860A01027</t>
  </si>
  <si>
    <t>HCL Technologies Ltd.</t>
  </si>
  <si>
    <t>IT - Software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</si>
  <si>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</si>
  <si>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</si>
  <si>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</si>
  <si>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</si>
  <si>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</si>
  <si>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</si>
  <si>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INE437A01024</t>
  </si>
  <si>
    <t>Apollo Hospitals Enterprise Ltd.</t>
  </si>
  <si>
    <t>Healthcare Services</t>
  </si>
  <si>
    <t>INE237A01028</t>
  </si>
  <si>
    <t>Kotak Mahindra Bank Limited</t>
  </si>
  <si>
    <t>INE585B01010</t>
  </si>
  <si>
    <t>Maruti Suzuki India Limited</t>
  </si>
  <si>
    <t>Automobiles</t>
  </si>
  <si>
    <t>INE752E01010</t>
  </si>
  <si>
    <t>Power Grid Corporation of India Ltd.</t>
  </si>
  <si>
    <t>Power</t>
  </si>
  <si>
    <t>INE009A01021</t>
  </si>
  <si>
    <t>Infosys Limited</t>
  </si>
  <si>
    <t>INE733E01010</t>
  </si>
  <si>
    <t>NTPC Limited</t>
  </si>
  <si>
    <t>INE811K01011</t>
  </si>
  <si>
    <t>Prestige Estates Projects Ltd.</t>
  </si>
  <si>
    <t>Realty</t>
  </si>
  <si>
    <t>INE101A01026</t>
  </si>
  <si>
    <t>Mahindra &amp; Mahindra Ltd.</t>
  </si>
  <si>
    <t>INE089A01023</t>
  </si>
  <si>
    <t>Dr Reddys Laboratories Ltd.</t>
  </si>
  <si>
    <t>INE213A01029</t>
  </si>
  <si>
    <t>Oil &amp; Natural Gas Corporation Ltd.</t>
  </si>
  <si>
    <t>Oil</t>
  </si>
  <si>
    <t>INE669C01036</t>
  </si>
  <si>
    <t>Tech Mahindra Ltd.</t>
  </si>
  <si>
    <t>INE028A01039</t>
  </si>
  <si>
    <t>Bank of Baroda</t>
  </si>
  <si>
    <t>INE220B01022</t>
  </si>
  <si>
    <t>Kalpataru Projects International Ltd</t>
  </si>
  <si>
    <t>Construction</t>
  </si>
  <si>
    <t>INE323A01026</t>
  </si>
  <si>
    <t>Bosch Limited</t>
  </si>
  <si>
    <t>Auto Components</t>
  </si>
  <si>
    <t>INE018A01030</t>
  </si>
  <si>
    <t>Larsen and Toubro Ltd.</t>
  </si>
  <si>
    <t>INE806T01012</t>
  </si>
  <si>
    <t>SAPPHIRE FOODS INDIA LIMITED</t>
  </si>
  <si>
    <t>Leisure Services</t>
  </si>
  <si>
    <t>INE0DK501011</t>
  </si>
  <si>
    <t>PIRAMAL PHARMA LTD</t>
  </si>
  <si>
    <t>INE299U01018</t>
  </si>
  <si>
    <t>Crompton Greaves Consumer Elec. Ltd.</t>
  </si>
  <si>
    <t>Consumer Durables</t>
  </si>
  <si>
    <t>INE854D01024</t>
  </si>
  <si>
    <t>United Spirits Limited</t>
  </si>
  <si>
    <t>Beverages</t>
  </si>
  <si>
    <t>INE591G01017</t>
  </si>
  <si>
    <t>Coforge Limited</t>
  </si>
  <si>
    <t>INE258A01016</t>
  </si>
  <si>
    <t>BEML Limited</t>
  </si>
  <si>
    <t>Agricultural, Commercial &amp; Construction Vehicles</t>
  </si>
  <si>
    <t>INE326A01037</t>
  </si>
  <si>
    <t>Lupin Ltd.</t>
  </si>
  <si>
    <t>INE171Z01018</t>
  </si>
  <si>
    <t>Bharat Dynamics Limited</t>
  </si>
  <si>
    <t>INE256A01028</t>
  </si>
  <si>
    <t>Zee Entertainment Enterprises Ltd.</t>
  </si>
  <si>
    <t>Entertainment</t>
  </si>
  <si>
    <t>INE665L01035</t>
  </si>
  <si>
    <t>Varroc Engineering Limited</t>
  </si>
  <si>
    <t>INE002A01018</t>
  </si>
  <si>
    <t>Reliance Industries Ltd.</t>
  </si>
  <si>
    <t>Petroleum Products</t>
  </si>
  <si>
    <t>INE081A01020</t>
  </si>
  <si>
    <t>Tata Steel Ltd.</t>
  </si>
  <si>
    <t>Ferrous Metals</t>
  </si>
  <si>
    <t>INE148O01028</t>
  </si>
  <si>
    <t>Delhivery Limited</t>
  </si>
  <si>
    <t>Transport Services</t>
  </si>
  <si>
    <t>INE0N7W01012</t>
  </si>
  <si>
    <t>BEML Land Assets Limited</t>
  </si>
  <si>
    <t>Finance</t>
  </si>
  <si>
    <t>IN9397D01014</t>
  </si>
  <si>
    <t>Bharti Airtel Ltd. - PARTLY PAID UP SHARES</t>
  </si>
  <si>
    <t>INE246B01019</t>
  </si>
  <si>
    <t>Ramco Systems Ltd.</t>
  </si>
  <si>
    <t>INE646L01027</t>
  </si>
  <si>
    <t>InterGlobe Aviation Ltd.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</si>
  <si>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</si>
  <si>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</si>
  <si>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</si>
  <si>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</si>
  <si>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</si>
  <si>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</si>
  <si>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</si>
  <si>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</si>
  <si>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</si>
  <si>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INE041025011</t>
  </si>
  <si>
    <t>Embassy Office Parks REIT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</si>
  <si>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</si>
  <si>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</si>
  <si>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</si>
  <si>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</si>
  <si>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</si>
  <si>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</si>
  <si>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</si>
  <si>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</si>
  <si>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</si>
  <si>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</si>
  <si>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</si>
  <si>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</si>
  <si>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</si>
  <si>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</si>
  <si>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</si>
  <si>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</si>
  <si>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</si>
  <si>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</si>
  <si>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</si>
  <si>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</si>
  <si>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</si>
  <si>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</si>
  <si>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</si>
  <si>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</si>
  <si>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</si>
  <si>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- Direct Plan</t>
  </si>
  <si>
    <t>Growth Plan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</si>
  <si>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</si>
  <si>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</si>
  <si>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</si>
  <si>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</si>
  <si>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</si>
  <si>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</si>
  <si>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</si>
  <si>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33.96%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</si>
  <si>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</si>
  <si>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</si>
  <si>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Feb 29, 2024</t>
  </si>
  <si>
    <t>Scheme Riskometer:</t>
  </si>
  <si>
    <t>Benchmark Riskometer:</t>
  </si>
  <si>
    <t>DERIVATIVE DISCLOSURE - HDFC Flexi Cap Fund</t>
  </si>
  <si>
    <t>Disclosure regarding Derivative positions pursuant to SEBI Circular no. CIR/IMD/DF/11/2010 dated August 18, 2010.</t>
  </si>
  <si>
    <t>A.  Hedging Positions through Options as on  February 29, 2023</t>
  </si>
  <si>
    <t>Scheme Name</t>
  </si>
  <si>
    <t>Underlying</t>
  </si>
  <si>
    <t xml:space="preserve">Long / (Short) </t>
  </si>
  <si>
    <t xml:space="preserve">Option Price When Purchased </t>
  </si>
  <si>
    <t>Current Option Price</t>
  </si>
  <si>
    <t>HDFC Flexi Cap Fund</t>
  </si>
  <si>
    <t>Apollo Hospitals Enterprise Ltd 28-03-2024(6500)</t>
  </si>
  <si>
    <t>Cipla Ltd. 28-03-2024 (1550)</t>
  </si>
  <si>
    <t>Mahindra &amp; Mahindra Ltd. 28-03-2024 (1800)</t>
  </si>
  <si>
    <t>Mahindra &amp; Mahindra Ltd. 28-03-2024 (1820)</t>
  </si>
  <si>
    <t>Oil &amp; Natural Gas Corporation Ltd. 28-03-2024 (270)</t>
  </si>
  <si>
    <t>Power Grid Corporation of India Ltd 28-03-2024 (300)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</si>
</sst>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#,##0.0000"/>
    <numFmt numFmtId="165" formatCode="#,##0.00000000000000"/>
    <numFmt numFmtId="166" formatCode="#,##0.000"/>
    <numFmt numFmtId="167" formatCode="_(* #,##0.00_);_(* \(#,##0.00\);_(* &quot;-&quot;??_);_(@_)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2" fillId="0" borderId="0"/>
    <xf numFmtId="167" fontId="12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5" fillId="0" borderId="0" xfId="0" applyNumberFormat="1" applyFont="1" applyFill="1" applyBorder="1"/>
    <xf numFmtId="165" fontId="0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>
      <alignment horizontal="left"/>
    </xf>
    <xf numFmtId="0" fontId="12" fillId="0" borderId="0" xfId="1" applyFont="1" applyFill="1" applyBorder="1" applyAlignment="1"/>
    <xf numFmtId="0" fontId="14" fillId="0" borderId="0" xfId="1" applyFont="1" applyFill="1" applyBorder="1" applyAlignment="1">
      <alignment horizontal="left" vertical="justify"/>
    </xf>
    <xf numFmtId="0" fontId="13" fillId="0" borderId="1" xfId="1" applyFont="1" applyFill="1" applyBorder="1" applyAlignment="1"/>
    <xf numFmtId="0" fontId="13" fillId="0" borderId="1" xfId="1" applyFont="1" applyFill="1" applyBorder="1" applyAlignment="1">
      <alignment wrapText="1"/>
    </xf>
    <xf numFmtId="0" fontId="12" fillId="0" borderId="2" xfId="1" applyFont="1" applyFill="1" applyBorder="1" applyAlignment="1">
      <alignment vertical="top"/>
    </xf>
    <xf numFmtId="0" fontId="12" fillId="0" borderId="1" xfId="1" applyFont="1" applyFill="1" applyBorder="1" applyAlignment="1"/>
    <xf numFmtId="168" fontId="15" fillId="0" borderId="1" xfId="2" applyNumberFormat="1" applyFont="1" applyFill="1" applyBorder="1" applyAlignment="1">
      <alignment horizontal="right" vertical="center"/>
    </xf>
    <xf numFmtId="4" fontId="15" fillId="0" borderId="1" xfId="1" applyNumberFormat="1" applyFont="1" applyFill="1" applyBorder="1" applyAlignment="1">
      <alignment horizontal="right" vertical="top"/>
    </xf>
    <xf numFmtId="4" fontId="12" fillId="0" borderId="1" xfId="1" applyNumberFormat="1" applyFont="1" applyFill="1" applyBorder="1" applyAlignment="1"/>
    <xf numFmtId="49" fontId="12" fillId="0" borderId="0" xfId="1" applyNumberFormat="1" applyFont="1" applyFill="1" applyBorder="1" applyAlignment="1"/>
    <xf numFmtId="43" fontId="12" fillId="0" borderId="0" xfId="1" applyNumberFormat="1" applyFont="1" applyFill="1" applyBorder="1" applyAlignment="1"/>
    <xf numFmtId="0" fontId="12" fillId="0" borderId="3" xfId="1" applyFont="1" applyFill="1" applyBorder="1" applyAlignment="1">
      <alignment vertical="top"/>
    </xf>
    <xf numFmtId="0" fontId="12" fillId="0" borderId="4" xfId="1" applyFont="1" applyFill="1" applyBorder="1" applyAlignment="1">
      <alignment vertical="top"/>
    </xf>
  </cellXfs>
  <cellStyles count="3">
    <cellStyle name="Comma 2 3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968E06-E1E3-487E-AFAD-33A8E12284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165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4042DC-748E-421C-9CFE-F1D7F607C1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213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N15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4" width="16.7109375" style="3" bestFit="1" customWidth="1"/>
    <col min="15" max="16384" width="9.140625" style="3"/>
  </cols>
  <sheetData>
    <row r="1" spans="1:14" ht="54" customHeight="1" x14ac:dyDescent="0.3">
      <c r="A1" s="34" t="s">
        <v>0</v>
      </c>
      <c r="B1" s="34" t="s">
        <v>0</v>
      </c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  <c r="J1" s="34" t="s">
        <v>0</v>
      </c>
      <c r="K1" s="1" t="s">
        <v>1</v>
      </c>
      <c r="L1" s="2" t="s">
        <v>2</v>
      </c>
    </row>
    <row r="2" spans="1:14" x14ac:dyDescent="0.25">
      <c r="A2" s="35" t="s">
        <v>3</v>
      </c>
      <c r="B2" s="35" t="s">
        <v>3</v>
      </c>
      <c r="C2" s="35" t="s">
        <v>3</v>
      </c>
      <c r="D2" s="35" t="s">
        <v>3</v>
      </c>
      <c r="E2" s="35" t="s">
        <v>3</v>
      </c>
      <c r="F2" s="35" t="s">
        <v>3</v>
      </c>
      <c r="G2" s="35" t="s">
        <v>3</v>
      </c>
      <c r="H2" s="35" t="s">
        <v>3</v>
      </c>
      <c r="I2" s="35" t="s">
        <v>3</v>
      </c>
      <c r="J2" s="35" t="s">
        <v>3</v>
      </c>
      <c r="K2" s="4"/>
      <c r="L2" s="4"/>
    </row>
    <row r="3" spans="1:14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4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5" t="s">
        <v>14</v>
      </c>
    </row>
    <row r="6" spans="1:14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4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4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4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44000000</v>
      </c>
      <c r="G9" s="13">
        <v>462968</v>
      </c>
      <c r="H9" s="13">
        <v>9.32</v>
      </c>
      <c r="I9" s="14" t="s">
        <v>20</v>
      </c>
      <c r="J9" s="14"/>
      <c r="K9" s="15">
        <v>0</v>
      </c>
      <c r="L9" s="16">
        <v>9.32</v>
      </c>
    </row>
    <row r="10" spans="1:14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32700000</v>
      </c>
      <c r="G10" s="13">
        <v>458911.8</v>
      </c>
      <c r="H10" s="13">
        <v>9.24</v>
      </c>
      <c r="I10" s="14" t="s">
        <v>20</v>
      </c>
      <c r="J10" s="14"/>
      <c r="K10" s="15">
        <v>0</v>
      </c>
      <c r="L10" s="16">
        <v>9.24</v>
      </c>
    </row>
    <row r="11" spans="1:14" x14ac:dyDescent="0.25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22</v>
      </c>
      <c r="F11" s="12">
        <v>28000000</v>
      </c>
      <c r="G11" s="13">
        <v>301028</v>
      </c>
      <c r="H11" s="13">
        <v>6.06</v>
      </c>
      <c r="I11" s="14" t="s">
        <v>20</v>
      </c>
      <c r="J11" s="14"/>
      <c r="K11" s="15">
        <v>0</v>
      </c>
      <c r="L11" s="16">
        <v>6.06</v>
      </c>
    </row>
    <row r="12" spans="1:14" x14ac:dyDescent="0.25">
      <c r="A12" s="10" t="s">
        <v>18</v>
      </c>
      <c r="B12" s="11" t="s">
        <v>27</v>
      </c>
      <c r="C12" s="11" t="s">
        <v>20</v>
      </c>
      <c r="D12" s="17" t="s">
        <v>28</v>
      </c>
      <c r="E12" s="11" t="s">
        <v>29</v>
      </c>
      <c r="F12" s="12">
        <v>19000000</v>
      </c>
      <c r="G12" s="13">
        <v>281266.5</v>
      </c>
      <c r="H12" s="13">
        <v>5.66</v>
      </c>
      <c r="I12" s="14"/>
      <c r="J12" s="14"/>
      <c r="K12" s="15">
        <v>2.6140263157894739E-2</v>
      </c>
      <c r="L12" s="16">
        <v>5.6338597368421057</v>
      </c>
      <c r="M12" s="18"/>
      <c r="N12" s="18"/>
    </row>
    <row r="13" spans="1:14" x14ac:dyDescent="0.25">
      <c r="A13" s="10" t="s">
        <v>18</v>
      </c>
      <c r="B13" s="11" t="s">
        <v>30</v>
      </c>
      <c r="C13" s="11" t="s">
        <v>20</v>
      </c>
      <c r="D13" s="11" t="s">
        <v>31</v>
      </c>
      <c r="E13" s="11" t="s">
        <v>32</v>
      </c>
      <c r="F13" s="12">
        <v>8200000</v>
      </c>
      <c r="G13" s="13">
        <v>252892.1</v>
      </c>
      <c r="H13" s="13">
        <v>5.09</v>
      </c>
      <c r="I13" s="14"/>
      <c r="J13" s="14"/>
      <c r="K13" s="15">
        <v>0</v>
      </c>
      <c r="L13" s="16">
        <v>5.09</v>
      </c>
    </row>
    <row r="14" spans="1:14" x14ac:dyDescent="0.25">
      <c r="A14" s="10" t="s">
        <v>18</v>
      </c>
      <c r="B14" s="11" t="s">
        <v>33</v>
      </c>
      <c r="C14" s="11" t="s">
        <v>20</v>
      </c>
      <c r="D14" s="11" t="s">
        <v>34</v>
      </c>
      <c r="E14" s="11" t="s">
        <v>22</v>
      </c>
      <c r="F14" s="12">
        <v>33000000</v>
      </c>
      <c r="G14" s="13">
        <v>246873</v>
      </c>
      <c r="H14" s="13">
        <v>4.97</v>
      </c>
      <c r="I14" s="14"/>
      <c r="J14" s="14"/>
      <c r="K14" s="15">
        <v>0</v>
      </c>
      <c r="L14" s="16">
        <v>4.97</v>
      </c>
    </row>
    <row r="15" spans="1:14" x14ac:dyDescent="0.25">
      <c r="A15" s="10" t="s">
        <v>18</v>
      </c>
      <c r="B15" s="11" t="s">
        <v>35</v>
      </c>
      <c r="C15" s="11" t="s">
        <v>20</v>
      </c>
      <c r="D15" s="11" t="s">
        <v>36</v>
      </c>
      <c r="E15" s="11" t="s">
        <v>37</v>
      </c>
      <c r="F15" s="12">
        <v>14800000</v>
      </c>
      <c r="G15" s="13">
        <v>246249.8</v>
      </c>
      <c r="H15" s="13">
        <v>4.96</v>
      </c>
      <c r="I15" s="14"/>
      <c r="J15" s="14"/>
      <c r="K15" s="15">
        <v>0</v>
      </c>
      <c r="L15" s="16">
        <v>4.96</v>
      </c>
    </row>
    <row r="16" spans="1:14" x14ac:dyDescent="0.25">
      <c r="A16" s="10" t="s">
        <v>18</v>
      </c>
      <c r="B16" s="11" t="s">
        <v>38</v>
      </c>
      <c r="C16" s="11" t="s">
        <v>20</v>
      </c>
      <c r="D16" s="11" t="s">
        <v>39</v>
      </c>
      <c r="E16" s="11" t="s">
        <v>40</v>
      </c>
      <c r="F16" s="12">
        <v>14000000</v>
      </c>
      <c r="G16" s="13">
        <v>217357</v>
      </c>
      <c r="H16" s="13">
        <v>4.38</v>
      </c>
      <c r="I16" s="14"/>
      <c r="J16" s="14"/>
      <c r="K16" s="15">
        <v>0</v>
      </c>
      <c r="L16" s="16">
        <v>4.38</v>
      </c>
    </row>
    <row r="17" spans="1:12" x14ac:dyDescent="0.25">
      <c r="A17" s="10" t="s">
        <v>18</v>
      </c>
      <c r="B17" s="11" t="s">
        <v>41</v>
      </c>
      <c r="C17" s="11" t="s">
        <v>20</v>
      </c>
      <c r="D17" s="11" t="s">
        <v>42</v>
      </c>
      <c r="E17" s="11" t="s">
        <v>43</v>
      </c>
      <c r="F17" s="12">
        <v>18000000</v>
      </c>
      <c r="G17" s="13">
        <v>202203</v>
      </c>
      <c r="H17" s="13">
        <v>4.07</v>
      </c>
      <c r="I17" s="14"/>
      <c r="J17" s="14"/>
      <c r="K17" s="15">
        <v>0</v>
      </c>
      <c r="L17" s="16">
        <v>4.07</v>
      </c>
    </row>
    <row r="18" spans="1:12" x14ac:dyDescent="0.25">
      <c r="A18" s="10" t="s">
        <v>18</v>
      </c>
      <c r="B18" s="11" t="s">
        <v>44</v>
      </c>
      <c r="C18" s="11" t="s">
        <v>20</v>
      </c>
      <c r="D18" s="17" t="s">
        <v>45</v>
      </c>
      <c r="E18" s="11" t="s">
        <v>46</v>
      </c>
      <c r="F18" s="12">
        <v>3220373</v>
      </c>
      <c r="G18" s="13">
        <v>196494.28</v>
      </c>
      <c r="H18" s="13">
        <v>3.96</v>
      </c>
      <c r="I18" s="14"/>
      <c r="J18" s="14"/>
      <c r="K18" s="15">
        <v>3.0895489435540543E-2</v>
      </c>
      <c r="L18" s="16">
        <v>3.9291045105644593</v>
      </c>
    </row>
    <row r="19" spans="1:12" x14ac:dyDescent="0.25">
      <c r="A19" s="10" t="s">
        <v>20</v>
      </c>
      <c r="B19" s="11" t="s">
        <v>47</v>
      </c>
      <c r="C19" s="11" t="s">
        <v>20</v>
      </c>
      <c r="D19" s="11" t="s">
        <v>48</v>
      </c>
      <c r="E19" s="11" t="s">
        <v>22</v>
      </c>
      <c r="F19" s="12">
        <v>6700000</v>
      </c>
      <c r="G19" s="13">
        <v>113193.15</v>
      </c>
      <c r="H19" s="13">
        <v>2.2799999999999998</v>
      </c>
      <c r="I19" s="14"/>
      <c r="J19" s="14"/>
      <c r="K19" s="15">
        <v>0</v>
      </c>
      <c r="L19" s="16">
        <v>2.2799999999999998</v>
      </c>
    </row>
    <row r="20" spans="1:12" x14ac:dyDescent="0.25">
      <c r="A20" s="10" t="s">
        <v>20</v>
      </c>
      <c r="B20" s="11" t="s">
        <v>49</v>
      </c>
      <c r="C20" s="11" t="s">
        <v>20</v>
      </c>
      <c r="D20" s="11" t="s">
        <v>50</v>
      </c>
      <c r="E20" s="11" t="s">
        <v>51</v>
      </c>
      <c r="F20" s="12">
        <v>950000</v>
      </c>
      <c r="G20" s="13">
        <v>107239.33</v>
      </c>
      <c r="H20" s="13">
        <v>2.16</v>
      </c>
      <c r="I20" s="14"/>
      <c r="J20" s="14"/>
      <c r="K20" s="15">
        <v>0</v>
      </c>
      <c r="L20" s="16">
        <v>2.16</v>
      </c>
    </row>
    <row r="21" spans="1:12" x14ac:dyDescent="0.25">
      <c r="A21" s="10" t="s">
        <v>20</v>
      </c>
      <c r="B21" s="11" t="s">
        <v>52</v>
      </c>
      <c r="C21" s="11" t="s">
        <v>20</v>
      </c>
      <c r="D21" s="17" t="s">
        <v>53</v>
      </c>
      <c r="E21" s="11" t="s">
        <v>54</v>
      </c>
      <c r="F21" s="12">
        <v>38000000</v>
      </c>
      <c r="G21" s="13">
        <v>107483</v>
      </c>
      <c r="H21" s="13">
        <v>2.16</v>
      </c>
      <c r="I21" s="14"/>
      <c r="J21" s="14"/>
      <c r="K21" s="15">
        <v>5.1157894736842111E-2</v>
      </c>
      <c r="L21" s="16">
        <v>2.1088421052631579</v>
      </c>
    </row>
    <row r="22" spans="1:12" x14ac:dyDescent="0.25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37</v>
      </c>
      <c r="F22" s="12">
        <v>6000000</v>
      </c>
      <c r="G22" s="13">
        <v>100434</v>
      </c>
      <c r="H22" s="13">
        <v>2.02</v>
      </c>
      <c r="I22" s="14"/>
      <c r="J22" s="14"/>
      <c r="K22" s="15">
        <v>0</v>
      </c>
      <c r="L22" s="16">
        <v>2.02</v>
      </c>
    </row>
    <row r="23" spans="1:12" x14ac:dyDescent="0.25">
      <c r="A23" s="10" t="s">
        <v>20</v>
      </c>
      <c r="B23" s="11" t="s">
        <v>57</v>
      </c>
      <c r="C23" s="11" t="s">
        <v>20</v>
      </c>
      <c r="D23" s="11" t="s">
        <v>58</v>
      </c>
      <c r="E23" s="11" t="s">
        <v>54</v>
      </c>
      <c r="F23" s="12">
        <v>28450000</v>
      </c>
      <c r="G23" s="13">
        <v>95478.2</v>
      </c>
      <c r="H23" s="13">
        <v>1.92</v>
      </c>
      <c r="I23" s="14"/>
      <c r="J23" s="14"/>
      <c r="K23" s="15">
        <v>0</v>
      </c>
      <c r="L23" s="16">
        <v>1.92</v>
      </c>
    </row>
    <row r="24" spans="1:12" x14ac:dyDescent="0.25">
      <c r="A24" s="10" t="s">
        <v>20</v>
      </c>
      <c r="B24" s="11" t="s">
        <v>59</v>
      </c>
      <c r="C24" s="11" t="s">
        <v>20</v>
      </c>
      <c r="D24" s="11" t="s">
        <v>60</v>
      </c>
      <c r="E24" s="11" t="s">
        <v>61</v>
      </c>
      <c r="F24" s="12">
        <v>7500000</v>
      </c>
      <c r="G24" s="13">
        <v>87506.25</v>
      </c>
      <c r="H24" s="13">
        <v>1.76</v>
      </c>
      <c r="I24" s="14"/>
      <c r="J24" s="14"/>
      <c r="K24" s="15">
        <v>0</v>
      </c>
      <c r="L24" s="16">
        <v>1.76</v>
      </c>
    </row>
    <row r="25" spans="1:12" x14ac:dyDescent="0.25">
      <c r="A25" s="10" t="s">
        <v>20</v>
      </c>
      <c r="B25" s="11" t="s">
        <v>62</v>
      </c>
      <c r="C25" s="11" t="s">
        <v>20</v>
      </c>
      <c r="D25" s="17" t="s">
        <v>63</v>
      </c>
      <c r="E25" s="11" t="s">
        <v>51</v>
      </c>
      <c r="F25" s="12">
        <v>4200000</v>
      </c>
      <c r="G25" s="13">
        <v>81160.800000000003</v>
      </c>
      <c r="H25" s="13">
        <v>1.63</v>
      </c>
      <c r="I25" s="14"/>
      <c r="J25" s="14"/>
      <c r="K25" s="15">
        <v>2.2140833333333332E-2</v>
      </c>
      <c r="L25" s="16">
        <v>1.6078591666666666</v>
      </c>
    </row>
    <row r="26" spans="1:12" x14ac:dyDescent="0.25">
      <c r="A26" s="10" t="s">
        <v>20</v>
      </c>
      <c r="B26" s="11" t="s">
        <v>64</v>
      </c>
      <c r="C26" s="11" t="s">
        <v>20</v>
      </c>
      <c r="D26" s="11" t="s">
        <v>65</v>
      </c>
      <c r="E26" s="11" t="s">
        <v>29</v>
      </c>
      <c r="F26" s="12">
        <v>1100000</v>
      </c>
      <c r="G26" s="13">
        <v>70666.75</v>
      </c>
      <c r="H26" s="13">
        <v>1.42</v>
      </c>
      <c r="I26" s="14"/>
      <c r="J26" s="14"/>
      <c r="K26" s="15">
        <v>0</v>
      </c>
      <c r="L26" s="16">
        <v>1.42</v>
      </c>
    </row>
    <row r="27" spans="1:12" x14ac:dyDescent="0.25">
      <c r="A27" s="10" t="s">
        <v>20</v>
      </c>
      <c r="B27" s="11" t="s">
        <v>66</v>
      </c>
      <c r="C27" s="11" t="s">
        <v>20</v>
      </c>
      <c r="D27" s="17" t="s">
        <v>67</v>
      </c>
      <c r="E27" s="11" t="s">
        <v>68</v>
      </c>
      <c r="F27" s="12">
        <v>24000000</v>
      </c>
      <c r="G27" s="13">
        <v>63504</v>
      </c>
      <c r="H27" s="13">
        <v>1.28</v>
      </c>
      <c r="I27" s="14"/>
      <c r="J27" s="14"/>
      <c r="K27" s="13">
        <v>5.1333333333333335E-2</v>
      </c>
      <c r="L27" s="16">
        <v>1.2286666666666668</v>
      </c>
    </row>
    <row r="28" spans="1:12" x14ac:dyDescent="0.25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37</v>
      </c>
      <c r="F28" s="12">
        <v>5000000</v>
      </c>
      <c r="G28" s="13">
        <v>63692.5</v>
      </c>
      <c r="H28" s="13">
        <v>1.28</v>
      </c>
      <c r="I28" s="14" t="s">
        <v>20</v>
      </c>
      <c r="J28" s="14"/>
      <c r="K28" s="15">
        <v>0</v>
      </c>
      <c r="L28" s="16">
        <v>1.28</v>
      </c>
    </row>
    <row r="29" spans="1:12" x14ac:dyDescent="0.25">
      <c r="A29" s="10" t="s">
        <v>20</v>
      </c>
      <c r="B29" s="11" t="s">
        <v>71</v>
      </c>
      <c r="C29" s="11" t="s">
        <v>20</v>
      </c>
      <c r="D29" s="11" t="s">
        <v>72</v>
      </c>
      <c r="E29" s="11" t="s">
        <v>22</v>
      </c>
      <c r="F29" s="12">
        <v>22000000</v>
      </c>
      <c r="G29" s="13">
        <v>58399</v>
      </c>
      <c r="H29" s="13">
        <v>1.18</v>
      </c>
      <c r="I29" s="14" t="s">
        <v>20</v>
      </c>
      <c r="J29" s="14"/>
      <c r="K29" s="15">
        <v>0</v>
      </c>
      <c r="L29" s="16">
        <v>1.18</v>
      </c>
    </row>
    <row r="30" spans="1:12" x14ac:dyDescent="0.25">
      <c r="A30" s="10" t="s">
        <v>20</v>
      </c>
      <c r="B30" s="11" t="s">
        <v>73</v>
      </c>
      <c r="C30" s="11" t="s">
        <v>20</v>
      </c>
      <c r="D30" s="11" t="s">
        <v>74</v>
      </c>
      <c r="E30" s="11" t="s">
        <v>75</v>
      </c>
      <c r="F30" s="12">
        <v>5945624</v>
      </c>
      <c r="G30" s="13">
        <v>57446.62</v>
      </c>
      <c r="H30" s="13">
        <v>1.1599999999999999</v>
      </c>
      <c r="I30" s="14" t="s">
        <v>20</v>
      </c>
      <c r="J30" s="14"/>
      <c r="K30" s="15">
        <v>0</v>
      </c>
      <c r="L30" s="16">
        <v>1.1599999999999999</v>
      </c>
    </row>
    <row r="31" spans="1:12" x14ac:dyDescent="0.25">
      <c r="A31" s="10" t="s">
        <v>20</v>
      </c>
      <c r="B31" s="11" t="s">
        <v>76</v>
      </c>
      <c r="C31" s="11" t="s">
        <v>20</v>
      </c>
      <c r="D31" s="11" t="s">
        <v>77</v>
      </c>
      <c r="E31" s="11" t="s">
        <v>78</v>
      </c>
      <c r="F31" s="12">
        <v>200000</v>
      </c>
      <c r="G31" s="13">
        <v>57181.7</v>
      </c>
      <c r="H31" s="13">
        <v>1.1499999999999999</v>
      </c>
      <c r="I31" s="14" t="s">
        <v>20</v>
      </c>
      <c r="J31" s="14"/>
      <c r="K31" s="15">
        <v>0</v>
      </c>
      <c r="L31" s="16">
        <v>1.1499999999999999</v>
      </c>
    </row>
    <row r="32" spans="1:12" x14ac:dyDescent="0.25">
      <c r="A32" s="10" t="s">
        <v>20</v>
      </c>
      <c r="B32" s="11" t="s">
        <v>79</v>
      </c>
      <c r="C32" s="11" t="s">
        <v>20</v>
      </c>
      <c r="D32" s="11" t="s">
        <v>80</v>
      </c>
      <c r="E32" s="11" t="s">
        <v>75</v>
      </c>
      <c r="F32" s="12">
        <v>1625000</v>
      </c>
      <c r="G32" s="13">
        <v>56510.19</v>
      </c>
      <c r="H32" s="13">
        <v>1.1399999999999999</v>
      </c>
      <c r="I32" s="14" t="s">
        <v>20</v>
      </c>
      <c r="J32" s="14"/>
      <c r="K32" s="15">
        <v>0</v>
      </c>
      <c r="L32" s="16">
        <v>1.1399999999999999</v>
      </c>
    </row>
    <row r="33" spans="1:12" x14ac:dyDescent="0.25">
      <c r="A33" s="10" t="s">
        <v>20</v>
      </c>
      <c r="B33" s="11" t="s">
        <v>81</v>
      </c>
      <c r="C33" s="11" t="s">
        <v>20</v>
      </c>
      <c r="D33" s="11" t="s">
        <v>82</v>
      </c>
      <c r="E33" s="11" t="s">
        <v>83</v>
      </c>
      <c r="F33" s="12">
        <v>3079575</v>
      </c>
      <c r="G33" s="13">
        <v>46259.839999999997</v>
      </c>
      <c r="H33" s="13">
        <v>0.93</v>
      </c>
      <c r="I33" s="14" t="s">
        <v>20</v>
      </c>
      <c r="J33" s="14"/>
      <c r="K33" s="15">
        <v>0</v>
      </c>
      <c r="L33" s="16">
        <v>0.93</v>
      </c>
    </row>
    <row r="34" spans="1:12" x14ac:dyDescent="0.25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29</v>
      </c>
      <c r="F34" s="12">
        <v>33659445</v>
      </c>
      <c r="G34" s="13">
        <v>44396.81</v>
      </c>
      <c r="H34" s="13">
        <v>0.89</v>
      </c>
      <c r="I34" s="14" t="s">
        <v>20</v>
      </c>
      <c r="J34" s="14"/>
      <c r="K34" s="15">
        <v>0</v>
      </c>
      <c r="L34" s="16">
        <v>0.89</v>
      </c>
    </row>
    <row r="35" spans="1:12" x14ac:dyDescent="0.25">
      <c r="A35" s="10" t="s">
        <v>20</v>
      </c>
      <c r="B35" s="11" t="s">
        <v>86</v>
      </c>
      <c r="C35" s="11" t="s">
        <v>20</v>
      </c>
      <c r="D35" s="11" t="s">
        <v>87</v>
      </c>
      <c r="E35" s="11" t="s">
        <v>88</v>
      </c>
      <c r="F35" s="12">
        <v>12000000</v>
      </c>
      <c r="G35" s="13">
        <v>34920</v>
      </c>
      <c r="H35" s="13">
        <v>0.7</v>
      </c>
      <c r="I35" s="14" t="s">
        <v>20</v>
      </c>
      <c r="J35" s="14"/>
      <c r="K35" s="15">
        <v>0</v>
      </c>
      <c r="L35" s="16">
        <v>0.7</v>
      </c>
    </row>
    <row r="36" spans="1:12" x14ac:dyDescent="0.25">
      <c r="A36" s="10" t="s">
        <v>20</v>
      </c>
      <c r="B36" s="11" t="s">
        <v>89</v>
      </c>
      <c r="C36" s="11" t="s">
        <v>20</v>
      </c>
      <c r="D36" s="11" t="s">
        <v>90</v>
      </c>
      <c r="E36" s="11" t="s">
        <v>91</v>
      </c>
      <c r="F36" s="12">
        <v>2900000</v>
      </c>
      <c r="G36" s="13">
        <v>33809.65</v>
      </c>
      <c r="H36" s="13">
        <v>0.68</v>
      </c>
      <c r="I36" s="14" t="s">
        <v>20</v>
      </c>
      <c r="J36" s="14"/>
      <c r="K36" s="15">
        <v>0</v>
      </c>
      <c r="L36" s="16">
        <v>0.68</v>
      </c>
    </row>
    <row r="37" spans="1:12" x14ac:dyDescent="0.25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37</v>
      </c>
      <c r="F37" s="12">
        <v>500000</v>
      </c>
      <c r="G37" s="13">
        <v>32770.25</v>
      </c>
      <c r="H37" s="13">
        <v>0.66</v>
      </c>
      <c r="I37" s="14" t="s">
        <v>20</v>
      </c>
      <c r="J37" s="14"/>
      <c r="K37" s="15">
        <v>0</v>
      </c>
      <c r="L37" s="16">
        <v>0.66</v>
      </c>
    </row>
    <row r="38" spans="1:12" x14ac:dyDescent="0.25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96</v>
      </c>
      <c r="F38" s="12">
        <v>1000000</v>
      </c>
      <c r="G38" s="13">
        <v>31201.5</v>
      </c>
      <c r="H38" s="13">
        <v>0.63</v>
      </c>
      <c r="I38" s="14" t="s">
        <v>20</v>
      </c>
      <c r="J38" s="14"/>
      <c r="K38" s="15">
        <v>0</v>
      </c>
      <c r="L38" s="16">
        <v>0.63</v>
      </c>
    </row>
    <row r="39" spans="1:12" x14ac:dyDescent="0.25">
      <c r="A39" s="10" t="s">
        <v>20</v>
      </c>
      <c r="B39" s="11" t="s">
        <v>97</v>
      </c>
      <c r="C39" s="11" t="s">
        <v>20</v>
      </c>
      <c r="D39" s="11" t="s">
        <v>98</v>
      </c>
      <c r="E39" s="11" t="s">
        <v>29</v>
      </c>
      <c r="F39" s="12">
        <v>1700000</v>
      </c>
      <c r="G39" s="13">
        <v>27557.85</v>
      </c>
      <c r="H39" s="13">
        <v>0.55000000000000004</v>
      </c>
      <c r="I39" s="14" t="s">
        <v>20</v>
      </c>
      <c r="J39" s="14"/>
      <c r="K39" s="15">
        <v>0</v>
      </c>
      <c r="L39" s="16">
        <v>0.55000000000000004</v>
      </c>
    </row>
    <row r="40" spans="1:12" x14ac:dyDescent="0.25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32</v>
      </c>
      <c r="F40" s="12">
        <v>1350000</v>
      </c>
      <c r="G40" s="13">
        <v>24422.85</v>
      </c>
      <c r="H40" s="13">
        <v>0.49</v>
      </c>
      <c r="I40" s="14" t="s">
        <v>20</v>
      </c>
      <c r="J40" s="14"/>
      <c r="K40" s="15">
        <v>0</v>
      </c>
      <c r="L40" s="16">
        <v>0.49</v>
      </c>
    </row>
    <row r="41" spans="1:12" x14ac:dyDescent="0.25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103</v>
      </c>
      <c r="F41" s="12">
        <v>13200000</v>
      </c>
      <c r="G41" s="13">
        <v>21245.4</v>
      </c>
      <c r="H41" s="13">
        <v>0.43</v>
      </c>
      <c r="I41" s="14" t="s">
        <v>20</v>
      </c>
      <c r="J41" s="14"/>
      <c r="K41" s="15">
        <v>0</v>
      </c>
      <c r="L41" s="16">
        <v>0.43</v>
      </c>
    </row>
    <row r="42" spans="1:12" x14ac:dyDescent="0.25">
      <c r="A42" s="10" t="s">
        <v>20</v>
      </c>
      <c r="B42" s="11" t="s">
        <v>104</v>
      </c>
      <c r="C42" s="11" t="s">
        <v>20</v>
      </c>
      <c r="D42" s="11" t="s">
        <v>105</v>
      </c>
      <c r="E42" s="11" t="s">
        <v>78</v>
      </c>
      <c r="F42" s="12">
        <v>3500000</v>
      </c>
      <c r="G42" s="13">
        <v>17064.25</v>
      </c>
      <c r="H42" s="13">
        <v>0.34</v>
      </c>
      <c r="I42" s="14" t="s">
        <v>20</v>
      </c>
      <c r="J42" s="14"/>
      <c r="K42" s="15">
        <v>0</v>
      </c>
      <c r="L42" s="16">
        <v>0.34</v>
      </c>
    </row>
    <row r="43" spans="1:12" x14ac:dyDescent="0.25">
      <c r="A43" s="10" t="s">
        <v>20</v>
      </c>
      <c r="B43" s="11" t="s">
        <v>106</v>
      </c>
      <c r="C43" s="11" t="s">
        <v>20</v>
      </c>
      <c r="D43" s="11" t="s">
        <v>107</v>
      </c>
      <c r="E43" s="11" t="s">
        <v>108</v>
      </c>
      <c r="F43" s="12">
        <v>500000</v>
      </c>
      <c r="G43" s="13">
        <v>14608</v>
      </c>
      <c r="H43" s="13">
        <v>0.28999999999999998</v>
      </c>
      <c r="I43" s="14" t="s">
        <v>20</v>
      </c>
      <c r="J43" s="14"/>
      <c r="K43" s="15">
        <v>0</v>
      </c>
      <c r="L43" s="16">
        <v>0.28999999999999998</v>
      </c>
    </row>
    <row r="44" spans="1:12" x14ac:dyDescent="0.25">
      <c r="A44" s="10" t="s">
        <v>20</v>
      </c>
      <c r="B44" s="11" t="s">
        <v>109</v>
      </c>
      <c r="C44" s="11" t="s">
        <v>20</v>
      </c>
      <c r="D44" s="11" t="s">
        <v>110</v>
      </c>
      <c r="E44" s="11" t="s">
        <v>111</v>
      </c>
      <c r="F44" s="12">
        <v>6230865</v>
      </c>
      <c r="G44" s="13">
        <v>8776.17</v>
      </c>
      <c r="H44" s="13">
        <v>0.18</v>
      </c>
      <c r="I44" s="14" t="s">
        <v>20</v>
      </c>
      <c r="J44" s="14"/>
      <c r="K44" s="15">
        <v>0</v>
      </c>
      <c r="L44" s="16">
        <v>0.18</v>
      </c>
    </row>
    <row r="45" spans="1:12" x14ac:dyDescent="0.25">
      <c r="A45" s="10" t="s">
        <v>20</v>
      </c>
      <c r="B45" s="11" t="s">
        <v>112</v>
      </c>
      <c r="C45" s="11" t="s">
        <v>20</v>
      </c>
      <c r="D45" s="11" t="s">
        <v>113</v>
      </c>
      <c r="E45" s="11" t="s">
        <v>114</v>
      </c>
      <c r="F45" s="12">
        <v>1800000</v>
      </c>
      <c r="G45" s="13">
        <v>8515.7999999999993</v>
      </c>
      <c r="H45" s="13">
        <v>0.17</v>
      </c>
      <c r="I45" s="14" t="s">
        <v>20</v>
      </c>
      <c r="J45" s="14"/>
      <c r="K45" s="15">
        <v>0</v>
      </c>
      <c r="L45" s="16">
        <v>0.17</v>
      </c>
    </row>
    <row r="46" spans="1:12" x14ac:dyDescent="0.25">
      <c r="A46" s="10" t="s">
        <v>20</v>
      </c>
      <c r="B46" s="11" t="s">
        <v>115</v>
      </c>
      <c r="C46" s="11" t="s">
        <v>20</v>
      </c>
      <c r="D46" s="11" t="s">
        <v>116</v>
      </c>
      <c r="E46" s="11" t="s">
        <v>117</v>
      </c>
      <c r="F46" s="12">
        <v>1803614</v>
      </c>
      <c r="G46" s="13">
        <v>4867.95</v>
      </c>
      <c r="H46" s="13">
        <v>0.1</v>
      </c>
      <c r="I46" s="14" t="s">
        <v>20</v>
      </c>
      <c r="J46" s="14"/>
      <c r="K46" s="15">
        <v>0</v>
      </c>
      <c r="L46" s="16">
        <v>0.1</v>
      </c>
    </row>
    <row r="47" spans="1:12" x14ac:dyDescent="0.25">
      <c r="A47" s="10" t="s">
        <v>20</v>
      </c>
      <c r="B47" s="11" t="s">
        <v>118</v>
      </c>
      <c r="C47" s="11" t="s">
        <v>20</v>
      </c>
      <c r="D47" s="11" t="s">
        <v>119</v>
      </c>
      <c r="E47" s="11" t="s">
        <v>43</v>
      </c>
      <c r="F47" s="12">
        <v>658973</v>
      </c>
      <c r="G47" s="13">
        <v>4755.4799999999996</v>
      </c>
      <c r="H47" s="13">
        <v>0.1</v>
      </c>
      <c r="I47" s="14" t="s">
        <v>20</v>
      </c>
      <c r="J47" s="14"/>
      <c r="K47" s="15">
        <v>0</v>
      </c>
      <c r="L47" s="16">
        <v>0.1</v>
      </c>
    </row>
    <row r="48" spans="1:12" x14ac:dyDescent="0.25">
      <c r="A48" s="10" t="s">
        <v>20</v>
      </c>
      <c r="B48" s="11" t="s">
        <v>120</v>
      </c>
      <c r="C48" s="11" t="s">
        <v>20</v>
      </c>
      <c r="D48" s="11" t="s">
        <v>121</v>
      </c>
      <c r="E48" s="11" t="s">
        <v>37</v>
      </c>
      <c r="F48" s="12">
        <v>1500000</v>
      </c>
      <c r="G48" s="13">
        <v>4731.75</v>
      </c>
      <c r="H48" s="13">
        <v>0.1</v>
      </c>
      <c r="I48" s="14" t="s">
        <v>20</v>
      </c>
      <c r="J48" s="14"/>
      <c r="K48" s="15">
        <v>0</v>
      </c>
      <c r="L48" s="16">
        <v>0.1</v>
      </c>
    </row>
    <row r="49" spans="1:12" x14ac:dyDescent="0.25">
      <c r="A49" s="10" t="s">
        <v>20</v>
      </c>
      <c r="B49" s="11" t="s">
        <v>122</v>
      </c>
      <c r="C49" s="11" t="s">
        <v>20</v>
      </c>
      <c r="D49" s="11" t="s">
        <v>123</v>
      </c>
      <c r="E49" s="11" t="s">
        <v>114</v>
      </c>
      <c r="F49" s="12">
        <v>135000</v>
      </c>
      <c r="G49" s="13">
        <v>4259.72</v>
      </c>
      <c r="H49" s="13">
        <v>0.09</v>
      </c>
      <c r="I49" s="14" t="s">
        <v>20</v>
      </c>
      <c r="J49" s="14"/>
      <c r="K49" s="15">
        <v>0</v>
      </c>
      <c r="L49" s="16">
        <v>0.09</v>
      </c>
    </row>
    <row r="50" spans="1:12" x14ac:dyDescent="0.25">
      <c r="A50" s="19"/>
      <c r="B50" s="9" t="s">
        <v>124</v>
      </c>
      <c r="C50" s="19"/>
      <c r="D50" s="19"/>
      <c r="E50" s="19"/>
      <c r="F50" s="19"/>
      <c r="G50" s="20">
        <v>4350302.2399999993</v>
      </c>
      <c r="H50" s="20">
        <v>87.580000000000027</v>
      </c>
      <c r="I50" s="19"/>
      <c r="J50" s="19"/>
      <c r="K50" s="19"/>
      <c r="L50" s="19"/>
    </row>
    <row r="51" spans="1:12" x14ac:dyDescent="0.25">
      <c r="A51" s="8"/>
      <c r="B51" s="9" t="s">
        <v>125</v>
      </c>
      <c r="C51" s="8"/>
      <c r="D51" s="8"/>
      <c r="E51" s="8"/>
      <c r="F51" s="8"/>
      <c r="G51" s="21">
        <v>4350302.2399999993</v>
      </c>
      <c r="H51" s="21">
        <v>87.580000000000027</v>
      </c>
      <c r="I51" s="8"/>
      <c r="J51" s="8"/>
      <c r="K51" s="8"/>
      <c r="L51" s="8"/>
    </row>
    <row r="52" spans="1:12" x14ac:dyDescent="0.25">
      <c r="A52" s="8"/>
      <c r="B52" s="9" t="s">
        <v>126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x14ac:dyDescent="0.25">
      <c r="A53" s="8"/>
      <c r="B53" s="9" t="s">
        <v>16</v>
      </c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25">
      <c r="A54" s="8"/>
      <c r="B54" s="9" t="s">
        <v>127</v>
      </c>
      <c r="C54" s="8"/>
      <c r="D54" s="8"/>
      <c r="E54" s="8"/>
      <c r="F54" s="8"/>
      <c r="G54" s="8"/>
      <c r="H54" s="8"/>
      <c r="I54" s="8"/>
      <c r="J54" s="8"/>
      <c r="K54" s="8"/>
      <c r="L54" s="8"/>
    </row>
    <row r="55" spans="1:12" x14ac:dyDescent="0.25">
      <c r="A55" s="10" t="s">
        <v>20</v>
      </c>
      <c r="B55" s="11" t="s">
        <v>128</v>
      </c>
      <c r="C55" s="11">
        <v>7.38</v>
      </c>
      <c r="D55" s="11" t="s">
        <v>129</v>
      </c>
      <c r="E55" s="11" t="s">
        <v>130</v>
      </c>
      <c r="F55" s="12">
        <v>20000000</v>
      </c>
      <c r="G55" s="13">
        <v>20180.78</v>
      </c>
      <c r="H55" s="13">
        <v>0.41</v>
      </c>
      <c r="I55" s="14">
        <v>7.1878000000000002</v>
      </c>
      <c r="J55" s="14"/>
      <c r="K55" s="15" t="s">
        <v>20</v>
      </c>
      <c r="L55" s="16" t="s">
        <v>20</v>
      </c>
    </row>
    <row r="56" spans="1:12" x14ac:dyDescent="0.25">
      <c r="A56" s="19"/>
      <c r="B56" s="9" t="s">
        <v>124</v>
      </c>
      <c r="C56" s="19"/>
      <c r="D56" s="19"/>
      <c r="E56" s="19"/>
      <c r="F56" s="19"/>
      <c r="G56" s="20">
        <v>20180.78</v>
      </c>
      <c r="H56" s="20">
        <v>0.41</v>
      </c>
      <c r="I56" s="19"/>
      <c r="J56" s="19"/>
      <c r="K56" s="19"/>
      <c r="L56" s="19"/>
    </row>
    <row r="57" spans="1:12" x14ac:dyDescent="0.25">
      <c r="A57" s="8"/>
      <c r="B57" s="9" t="s">
        <v>125</v>
      </c>
      <c r="C57" s="8"/>
      <c r="D57" s="8"/>
      <c r="E57" s="8"/>
      <c r="F57" s="8"/>
      <c r="G57" s="21">
        <v>20180.78</v>
      </c>
      <c r="H57" s="21">
        <v>0.41</v>
      </c>
      <c r="I57" s="8"/>
      <c r="J57" s="8"/>
      <c r="K57" s="8"/>
      <c r="L57" s="8"/>
    </row>
    <row r="58" spans="1:12" x14ac:dyDescent="0.25">
      <c r="A58" s="8"/>
      <c r="B58" s="9" t="s">
        <v>131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x14ac:dyDescent="0.25">
      <c r="A59" s="8"/>
      <c r="B59" s="9" t="s">
        <v>132</v>
      </c>
      <c r="C59" s="8"/>
      <c r="D59" s="8"/>
      <c r="E59" s="8"/>
      <c r="F59" s="8"/>
      <c r="G59" s="8"/>
      <c r="H59" s="8"/>
      <c r="I59" s="8"/>
      <c r="J59" s="8"/>
      <c r="K59" s="8"/>
      <c r="L59" s="8"/>
    </row>
    <row r="60" spans="1:12" x14ac:dyDescent="0.25">
      <c r="A60" s="10" t="s">
        <v>20</v>
      </c>
      <c r="B60" s="11" t="s">
        <v>133</v>
      </c>
      <c r="C60" s="11" t="s">
        <v>20</v>
      </c>
      <c r="D60" s="11" t="s">
        <v>134</v>
      </c>
      <c r="E60" s="11" t="s">
        <v>61</v>
      </c>
      <c r="F60" s="12">
        <v>27211951</v>
      </c>
      <c r="G60" s="13">
        <v>101718.27</v>
      </c>
      <c r="H60" s="13">
        <v>2.0499999999999998</v>
      </c>
      <c r="I60" s="14" t="s">
        <v>20</v>
      </c>
      <c r="J60" s="14"/>
      <c r="K60" s="15" t="s">
        <v>20</v>
      </c>
      <c r="L60" s="16" t="s">
        <v>20</v>
      </c>
    </row>
    <row r="61" spans="1:12" x14ac:dyDescent="0.25">
      <c r="A61" s="10" t="s">
        <v>20</v>
      </c>
      <c r="B61" s="11" t="s">
        <v>135</v>
      </c>
      <c r="C61" s="11" t="s">
        <v>20</v>
      </c>
      <c r="D61" s="11" t="s">
        <v>136</v>
      </c>
      <c r="E61" s="11" t="s">
        <v>61</v>
      </c>
      <c r="F61" s="12">
        <v>65000000</v>
      </c>
      <c r="G61" s="13">
        <v>82023.5</v>
      </c>
      <c r="H61" s="13">
        <v>1.65</v>
      </c>
      <c r="I61" s="14" t="s">
        <v>20</v>
      </c>
      <c r="J61" s="14"/>
      <c r="K61" s="15" t="s">
        <v>20</v>
      </c>
      <c r="L61" s="16" t="s">
        <v>20</v>
      </c>
    </row>
    <row r="62" spans="1:12" x14ac:dyDescent="0.25">
      <c r="A62" s="19"/>
      <c r="B62" s="9" t="s">
        <v>124</v>
      </c>
      <c r="C62" s="19"/>
      <c r="D62" s="19"/>
      <c r="E62" s="19"/>
      <c r="F62" s="19"/>
      <c r="G62" s="20">
        <v>183741.77000000002</v>
      </c>
      <c r="H62" s="20">
        <v>3.6999999999999997</v>
      </c>
      <c r="I62" s="19"/>
      <c r="J62" s="19"/>
      <c r="K62" s="19"/>
      <c r="L62" s="19"/>
    </row>
    <row r="63" spans="1:12" x14ac:dyDescent="0.25">
      <c r="A63" s="8"/>
      <c r="B63" s="9" t="s">
        <v>125</v>
      </c>
      <c r="C63" s="8"/>
      <c r="D63" s="8"/>
      <c r="E63" s="8"/>
      <c r="F63" s="8"/>
      <c r="G63" s="21">
        <v>183741.77000000002</v>
      </c>
      <c r="H63" s="21">
        <v>3.6999999999999997</v>
      </c>
      <c r="I63" s="8"/>
      <c r="J63" s="8"/>
      <c r="K63" s="8"/>
      <c r="L63" s="8"/>
    </row>
    <row r="64" spans="1:12" x14ac:dyDescent="0.25">
      <c r="A64" s="8"/>
      <c r="B64" s="9" t="s">
        <v>137</v>
      </c>
      <c r="C64" s="8"/>
      <c r="D64" s="8"/>
      <c r="E64" s="8"/>
      <c r="F64" s="8"/>
      <c r="G64" s="8"/>
      <c r="H64" s="8"/>
      <c r="I64" s="8"/>
      <c r="J64" s="8"/>
      <c r="K64" s="8"/>
      <c r="L64" s="8"/>
    </row>
    <row r="65" spans="1:12" x14ac:dyDescent="0.25">
      <c r="A65" s="8"/>
      <c r="B65" s="9" t="s">
        <v>138</v>
      </c>
      <c r="C65" s="8"/>
      <c r="D65" s="8"/>
      <c r="E65" s="8"/>
      <c r="F65" s="8"/>
      <c r="G65" s="8"/>
      <c r="H65" s="8"/>
      <c r="I65" s="8"/>
      <c r="J65" s="8"/>
      <c r="K65" s="8"/>
      <c r="L65" s="8"/>
    </row>
    <row r="66" spans="1:12" x14ac:dyDescent="0.25">
      <c r="A66" s="10" t="s">
        <v>20</v>
      </c>
      <c r="B66" s="11" t="s">
        <v>20</v>
      </c>
      <c r="C66" s="11" t="s">
        <v>20</v>
      </c>
      <c r="D66" s="11" t="s">
        <v>138</v>
      </c>
      <c r="E66" s="11" t="s">
        <v>20</v>
      </c>
      <c r="F66" s="12" t="s">
        <v>20</v>
      </c>
      <c r="G66" s="13">
        <v>420048.32</v>
      </c>
      <c r="H66" s="13">
        <v>8.4600000000000009</v>
      </c>
      <c r="I66" s="14">
        <v>6.6791999999999998</v>
      </c>
      <c r="J66" s="14"/>
      <c r="K66" s="15" t="s">
        <v>20</v>
      </c>
      <c r="L66" s="16" t="s">
        <v>20</v>
      </c>
    </row>
    <row r="67" spans="1:12" x14ac:dyDescent="0.25">
      <c r="A67" s="19"/>
      <c r="B67" s="9" t="s">
        <v>124</v>
      </c>
      <c r="C67" s="19"/>
      <c r="D67" s="19"/>
      <c r="E67" s="19"/>
      <c r="F67" s="19"/>
      <c r="G67" s="20">
        <v>420048.32</v>
      </c>
      <c r="H67" s="20">
        <v>8.4600000000000009</v>
      </c>
      <c r="I67" s="19"/>
      <c r="J67" s="19"/>
      <c r="K67" s="19"/>
      <c r="L67" s="19"/>
    </row>
    <row r="68" spans="1:12" x14ac:dyDescent="0.25">
      <c r="A68" s="8"/>
      <c r="B68" s="9" t="s">
        <v>125</v>
      </c>
      <c r="C68" s="8"/>
      <c r="D68" s="8"/>
      <c r="E68" s="8"/>
      <c r="F68" s="8"/>
      <c r="G68" s="21">
        <v>420048.32</v>
      </c>
      <c r="H68" s="21">
        <v>8.4600000000000009</v>
      </c>
      <c r="I68" s="8"/>
      <c r="J68" s="8"/>
      <c r="K68" s="8"/>
      <c r="L68" s="8"/>
    </row>
    <row r="69" spans="1:12" x14ac:dyDescent="0.25">
      <c r="A69" s="8"/>
      <c r="B69" s="9" t="s">
        <v>139</v>
      </c>
      <c r="C69" s="8"/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25">
      <c r="A70" s="8"/>
      <c r="B70" s="9" t="s">
        <v>140</v>
      </c>
      <c r="C70" s="8"/>
      <c r="D70" s="8"/>
      <c r="E70" s="8"/>
      <c r="F70" s="8"/>
      <c r="G70" s="8"/>
      <c r="H70" s="8"/>
      <c r="I70" s="8"/>
      <c r="J70" s="8"/>
      <c r="K70" s="8"/>
      <c r="L70" s="8"/>
    </row>
    <row r="71" spans="1:12" x14ac:dyDescent="0.25">
      <c r="A71" s="10" t="s">
        <v>20</v>
      </c>
      <c r="B71" s="11" t="s">
        <v>20</v>
      </c>
      <c r="C71" s="11" t="s">
        <v>20</v>
      </c>
      <c r="D71" s="11" t="s">
        <v>140</v>
      </c>
      <c r="E71" s="11" t="s">
        <v>20</v>
      </c>
      <c r="F71" s="12" t="s">
        <v>20</v>
      </c>
      <c r="G71" s="13">
        <f>-8317.9-263.5</f>
        <v>-8581.4</v>
      </c>
      <c r="H71" s="13">
        <v>-0.15460589181252476</v>
      </c>
      <c r="I71" s="14"/>
      <c r="J71" s="14"/>
      <c r="K71" s="15" t="s">
        <v>20</v>
      </c>
      <c r="L71" s="16" t="s">
        <v>20</v>
      </c>
    </row>
    <row r="72" spans="1:12" x14ac:dyDescent="0.25">
      <c r="A72" s="19"/>
      <c r="B72" s="9" t="s">
        <v>124</v>
      </c>
      <c r="C72" s="19"/>
      <c r="D72" s="19"/>
      <c r="E72" s="19"/>
      <c r="F72" s="19"/>
      <c r="G72" s="20">
        <v>-8581.4</v>
      </c>
      <c r="H72" s="20">
        <v>-0.15</v>
      </c>
      <c r="I72" s="19"/>
      <c r="J72" s="19"/>
      <c r="K72" s="19"/>
      <c r="L72" s="19"/>
    </row>
    <row r="73" spans="1:12" x14ac:dyDescent="0.25">
      <c r="A73" s="8"/>
      <c r="B73" s="9" t="s">
        <v>125</v>
      </c>
      <c r="C73" s="8"/>
      <c r="D73" s="8"/>
      <c r="E73" s="8"/>
      <c r="F73" s="8"/>
      <c r="G73" s="21">
        <v>-8581.4</v>
      </c>
      <c r="H73" s="21">
        <v>-0.15</v>
      </c>
      <c r="I73" s="8"/>
      <c r="J73" s="8"/>
      <c r="K73" s="8"/>
      <c r="L73" s="8"/>
    </row>
    <row r="74" spans="1:1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x14ac:dyDescent="0.25">
      <c r="A75" s="4"/>
      <c r="B75" s="17" t="s">
        <v>141</v>
      </c>
      <c r="C75" s="4"/>
      <c r="D75" s="4"/>
      <c r="E75" s="4"/>
      <c r="F75" s="4"/>
      <c r="G75" s="22">
        <v>4965691.709999999</v>
      </c>
      <c r="H75" s="22">
        <v>100.00000000000003</v>
      </c>
      <c r="I75" s="4"/>
      <c r="J75" s="4"/>
      <c r="K75" s="4"/>
      <c r="L75" s="4"/>
    </row>
    <row r="76" spans="1:12" x14ac:dyDescent="0.25">
      <c r="A76" s="10" t="s">
        <v>18</v>
      </c>
      <c r="B76" s="36" t="s">
        <v>142</v>
      </c>
      <c r="C76" s="36" t="s">
        <v>142</v>
      </c>
      <c r="D76" s="36" t="s">
        <v>142</v>
      </c>
      <c r="E76" s="36" t="s">
        <v>142</v>
      </c>
      <c r="F76" s="36" t="s">
        <v>142</v>
      </c>
      <c r="G76" s="11"/>
      <c r="H76" s="11"/>
      <c r="I76" s="11"/>
      <c r="J76" s="11"/>
      <c r="K76" s="11"/>
      <c r="L76" s="11"/>
    </row>
    <row r="77" spans="1:12" x14ac:dyDescent="0.25">
      <c r="A77" s="11"/>
      <c r="B77" s="33" t="s">
        <v>143</v>
      </c>
      <c r="C77" s="33" t="s">
        <v>143</v>
      </c>
      <c r="D77" s="33" t="s">
        <v>143</v>
      </c>
      <c r="E77" s="33" t="s">
        <v>143</v>
      </c>
      <c r="F77" s="33" t="s">
        <v>143</v>
      </c>
      <c r="G77" s="11"/>
      <c r="H77" s="11"/>
      <c r="I77" s="11"/>
      <c r="J77" s="11"/>
      <c r="K77" s="11"/>
      <c r="L77" s="11"/>
    </row>
    <row r="78" spans="1:12" x14ac:dyDescent="0.25">
      <c r="A78" s="11"/>
      <c r="B78" s="33" t="s">
        <v>144</v>
      </c>
      <c r="C78" s="33" t="s">
        <v>144</v>
      </c>
      <c r="D78" s="33" t="s">
        <v>144</v>
      </c>
      <c r="E78" s="33" t="s">
        <v>144</v>
      </c>
      <c r="F78" s="33" t="s">
        <v>144</v>
      </c>
      <c r="G78" s="11"/>
      <c r="H78" s="11"/>
      <c r="I78" s="11"/>
      <c r="J78" s="11"/>
      <c r="K78" s="11"/>
      <c r="L78" s="11"/>
    </row>
    <row r="79" spans="1:12" x14ac:dyDescent="0.25">
      <c r="A79" s="11"/>
      <c r="B79" s="33" t="s">
        <v>145</v>
      </c>
      <c r="C79" s="33" t="s">
        <v>145</v>
      </c>
      <c r="D79" s="33" t="s">
        <v>145</v>
      </c>
      <c r="E79" s="33" t="s">
        <v>145</v>
      </c>
      <c r="F79" s="33" t="s">
        <v>145</v>
      </c>
      <c r="G79" s="11"/>
      <c r="H79" s="11"/>
      <c r="I79" s="11"/>
      <c r="J79" s="11"/>
      <c r="K79" s="11"/>
      <c r="L79" s="11"/>
    </row>
    <row r="80" spans="1:12" x14ac:dyDescent="0.25">
      <c r="A80" s="11"/>
      <c r="B80" s="33" t="s">
        <v>146</v>
      </c>
      <c r="C80" s="33" t="s">
        <v>146</v>
      </c>
      <c r="D80" s="33" t="s">
        <v>146</v>
      </c>
      <c r="E80" s="33" t="s">
        <v>146</v>
      </c>
      <c r="F80" s="33" t="s">
        <v>146</v>
      </c>
      <c r="G80" s="11"/>
      <c r="H80" s="11"/>
      <c r="I80" s="11"/>
      <c r="J80" s="11"/>
      <c r="K80" s="11"/>
      <c r="L80" s="11"/>
    </row>
    <row r="81" spans="1:12" x14ac:dyDescent="0.25">
      <c r="A81" s="11"/>
      <c r="B81" s="33" t="s">
        <v>147</v>
      </c>
      <c r="C81" s="33" t="s">
        <v>147</v>
      </c>
      <c r="D81" s="33" t="s">
        <v>147</v>
      </c>
      <c r="E81" s="33" t="s">
        <v>147</v>
      </c>
      <c r="F81" s="33" t="s">
        <v>147</v>
      </c>
      <c r="G81" s="11"/>
      <c r="H81" s="11"/>
      <c r="I81" s="11"/>
      <c r="J81" s="11"/>
      <c r="K81" s="11"/>
      <c r="L81" s="11"/>
    </row>
    <row r="82" spans="1:12" x14ac:dyDescent="0.25">
      <c r="A82" s="11"/>
      <c r="B82" s="33" t="s">
        <v>148</v>
      </c>
      <c r="C82" s="33" t="s">
        <v>148</v>
      </c>
      <c r="D82" s="33" t="s">
        <v>148</v>
      </c>
      <c r="E82" s="33" t="s">
        <v>148</v>
      </c>
      <c r="F82" s="33" t="s">
        <v>148</v>
      </c>
      <c r="G82" s="11"/>
      <c r="H82" s="11"/>
      <c r="I82" s="11"/>
      <c r="J82" s="11"/>
      <c r="K82" s="11"/>
      <c r="L82" s="11"/>
    </row>
    <row r="83" spans="1:12" x14ac:dyDescent="0.25">
      <c r="A83" s="11"/>
      <c r="B83" s="33" t="s">
        <v>149</v>
      </c>
      <c r="C83" s="33" t="s">
        <v>149</v>
      </c>
      <c r="D83" s="33" t="s">
        <v>149</v>
      </c>
      <c r="E83" s="33" t="s">
        <v>149</v>
      </c>
      <c r="F83" s="33" t="s">
        <v>149</v>
      </c>
      <c r="G83" s="11"/>
      <c r="H83" s="11"/>
      <c r="I83" s="11"/>
      <c r="J83" s="11"/>
      <c r="K83" s="11"/>
      <c r="L83" s="11"/>
    </row>
    <row r="84" spans="1:12" x14ac:dyDescent="0.25">
      <c r="A84" s="11"/>
      <c r="B84" s="11"/>
      <c r="C84" s="11"/>
      <c r="D84" s="11"/>
      <c r="E84" s="11"/>
      <c r="F84" s="11"/>
      <c r="G84" s="11"/>
      <c r="H84" s="11"/>
    </row>
    <row r="85" spans="1:12" x14ac:dyDescent="0.25">
      <c r="A85" s="23"/>
      <c r="B85" s="24" t="s">
        <v>150</v>
      </c>
      <c r="C85" s="23"/>
      <c r="D85" s="23"/>
      <c r="E85" s="11"/>
      <c r="F85" s="11"/>
      <c r="G85" s="11"/>
      <c r="H85" s="11"/>
    </row>
    <row r="86" spans="1:12" x14ac:dyDescent="0.25">
      <c r="A86" s="23"/>
      <c r="B86" s="25" t="s">
        <v>22</v>
      </c>
      <c r="C86" s="26"/>
      <c r="D86" s="27">
        <v>33.050000000000004</v>
      </c>
      <c r="E86" s="11"/>
      <c r="F86" s="11"/>
      <c r="G86" s="11"/>
      <c r="H86" s="11"/>
    </row>
    <row r="87" spans="1:12" x14ac:dyDescent="0.25">
      <c r="A87" s="23"/>
      <c r="B87" s="25" t="s">
        <v>37</v>
      </c>
      <c r="C87" s="26"/>
      <c r="D87" s="27">
        <v>9.02</v>
      </c>
      <c r="E87" s="11"/>
      <c r="F87" s="11"/>
      <c r="G87" s="11"/>
      <c r="H87" s="11"/>
    </row>
    <row r="88" spans="1:12" x14ac:dyDescent="0.25">
      <c r="A88" s="23"/>
      <c r="B88" s="25" t="s">
        <v>29</v>
      </c>
      <c r="C88" s="26"/>
      <c r="D88" s="27">
        <v>8.52</v>
      </c>
      <c r="E88" s="11"/>
      <c r="F88" s="11"/>
      <c r="G88" s="11"/>
      <c r="H88" s="11"/>
    </row>
    <row r="89" spans="1:12" x14ac:dyDescent="0.25">
      <c r="A89" s="23"/>
      <c r="B89" s="25" t="s">
        <v>32</v>
      </c>
      <c r="C89" s="26"/>
      <c r="D89" s="27">
        <v>5.58</v>
      </c>
      <c r="E89" s="11"/>
      <c r="F89" s="11"/>
      <c r="G89" s="11"/>
      <c r="H89" s="11"/>
    </row>
    <row r="90" spans="1:12" x14ac:dyDescent="0.25">
      <c r="A90" s="23"/>
      <c r="B90" s="25" t="s">
        <v>40</v>
      </c>
      <c r="C90" s="26"/>
      <c r="D90" s="27">
        <v>4.38</v>
      </c>
      <c r="E90" s="11"/>
      <c r="F90" s="11"/>
      <c r="G90" s="11"/>
      <c r="H90" s="11"/>
    </row>
    <row r="91" spans="1:12" x14ac:dyDescent="0.25">
      <c r="A91" s="23"/>
      <c r="B91" s="25" t="s">
        <v>43</v>
      </c>
      <c r="C91" s="26"/>
      <c r="D91" s="27">
        <v>4.17</v>
      </c>
      <c r="E91" s="11"/>
      <c r="F91" s="11"/>
      <c r="G91" s="11"/>
      <c r="H91" s="11"/>
    </row>
    <row r="92" spans="1:12" x14ac:dyDescent="0.25">
      <c r="A92" s="23"/>
      <c r="B92" s="25" t="s">
        <v>54</v>
      </c>
      <c r="C92" s="26"/>
      <c r="D92" s="27">
        <v>4.08</v>
      </c>
      <c r="E92" s="11"/>
      <c r="F92" s="11"/>
      <c r="G92" s="11"/>
      <c r="H92" s="11"/>
    </row>
    <row r="93" spans="1:12" x14ac:dyDescent="0.25">
      <c r="A93" s="23"/>
      <c r="B93" s="25" t="s">
        <v>46</v>
      </c>
      <c r="C93" s="26"/>
      <c r="D93" s="27">
        <v>3.96</v>
      </c>
      <c r="E93" s="11"/>
      <c r="F93" s="11"/>
      <c r="G93" s="11"/>
      <c r="H93" s="11"/>
    </row>
    <row r="94" spans="1:12" x14ac:dyDescent="0.25">
      <c r="A94" s="23"/>
      <c r="B94" s="25" t="s">
        <v>51</v>
      </c>
      <c r="C94" s="26"/>
      <c r="D94" s="27">
        <v>3.79</v>
      </c>
      <c r="E94" s="11"/>
      <c r="F94" s="11"/>
      <c r="G94" s="11"/>
      <c r="H94" s="11"/>
    </row>
    <row r="95" spans="1:12" x14ac:dyDescent="0.25">
      <c r="A95" s="23"/>
      <c r="B95" s="25" t="s">
        <v>75</v>
      </c>
      <c r="C95" s="26"/>
      <c r="D95" s="27">
        <v>2.2999999999999998</v>
      </c>
      <c r="E95" s="11"/>
      <c r="F95" s="11"/>
      <c r="G95" s="11"/>
      <c r="H95" s="11"/>
    </row>
    <row r="96" spans="1:12" x14ac:dyDescent="0.25">
      <c r="A96" s="23"/>
      <c r="B96" s="25" t="s">
        <v>61</v>
      </c>
      <c r="C96" s="26"/>
      <c r="D96" s="27">
        <v>5.46</v>
      </c>
      <c r="E96" s="11"/>
      <c r="F96" s="11"/>
      <c r="G96" s="11"/>
      <c r="H96" s="11"/>
    </row>
    <row r="97" spans="1:8" x14ac:dyDescent="0.25">
      <c r="A97" s="23"/>
      <c r="B97" s="25" t="s">
        <v>78</v>
      </c>
      <c r="C97" s="26"/>
      <c r="D97" s="27">
        <v>1.49</v>
      </c>
      <c r="E97" s="11"/>
      <c r="F97" s="11"/>
      <c r="G97" s="11"/>
      <c r="H97" s="11"/>
    </row>
    <row r="98" spans="1:8" x14ac:dyDescent="0.25">
      <c r="A98" s="23"/>
      <c r="B98" s="25" t="s">
        <v>68</v>
      </c>
      <c r="C98" s="26"/>
      <c r="D98" s="27">
        <v>1.28</v>
      </c>
      <c r="E98" s="11"/>
      <c r="F98" s="11"/>
      <c r="G98" s="11"/>
      <c r="H98" s="11"/>
    </row>
    <row r="99" spans="1:8" x14ac:dyDescent="0.25">
      <c r="A99" s="23"/>
      <c r="B99" s="25" t="s">
        <v>83</v>
      </c>
      <c r="C99" s="26"/>
      <c r="D99" s="27">
        <v>0.93</v>
      </c>
      <c r="E99" s="11"/>
      <c r="F99" s="11"/>
      <c r="G99" s="11"/>
      <c r="H99" s="11"/>
    </row>
    <row r="100" spans="1:8" x14ac:dyDescent="0.25">
      <c r="A100" s="23"/>
      <c r="B100" s="25" t="s">
        <v>88</v>
      </c>
      <c r="C100" s="26"/>
      <c r="D100" s="27">
        <v>0.7</v>
      </c>
      <c r="E100" s="11"/>
      <c r="F100" s="11"/>
      <c r="G100" s="11"/>
      <c r="H100" s="11"/>
    </row>
    <row r="101" spans="1:8" x14ac:dyDescent="0.25">
      <c r="A101" s="23"/>
      <c r="B101" s="25" t="s">
        <v>91</v>
      </c>
      <c r="C101" s="26"/>
      <c r="D101" s="27">
        <v>0.68</v>
      </c>
      <c r="E101" s="11"/>
      <c r="F101" s="11"/>
      <c r="G101" s="11"/>
      <c r="H101" s="11"/>
    </row>
    <row r="102" spans="1:8" x14ac:dyDescent="0.25">
      <c r="A102" s="23"/>
      <c r="B102" s="25" t="s">
        <v>96</v>
      </c>
      <c r="C102" s="26"/>
      <c r="D102" s="27">
        <v>0.63</v>
      </c>
      <c r="E102" s="11"/>
      <c r="F102" s="11"/>
      <c r="G102" s="11"/>
      <c r="H102" s="11"/>
    </row>
    <row r="103" spans="1:8" x14ac:dyDescent="0.25">
      <c r="A103" s="23"/>
      <c r="B103" s="25" t="s">
        <v>103</v>
      </c>
      <c r="C103" s="26"/>
      <c r="D103" s="27">
        <v>0.43</v>
      </c>
      <c r="E103" s="11"/>
      <c r="F103" s="11"/>
      <c r="G103" s="11"/>
      <c r="H103" s="11"/>
    </row>
    <row r="104" spans="1:8" x14ac:dyDescent="0.25">
      <c r="A104" s="23"/>
      <c r="B104" s="25" t="s">
        <v>108</v>
      </c>
      <c r="C104" s="26"/>
      <c r="D104" s="27">
        <v>0.28999999999999998</v>
      </c>
      <c r="E104" s="11"/>
      <c r="F104" s="11"/>
      <c r="G104" s="11"/>
      <c r="H104" s="11"/>
    </row>
    <row r="105" spans="1:8" x14ac:dyDescent="0.25">
      <c r="A105" s="23"/>
      <c r="B105" s="25" t="s">
        <v>114</v>
      </c>
      <c r="C105" s="26"/>
      <c r="D105" s="27">
        <v>0.26</v>
      </c>
      <c r="E105" s="11"/>
      <c r="F105" s="11"/>
      <c r="G105" s="11"/>
      <c r="H105" s="11"/>
    </row>
    <row r="106" spans="1:8" x14ac:dyDescent="0.25">
      <c r="A106" s="23"/>
      <c r="B106" s="25" t="s">
        <v>111</v>
      </c>
      <c r="C106" s="26"/>
      <c r="D106" s="27">
        <v>0.18</v>
      </c>
      <c r="E106" s="11"/>
      <c r="F106" s="11"/>
      <c r="G106" s="11"/>
      <c r="H106" s="11"/>
    </row>
    <row r="107" spans="1:8" x14ac:dyDescent="0.25">
      <c r="A107" s="23"/>
      <c r="B107" s="25" t="s">
        <v>117</v>
      </c>
      <c r="C107" s="26"/>
      <c r="D107" s="27">
        <v>0.1</v>
      </c>
      <c r="E107" s="11"/>
      <c r="F107" s="11"/>
      <c r="G107" s="11"/>
      <c r="H107" s="11"/>
    </row>
    <row r="108" spans="1:8" x14ac:dyDescent="0.25">
      <c r="A108" s="23"/>
      <c r="B108" s="25" t="s">
        <v>151</v>
      </c>
      <c r="C108" s="26"/>
      <c r="D108" s="27">
        <v>0</v>
      </c>
      <c r="E108" s="11"/>
      <c r="F108" s="11"/>
      <c r="G108" s="11"/>
      <c r="H108" s="11"/>
    </row>
    <row r="109" spans="1:8" x14ac:dyDescent="0.25">
      <c r="A109" s="23"/>
      <c r="B109" s="25" t="s">
        <v>152</v>
      </c>
      <c r="C109" s="26"/>
      <c r="D109" s="27">
        <v>0.41</v>
      </c>
      <c r="E109" s="11"/>
      <c r="F109" s="11"/>
      <c r="G109" s="11"/>
      <c r="H109" s="11"/>
    </row>
    <row r="110" spans="1:8" x14ac:dyDescent="0.25">
      <c r="A110" s="23"/>
      <c r="B110" s="25" t="s">
        <v>153</v>
      </c>
      <c r="C110" s="26"/>
      <c r="D110" s="27">
        <v>8.31</v>
      </c>
      <c r="E110" s="11"/>
      <c r="F110" s="11"/>
      <c r="G110" s="11"/>
      <c r="H110" s="11"/>
    </row>
    <row r="111" spans="1:8" x14ac:dyDescent="0.25">
      <c r="A111" s="28"/>
      <c r="B111" s="28"/>
      <c r="C111" s="28"/>
      <c r="D111" s="28"/>
      <c r="E111" s="28"/>
      <c r="F111" s="28"/>
      <c r="G111" s="28"/>
      <c r="H111" s="28"/>
    </row>
    <row r="112" spans="1:8" x14ac:dyDescent="0.25">
      <c r="A112" s="28"/>
      <c r="B112" s="8" t="s">
        <v>154</v>
      </c>
      <c r="C112" s="28"/>
      <c r="D112" s="28"/>
      <c r="E112" s="28"/>
      <c r="F112" s="28"/>
      <c r="G112" s="28"/>
      <c r="H112" s="28"/>
    </row>
    <row r="113" spans="1:8" x14ac:dyDescent="0.25">
      <c r="A113" s="11"/>
      <c r="B113" s="11" t="s">
        <v>155</v>
      </c>
      <c r="C113" s="11"/>
      <c r="D113" s="11"/>
      <c r="E113" s="11"/>
      <c r="F113" s="11"/>
      <c r="G113" s="11"/>
      <c r="H113" s="28"/>
    </row>
    <row r="114" spans="1:8" x14ac:dyDescent="0.25">
      <c r="A114" s="11"/>
      <c r="B114" s="29" t="s">
        <v>156</v>
      </c>
      <c r="C114" s="30" t="s">
        <v>157</v>
      </c>
      <c r="D114" s="29" t="s">
        <v>158</v>
      </c>
      <c r="E114" s="11"/>
      <c r="F114" s="11"/>
      <c r="G114" s="11"/>
      <c r="H114" s="28"/>
    </row>
    <row r="115" spans="1:8" x14ac:dyDescent="0.25">
      <c r="A115" s="11"/>
      <c r="B115" s="8" t="s">
        <v>159</v>
      </c>
      <c r="C115" s="31">
        <v>76.260999999999996</v>
      </c>
      <c r="D115" s="31">
        <v>74.007000000000005</v>
      </c>
      <c r="E115" s="11"/>
      <c r="F115" s="11"/>
      <c r="G115" s="11"/>
      <c r="H115" s="28"/>
    </row>
    <row r="116" spans="1:8" x14ac:dyDescent="0.25">
      <c r="A116" s="11"/>
      <c r="B116" s="8" t="s">
        <v>160</v>
      </c>
      <c r="C116" s="31">
        <v>88.32</v>
      </c>
      <c r="D116" s="31">
        <v>85.662000000000006</v>
      </c>
      <c r="E116" s="11"/>
      <c r="F116" s="11"/>
      <c r="G116" s="11"/>
      <c r="H116" s="28"/>
    </row>
    <row r="117" spans="1:8" x14ac:dyDescent="0.25">
      <c r="A117" s="11"/>
      <c r="B117" s="8" t="s">
        <v>161</v>
      </c>
      <c r="C117" s="31">
        <v>1586.7829999999999</v>
      </c>
      <c r="D117" s="31">
        <v>1539.884</v>
      </c>
      <c r="E117" s="11"/>
      <c r="F117" s="11"/>
      <c r="G117" s="11"/>
      <c r="H117" s="28"/>
    </row>
    <row r="118" spans="1:8" x14ac:dyDescent="0.25">
      <c r="A118" s="11"/>
      <c r="B118" s="8" t="s">
        <v>162</v>
      </c>
      <c r="C118" s="31">
        <v>1718.9269999999999</v>
      </c>
      <c r="D118" s="31">
        <v>1667.1949999999999</v>
      </c>
      <c r="E118" s="11"/>
      <c r="F118" s="11"/>
      <c r="G118" s="11"/>
      <c r="H118" s="28"/>
    </row>
    <row r="119" spans="1:8" x14ac:dyDescent="0.25">
      <c r="A119" s="11"/>
      <c r="B119" s="8" t="s">
        <v>20</v>
      </c>
      <c r="C119" s="11"/>
      <c r="D119" s="11"/>
      <c r="E119" s="11"/>
      <c r="F119" s="11"/>
      <c r="G119" s="11"/>
      <c r="H119" s="28"/>
    </row>
    <row r="120" spans="1:8" x14ac:dyDescent="0.25">
      <c r="A120" s="11"/>
      <c r="B120" s="11"/>
      <c r="C120" s="11"/>
      <c r="D120" s="11"/>
      <c r="E120" s="11"/>
      <c r="F120" s="11"/>
      <c r="G120" s="11"/>
      <c r="H120" s="28"/>
    </row>
    <row r="121" spans="1:8" x14ac:dyDescent="0.25">
      <c r="A121" s="11"/>
      <c r="B121" s="11" t="s">
        <v>163</v>
      </c>
      <c r="C121" s="11"/>
      <c r="D121" s="11"/>
      <c r="E121" s="11"/>
      <c r="F121" s="11"/>
      <c r="G121" s="11"/>
      <c r="H121" s="28"/>
    </row>
    <row r="122" spans="1:8" x14ac:dyDescent="0.25">
      <c r="A122" s="11"/>
      <c r="B122" s="11"/>
      <c r="C122" s="11"/>
      <c r="D122" s="11"/>
      <c r="E122" s="11"/>
      <c r="F122" s="11"/>
      <c r="G122" s="11"/>
      <c r="H122" s="28"/>
    </row>
    <row r="123" spans="1:8" x14ac:dyDescent="0.25">
      <c r="A123" s="11"/>
      <c r="B123" s="11" t="s">
        <v>164</v>
      </c>
      <c r="C123" s="11"/>
      <c r="D123" s="11"/>
      <c r="E123" s="11"/>
      <c r="F123" s="11"/>
      <c r="G123" s="11"/>
      <c r="H123" s="28"/>
    </row>
    <row r="124" spans="1:8" x14ac:dyDescent="0.25">
      <c r="A124" s="28"/>
      <c r="B124" s="28"/>
      <c r="C124" s="28"/>
      <c r="D124" s="28"/>
      <c r="E124" s="28"/>
      <c r="F124" s="28"/>
      <c r="G124" s="28"/>
      <c r="H124" s="28"/>
    </row>
    <row r="125" spans="1:8" x14ac:dyDescent="0.25">
      <c r="A125" s="11"/>
      <c r="B125" s="11" t="s">
        <v>165</v>
      </c>
      <c r="C125" s="11"/>
      <c r="D125" s="11"/>
      <c r="E125" s="11"/>
      <c r="F125" s="11"/>
      <c r="G125" s="11"/>
      <c r="H125" s="11"/>
    </row>
    <row r="126" spans="1:8" x14ac:dyDescent="0.25">
      <c r="A126" s="11"/>
      <c r="B126" s="11" t="s">
        <v>166</v>
      </c>
      <c r="C126" s="11"/>
      <c r="D126" s="11"/>
      <c r="E126" s="11"/>
      <c r="F126" s="11"/>
      <c r="G126" s="11"/>
      <c r="H126" s="28"/>
    </row>
    <row r="127" spans="1:8" x14ac:dyDescent="0.25">
      <c r="A127" s="11"/>
      <c r="B127" s="11" t="s">
        <v>167</v>
      </c>
      <c r="C127" s="11"/>
      <c r="D127" s="11"/>
      <c r="E127" s="11"/>
      <c r="F127" s="11"/>
      <c r="G127" s="11"/>
      <c r="H127" s="28"/>
    </row>
    <row r="128" spans="1:8" x14ac:dyDescent="0.25">
      <c r="A128" s="11"/>
      <c r="B128" s="11" t="s">
        <v>168</v>
      </c>
      <c r="C128" s="11"/>
      <c r="D128" s="11"/>
      <c r="E128" s="11"/>
      <c r="F128" s="11"/>
      <c r="G128" s="11"/>
      <c r="H128" s="28"/>
    </row>
    <row r="129" spans="1:8" x14ac:dyDescent="0.25">
      <c r="A129" s="11"/>
      <c r="B129" s="11" t="s">
        <v>169</v>
      </c>
      <c r="C129" s="11"/>
      <c r="D129" s="11"/>
      <c r="E129" s="11"/>
      <c r="F129" s="11"/>
      <c r="G129" s="11"/>
      <c r="H129" s="28"/>
    </row>
    <row r="130" spans="1:8" x14ac:dyDescent="0.25">
      <c r="A130" s="11"/>
      <c r="B130" s="11" t="s">
        <v>170</v>
      </c>
      <c r="C130" s="11"/>
      <c r="D130" s="11"/>
      <c r="E130" s="11"/>
      <c r="F130" s="11"/>
      <c r="G130" s="11"/>
      <c r="H130" s="28"/>
    </row>
    <row r="131" spans="1:8" x14ac:dyDescent="0.25">
      <c r="A131" s="11"/>
      <c r="B131" s="11" t="s">
        <v>171</v>
      </c>
      <c r="C131" s="11"/>
      <c r="D131" s="11"/>
      <c r="E131" s="11"/>
      <c r="F131" s="11"/>
      <c r="G131" s="11"/>
      <c r="H131" s="28"/>
    </row>
    <row r="132" spans="1:8" x14ac:dyDescent="0.25">
      <c r="A132" s="11"/>
      <c r="B132" s="11" t="s">
        <v>172</v>
      </c>
      <c r="C132" s="11"/>
      <c r="D132" s="11"/>
      <c r="E132" s="11"/>
      <c r="F132" s="11"/>
      <c r="G132" s="11"/>
      <c r="H132" s="28"/>
    </row>
    <row r="134" spans="1:8" x14ac:dyDescent="0.25">
      <c r="B134" s="32" t="s">
        <v>173</v>
      </c>
    </row>
    <row r="150" spans="2:2" x14ac:dyDescent="0.25">
      <c r="B150" s="32" t="s">
        <v>174</v>
      </c>
    </row>
  </sheetData>
  <mergeCells count="10">
    <mergeCell ref="B80:F80"/>
    <mergeCell ref="B81:F81"/>
    <mergeCell ref="B82:F82"/>
    <mergeCell ref="B83:F83"/>
    <mergeCell ref="A1:J1"/>
    <mergeCell ref="A2:J2"/>
    <mergeCell ref="B76:F76"/>
    <mergeCell ref="B77:F77"/>
    <mergeCell ref="B78:F78"/>
    <mergeCell ref="B79:F7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3:G16"/>
  <sheetViews>
    <sheetView workbookViewId="0"/>
  </sheetViews>
  <sheetFormatPr defaultColWidth="9.140625" defaultRowHeight="12.75" x14ac:dyDescent="0.2"/>
  <cols>
    <col min="1" max="1" width="56.140625" style="38" customWidth="1"/>
    <col min="2" max="2" width="45.28515625" style="38" bestFit="1" customWidth="1"/>
    <col min="3" max="3" width="22.7109375" style="38" customWidth="1"/>
    <col min="4" max="4" width="18.7109375" style="38" customWidth="1"/>
    <col min="5" max="5" width="16.140625" style="38" customWidth="1"/>
    <col min="6" max="6" width="9.140625" style="38" customWidth="1"/>
    <col min="7" max="7" width="36.5703125" style="38" customWidth="1"/>
    <col min="8" max="8" width="12.7109375" style="38" customWidth="1"/>
    <col min="9" max="9" width="27.28515625" style="38" customWidth="1"/>
    <col min="10" max="11" width="9.140625" style="38" customWidth="1"/>
    <col min="12" max="12" width="10.7109375" style="38" customWidth="1"/>
    <col min="13" max="16384" width="9.140625" style="38"/>
  </cols>
  <sheetData>
    <row r="3" spans="1:7" x14ac:dyDescent="0.2">
      <c r="A3" s="37" t="s">
        <v>175</v>
      </c>
      <c r="B3" s="37"/>
      <c r="C3" s="37"/>
      <c r="D3" s="37"/>
      <c r="E3" s="37"/>
    </row>
    <row r="5" spans="1:7" x14ac:dyDescent="0.2">
      <c r="A5" s="38" t="s">
        <v>176</v>
      </c>
    </row>
    <row r="7" spans="1:7" ht="12.75" customHeight="1" x14ac:dyDescent="0.2">
      <c r="A7" s="39" t="s">
        <v>177</v>
      </c>
      <c r="B7" s="39"/>
      <c r="C7" s="39"/>
      <c r="D7" s="39"/>
      <c r="E7" s="39"/>
      <c r="F7" s="39"/>
    </row>
    <row r="8" spans="1:7" ht="25.5" x14ac:dyDescent="0.2">
      <c r="A8" s="40" t="s">
        <v>178</v>
      </c>
      <c r="B8" s="41" t="s">
        <v>179</v>
      </c>
      <c r="C8" s="41" t="s">
        <v>180</v>
      </c>
      <c r="D8" s="41" t="s">
        <v>181</v>
      </c>
      <c r="E8" s="41" t="s">
        <v>182</v>
      </c>
    </row>
    <row r="9" spans="1:7" x14ac:dyDescent="0.2">
      <c r="A9" s="42" t="s">
        <v>183</v>
      </c>
      <c r="B9" s="43" t="s">
        <v>184</v>
      </c>
      <c r="C9" s="44">
        <v>-25125</v>
      </c>
      <c r="D9" s="45">
        <v>99.901900099502484</v>
      </c>
      <c r="E9" s="46">
        <v>86.5</v>
      </c>
      <c r="F9" s="47"/>
      <c r="G9" s="48"/>
    </row>
    <row r="10" spans="1:7" x14ac:dyDescent="0.2">
      <c r="A10" s="49"/>
      <c r="B10" s="43" t="s">
        <v>185</v>
      </c>
      <c r="C10" s="44">
        <v>-87750</v>
      </c>
      <c r="D10" s="45">
        <v>17.825900056980057</v>
      </c>
      <c r="E10" s="46">
        <v>16.899999999999999</v>
      </c>
      <c r="F10" s="47"/>
      <c r="G10" s="48"/>
    </row>
    <row r="11" spans="1:7" x14ac:dyDescent="0.2">
      <c r="A11" s="49"/>
      <c r="B11" s="43" t="s">
        <v>186</v>
      </c>
      <c r="C11" s="44">
        <v>-52150</v>
      </c>
      <c r="D11" s="45">
        <v>68.866700095877277</v>
      </c>
      <c r="E11" s="46">
        <v>158.6</v>
      </c>
      <c r="F11" s="47"/>
      <c r="G11" s="48"/>
    </row>
    <row r="12" spans="1:7" x14ac:dyDescent="0.2">
      <c r="A12" s="49"/>
      <c r="B12" s="43" t="s">
        <v>187</v>
      </c>
      <c r="C12" s="44">
        <v>-4900</v>
      </c>
      <c r="D12" s="45">
        <v>90.714200000000005</v>
      </c>
      <c r="E12" s="46">
        <v>149</v>
      </c>
      <c r="F12" s="47"/>
      <c r="G12" s="48"/>
    </row>
    <row r="13" spans="1:7" x14ac:dyDescent="0.2">
      <c r="A13" s="49"/>
      <c r="B13" s="43" t="s">
        <v>188</v>
      </c>
      <c r="C13" s="44">
        <v>-962500</v>
      </c>
      <c r="D13" s="45">
        <v>10.5154</v>
      </c>
      <c r="E13" s="46">
        <v>8.85</v>
      </c>
      <c r="F13" s="47"/>
      <c r="G13" s="48"/>
    </row>
    <row r="14" spans="1:7" x14ac:dyDescent="0.2">
      <c r="A14" s="49"/>
      <c r="B14" s="43" t="s">
        <v>189</v>
      </c>
      <c r="C14" s="44">
        <v>-900000</v>
      </c>
      <c r="D14" s="45">
        <v>9.8515999999999995</v>
      </c>
      <c r="E14" s="46">
        <v>5.75</v>
      </c>
      <c r="F14" s="47"/>
      <c r="G14" s="48"/>
    </row>
    <row r="15" spans="1:7" x14ac:dyDescent="0.2">
      <c r="A15" s="50"/>
      <c r="B15" s="43"/>
      <c r="C15" s="44"/>
      <c r="D15" s="45"/>
      <c r="E15" s="46"/>
    </row>
    <row r="16" spans="1:7" x14ac:dyDescent="0.2">
      <c r="G16" s="48"/>
    </row>
  </sheetData>
  <mergeCells count="2">
    <mergeCell ref="A3:E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 Flexi Cap 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2024-03-07T12:36:22Z</dcterms:created>
  <dcterms:modified xsi:type="dcterms:W3CDTF">2024-03-07T12:44:11Z</dcterms:modified>
</cp:coreProperties>
</file>