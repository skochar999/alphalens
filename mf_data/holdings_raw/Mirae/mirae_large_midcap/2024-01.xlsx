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EBF" sheetId="1" r:id="rId1"/>
  </sheets>
  <definedNames>
    <definedName name="_xlnm._FilterDatabase" localSheetId="0" hidden="1">MAEBF!$H$8:$J$431</definedName>
    <definedName name="JR_PAGE_ANCHOR_0_12">MAEBF!$A$5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6" i="1" l="1"/>
  <c r="G106" i="1"/>
  <c r="F105" i="1"/>
  <c r="G105" i="1"/>
  <c r="F102" i="1"/>
  <c r="G102" i="1"/>
  <c r="F101" i="1"/>
  <c r="G101" i="1"/>
  <c r="G94" i="1"/>
  <c r="G97" i="1" s="1"/>
  <c r="F94" i="1"/>
  <c r="F97" i="1" s="1"/>
  <c r="G108" i="1" l="1"/>
  <c r="F108" i="1"/>
</calcChain>
</file>

<file path=xl/sharedStrings.xml><?xml version="1.0" encoding="utf-8"?>
<sst xmlns="http://schemas.openxmlformats.org/spreadsheetml/2006/main" count="370" uniqueCount="311">
  <si>
    <t>Home</t>
  </si>
  <si>
    <t>(Large &amp; Mid Cap Fund -An open ended equity scheme investing in both large cap and mid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</si>
  <si>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</si>
  <si>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</si>
  <si>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</si>
  <si>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</si>
  <si>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</si>
  <si>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</si>
  <si>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</si>
  <si>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</si>
  <si>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</si>
  <si>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</si>
  <si>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</si>
  <si>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</si>
  <si>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</si>
  <si>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</si>
  <si>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</si>
  <si>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</si>
  <si>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</si>
  <si>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</si>
  <si>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</si>
  <si>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</si>
  <si>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</si>
  <si>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</si>
  <si>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</si>
  <si>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</si>
  <si>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</si>
  <si>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</si>
  <si>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</si>
  <si>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</si>
  <si>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</si>
  <si>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</si>
  <si>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</si>
  <si>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</si>
  <si>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</si>
  <si>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</si>
  <si>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</si>
  <si>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</si>
  <si>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</si>
  <si>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</si>
  <si>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</si>
  <si>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</si>
  <si>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</si>
  <si>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</si>
  <si>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</si>
  <si>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</si>
  <si>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</si>
  <si>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SKFB02</t>
  </si>
  <si>
    <t>SKF India Limited</t>
  </si>
  <si>
    <t>INE640A01023</t>
  </si>
  <si>
    <t>Industrial Products</t>
  </si>
  <si>
    <t>JKCE01</t>
  </si>
  <si>
    <t>JK Cement Limited</t>
  </si>
  <si>
    <t>INE823G01014</t>
  </si>
  <si>
    <t>Cement &amp; Cement Products</t>
  </si>
  <si>
    <t>CGCE01</t>
  </si>
  <si>
    <t>Crompton Greaves Consumer Electricals Limited</t>
  </si>
  <si>
    <t>INE299U01018</t>
  </si>
  <si>
    <t>Consumer Durables</t>
  </si>
  <si>
    <t>BHFO02</t>
  </si>
  <si>
    <t>Bharat Forge Limited</t>
  </si>
  <si>
    <t>INE465A01025</t>
  </si>
  <si>
    <t>SLIF01</t>
  </si>
  <si>
    <t>SBI Life Insurance Company Limited</t>
  </si>
  <si>
    <t>INE123W01016</t>
  </si>
  <si>
    <t>Insurance</t>
  </si>
  <si>
    <t>KOMA02</t>
  </si>
  <si>
    <t>Kotak Mahindra Bank Limited</t>
  </si>
  <si>
    <t>INE237A01028</t>
  </si>
  <si>
    <t>GLAN02</t>
  </si>
  <si>
    <t>Gland Pharma Limited</t>
  </si>
  <si>
    <t>INE068V01023</t>
  </si>
  <si>
    <t>Pharmaceuticals &amp; Biotechnology</t>
  </si>
  <si>
    <t>GSPL01</t>
  </si>
  <si>
    <t>Gujarat State Petronet Limited</t>
  </si>
  <si>
    <t>INE246F01010</t>
  </si>
  <si>
    <t>Gas</t>
  </si>
  <si>
    <t>BATA02</t>
  </si>
  <si>
    <t>Bata India Limited</t>
  </si>
  <si>
    <t>INE176A01028</t>
  </si>
  <si>
    <t>LUPL02</t>
  </si>
  <si>
    <t>Lupin Limited</t>
  </si>
  <si>
    <t>INE326A01037</t>
  </si>
  <si>
    <t>FEBA02</t>
  </si>
  <si>
    <t>INE171A01029</t>
  </si>
  <si>
    <t>MAXI02</t>
  </si>
  <si>
    <t>Max Financial Services Limited</t>
  </si>
  <si>
    <t>INE180A01020</t>
  </si>
  <si>
    <t>TISC03</t>
  </si>
  <si>
    <t>Tata Steel Limited</t>
  </si>
  <si>
    <t>INE081A01020</t>
  </si>
  <si>
    <t>Ferrous Metals</t>
  </si>
  <si>
    <t>SSNL02</t>
  </si>
  <si>
    <t>Delhivery Limited</t>
  </si>
  <si>
    <t>INE148O01028</t>
  </si>
  <si>
    <t>Transport Services</t>
  </si>
  <si>
    <t>HDAM01</t>
  </si>
  <si>
    <t>HDFC Asset Management Company Limited</t>
  </si>
  <si>
    <t>INE127D01025</t>
  </si>
  <si>
    <t>Capital Markets</t>
  </si>
  <si>
    <t>SBCP01</t>
  </si>
  <si>
    <t>SBI Cards and Payment Services Limited</t>
  </si>
  <si>
    <t>INE018E01016</t>
  </si>
  <si>
    <t>Finance</t>
  </si>
  <si>
    <t>NITL01</t>
  </si>
  <si>
    <t>Coforge Limited</t>
  </si>
  <si>
    <t>INE591G01017</t>
  </si>
  <si>
    <t>WIPR02</t>
  </si>
  <si>
    <t>Wipro Limited</t>
  </si>
  <si>
    <t>INE075A01022</t>
  </si>
  <si>
    <t>PREP01</t>
  </si>
  <si>
    <t>Prestige Estates Projects Limited</t>
  </si>
  <si>
    <t>INE811K01011</t>
  </si>
  <si>
    <t>Realty</t>
  </si>
  <si>
    <t>BAYE02</t>
  </si>
  <si>
    <t>Bayer Cropscience Limited</t>
  </si>
  <si>
    <t>INE462A01022</t>
  </si>
  <si>
    <t>Fertilizers &amp; Agrochemicals</t>
  </si>
  <si>
    <t>VSNL01</t>
  </si>
  <si>
    <t>Tata Communications Limited</t>
  </si>
  <si>
    <t>INE151A01013</t>
  </si>
  <si>
    <t>LTIL01</t>
  </si>
  <si>
    <t>LTIMindtree Limited</t>
  </si>
  <si>
    <t>INE214T01019</t>
  </si>
  <si>
    <t>AUPH03</t>
  </si>
  <si>
    <t>Aurobindo Pharma Limited</t>
  </si>
  <si>
    <t>INE406A01037</t>
  </si>
  <si>
    <t>LICH02</t>
  </si>
  <si>
    <t>LIC Housing Finance Limited</t>
  </si>
  <si>
    <t>INE115A01026</t>
  </si>
  <si>
    <t>ZMPL01</t>
  </si>
  <si>
    <t>Zomato Limited</t>
  </si>
  <si>
    <t>INE758T01015</t>
  </si>
  <si>
    <t>Retailing</t>
  </si>
  <si>
    <t>CEAT02</t>
  </si>
  <si>
    <t>CEAT Limited</t>
  </si>
  <si>
    <t>INE482A01020</t>
  </si>
  <si>
    <t>Auto Components</t>
  </si>
  <si>
    <t>FSNE01</t>
  </si>
  <si>
    <t>FSN E-Commerce Ventures Limited</t>
  </si>
  <si>
    <t>INE388Y01029</t>
  </si>
  <si>
    <t>EMAM02</t>
  </si>
  <si>
    <t>Emami Limited</t>
  </si>
  <si>
    <t>INE548C01032</t>
  </si>
  <si>
    <t>Personal Products</t>
  </si>
  <si>
    <t>ACCL02</t>
  </si>
  <si>
    <t>ACC Limited</t>
  </si>
  <si>
    <t>INE012A01025</t>
  </si>
  <si>
    <t>SHTR01</t>
  </si>
  <si>
    <t>Shriram Finance Limited</t>
  </si>
  <si>
    <t>INE721A01013</t>
  </si>
  <si>
    <t>PPFL01</t>
  </si>
  <si>
    <t>INE689W01016</t>
  </si>
  <si>
    <t>DABU02</t>
  </si>
  <si>
    <t>Dabur India Limited</t>
  </si>
  <si>
    <t>INE016A01026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</si>
  <si>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</si>
  <si>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</si>
  <si>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</si>
  <si>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</si>
  <si>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</si>
  <si>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</si>
  <si>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</si>
  <si>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Automobiles</t>
  </si>
  <si>
    <t>MAHI02</t>
  </si>
  <si>
    <t>Mahindra &amp; Mahindra Limited</t>
  </si>
  <si>
    <t>INE101A01026</t>
  </si>
  <si>
    <t>IEEL02</t>
  </si>
  <si>
    <t>Indian Energy Exchange Limited</t>
  </si>
  <si>
    <t>INE022Q01020</t>
  </si>
  <si>
    <t>VORL03</t>
  </si>
  <si>
    <t>Vinati Organics Limited</t>
  </si>
  <si>
    <t>INE410B01037</t>
  </si>
  <si>
    <t>Chemicals &amp; Petrochemicals</t>
  </si>
  <si>
    <t>PFCL01</t>
  </si>
  <si>
    <t>Power Finance Corporation Limited</t>
  </si>
  <si>
    <t>INE134E01011</t>
  </si>
  <si>
    <t>IGAS02</t>
  </si>
  <si>
    <t>Indraprastha Gas Limited</t>
  </si>
  <si>
    <t>INE203G01027</t>
  </si>
  <si>
    <t>ITCL02</t>
  </si>
  <si>
    <t>ITC Limited</t>
  </si>
  <si>
    <t>INE154A01025</t>
  </si>
  <si>
    <t>Diversified FMCG</t>
  </si>
  <si>
    <t>NMDC01</t>
  </si>
  <si>
    <t>NMDC Limited</t>
  </si>
  <si>
    <t>INE584A01023</t>
  </si>
  <si>
    <t>Minerals &amp; Mining</t>
  </si>
  <si>
    <t>SPIL03</t>
  </si>
  <si>
    <t>Sun Pharmaceutical Industries Limited</t>
  </si>
  <si>
    <t>INE044A01036</t>
  </si>
  <si>
    <t>ATUL01</t>
  </si>
  <si>
    <t>Atul Limited</t>
  </si>
  <si>
    <t>INE100A01010</t>
  </si>
  <si>
    <t>SRFL01</t>
  </si>
  <si>
    <t>SRF Limited</t>
  </si>
  <si>
    <t>INE647A01010</t>
  </si>
  <si>
    <t>INAV01</t>
  </si>
  <si>
    <t>InterGlobe Aviation Limited</t>
  </si>
  <si>
    <t>INE646L01027</t>
  </si>
  <si>
    <t>PAGE01</t>
  </si>
  <si>
    <t>Page Industries Limited</t>
  </si>
  <si>
    <t>INE761H01022</t>
  </si>
  <si>
    <t>Textiles &amp; Apparels</t>
  </si>
  <si>
    <t>GRFL02</t>
  </si>
  <si>
    <t>Gateway Distriparks Limited</t>
  </si>
  <si>
    <t>INE079J01017</t>
  </si>
  <si>
    <t>NAPH02</t>
  </si>
  <si>
    <t>Natco Pharma Limited</t>
  </si>
  <si>
    <t>INE987B01026</t>
  </si>
  <si>
    <t>FRHL01</t>
  </si>
  <si>
    <t>Fortis Healthcare Limited</t>
  </si>
  <si>
    <t>INE061F01013</t>
  </si>
  <si>
    <t>Healthcare Services</t>
  </si>
  <si>
    <t>TELC03</t>
  </si>
  <si>
    <t>Tata Motors Limited</t>
  </si>
  <si>
    <t>INE155A01022</t>
  </si>
  <si>
    <t>NACL03</t>
  </si>
  <si>
    <t>National Aluminium Company Limited</t>
  </si>
  <si>
    <t>INE139A01034</t>
  </si>
  <si>
    <t>Non - Ferrous Metals</t>
  </si>
  <si>
    <t>MCSP02</t>
  </si>
  <si>
    <t>United Spirits Limited</t>
  </si>
  <si>
    <t>INE854D01024</t>
  </si>
  <si>
    <t>Beverages</t>
  </si>
  <si>
    <t>GRAS02</t>
  </si>
  <si>
    <t>Grasim Industries Limited</t>
  </si>
  <si>
    <t>INE047A01021</t>
  </si>
  <si>
    <t>MSUW01</t>
  </si>
  <si>
    <t>Motherson Sumi Wiring India Limited</t>
  </si>
  <si>
    <t>INE0FS801015</t>
  </si>
  <si>
    <t>CHEM04</t>
  </si>
  <si>
    <t>Chemplast Sanmar Limited</t>
  </si>
  <si>
    <t>INE488A01050</t>
  </si>
  <si>
    <t>KACE03</t>
  </si>
  <si>
    <t>Kajaria Ceramics Limited</t>
  </si>
  <si>
    <t>INE217B01036</t>
  </si>
  <si>
    <t>KIMS01</t>
  </si>
  <si>
    <t>IPCA03</t>
  </si>
  <si>
    <t>SAPF01</t>
  </si>
  <si>
    <t>Sapphire Foods India Limited</t>
  </si>
  <si>
    <t>INE806T01012</t>
  </si>
  <si>
    <t>Leisure Services</t>
  </si>
  <si>
    <t>HLEL02</t>
  </si>
  <si>
    <t>Hindustan Unilever Limited</t>
  </si>
  <si>
    <t>INE030A01027</t>
  </si>
  <si>
    <t>SECH03</t>
  </si>
  <si>
    <t>UPL Limited</t>
  </si>
  <si>
    <t>INE628A01036</t>
  </si>
  <si>
    <t>AVSP01</t>
  </si>
  <si>
    <t>Avenue Supermarts Limited</t>
  </si>
  <si>
    <t>INE192R01011</t>
  </si>
  <si>
    <t>SONB01</t>
  </si>
  <si>
    <t>Sona BLW Precision Forgings Limited</t>
  </si>
  <si>
    <t>INE073K01018</t>
  </si>
  <si>
    <t>TWAT02</t>
  </si>
  <si>
    <t>Titan Company Limited</t>
  </si>
  <si>
    <t>INE280A01028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</si>
  <si>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</si>
  <si>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</si>
  <si>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</si>
  <si>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</si>
  <si>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</si>
  <si>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</si>
  <si>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</si>
  <si>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</si>
  <si>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</si>
  <si>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</si>
  <si>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APOL02</t>
  </si>
  <si>
    <t>TOPH02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</si>
  <si>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</si>
  <si>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</si>
  <si>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</si>
  <si>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</si>
  <si>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</si>
  <si>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</si>
  <si>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</si>
  <si>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Others</t>
  </si>
  <si>
    <t>Mutual Fund Units</t>
  </si>
  <si>
    <t>118859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</si>
  <si>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</si>
  <si>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</si>
  <si>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</si>
  <si>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</si>
  <si>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</si>
  <si>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</si>
  <si>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</si>
  <si>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</si>
  <si>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</si>
  <si>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Coal India Limited</t>
  </si>
  <si>
    <t>INE522F01014</t>
  </si>
  <si>
    <t>Consumable Fuels</t>
  </si>
  <si>
    <t>Container Corporation of India Limited</t>
  </si>
  <si>
    <t>Indian Bank</t>
  </si>
  <si>
    <t>One 97 Communications Limited</t>
  </si>
  <si>
    <t>INE111A01025</t>
  </si>
  <si>
    <t>INE562A01011</t>
  </si>
  <si>
    <t>INE982J01020</t>
  </si>
  <si>
    <t>Mirae Asset Large &amp; Midcap Fund (Formerly Known as Mirae Asset Emerging Bluechip Fund)</t>
  </si>
  <si>
    <t>Mirae Asset Large &amp; Midcap Fund</t>
  </si>
  <si>
    <t>Monthly Portfolio Statement as on January 31,2024</t>
  </si>
  <si>
    <t>0.59 Times</t>
  </si>
  <si>
    <t>Indus Towers Limited</t>
  </si>
  <si>
    <t>The Federal Bank  Limited</t>
  </si>
  <si>
    <t>Grasim Industries Ltd - Rights</t>
  </si>
  <si>
    <t>NHPC Limited</t>
  </si>
  <si>
    <t>Prince Pipes and Fittings Limited</t>
  </si>
  <si>
    <t>INE121J01017</t>
  </si>
  <si>
    <t>INE047A20013</t>
  </si>
  <si>
    <t>INE848E01016</t>
  </si>
  <si>
    <t>Mirae Asset Liquid Fund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</si>
</sst>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4" fontId="3" fillId="0" borderId="13" xfId="0" applyNumberFormat="1" applyFont="1" applyBorder="1" applyAlignment="1">
      <alignment horizontal="left" vertical="top" wrapText="1"/>
    </xf>
    <xf numFmtId="10" fontId="3" fillId="0" borderId="14" xfId="1" applyNumberFormat="1" applyFont="1" applyFill="1" applyBorder="1" applyAlignment="1" applyProtection="1">
      <alignment horizontal="left" vertical="top" wrapText="1"/>
    </xf>
    <xf numFmtId="0" fontId="7" fillId="0" borderId="1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4" fontId="3" fillId="0" borderId="13" xfId="0" applyNumberFormat="1" applyFont="1" applyBorder="1" applyAlignment="1">
      <alignment horizontal="right" vertical="top" wrapText="1"/>
    </xf>
    <xf numFmtId="10" fontId="3" fillId="0" borderId="13" xfId="1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9" fillId="2" borderId="23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10" fillId="0" borderId="0" xfId="0" applyFont="1"/>
    <xf numFmtId="2" fontId="0" fillId="0" borderId="0" xfId="0" applyNumberFormat="1"/>
    <xf numFmtId="0" fontId="11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1285875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EE85A5B-FEE2-4CEE-8847-91A5EF38C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190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173183</xdr:colOff>
      <xdr:row>113</xdr:row>
      <xdr:rowOff>155864</xdr:rowOff>
    </xdr:from>
    <xdr:to>
      <xdr:col>6</xdr:col>
      <xdr:colOff>1066800</xdr:colOff>
      <xdr:row>124</xdr:row>
      <xdr:rowOff>146602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3" y="18149455"/>
          <a:ext cx="10002981" cy="2086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I113"/>
  <sheetViews>
    <sheetView tabSelected="1" topLeftCell="A76" zoomScale="85" zoomScaleNormal="85" workbookViewId="0">
      <selection activeCell="K103" sqref="K10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45" t="s">
        <v>298</v>
      </c>
      <c r="C1" s="46"/>
      <c r="D1" s="46"/>
      <c r="E1" s="46"/>
      <c r="F1" s="46"/>
      <c r="G1" s="46"/>
      <c r="H1" s="47"/>
      <c r="I1"/>
    </row>
    <row r="2" spans="1:9" ht="12.95" customHeight="1">
      <c r="A2" s="2"/>
      <c r="B2" s="48"/>
      <c r="C2" s="49"/>
      <c r="D2" s="49"/>
      <c r="E2" s="49"/>
      <c r="F2" s="49"/>
      <c r="G2" s="49"/>
      <c r="H2" s="50"/>
      <c r="I2"/>
    </row>
    <row r="3" spans="1:9" ht="12.95" customHeight="1">
      <c r="A3" s="3"/>
      <c r="B3" s="51" t="s">
        <v>1</v>
      </c>
      <c r="C3" s="52"/>
      <c r="D3" s="52"/>
      <c r="E3" s="52"/>
      <c r="F3" s="52"/>
      <c r="G3" s="52"/>
      <c r="H3" s="53"/>
      <c r="I3"/>
    </row>
    <row r="4" spans="1:9" ht="15.75" thickBot="1">
      <c r="A4" s="2"/>
      <c r="B4" s="54"/>
      <c r="C4" s="55"/>
      <c r="D4" s="55"/>
      <c r="E4" s="55"/>
      <c r="F4" s="55"/>
      <c r="G4" s="55"/>
      <c r="H4" s="56"/>
      <c r="I4"/>
    </row>
    <row r="5" spans="1:9" ht="15.95" customHeight="1">
      <c r="A5" s="2"/>
      <c r="B5" s="4" t="s">
        <v>299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300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2</v>
      </c>
      <c r="C8" s="11" t="s">
        <v>3</v>
      </c>
      <c r="D8" s="12" t="s">
        <v>4</v>
      </c>
      <c r="E8" s="12" t="s">
        <v>5</v>
      </c>
      <c r="F8" s="13" t="s">
        <v>6</v>
      </c>
      <c r="G8" s="14" t="s">
        <v>7</v>
      </c>
      <c r="H8" s="15" t="s">
        <v>8</v>
      </c>
    </row>
    <row r="9" spans="1:9" ht="12.95" customHeight="1">
      <c r="A9" s="2"/>
      <c r="B9" s="16" t="s">
        <v>9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10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12</v>
      </c>
      <c r="C11" s="17" t="s">
        <v>13</v>
      </c>
      <c r="D11" s="17" t="s">
        <v>14</v>
      </c>
      <c r="E11" s="23">
        <v>12833082</v>
      </c>
      <c r="F11" s="24">
        <v>187690.24079099999</v>
      </c>
      <c r="G11" s="25">
        <v>5.6399999999999999E-2</v>
      </c>
      <c r="H11" s="26"/>
    </row>
    <row r="12" spans="1:9" ht="12.95" customHeight="1">
      <c r="A12" s="2"/>
      <c r="B12" s="22" t="s">
        <v>16</v>
      </c>
      <c r="C12" s="17" t="s">
        <v>17</v>
      </c>
      <c r="D12" s="17" t="s">
        <v>14</v>
      </c>
      <c r="E12" s="23">
        <v>18161916</v>
      </c>
      <c r="F12" s="24">
        <v>116327.07197999999</v>
      </c>
      <c r="G12" s="25">
        <v>3.49E-2</v>
      </c>
      <c r="H12" s="26"/>
    </row>
    <row r="13" spans="1:9" ht="12.95" customHeight="1">
      <c r="A13" s="21" t="s">
        <v>11</v>
      </c>
      <c r="B13" s="22" t="s">
        <v>22</v>
      </c>
      <c r="C13" s="17" t="s">
        <v>23</v>
      </c>
      <c r="D13" s="17" t="s">
        <v>24</v>
      </c>
      <c r="E13" s="23">
        <v>3516847</v>
      </c>
      <c r="F13" s="24">
        <v>100344.4370275</v>
      </c>
      <c r="G13" s="25">
        <v>3.0099999999999998E-2</v>
      </c>
      <c r="H13" s="26"/>
    </row>
    <row r="14" spans="1:9" ht="12.95" customHeight="1">
      <c r="A14" s="21" t="s">
        <v>15</v>
      </c>
      <c r="B14" s="22" t="s">
        <v>19</v>
      </c>
      <c r="C14" s="17" t="s">
        <v>20</v>
      </c>
      <c r="D14" s="17" t="s">
        <v>14</v>
      </c>
      <c r="E14" s="23">
        <v>9602532</v>
      </c>
      <c r="F14" s="24">
        <v>98728.432757999995</v>
      </c>
      <c r="G14" s="25">
        <v>2.9700000000000001E-2</v>
      </c>
      <c r="H14" s="26"/>
    </row>
    <row r="15" spans="1:9" ht="12.95" customHeight="1">
      <c r="A15" s="21" t="s">
        <v>18</v>
      </c>
      <c r="B15" s="22" t="s">
        <v>29</v>
      </c>
      <c r="C15" s="17" t="s">
        <v>30</v>
      </c>
      <c r="D15" s="17" t="s">
        <v>31</v>
      </c>
      <c r="E15" s="23">
        <v>2679976</v>
      </c>
      <c r="F15" s="24">
        <v>93256.464859999993</v>
      </c>
      <c r="G15" s="25">
        <v>2.8000000000000001E-2</v>
      </c>
      <c r="H15" s="26"/>
    </row>
    <row r="16" spans="1:9" ht="12.95" customHeight="1">
      <c r="A16" s="21" t="s">
        <v>21</v>
      </c>
      <c r="B16" s="22" t="s">
        <v>26</v>
      </c>
      <c r="C16" s="17" t="s">
        <v>27</v>
      </c>
      <c r="D16" s="17" t="s">
        <v>14</v>
      </c>
      <c r="E16" s="23">
        <v>8532768</v>
      </c>
      <c r="F16" s="24">
        <v>91108.630319999997</v>
      </c>
      <c r="G16" s="25">
        <v>2.7400000000000001E-2</v>
      </c>
      <c r="H16" s="26"/>
    </row>
    <row r="17" spans="1:8" ht="12.95" customHeight="1">
      <c r="A17" s="21" t="s">
        <v>25</v>
      </c>
      <c r="B17" s="22" t="s">
        <v>67</v>
      </c>
      <c r="C17" s="17" t="s">
        <v>68</v>
      </c>
      <c r="D17" s="17" t="s">
        <v>14</v>
      </c>
      <c r="E17" s="23">
        <v>4468666</v>
      </c>
      <c r="F17" s="24">
        <v>81564.326165000006</v>
      </c>
      <c r="G17" s="25">
        <v>2.4500000000000001E-2</v>
      </c>
      <c r="H17" s="26"/>
    </row>
    <row r="18" spans="1:8" ht="12.95" customHeight="1">
      <c r="A18" s="21" t="s">
        <v>28</v>
      </c>
      <c r="B18" s="22" t="s">
        <v>37</v>
      </c>
      <c r="C18" s="17" t="s">
        <v>38</v>
      </c>
      <c r="D18" s="17" t="s">
        <v>39</v>
      </c>
      <c r="E18" s="23">
        <v>4718176</v>
      </c>
      <c r="F18" s="24">
        <v>74358.453760000004</v>
      </c>
      <c r="G18" s="25">
        <v>2.23E-2</v>
      </c>
      <c r="H18" s="26"/>
    </row>
    <row r="19" spans="1:8" ht="12.95" customHeight="1">
      <c r="A19" s="21" t="s">
        <v>32</v>
      </c>
      <c r="B19" s="22" t="s">
        <v>33</v>
      </c>
      <c r="C19" s="17" t="s">
        <v>34</v>
      </c>
      <c r="D19" s="17" t="s">
        <v>35</v>
      </c>
      <c r="E19" s="23">
        <v>23390748</v>
      </c>
      <c r="F19" s="24">
        <v>74265.624899999995</v>
      </c>
      <c r="G19" s="25">
        <v>2.23E-2</v>
      </c>
      <c r="H19" s="26"/>
    </row>
    <row r="20" spans="1:8" ht="12.95" customHeight="1">
      <c r="A20" s="21" t="s">
        <v>36</v>
      </c>
      <c r="B20" s="22" t="s">
        <v>74</v>
      </c>
      <c r="C20" s="17" t="s">
        <v>75</v>
      </c>
      <c r="D20" s="17" t="s">
        <v>76</v>
      </c>
      <c r="E20" s="23">
        <v>18353969</v>
      </c>
      <c r="F20" s="24">
        <v>67515.074966499989</v>
      </c>
      <c r="G20" s="25">
        <v>2.0299999999999999E-2</v>
      </c>
      <c r="H20" s="26"/>
    </row>
    <row r="21" spans="1:8" ht="12.95" customHeight="1">
      <c r="A21" s="21" t="s">
        <v>40</v>
      </c>
      <c r="B21" s="22" t="s">
        <v>81</v>
      </c>
      <c r="C21" s="17" t="s">
        <v>82</v>
      </c>
      <c r="D21" s="17" t="s">
        <v>72</v>
      </c>
      <c r="E21" s="23">
        <v>4295402</v>
      </c>
      <c r="F21" s="24">
        <v>64660.834006999998</v>
      </c>
      <c r="G21" s="25">
        <v>1.9400000000000001E-2</v>
      </c>
      <c r="H21" s="26"/>
    </row>
    <row r="22" spans="1:8" ht="12.95" customHeight="1">
      <c r="A22" s="21" t="s">
        <v>43</v>
      </c>
      <c r="B22" s="22" t="s">
        <v>70</v>
      </c>
      <c r="C22" s="17" t="s">
        <v>71</v>
      </c>
      <c r="D22" s="17" t="s">
        <v>72</v>
      </c>
      <c r="E22" s="23">
        <v>3147264</v>
      </c>
      <c r="F22" s="24">
        <v>61577.793791999997</v>
      </c>
      <c r="G22" s="25">
        <v>1.8499999999999999E-2</v>
      </c>
      <c r="H22" s="26"/>
    </row>
    <row r="23" spans="1:8" ht="12.95" customHeight="1">
      <c r="A23" s="21" t="s">
        <v>47</v>
      </c>
      <c r="B23" s="22" t="s">
        <v>56</v>
      </c>
      <c r="C23" s="17" t="s">
        <v>57</v>
      </c>
      <c r="D23" s="17" t="s">
        <v>58</v>
      </c>
      <c r="E23" s="23">
        <v>18708080</v>
      </c>
      <c r="F23" s="24">
        <v>56676.128360000002</v>
      </c>
      <c r="G23" s="25">
        <v>1.7000000000000001E-2</v>
      </c>
      <c r="H23" s="26"/>
    </row>
    <row r="24" spans="1:8" ht="12.95" customHeight="1">
      <c r="A24" s="21" t="s">
        <v>51</v>
      </c>
      <c r="B24" s="22" t="s">
        <v>303</v>
      </c>
      <c r="C24" s="17" t="s">
        <v>84</v>
      </c>
      <c r="D24" s="17" t="s">
        <v>14</v>
      </c>
      <c r="E24" s="23">
        <v>37494569</v>
      </c>
      <c r="F24" s="24">
        <v>55229.500136999995</v>
      </c>
      <c r="G24" s="25">
        <v>1.66E-2</v>
      </c>
      <c r="H24" s="26"/>
    </row>
    <row r="25" spans="1:8" ht="12.95" customHeight="1">
      <c r="A25" s="21" t="s">
        <v>55</v>
      </c>
      <c r="B25" s="22" t="s">
        <v>52</v>
      </c>
      <c r="C25" s="17" t="s">
        <v>53</v>
      </c>
      <c r="D25" s="17" t="s">
        <v>54</v>
      </c>
      <c r="E25" s="23">
        <v>1257752</v>
      </c>
      <c r="F25" s="24">
        <v>54880.750768000005</v>
      </c>
      <c r="G25" s="25">
        <v>1.6500000000000001E-2</v>
      </c>
      <c r="H25" s="26"/>
    </row>
    <row r="26" spans="1:8" ht="12.95" customHeight="1">
      <c r="A26" s="21" t="s">
        <v>59</v>
      </c>
      <c r="B26" s="22" t="s">
        <v>93</v>
      </c>
      <c r="C26" s="17" t="s">
        <v>94</v>
      </c>
      <c r="D26" s="17" t="s">
        <v>95</v>
      </c>
      <c r="E26" s="23">
        <v>12206627</v>
      </c>
      <c r="F26" s="24">
        <v>54862.685051499997</v>
      </c>
      <c r="G26" s="25">
        <v>1.6500000000000001E-2</v>
      </c>
      <c r="H26" s="26"/>
    </row>
    <row r="27" spans="1:8" ht="12.95" customHeight="1">
      <c r="A27" s="21" t="s">
        <v>62</v>
      </c>
      <c r="B27" s="22" t="s">
        <v>108</v>
      </c>
      <c r="C27" s="17" t="s">
        <v>109</v>
      </c>
      <c r="D27" s="17" t="s">
        <v>39</v>
      </c>
      <c r="E27" s="23">
        <v>11472688</v>
      </c>
      <c r="F27" s="24">
        <v>54856.657672000001</v>
      </c>
      <c r="G27" s="25">
        <v>1.6500000000000001E-2</v>
      </c>
      <c r="H27" s="26"/>
    </row>
    <row r="28" spans="1:8" ht="12.95" customHeight="1">
      <c r="A28" s="21" t="s">
        <v>66</v>
      </c>
      <c r="B28" s="22" t="s">
        <v>157</v>
      </c>
      <c r="C28" s="17" t="s">
        <v>158</v>
      </c>
      <c r="D28" s="17" t="s">
        <v>159</v>
      </c>
      <c r="E28" s="23">
        <v>5328992</v>
      </c>
      <c r="F28" s="24">
        <v>53417.815807999999</v>
      </c>
      <c r="G28" s="25">
        <v>1.6E-2</v>
      </c>
      <c r="H28" s="26"/>
    </row>
    <row r="29" spans="1:8" ht="12.95" customHeight="1">
      <c r="A29" s="21" t="s">
        <v>69</v>
      </c>
      <c r="B29" s="22" t="s">
        <v>97</v>
      </c>
      <c r="C29" s="17" t="s">
        <v>98</v>
      </c>
      <c r="D29" s="17" t="s">
        <v>99</v>
      </c>
      <c r="E29" s="23">
        <v>1467476</v>
      </c>
      <c r="F29" s="24">
        <v>52557.65294</v>
      </c>
      <c r="G29" s="25">
        <v>1.5800000000000002E-2</v>
      </c>
      <c r="H29" s="26"/>
    </row>
    <row r="30" spans="1:8" ht="12.95" customHeight="1">
      <c r="A30" s="21" t="s">
        <v>73</v>
      </c>
      <c r="B30" s="22" t="s">
        <v>41</v>
      </c>
      <c r="C30" s="17" t="s">
        <v>42</v>
      </c>
      <c r="D30" s="17" t="s">
        <v>39</v>
      </c>
      <c r="E30" s="23">
        <v>3164165</v>
      </c>
      <c r="F30" s="24">
        <v>52553.616484999999</v>
      </c>
      <c r="G30" s="25">
        <v>1.5800000000000002E-2</v>
      </c>
      <c r="H30" s="26"/>
    </row>
    <row r="31" spans="1:8" ht="12.95" customHeight="1">
      <c r="A31" s="21" t="s">
        <v>77</v>
      </c>
      <c r="B31" s="22" t="s">
        <v>128</v>
      </c>
      <c r="C31" s="17" t="s">
        <v>129</v>
      </c>
      <c r="D31" s="17" t="s">
        <v>103</v>
      </c>
      <c r="E31" s="23">
        <v>8420080</v>
      </c>
      <c r="F31" s="24">
        <v>52676.020479999999</v>
      </c>
      <c r="G31" s="25">
        <v>1.5800000000000002E-2</v>
      </c>
      <c r="H31" s="26"/>
    </row>
    <row r="32" spans="1:8" ht="12.95" customHeight="1">
      <c r="A32" s="21" t="s">
        <v>80</v>
      </c>
      <c r="B32" s="22" t="s">
        <v>125</v>
      </c>
      <c r="C32" s="17" t="s">
        <v>126</v>
      </c>
      <c r="D32" s="17" t="s">
        <v>72</v>
      </c>
      <c r="E32" s="23">
        <v>4389375</v>
      </c>
      <c r="F32" s="24">
        <v>50495.37</v>
      </c>
      <c r="G32" s="25">
        <v>1.52E-2</v>
      </c>
      <c r="H32" s="20"/>
    </row>
    <row r="33" spans="1:8" ht="12.95" customHeight="1">
      <c r="A33" s="21" t="s">
        <v>83</v>
      </c>
      <c r="B33" s="22" t="s">
        <v>111</v>
      </c>
      <c r="C33" s="17" t="s">
        <v>112</v>
      </c>
      <c r="D33" s="17" t="s">
        <v>113</v>
      </c>
      <c r="E33" s="23">
        <v>3972749</v>
      </c>
      <c r="F33" s="24">
        <v>50271.165846000004</v>
      </c>
      <c r="G33" s="25">
        <v>1.5100000000000001E-2</v>
      </c>
      <c r="H33" s="26"/>
    </row>
    <row r="34" spans="1:8" ht="12.95" customHeight="1">
      <c r="A34" s="21" t="s">
        <v>85</v>
      </c>
      <c r="B34" s="22" t="s">
        <v>44</v>
      </c>
      <c r="C34" s="17" t="s">
        <v>45</v>
      </c>
      <c r="D34" s="17" t="s">
        <v>46</v>
      </c>
      <c r="E34" s="23">
        <v>4223767</v>
      </c>
      <c r="F34" s="24">
        <v>49447.640268999996</v>
      </c>
      <c r="G34" s="25">
        <v>1.49E-2</v>
      </c>
      <c r="H34" s="26"/>
    </row>
    <row r="35" spans="1:8" ht="12.95" customHeight="1">
      <c r="A35" s="21" t="s">
        <v>88</v>
      </c>
      <c r="B35" s="22" t="s">
        <v>89</v>
      </c>
      <c r="C35" s="17" t="s">
        <v>90</v>
      </c>
      <c r="D35" s="17" t="s">
        <v>91</v>
      </c>
      <c r="E35" s="23">
        <v>35790890</v>
      </c>
      <c r="F35" s="24">
        <v>48657.714955000003</v>
      </c>
      <c r="G35" s="25">
        <v>1.46E-2</v>
      </c>
      <c r="H35" s="26"/>
    </row>
    <row r="36" spans="1:8" ht="12.95" customHeight="1">
      <c r="A36" s="21" t="s">
        <v>92</v>
      </c>
      <c r="B36" s="22" t="s">
        <v>115</v>
      </c>
      <c r="C36" s="17" t="s">
        <v>116</v>
      </c>
      <c r="D36" s="17" t="s">
        <v>117</v>
      </c>
      <c r="E36" s="23">
        <v>792954</v>
      </c>
      <c r="F36" s="24">
        <v>47593.495556999995</v>
      </c>
      <c r="G36" s="25">
        <v>1.43E-2</v>
      </c>
      <c r="H36" s="26"/>
    </row>
    <row r="37" spans="1:8" ht="12.95" customHeight="1">
      <c r="A37" s="21" t="s">
        <v>96</v>
      </c>
      <c r="B37" s="22" t="s">
        <v>154</v>
      </c>
      <c r="C37" s="17" t="s">
        <v>155</v>
      </c>
      <c r="D37" s="17" t="s">
        <v>144</v>
      </c>
      <c r="E37" s="23">
        <v>8772595</v>
      </c>
      <c r="F37" s="24">
        <v>47336.922619999998</v>
      </c>
      <c r="G37" s="25">
        <v>1.4200000000000001E-2</v>
      </c>
      <c r="H37" s="26"/>
    </row>
    <row r="38" spans="1:8" ht="12.95" customHeight="1">
      <c r="A38" s="21" t="s">
        <v>100</v>
      </c>
      <c r="B38" s="22" t="s">
        <v>60</v>
      </c>
      <c r="C38" s="17" t="s">
        <v>61</v>
      </c>
      <c r="D38" s="17" t="s">
        <v>50</v>
      </c>
      <c r="E38" s="23">
        <v>3772632</v>
      </c>
      <c r="F38" s="24">
        <v>46601.436780000004</v>
      </c>
      <c r="G38" s="25">
        <v>1.4E-2</v>
      </c>
      <c r="H38" s="26"/>
    </row>
    <row r="39" spans="1:8" ht="12.95" customHeight="1">
      <c r="A39" s="21" t="s">
        <v>104</v>
      </c>
      <c r="B39" s="22" t="s">
        <v>78</v>
      </c>
      <c r="C39" s="17" t="s">
        <v>79</v>
      </c>
      <c r="D39" s="17" t="s">
        <v>58</v>
      </c>
      <c r="E39" s="23">
        <v>3089953</v>
      </c>
      <c r="F39" s="24">
        <v>45992.405428500002</v>
      </c>
      <c r="G39" s="25">
        <v>1.38E-2</v>
      </c>
      <c r="H39" s="26"/>
    </row>
    <row r="40" spans="1:8" ht="12.95" customHeight="1">
      <c r="A40" s="21" t="s">
        <v>107</v>
      </c>
      <c r="B40" s="22" t="s">
        <v>48</v>
      </c>
      <c r="C40" s="17" t="s">
        <v>49</v>
      </c>
      <c r="D40" s="17" t="s">
        <v>50</v>
      </c>
      <c r="E40" s="23">
        <v>980220</v>
      </c>
      <c r="F40" s="24">
        <v>45990.452069999999</v>
      </c>
      <c r="G40" s="25">
        <v>1.38E-2</v>
      </c>
      <c r="H40" s="26"/>
    </row>
    <row r="41" spans="1:8" ht="12.95" customHeight="1">
      <c r="A41" s="21" t="s">
        <v>110</v>
      </c>
      <c r="B41" s="22" t="s">
        <v>119</v>
      </c>
      <c r="C41" s="17" t="s">
        <v>120</v>
      </c>
      <c r="D41" s="17" t="s">
        <v>46</v>
      </c>
      <c r="E41" s="23">
        <v>2577882</v>
      </c>
      <c r="F41" s="24">
        <v>44779.099281000003</v>
      </c>
      <c r="G41" s="25">
        <v>1.34E-2</v>
      </c>
      <c r="H41" s="26"/>
    </row>
    <row r="42" spans="1:8" ht="12.95" customHeight="1">
      <c r="A42" s="21" t="s">
        <v>114</v>
      </c>
      <c r="B42" s="22" t="s">
        <v>293</v>
      </c>
      <c r="C42" s="17" t="s">
        <v>296</v>
      </c>
      <c r="D42" s="17" t="s">
        <v>14</v>
      </c>
      <c r="E42" s="23">
        <v>8534917</v>
      </c>
      <c r="F42" s="24">
        <v>42576.433454499995</v>
      </c>
      <c r="G42" s="25">
        <v>1.2800000000000001E-2</v>
      </c>
      <c r="H42" s="26"/>
    </row>
    <row r="43" spans="1:8" ht="12.95" customHeight="1">
      <c r="A43" s="21" t="s">
        <v>118</v>
      </c>
      <c r="B43" s="22" t="s">
        <v>135</v>
      </c>
      <c r="C43" s="17" t="s">
        <v>136</v>
      </c>
      <c r="D43" s="17" t="s">
        <v>137</v>
      </c>
      <c r="E43" s="23">
        <v>1546268</v>
      </c>
      <c r="F43" s="24">
        <v>40983.833339999997</v>
      </c>
      <c r="G43" s="25">
        <v>1.23E-2</v>
      </c>
      <c r="H43" s="26"/>
    </row>
    <row r="44" spans="1:8" ht="12.95" customHeight="1">
      <c r="A44" s="21" t="s">
        <v>121</v>
      </c>
      <c r="B44" s="22" t="s">
        <v>146</v>
      </c>
      <c r="C44" s="17" t="s">
        <v>147</v>
      </c>
      <c r="D44" s="17" t="s">
        <v>54</v>
      </c>
      <c r="E44" s="23">
        <v>1579523</v>
      </c>
      <c r="F44" s="24">
        <v>40187.803689</v>
      </c>
      <c r="G44" s="25">
        <v>1.21E-2</v>
      </c>
      <c r="H44" s="20"/>
    </row>
    <row r="45" spans="1:8" ht="12.95" customHeight="1">
      <c r="A45" s="21" t="s">
        <v>124</v>
      </c>
      <c r="B45" s="22" t="s">
        <v>211</v>
      </c>
      <c r="C45" s="17" t="s">
        <v>212</v>
      </c>
      <c r="D45" s="17" t="s">
        <v>213</v>
      </c>
      <c r="E45" s="23">
        <v>9252964</v>
      </c>
      <c r="F45" s="24">
        <v>39963.551516</v>
      </c>
      <c r="G45" s="25">
        <v>1.2E-2</v>
      </c>
      <c r="H45" s="26"/>
    </row>
    <row r="46" spans="1:8" ht="12.95" customHeight="1">
      <c r="A46" s="21" t="s">
        <v>127</v>
      </c>
      <c r="B46" s="22" t="s">
        <v>86</v>
      </c>
      <c r="C46" s="17" t="s">
        <v>87</v>
      </c>
      <c r="D46" s="17" t="s">
        <v>65</v>
      </c>
      <c r="E46" s="23">
        <v>4321595</v>
      </c>
      <c r="F46" s="24">
        <v>38475.160284999998</v>
      </c>
      <c r="G46" s="25">
        <v>1.1599999999999999E-2</v>
      </c>
      <c r="H46" s="26"/>
    </row>
    <row r="47" spans="1:8" ht="12.95" customHeight="1">
      <c r="A47" s="21" t="s">
        <v>130</v>
      </c>
      <c r="B47" s="22" t="s">
        <v>131</v>
      </c>
      <c r="C47" s="17" t="s">
        <v>132</v>
      </c>
      <c r="D47" s="17" t="s">
        <v>133</v>
      </c>
      <c r="E47" s="23">
        <v>27785935</v>
      </c>
      <c r="F47" s="24">
        <v>38775.272292499998</v>
      </c>
      <c r="G47" s="25">
        <v>1.1599999999999999E-2</v>
      </c>
      <c r="H47" s="26"/>
    </row>
    <row r="48" spans="1:8" ht="12.95" customHeight="1">
      <c r="A48" s="21" t="s">
        <v>134</v>
      </c>
      <c r="B48" s="22" t="s">
        <v>139</v>
      </c>
      <c r="C48" s="17" t="s">
        <v>140</v>
      </c>
      <c r="D48" s="17" t="s">
        <v>133</v>
      </c>
      <c r="E48" s="23">
        <v>23253306</v>
      </c>
      <c r="F48" s="24">
        <v>37961.022044999998</v>
      </c>
      <c r="G48" s="25">
        <v>1.14E-2</v>
      </c>
      <c r="H48" s="26"/>
    </row>
    <row r="49" spans="1:8" ht="12.95" customHeight="1">
      <c r="A49" s="21" t="s">
        <v>138</v>
      </c>
      <c r="B49" s="22" t="s">
        <v>185</v>
      </c>
      <c r="C49" s="17" t="s">
        <v>186</v>
      </c>
      <c r="D49" s="17" t="s">
        <v>187</v>
      </c>
      <c r="E49" s="23">
        <v>16556892</v>
      </c>
      <c r="F49" s="24">
        <v>36400.327061999997</v>
      </c>
      <c r="G49" s="25">
        <v>1.09E-2</v>
      </c>
      <c r="H49" s="26"/>
    </row>
    <row r="50" spans="1:8" ht="12.95" customHeight="1">
      <c r="A50" s="21" t="s">
        <v>141</v>
      </c>
      <c r="B50" s="22" t="s">
        <v>175</v>
      </c>
      <c r="C50" s="17" t="s">
        <v>176</v>
      </c>
      <c r="D50" s="17" t="s">
        <v>103</v>
      </c>
      <c r="E50" s="23">
        <v>8185512</v>
      </c>
      <c r="F50" s="24">
        <v>36282.281940000001</v>
      </c>
      <c r="G50" s="25">
        <v>1.09E-2</v>
      </c>
      <c r="H50" s="26"/>
    </row>
    <row r="51" spans="1:8" ht="12.95" customHeight="1">
      <c r="A51" s="21" t="s">
        <v>145</v>
      </c>
      <c r="B51" s="22" t="s">
        <v>294</v>
      </c>
      <c r="C51" s="17" t="s">
        <v>297</v>
      </c>
      <c r="D51" s="17" t="s">
        <v>159</v>
      </c>
      <c r="E51" s="23">
        <v>4426289</v>
      </c>
      <c r="F51" s="24">
        <v>33692.911868000003</v>
      </c>
      <c r="G51" s="25">
        <v>1.01E-2</v>
      </c>
      <c r="H51" s="26"/>
    </row>
    <row r="52" spans="1:8" ht="12.95" customHeight="1">
      <c r="A52" s="21" t="s">
        <v>148</v>
      </c>
      <c r="B52" s="22" t="s">
        <v>229</v>
      </c>
      <c r="C52" s="17" t="s">
        <v>230</v>
      </c>
      <c r="D52" s="17" t="s">
        <v>137</v>
      </c>
      <c r="E52" s="23">
        <v>50587644</v>
      </c>
      <c r="F52" s="24">
        <v>32907.262422</v>
      </c>
      <c r="G52" s="25">
        <v>9.9000000000000008E-3</v>
      </c>
      <c r="H52" s="26"/>
    </row>
    <row r="53" spans="1:8" ht="12.95" customHeight="1">
      <c r="A53" s="21" t="s">
        <v>151</v>
      </c>
      <c r="B53" s="22" t="s">
        <v>161</v>
      </c>
      <c r="C53" s="17" t="s">
        <v>162</v>
      </c>
      <c r="D53" s="17" t="s">
        <v>163</v>
      </c>
      <c r="E53" s="23">
        <v>838039</v>
      </c>
      <c r="F53" s="24">
        <v>32177.345444000002</v>
      </c>
      <c r="G53" s="25">
        <v>9.7000000000000003E-3</v>
      </c>
      <c r="H53" s="26"/>
    </row>
    <row r="54" spans="1:8" ht="12.95" customHeight="1">
      <c r="A54" s="21" t="s">
        <v>153</v>
      </c>
      <c r="B54" s="22" t="s">
        <v>105</v>
      </c>
      <c r="C54" s="17" t="s">
        <v>106</v>
      </c>
      <c r="D54" s="17" t="s">
        <v>39</v>
      </c>
      <c r="E54" s="23">
        <v>519296</v>
      </c>
      <c r="F54" s="24">
        <v>32456.519295999999</v>
      </c>
      <c r="G54" s="25">
        <v>9.7000000000000003E-3</v>
      </c>
      <c r="H54" s="26"/>
    </row>
    <row r="55" spans="1:8" ht="12.95" customHeight="1">
      <c r="A55" s="21" t="s">
        <v>156</v>
      </c>
      <c r="B55" s="22" t="s">
        <v>149</v>
      </c>
      <c r="C55" s="17" t="s">
        <v>150</v>
      </c>
      <c r="D55" s="17" t="s">
        <v>103</v>
      </c>
      <c r="E55" s="23">
        <v>1308957</v>
      </c>
      <c r="F55" s="24">
        <v>32289.351275999998</v>
      </c>
      <c r="G55" s="25">
        <v>9.7000000000000003E-3</v>
      </c>
      <c r="H55" s="26"/>
    </row>
    <row r="56" spans="1:8" ht="12.95" customHeight="1">
      <c r="A56" s="21" t="s">
        <v>160</v>
      </c>
      <c r="B56" s="22" t="s">
        <v>226</v>
      </c>
      <c r="C56" s="17" t="s">
        <v>227</v>
      </c>
      <c r="D56" s="17" t="s">
        <v>54</v>
      </c>
      <c r="E56" s="23">
        <v>1475951</v>
      </c>
      <c r="F56" s="24">
        <v>32101.934249999998</v>
      </c>
      <c r="G56" s="25">
        <v>9.5999999999999992E-3</v>
      </c>
      <c r="H56" s="26"/>
    </row>
    <row r="57" spans="1:8" ht="12.95" customHeight="1">
      <c r="A57" s="21" t="s">
        <v>164</v>
      </c>
      <c r="B57" s="22" t="s">
        <v>101</v>
      </c>
      <c r="C57" s="17" t="s">
        <v>102</v>
      </c>
      <c r="D57" s="17" t="s">
        <v>103</v>
      </c>
      <c r="E57" s="23">
        <v>4490242</v>
      </c>
      <c r="F57" s="24">
        <v>32120.946146999999</v>
      </c>
      <c r="G57" s="25">
        <v>9.5999999999999992E-3</v>
      </c>
      <c r="H57" s="26"/>
    </row>
    <row r="58" spans="1:8" ht="12.95" customHeight="1">
      <c r="A58" s="21" t="s">
        <v>167</v>
      </c>
      <c r="B58" s="22" t="s">
        <v>63</v>
      </c>
      <c r="C58" s="17" t="s">
        <v>64</v>
      </c>
      <c r="D58" s="17" t="s">
        <v>65</v>
      </c>
      <c r="E58" s="23">
        <v>2283709</v>
      </c>
      <c r="F58" s="24">
        <v>31998.188653499998</v>
      </c>
      <c r="G58" s="25">
        <v>9.5999999999999992E-3</v>
      </c>
      <c r="H58" s="26"/>
    </row>
    <row r="59" spans="1:8" ht="12.95" customHeight="1">
      <c r="A59" s="21" t="s">
        <v>170</v>
      </c>
      <c r="B59" s="22" t="s">
        <v>165</v>
      </c>
      <c r="C59" s="17" t="s">
        <v>166</v>
      </c>
      <c r="D59" s="17" t="s">
        <v>163</v>
      </c>
      <c r="E59" s="23">
        <v>1910915</v>
      </c>
      <c r="F59" s="24">
        <v>31559.716682499999</v>
      </c>
      <c r="G59" s="25">
        <v>9.4999999999999998E-3</v>
      </c>
      <c r="H59" s="26"/>
    </row>
    <row r="60" spans="1:8" ht="12.95" customHeight="1">
      <c r="A60" s="21" t="s">
        <v>174</v>
      </c>
      <c r="B60" s="22" t="s">
        <v>306</v>
      </c>
      <c r="C60" s="17" t="s">
        <v>152</v>
      </c>
      <c r="D60" s="17" t="s">
        <v>50</v>
      </c>
      <c r="E60" s="23">
        <v>4474359</v>
      </c>
      <c r="F60" s="24">
        <v>31794.795054000002</v>
      </c>
      <c r="G60" s="25">
        <v>9.4999999999999998E-3</v>
      </c>
      <c r="H60" s="26"/>
    </row>
    <row r="61" spans="1:8" ht="12.95" customHeight="1">
      <c r="A61" s="21" t="s">
        <v>177</v>
      </c>
      <c r="B61" s="22" t="s">
        <v>201</v>
      </c>
      <c r="C61" s="17" t="s">
        <v>202</v>
      </c>
      <c r="D61" s="17" t="s">
        <v>203</v>
      </c>
      <c r="E61" s="23">
        <v>78347</v>
      </c>
      <c r="F61" s="24">
        <v>29234.477927</v>
      </c>
      <c r="G61" s="25">
        <v>8.8000000000000005E-3</v>
      </c>
      <c r="H61" s="26"/>
    </row>
    <row r="62" spans="1:8" ht="12.95" customHeight="1">
      <c r="A62" s="21" t="s">
        <v>180</v>
      </c>
      <c r="B62" s="22" t="s">
        <v>181</v>
      </c>
      <c r="C62" s="17" t="s">
        <v>182</v>
      </c>
      <c r="D62" s="17" t="s">
        <v>183</v>
      </c>
      <c r="E62" s="23">
        <v>6509908</v>
      </c>
      <c r="F62" s="24">
        <v>28744.498774</v>
      </c>
      <c r="G62" s="25">
        <v>8.6E-3</v>
      </c>
      <c r="H62" s="26"/>
    </row>
    <row r="63" spans="1:8" ht="12.95" customHeight="1">
      <c r="A63" s="21" t="s">
        <v>184</v>
      </c>
      <c r="B63" s="22" t="s">
        <v>292</v>
      </c>
      <c r="C63" s="17" t="s">
        <v>295</v>
      </c>
      <c r="D63" s="17" t="s">
        <v>95</v>
      </c>
      <c r="E63" s="23">
        <v>3188580</v>
      </c>
      <c r="F63" s="24">
        <v>28298.647499999999</v>
      </c>
      <c r="G63" s="25">
        <v>8.5000000000000006E-3</v>
      </c>
      <c r="H63" s="26"/>
    </row>
    <row r="64" spans="1:8" ht="12.95" customHeight="1">
      <c r="A64" s="21" t="s">
        <v>188</v>
      </c>
      <c r="B64" s="22" t="s">
        <v>178</v>
      </c>
      <c r="C64" s="17" t="s">
        <v>179</v>
      </c>
      <c r="D64" s="17" t="s">
        <v>76</v>
      </c>
      <c r="E64" s="23">
        <v>6536925</v>
      </c>
      <c r="F64" s="24">
        <v>28134.925200000001</v>
      </c>
      <c r="G64" s="25">
        <v>8.5000000000000006E-3</v>
      </c>
      <c r="H64" s="26"/>
    </row>
    <row r="65" spans="1:8" ht="12.95" customHeight="1">
      <c r="A65" s="21" t="s">
        <v>191</v>
      </c>
      <c r="B65" s="22" t="s">
        <v>195</v>
      </c>
      <c r="C65" s="17" t="s">
        <v>196</v>
      </c>
      <c r="D65" s="17" t="s">
        <v>173</v>
      </c>
      <c r="E65" s="23">
        <v>1216956</v>
      </c>
      <c r="F65" s="24">
        <v>28295.443955999999</v>
      </c>
      <c r="G65" s="25">
        <v>8.5000000000000006E-3</v>
      </c>
      <c r="H65" s="26"/>
    </row>
    <row r="66" spans="1:8" ht="12.95" customHeight="1">
      <c r="A66" s="21" t="s">
        <v>194</v>
      </c>
      <c r="B66" s="22" t="s">
        <v>205</v>
      </c>
      <c r="C66" s="17" t="s">
        <v>206</v>
      </c>
      <c r="D66" s="17" t="s">
        <v>95</v>
      </c>
      <c r="E66" s="23">
        <v>25032920</v>
      </c>
      <c r="F66" s="24">
        <v>28099.452700000002</v>
      </c>
      <c r="G66" s="25">
        <v>8.3999999999999995E-3</v>
      </c>
      <c r="H66" s="26"/>
    </row>
    <row r="67" spans="1:8" ht="12.95" customHeight="1">
      <c r="A67" s="21" t="s">
        <v>197</v>
      </c>
      <c r="B67" s="22" t="s">
        <v>198</v>
      </c>
      <c r="C67" s="17" t="s">
        <v>199</v>
      </c>
      <c r="D67" s="17" t="s">
        <v>95</v>
      </c>
      <c r="E67" s="23">
        <v>948562</v>
      </c>
      <c r="F67" s="24">
        <v>28090.240786999999</v>
      </c>
      <c r="G67" s="25">
        <v>8.3999999999999995E-3</v>
      </c>
      <c r="H67" s="26"/>
    </row>
    <row r="68" spans="1:8" ht="12.95" customHeight="1">
      <c r="A68" s="21" t="s">
        <v>200</v>
      </c>
      <c r="B68" s="22" t="s">
        <v>122</v>
      </c>
      <c r="C68" s="17" t="s">
        <v>123</v>
      </c>
      <c r="D68" s="17" t="s">
        <v>39</v>
      </c>
      <c r="E68" s="23">
        <v>487758</v>
      </c>
      <c r="F68" s="24">
        <v>26575.738509000003</v>
      </c>
      <c r="G68" s="25">
        <v>8.0000000000000002E-3</v>
      </c>
      <c r="H68" s="26"/>
    </row>
    <row r="69" spans="1:8" ht="12.95" customHeight="1">
      <c r="A69" s="21" t="s">
        <v>204</v>
      </c>
      <c r="B69" s="22" t="s">
        <v>289</v>
      </c>
      <c r="C69" s="17" t="s">
        <v>290</v>
      </c>
      <c r="D69" s="17" t="s">
        <v>291</v>
      </c>
      <c r="E69" s="23">
        <v>6473926</v>
      </c>
      <c r="F69" s="24">
        <v>26293.850449000001</v>
      </c>
      <c r="G69" s="25">
        <v>7.9000000000000008E-3</v>
      </c>
      <c r="H69" s="26"/>
    </row>
    <row r="70" spans="1:8" ht="12.95" customHeight="1">
      <c r="A70" s="21" t="s">
        <v>207</v>
      </c>
      <c r="B70" s="22" t="s">
        <v>171</v>
      </c>
      <c r="C70" s="17" t="s">
        <v>172</v>
      </c>
      <c r="D70" s="17" t="s">
        <v>173</v>
      </c>
      <c r="E70" s="23">
        <v>1434490</v>
      </c>
      <c r="F70" s="24">
        <v>24865.449659999998</v>
      </c>
      <c r="G70" s="25">
        <v>7.4999999999999997E-3</v>
      </c>
      <c r="H70" s="26"/>
    </row>
    <row r="71" spans="1:8" ht="12.95" customHeight="1">
      <c r="A71" s="21" t="s">
        <v>210</v>
      </c>
      <c r="B71" s="22" t="s">
        <v>215</v>
      </c>
      <c r="C71" s="17" t="s">
        <v>216</v>
      </c>
      <c r="D71" s="17" t="s">
        <v>163</v>
      </c>
      <c r="E71" s="23">
        <v>2684790</v>
      </c>
      <c r="F71" s="24">
        <v>23738.91318</v>
      </c>
      <c r="G71" s="25">
        <v>7.1000000000000004E-3</v>
      </c>
      <c r="H71" s="26"/>
    </row>
    <row r="72" spans="1:8" ht="12.95" customHeight="1">
      <c r="A72" s="21" t="s">
        <v>214</v>
      </c>
      <c r="B72" s="22" t="s">
        <v>192</v>
      </c>
      <c r="C72" s="17" t="s">
        <v>193</v>
      </c>
      <c r="D72" s="17" t="s">
        <v>173</v>
      </c>
      <c r="E72" s="23">
        <v>361934</v>
      </c>
      <c r="F72" s="24">
        <v>23276.880375000001</v>
      </c>
      <c r="G72" s="25">
        <v>7.0000000000000001E-3</v>
      </c>
      <c r="H72" s="20"/>
    </row>
    <row r="73" spans="1:8" ht="12.95" customHeight="1">
      <c r="A73" s="21" t="s">
        <v>217</v>
      </c>
      <c r="B73" s="22" t="s">
        <v>208</v>
      </c>
      <c r="C73" s="17" t="s">
        <v>209</v>
      </c>
      <c r="D73" s="17" t="s">
        <v>72</v>
      </c>
      <c r="E73" s="23">
        <v>2614448</v>
      </c>
      <c r="F73" s="24">
        <v>22635.890783999999</v>
      </c>
      <c r="G73" s="25">
        <v>6.7999999999999996E-3</v>
      </c>
      <c r="H73" s="26"/>
    </row>
    <row r="74" spans="1:8" ht="12.95" customHeight="1">
      <c r="A74" s="21" t="s">
        <v>221</v>
      </c>
      <c r="B74" s="22" t="s">
        <v>305</v>
      </c>
      <c r="C74" s="17" t="s">
        <v>309</v>
      </c>
      <c r="D74" s="17" t="s">
        <v>35</v>
      </c>
      <c r="E74" s="23">
        <v>23792857</v>
      </c>
      <c r="F74" s="24">
        <v>21639.603441499999</v>
      </c>
      <c r="G74" s="25">
        <v>6.4999999999999997E-3</v>
      </c>
      <c r="H74" s="26"/>
    </row>
    <row r="75" spans="1:8" ht="12.95" customHeight="1">
      <c r="A75" s="21" t="s">
        <v>225</v>
      </c>
      <c r="B75" s="22" t="s">
        <v>222</v>
      </c>
      <c r="C75" s="17" t="s">
        <v>223</v>
      </c>
      <c r="D75" s="17" t="s">
        <v>224</v>
      </c>
      <c r="E75" s="23">
        <v>1709178</v>
      </c>
      <c r="F75" s="24">
        <v>18625.767254999999</v>
      </c>
      <c r="G75" s="25">
        <v>5.5999999999999999E-3</v>
      </c>
      <c r="H75" s="26"/>
    </row>
    <row r="76" spans="1:8" ht="12.95" customHeight="1">
      <c r="A76" s="21" t="s">
        <v>228</v>
      </c>
      <c r="B76" s="22" t="s">
        <v>247</v>
      </c>
      <c r="C76" s="17" t="s">
        <v>248</v>
      </c>
      <c r="D76" s="17" t="s">
        <v>117</v>
      </c>
      <c r="E76" s="23">
        <v>3479839</v>
      </c>
      <c r="F76" s="24">
        <v>18711.094302999998</v>
      </c>
      <c r="G76" s="25">
        <v>5.5999999999999999E-3</v>
      </c>
      <c r="H76" s="26"/>
    </row>
    <row r="77" spans="1:8" ht="12.95" customHeight="1">
      <c r="A77" s="21" t="s">
        <v>231</v>
      </c>
      <c r="B77" s="22" t="s">
        <v>232</v>
      </c>
      <c r="C77" s="17" t="s">
        <v>233</v>
      </c>
      <c r="D77" s="17" t="s">
        <v>173</v>
      </c>
      <c r="E77" s="23">
        <v>3656355</v>
      </c>
      <c r="F77" s="24">
        <v>18036.799214999999</v>
      </c>
      <c r="G77" s="25">
        <v>5.4000000000000003E-3</v>
      </c>
      <c r="H77" s="26"/>
    </row>
    <row r="78" spans="1:8" ht="12.95" customHeight="1">
      <c r="A78" s="21" t="s">
        <v>234</v>
      </c>
      <c r="B78" s="22" t="s">
        <v>142</v>
      </c>
      <c r="C78" s="17" t="s">
        <v>143</v>
      </c>
      <c r="D78" s="17" t="s">
        <v>144</v>
      </c>
      <c r="E78" s="23">
        <v>3603427</v>
      </c>
      <c r="F78" s="24">
        <v>18011.729859499999</v>
      </c>
      <c r="G78" s="25">
        <v>5.4000000000000003E-3</v>
      </c>
      <c r="H78" s="26"/>
    </row>
    <row r="79" spans="1:8" ht="12.95" customHeight="1">
      <c r="A79" s="21" t="s">
        <v>237</v>
      </c>
      <c r="B79" s="22" t="s">
        <v>235</v>
      </c>
      <c r="C79" s="17" t="s">
        <v>236</v>
      </c>
      <c r="D79" s="17" t="s">
        <v>58</v>
      </c>
      <c r="E79" s="23">
        <v>1258315</v>
      </c>
      <c r="F79" s="24">
        <v>17415.079600000001</v>
      </c>
      <c r="G79" s="25">
        <v>5.1999999999999998E-3</v>
      </c>
      <c r="H79" s="26"/>
    </row>
    <row r="80" spans="1:8" ht="12.95" customHeight="1">
      <c r="A80" s="21" t="s">
        <v>238</v>
      </c>
      <c r="B80" s="22" t="s">
        <v>240</v>
      </c>
      <c r="C80" s="17" t="s">
        <v>241</v>
      </c>
      <c r="D80" s="17" t="s">
        <v>242</v>
      </c>
      <c r="E80" s="23">
        <v>1086002</v>
      </c>
      <c r="F80" s="24">
        <v>15753.002010999999</v>
      </c>
      <c r="G80" s="25">
        <v>4.7000000000000002E-3</v>
      </c>
      <c r="H80" s="26"/>
    </row>
    <row r="81" spans="1:8" ht="12.95" customHeight="1">
      <c r="A81" s="21" t="s">
        <v>239</v>
      </c>
      <c r="B81" s="22" t="s">
        <v>189</v>
      </c>
      <c r="C81" s="17" t="s">
        <v>190</v>
      </c>
      <c r="D81" s="17" t="s">
        <v>72</v>
      </c>
      <c r="E81" s="23">
        <v>1031870</v>
      </c>
      <c r="F81" s="24">
        <v>14636.560014999999</v>
      </c>
      <c r="G81" s="25">
        <v>4.4000000000000003E-3</v>
      </c>
      <c r="H81" s="26"/>
    </row>
    <row r="82" spans="1:8" ht="12.95" customHeight="1">
      <c r="A82" s="21" t="s">
        <v>243</v>
      </c>
      <c r="B82" s="22" t="s">
        <v>302</v>
      </c>
      <c r="C82" s="17" t="s">
        <v>307</v>
      </c>
      <c r="D82" s="17" t="s">
        <v>46</v>
      </c>
      <c r="E82" s="23">
        <v>4457381</v>
      </c>
      <c r="F82" s="24">
        <v>9893.1571295000012</v>
      </c>
      <c r="G82" s="25">
        <v>3.0000000000000001E-3</v>
      </c>
      <c r="H82" s="26"/>
    </row>
    <row r="83" spans="1:8" ht="12.95" customHeight="1">
      <c r="A83" s="21" t="s">
        <v>246</v>
      </c>
      <c r="B83" s="22" t="s">
        <v>168</v>
      </c>
      <c r="C83" s="17" t="s">
        <v>169</v>
      </c>
      <c r="D83" s="17" t="s">
        <v>99</v>
      </c>
      <c r="E83" s="23">
        <v>6240528</v>
      </c>
      <c r="F83" s="24">
        <v>9211.0193280000003</v>
      </c>
      <c r="G83" s="25">
        <v>2.8E-3</v>
      </c>
      <c r="H83" s="26"/>
    </row>
    <row r="84" spans="1:8" ht="12.95" customHeight="1">
      <c r="A84" s="21" t="s">
        <v>249</v>
      </c>
      <c r="B84" s="22" t="s">
        <v>250</v>
      </c>
      <c r="C84" s="17" t="s">
        <v>251</v>
      </c>
      <c r="D84" s="17" t="s">
        <v>133</v>
      </c>
      <c r="E84" s="23">
        <v>201070</v>
      </c>
      <c r="F84" s="24">
        <v>7625.98189</v>
      </c>
      <c r="G84" s="25">
        <v>2.3E-3</v>
      </c>
      <c r="H84" s="26"/>
    </row>
    <row r="85" spans="1:8" ht="12.95" customHeight="1">
      <c r="A85" s="21" t="s">
        <v>252</v>
      </c>
      <c r="B85" s="22" t="s">
        <v>253</v>
      </c>
      <c r="C85" s="17" t="s">
        <v>254</v>
      </c>
      <c r="D85" s="17" t="s">
        <v>137</v>
      </c>
      <c r="E85" s="23">
        <v>1094361</v>
      </c>
      <c r="F85" s="24">
        <v>6765.3397020000002</v>
      </c>
      <c r="G85" s="25">
        <v>2E-3</v>
      </c>
      <c r="H85" s="26"/>
    </row>
    <row r="86" spans="1:8" ht="12.95" customHeight="1">
      <c r="A86" s="21" t="s">
        <v>255</v>
      </c>
      <c r="B86" s="22" t="s">
        <v>244</v>
      </c>
      <c r="C86" s="17" t="s">
        <v>245</v>
      </c>
      <c r="D86" s="17" t="s">
        <v>183</v>
      </c>
      <c r="E86" s="23">
        <v>246082</v>
      </c>
      <c r="F86" s="24">
        <v>6106.6478710000001</v>
      </c>
      <c r="G86" s="25">
        <v>1.8E-3</v>
      </c>
      <c r="H86" s="26"/>
    </row>
    <row r="87" spans="1:8" ht="12.95" customHeight="1">
      <c r="A87" s="21" t="s">
        <v>258</v>
      </c>
      <c r="B87" s="22" t="s">
        <v>218</v>
      </c>
      <c r="C87" s="17" t="s">
        <v>219</v>
      </c>
      <c r="D87" s="17" t="s">
        <v>220</v>
      </c>
      <c r="E87" s="23">
        <v>2221401</v>
      </c>
      <c r="F87" s="24">
        <v>3306.5553885000004</v>
      </c>
      <c r="G87" s="25">
        <v>1E-3</v>
      </c>
      <c r="H87" s="26"/>
    </row>
    <row r="88" spans="1:8" ht="12.95" customHeight="1">
      <c r="A88" s="21" t="s">
        <v>261</v>
      </c>
      <c r="B88" s="22" t="s">
        <v>259</v>
      </c>
      <c r="C88" s="17" t="s">
        <v>260</v>
      </c>
      <c r="D88" s="17" t="s">
        <v>39</v>
      </c>
      <c r="E88" s="23">
        <v>40464</v>
      </c>
      <c r="F88" s="24">
        <v>1544.0860080000002</v>
      </c>
      <c r="G88" s="25">
        <v>5.0000000000000001E-4</v>
      </c>
      <c r="H88" s="26"/>
    </row>
    <row r="89" spans="1:8" ht="12.95" customHeight="1">
      <c r="A89" s="21" t="s">
        <v>265</v>
      </c>
      <c r="B89" s="22" t="s">
        <v>256</v>
      </c>
      <c r="C89" s="17" t="s">
        <v>257</v>
      </c>
      <c r="D89" s="17" t="s">
        <v>58</v>
      </c>
      <c r="E89" s="23">
        <v>43949</v>
      </c>
      <c r="F89" s="24">
        <v>1625.0362494999999</v>
      </c>
      <c r="G89" s="25">
        <v>5.0000000000000001E-4</v>
      </c>
      <c r="H89" s="26"/>
    </row>
    <row r="90" spans="1:8" ht="12.95" customHeight="1">
      <c r="A90" s="21" t="s">
        <v>268</v>
      </c>
      <c r="B90" s="22" t="s">
        <v>266</v>
      </c>
      <c r="C90" s="17" t="s">
        <v>267</v>
      </c>
      <c r="D90" s="17" t="s">
        <v>163</v>
      </c>
      <c r="E90" s="23">
        <v>13272</v>
      </c>
      <c r="F90" s="24">
        <v>1352.0053680000001</v>
      </c>
      <c r="G90" s="25">
        <v>4.0000000000000002E-4</v>
      </c>
      <c r="H90" s="26"/>
    </row>
    <row r="91" spans="1:8" ht="12.95" customHeight="1">
      <c r="A91" s="21" t="s">
        <v>269</v>
      </c>
      <c r="B91" s="22" t="s">
        <v>262</v>
      </c>
      <c r="C91" s="17" t="s">
        <v>263</v>
      </c>
      <c r="D91" s="17" t="s">
        <v>264</v>
      </c>
      <c r="E91" s="23">
        <v>528501</v>
      </c>
      <c r="F91" s="24">
        <v>982.48335900000006</v>
      </c>
      <c r="G91" s="25">
        <v>2.9999999999999997E-4</v>
      </c>
      <c r="H91" s="26"/>
    </row>
    <row r="92" spans="1:8" ht="12.95" customHeight="1">
      <c r="A92" s="21" t="s">
        <v>270</v>
      </c>
      <c r="B92" s="22" t="s">
        <v>304</v>
      </c>
      <c r="C92" s="17" t="s">
        <v>308</v>
      </c>
      <c r="D92" s="17" t="s">
        <v>54</v>
      </c>
      <c r="E92" s="23">
        <v>47462</v>
      </c>
      <c r="F92" s="24">
        <v>172.28706</v>
      </c>
      <c r="G92" s="25">
        <v>1E-4</v>
      </c>
      <c r="H92" s="26"/>
    </row>
    <row r="93" spans="1:8" ht="12.95" customHeight="1">
      <c r="A93" s="2"/>
      <c r="B93" s="22" t="s">
        <v>271</v>
      </c>
      <c r="C93" s="17" t="s">
        <v>272</v>
      </c>
      <c r="D93" s="17" t="s">
        <v>103</v>
      </c>
      <c r="E93" s="23">
        <v>118497</v>
      </c>
      <c r="F93" s="24">
        <v>294.16880250000003</v>
      </c>
      <c r="G93" s="25">
        <v>1E-4</v>
      </c>
      <c r="H93" s="26"/>
    </row>
    <row r="94" spans="1:8" ht="12.95" customHeight="1">
      <c r="A94" s="2"/>
      <c r="B94" s="16" t="s">
        <v>273</v>
      </c>
      <c r="C94" s="17"/>
      <c r="D94" s="17"/>
      <c r="E94" s="17"/>
      <c r="F94" s="27">
        <f>SUM(F11:F93)</f>
        <v>3288971.3862089994</v>
      </c>
      <c r="G94" s="28">
        <f>SUM(G11:G93)</f>
        <v>0.9876999999999998</v>
      </c>
      <c r="H94" s="29"/>
    </row>
    <row r="95" spans="1:8" ht="12.95" customHeight="1">
      <c r="A95" s="2"/>
      <c r="B95" s="30" t="s">
        <v>274</v>
      </c>
      <c r="C95" s="31"/>
      <c r="D95" s="31"/>
      <c r="E95" s="31"/>
      <c r="F95" s="32" t="s">
        <v>275</v>
      </c>
      <c r="G95" s="28" t="s">
        <v>275</v>
      </c>
      <c r="H95" s="29"/>
    </row>
    <row r="96" spans="1:8" ht="12.95" customHeight="1">
      <c r="A96" s="2"/>
      <c r="B96" s="30" t="s">
        <v>273</v>
      </c>
      <c r="C96" s="31"/>
      <c r="D96" s="31"/>
      <c r="E96" s="31"/>
      <c r="F96" s="32" t="s">
        <v>275</v>
      </c>
      <c r="G96" s="28" t="s">
        <v>275</v>
      </c>
      <c r="H96" s="29"/>
    </row>
    <row r="97" spans="1:8" ht="12.95" customHeight="1">
      <c r="A97" s="2"/>
      <c r="B97" s="30" t="s">
        <v>276</v>
      </c>
      <c r="C97" s="33"/>
      <c r="D97" s="31"/>
      <c r="E97" s="33"/>
      <c r="F97" s="27">
        <f t="shared" ref="F97:G97" si="0">F94</f>
        <v>3288971.3862089994</v>
      </c>
      <c r="G97" s="28">
        <f t="shared" si="0"/>
        <v>0.9876999999999998</v>
      </c>
      <c r="H97" s="29"/>
    </row>
    <row r="98" spans="1:8" ht="12.95" customHeight="1">
      <c r="A98" s="2"/>
      <c r="B98" s="16" t="s">
        <v>277</v>
      </c>
      <c r="C98" s="17"/>
      <c r="D98" s="17"/>
      <c r="E98" s="17"/>
      <c r="F98" s="18"/>
      <c r="G98" s="19"/>
      <c r="H98" s="20"/>
    </row>
    <row r="99" spans="1:8" ht="12.95" customHeight="1">
      <c r="A99" s="21" t="s">
        <v>279</v>
      </c>
      <c r="B99" s="16" t="s">
        <v>278</v>
      </c>
      <c r="C99" s="17"/>
      <c r="D99" s="17"/>
      <c r="E99" s="17"/>
      <c r="F99" s="18"/>
      <c r="G99" s="19"/>
      <c r="H99" s="20"/>
    </row>
    <row r="100" spans="1:8" ht="12.95" customHeight="1">
      <c r="A100" s="2"/>
      <c r="B100" s="22" t="s">
        <v>310</v>
      </c>
      <c r="C100" s="17" t="s">
        <v>280</v>
      </c>
      <c r="D100" s="17"/>
      <c r="E100" s="23">
        <v>140.72999999999999</v>
      </c>
      <c r="F100" s="24">
        <v>3.5447378000000005</v>
      </c>
      <c r="G100" s="25">
        <v>0</v>
      </c>
      <c r="H100" s="26"/>
    </row>
    <row r="101" spans="1:8" ht="12.95" customHeight="1">
      <c r="A101" s="2"/>
      <c r="B101" s="16" t="s">
        <v>273</v>
      </c>
      <c r="C101" s="17"/>
      <c r="D101" s="17"/>
      <c r="E101" s="17"/>
      <c r="F101" s="27">
        <f t="shared" ref="F101:G101" si="1">F100</f>
        <v>3.5447378000000005</v>
      </c>
      <c r="G101" s="28">
        <f t="shared" si="1"/>
        <v>0</v>
      </c>
      <c r="H101" s="29"/>
    </row>
    <row r="102" spans="1:8" ht="12.95" customHeight="1">
      <c r="A102" s="2"/>
      <c r="B102" s="30" t="s">
        <v>276</v>
      </c>
      <c r="C102" s="33"/>
      <c r="D102" s="31"/>
      <c r="E102" s="33"/>
      <c r="F102" s="27">
        <f t="shared" ref="F102:G102" si="2">F100</f>
        <v>3.5447378000000005</v>
      </c>
      <c r="G102" s="28">
        <f t="shared" si="2"/>
        <v>0</v>
      </c>
      <c r="H102" s="29"/>
    </row>
    <row r="103" spans="1:8" ht="12.95" customHeight="1">
      <c r="A103" s="21" t="s">
        <v>282</v>
      </c>
      <c r="B103" s="16" t="s">
        <v>281</v>
      </c>
      <c r="C103" s="17"/>
      <c r="D103" s="17"/>
      <c r="E103" s="17"/>
      <c r="F103" s="18"/>
      <c r="G103" s="19"/>
      <c r="H103" s="20"/>
    </row>
    <row r="104" spans="1:8" ht="12.95" customHeight="1">
      <c r="A104" s="2"/>
      <c r="B104" s="22" t="s">
        <v>283</v>
      </c>
      <c r="C104" s="17"/>
      <c r="D104" s="17" t="s">
        <v>284</v>
      </c>
      <c r="E104" s="23"/>
      <c r="F104" s="24">
        <v>27452.400580000001</v>
      </c>
      <c r="G104" s="25">
        <v>8.2000000000000007E-3</v>
      </c>
      <c r="H104" s="26"/>
    </row>
    <row r="105" spans="1:8" ht="12.95" customHeight="1">
      <c r="A105" s="2"/>
      <c r="B105" s="16" t="s">
        <v>273</v>
      </c>
      <c r="C105" s="17"/>
      <c r="D105" s="17"/>
      <c r="E105" s="17"/>
      <c r="F105" s="27">
        <f t="shared" ref="F105:G105" si="3">F104</f>
        <v>27452.400580000001</v>
      </c>
      <c r="G105" s="28">
        <f t="shared" si="3"/>
        <v>8.2000000000000007E-3</v>
      </c>
      <c r="H105" s="29"/>
    </row>
    <row r="106" spans="1:8" ht="12.95" customHeight="1">
      <c r="A106" s="2"/>
      <c r="B106" s="30" t="s">
        <v>276</v>
      </c>
      <c r="C106" s="33"/>
      <c r="D106" s="31"/>
      <c r="E106" s="33"/>
      <c r="F106" s="27">
        <f t="shared" ref="F106:G106" si="4">F104</f>
        <v>27452.400580000001</v>
      </c>
      <c r="G106" s="28">
        <f t="shared" si="4"/>
        <v>8.2000000000000007E-3</v>
      </c>
      <c r="H106" s="29"/>
    </row>
    <row r="107" spans="1:8" ht="12.95" customHeight="1">
      <c r="A107" s="2"/>
      <c r="B107" s="30" t="s">
        <v>285</v>
      </c>
      <c r="C107" s="17"/>
      <c r="D107" s="31"/>
      <c r="E107" s="17"/>
      <c r="F107" s="27">
        <v>13095.3534079119</v>
      </c>
      <c r="G107" s="28">
        <v>4.1000000000000003E-3</v>
      </c>
      <c r="H107" s="29"/>
    </row>
    <row r="108" spans="1:8" ht="12.95" customHeight="1" thickBot="1">
      <c r="A108" s="2"/>
      <c r="B108" s="34" t="s">
        <v>286</v>
      </c>
      <c r="C108" s="35"/>
      <c r="D108" s="35"/>
      <c r="E108" s="35"/>
      <c r="F108" s="36">
        <f>F97+F102+F106+F107</f>
        <v>3329522.6849347115</v>
      </c>
      <c r="G108" s="42">
        <f>G97+G102+G106+G107</f>
        <v>0.99999999999999978</v>
      </c>
      <c r="H108" s="37"/>
    </row>
    <row r="109" spans="1:8" ht="12.95" customHeight="1">
      <c r="A109" s="2"/>
      <c r="B109" s="4" t="s">
        <v>284</v>
      </c>
      <c r="C109" s="2"/>
      <c r="D109" s="2"/>
      <c r="E109" s="2"/>
      <c r="F109" s="5"/>
      <c r="G109" s="6"/>
      <c r="H109" s="2"/>
    </row>
    <row r="110" spans="1:8" ht="12.95" customHeight="1">
      <c r="A110" s="2"/>
      <c r="B110" s="4" t="s">
        <v>287</v>
      </c>
      <c r="C110" s="2"/>
      <c r="D110" s="2"/>
      <c r="E110" s="2"/>
      <c r="F110" s="5"/>
      <c r="G110" s="6"/>
      <c r="H110" s="2"/>
    </row>
    <row r="111" spans="1:8" ht="12.95" customHeight="1" thickBot="1">
      <c r="A111" s="2"/>
      <c r="B111" s="4"/>
      <c r="C111" s="2"/>
      <c r="D111" s="2"/>
      <c r="E111" s="2"/>
      <c r="F111" s="5"/>
      <c r="G111" s="6"/>
      <c r="H111" s="2"/>
    </row>
    <row r="112" spans="1:8" ht="12.95" customHeight="1" thickBot="1">
      <c r="A112" s="2"/>
      <c r="B112" s="38" t="s">
        <v>288</v>
      </c>
      <c r="C112" s="39" t="s">
        <v>301</v>
      </c>
      <c r="D112" s="2"/>
      <c r="E112" s="43"/>
      <c r="F112" s="43"/>
      <c r="G112" s="6"/>
      <c r="H112" s="2"/>
    </row>
    <row r="113" spans="5:5">
      <c r="E113" s="44"/>
    </row>
  </sheetData>
  <sortState ref="B11:H93">
    <sortCondition descending="1" ref="G11:G93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2023-11-10T04:43:59Z</dcterms:created>
  <dcterms:modified xsi:type="dcterms:W3CDTF">2024-02-06T18:41:46Z</dcterms:modified>
</cp:coreProperties>
</file>