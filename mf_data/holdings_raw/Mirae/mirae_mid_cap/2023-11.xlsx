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rfan\Desktop\Office\December\Monthly work\New folder\attachments\Monthly Portfolios\"/>
    </mc:Choice>
  </mc:AlternateContent>
  <xr:revisionPtr revIDLastSave="0" documentId="13_ncr:1_{6CE03A9D-86A7-4626-93C6-83DB8DE4D5E2}" xr6:coauthVersionLast="47" xr6:coauthVersionMax="47" xr10:uidLastSave="{00000000-0000-0000-0000-000000000000}"/>
  <bookViews>
    <workbookView xWindow="-108" yWindow="-108" windowWidth="23256" windowHeight="12456" xr2:uid="{E515D3BB-203C-441A-A3A7-20744CAD6D74}"/>
  </bookViews>
  <sheets>
    <sheet name="MAMCF" sheetId="1" r:id="rId1"/>
  </sheets>
  <definedNames>
    <definedName name="_xlnm._FilterDatabase" localSheetId="0" hidden="1">MAMCF!$H$8:$J$431</definedName>
    <definedName name="JR_PAGE_ANCHOR_0_25">MAMCF!$A$5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8" i="1" l="1"/>
  <c r="F88" i="1"/>
  <c r="G79" i="1"/>
  <c r="F79" i="1"/>
</calcChain>
</file>

<file path=xl/sharedStrings.xml><?xml version="1.0" encoding="utf-8"?>
<sst xmlns="http://schemas.openxmlformats.org/spreadsheetml/2006/main" count="303" uniqueCount="257">
  <si>
    <t>Home</t>
  </si>
  <si>
    <t>Mirae Asset Midcap Fund</t>
  </si>
  <si>
    <t>(Midcap Fund-An open ended equity scheme predominantly investing in mid cap stocks)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</si>
  <si>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</si>
  <si>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</si>
  <si>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</si>
  <si>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</si>
  <si>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</si>
  <si>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</si>
  <si>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</si>
  <si>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</si>
  <si>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</si>
  <si>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</si>
  <si>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INE171A01029</t>
  </si>
  <si>
    <t>Banks</t>
  </si>
  <si>
    <t>BHFO02</t>
  </si>
  <si>
    <t>Bharat Forge Limited</t>
  </si>
  <si>
    <t>INE465A01025</t>
  </si>
  <si>
    <t>Industrial Products</t>
  </si>
  <si>
    <t>LUPL02</t>
  </si>
  <si>
    <t>Lupin Limited</t>
  </si>
  <si>
    <t>INE326A01037</t>
  </si>
  <si>
    <t>Pharmaceuticals &amp; Biotechnology</t>
  </si>
  <si>
    <t>NITL01</t>
  </si>
  <si>
    <t>Coforge Limited</t>
  </si>
  <si>
    <t>INE591G01017</t>
  </si>
  <si>
    <t>IT - Software</t>
  </si>
  <si>
    <t>NTPC01</t>
  </si>
  <si>
    <t>NTPC Limited</t>
  </si>
  <si>
    <t>INE733E01010</t>
  </si>
  <si>
    <t>Power</t>
  </si>
  <si>
    <t>VSNL01</t>
  </si>
  <si>
    <t>Tata Communications Limited</t>
  </si>
  <si>
    <t>INE151A01013</t>
  </si>
  <si>
    <t>Telecom - Services</t>
  </si>
  <si>
    <t>PFCL01</t>
  </si>
  <si>
    <t>Power Finance Corporation Limited</t>
  </si>
  <si>
    <t>INE134E01011</t>
  </si>
  <si>
    <t>Finance</t>
  </si>
  <si>
    <t>BATA02</t>
  </si>
  <si>
    <t>Bata India Limited</t>
  </si>
  <si>
    <t>INE176A01028</t>
  </si>
  <si>
    <t>Consumer Durables</t>
  </si>
  <si>
    <t>SSNL02</t>
  </si>
  <si>
    <t>Delhivery Limited</t>
  </si>
  <si>
    <t>INE148O01028</t>
  </si>
  <si>
    <t>Transport Services</t>
  </si>
  <si>
    <t>CGCE01</t>
  </si>
  <si>
    <t>Crompton Greaves Consumer Electricals Limited</t>
  </si>
  <si>
    <t>INE299U01018</t>
  </si>
  <si>
    <t>SBAI02</t>
  </si>
  <si>
    <t>State Bank of India</t>
  </si>
  <si>
    <t>INE062A01020</t>
  </si>
  <si>
    <t>MAXI02</t>
  </si>
  <si>
    <t>Max Financial Services Limited</t>
  </si>
  <si>
    <t>INE180A01020</t>
  </si>
  <si>
    <t>Insurance</t>
  </si>
  <si>
    <t>SKFB02</t>
  </si>
  <si>
    <t>SKF India Limited</t>
  </si>
  <si>
    <t>INE640A01023</t>
  </si>
  <si>
    <t>BAYE02</t>
  </si>
  <si>
    <t>Bayer Cropscience Limited</t>
  </si>
  <si>
    <t>INE462A01022</t>
  </si>
  <si>
    <t>Fertilizers &amp; Agrochemicals</t>
  </si>
  <si>
    <t>LTIL01</t>
  </si>
  <si>
    <t>LTIMindtree Limited</t>
  </si>
  <si>
    <t>INE214T01019</t>
  </si>
  <si>
    <t>HDFB03</t>
  </si>
  <si>
    <t>HDFC Bank Limited</t>
  </si>
  <si>
    <t>INE040A01034</t>
  </si>
  <si>
    <t>UTIB02</t>
  </si>
  <si>
    <t>Axis Bank Limited</t>
  </si>
  <si>
    <t>INE238A01034</t>
  </si>
  <si>
    <t>THER02</t>
  </si>
  <si>
    <t>Thermax Limited</t>
  </si>
  <si>
    <t>INE152A01029</t>
  </si>
  <si>
    <t>Electrical Equipment</t>
  </si>
  <si>
    <t>FRHL01</t>
  </si>
  <si>
    <t>Fortis Healthcare Limited</t>
  </si>
  <si>
    <t>INE061F01013</t>
  </si>
  <si>
    <t>Healthcare Services</t>
  </si>
  <si>
    <t>GSPL01</t>
  </si>
  <si>
    <t>Gujarat State Petronet Limited</t>
  </si>
  <si>
    <t>INE246F01010</t>
  </si>
  <si>
    <t>Gas</t>
  </si>
  <si>
    <t>HDAM01</t>
  </si>
  <si>
    <t>HDFC Asset Management Company Limited</t>
  </si>
  <si>
    <t>INE127D01025</t>
  </si>
  <si>
    <t>Capital Markets</t>
  </si>
  <si>
    <t>PREP01</t>
  </si>
  <si>
    <t>Prestige Estates Projects Limited</t>
  </si>
  <si>
    <t>INE811K01011</t>
  </si>
  <si>
    <t>Realty</t>
  </si>
  <si>
    <t>NMDC01</t>
  </si>
  <si>
    <t>NMDC Limited</t>
  </si>
  <si>
    <t>INE584A01023</t>
  </si>
  <si>
    <t>Minerals &amp; Mining</t>
  </si>
  <si>
    <t>ESMC02</t>
  </si>
  <si>
    <t>PB Fintech Limited</t>
  </si>
  <si>
    <t>INE417T01026</t>
  </si>
  <si>
    <t>Financial Technology (Fintech)</t>
  </si>
  <si>
    <t>LICH02</t>
  </si>
  <si>
    <t>LIC Housing Finance Limited</t>
  </si>
  <si>
    <t>INE115A01026</t>
  </si>
  <si>
    <t>JKCE01</t>
  </si>
  <si>
    <t>JK Cement Limited</t>
  </si>
  <si>
    <t>INE823G01014</t>
  </si>
  <si>
    <t>Cement &amp; Cement Products</t>
  </si>
  <si>
    <t>PAGE01</t>
  </si>
  <si>
    <t>Page Industries Limited</t>
  </si>
  <si>
    <t>INE761H01022</t>
  </si>
  <si>
    <t>Textiles &amp; Apparels</t>
  </si>
  <si>
    <t>CEAT02</t>
  </si>
  <si>
    <t>CEAT Limited</t>
  </si>
  <si>
    <t>INE482A01020</t>
  </si>
  <si>
    <t>Auto Components</t>
  </si>
  <si>
    <t>EMAM02</t>
  </si>
  <si>
    <t>Emami Limited</t>
  </si>
  <si>
    <t>INE548C01032</t>
  </si>
  <si>
    <t>Personal Products</t>
  </si>
  <si>
    <t>ACCL02</t>
  </si>
  <si>
    <t>ACC Limited</t>
  </si>
  <si>
    <t>INE012A01025</t>
  </si>
  <si>
    <t>SHTR01</t>
  </si>
  <si>
    <t>Shriram Finance Limited</t>
  </si>
  <si>
    <t>INE721A01013</t>
  </si>
  <si>
    <t>KACE03</t>
  </si>
  <si>
    <t>Kajaria Ceramics Limited</t>
  </si>
  <si>
    <t>INE217B01036</t>
  </si>
  <si>
    <t>FSNE01</t>
  </si>
  <si>
    <t>FSN E-Commerce Ventures Limited</t>
  </si>
  <si>
    <t>INE388Y01029</t>
  </si>
  <si>
    <t>Retailing</t>
  </si>
  <si>
    <t>CCOI02</t>
  </si>
  <si>
    <t>Container Corporation of India Limited</t>
  </si>
  <si>
    <t>INE111A01025</t>
  </si>
  <si>
    <t>INBK01</t>
  </si>
  <si>
    <t>Indian Bank</t>
  </si>
  <si>
    <t>INE562A01011</t>
  </si>
  <si>
    <t>TAHO01</t>
  </si>
  <si>
    <t>Honeywell Automation India Limited</t>
  </si>
  <si>
    <t>INE671A01010</t>
  </si>
  <si>
    <t>Industrial Manufacturing</t>
  </si>
  <si>
    <t>IGAS02</t>
  </si>
  <si>
    <t>Indraprastha Gas Limited</t>
  </si>
  <si>
    <t>INE203G01027</t>
  </si>
  <si>
    <t>IPCA03</t>
  </si>
  <si>
    <t>IPCA Laboratories Limited</t>
  </si>
  <si>
    <t>INE571A01038</t>
  </si>
  <si>
    <t>NAPH02</t>
  </si>
  <si>
    <t>Natco Pharma Limited</t>
  </si>
  <si>
    <t>INE987B01026</t>
  </si>
  <si>
    <t>LAUR02</t>
  </si>
  <si>
    <t>Laurus Labs Limited</t>
  </si>
  <si>
    <t>INE947Q01028</t>
  </si>
  <si>
    <t>ATUL01</t>
  </si>
  <si>
    <t>Atul Limited</t>
  </si>
  <si>
    <t>INE100A01010</t>
  </si>
  <si>
    <t>Chemicals &amp; Petrochemicals</t>
  </si>
  <si>
    <t>PPFL01</t>
  </si>
  <si>
    <t>INE689W01016</t>
  </si>
  <si>
    <t>SONB01</t>
  </si>
  <si>
    <t>Sona BLW Precision Forgings Limited</t>
  </si>
  <si>
    <t>INE073K01018</t>
  </si>
  <si>
    <t>MSUW01</t>
  </si>
  <si>
    <t>Motherson Sumi Wiring India Limited</t>
  </si>
  <si>
    <t>INE0FS801015</t>
  </si>
  <si>
    <t>SAEL02</t>
  </si>
  <si>
    <t>TVS Motor Company Limited</t>
  </si>
  <si>
    <t>INE494B01023</t>
  </si>
  <si>
    <t>Automobiles</t>
  </si>
  <si>
    <t>CEPL02</t>
  </si>
  <si>
    <t>Century Plyboards (India) Limited</t>
  </si>
  <si>
    <t>INE348B01021</t>
  </si>
  <si>
    <t>PRRC03</t>
  </si>
  <si>
    <t>Navin Fluorine International Limited</t>
  </si>
  <si>
    <t>INE048G01026</t>
  </si>
  <si>
    <t>BIOC01</t>
  </si>
  <si>
    <t>Biocon Limited</t>
  </si>
  <si>
    <t>INE376G01013</t>
  </si>
  <si>
    <t>DIXO02</t>
  </si>
  <si>
    <t>Dixon Technologies (India) Limited</t>
  </si>
  <si>
    <t>INE935N01020</t>
  </si>
  <si>
    <t>CRAF01</t>
  </si>
  <si>
    <t>Craftsman Automation Limited</t>
  </si>
  <si>
    <t>INE00LO01017</t>
  </si>
  <si>
    <t>STHE01</t>
  </si>
  <si>
    <t>Star Health And Allied Insurance Company Limited</t>
  </si>
  <si>
    <t>INE575P01011</t>
  </si>
  <si>
    <t>USFI01</t>
  </si>
  <si>
    <t>Utkarsh Small Finance Bank Ltd</t>
  </si>
  <si>
    <t>INE735W01017</t>
  </si>
  <si>
    <t>BFLS01</t>
  </si>
  <si>
    <t>MphasiS Limited</t>
  </si>
  <si>
    <t>INE356A01018</t>
  </si>
  <si>
    <t>VOLT02</t>
  </si>
  <si>
    <t>Voltas Limited</t>
  </si>
  <si>
    <t>INE226A01021</t>
  </si>
  <si>
    <t>JSPL03</t>
  </si>
  <si>
    <t>Jindal Steel &amp; Power Limited</t>
  </si>
  <si>
    <t>INE749A01030</t>
  </si>
  <si>
    <t>Ferrous Metals</t>
  </si>
  <si>
    <t>IHOT02</t>
  </si>
  <si>
    <t>The Indian Hotels Company Limited</t>
  </si>
  <si>
    <t>INE053A01029</t>
  </si>
  <si>
    <t>Leisure Services</t>
  </si>
  <si>
    <t>SUCH02</t>
  </si>
  <si>
    <t>Sudarshan Chemical Industries Limited</t>
  </si>
  <si>
    <t>INE659A01023</t>
  </si>
  <si>
    <t>CHEM04</t>
  </si>
  <si>
    <t>Chemplast Sanmar Limited</t>
  </si>
  <si>
    <t>INE488A01050</t>
  </si>
  <si>
    <t>KIMS01</t>
  </si>
  <si>
    <t>Krishna Institute Of Medical Sciences Limited</t>
  </si>
  <si>
    <t>INE967H01017</t>
  </si>
  <si>
    <t>TLSL01</t>
  </si>
  <si>
    <t>INE985S01024</t>
  </si>
  <si>
    <t>Commercial Services &amp; Supplies</t>
  </si>
  <si>
    <t>AJPH03</t>
  </si>
  <si>
    <t>Ajanta Pharma Limited</t>
  </si>
  <si>
    <t>INE031B01049</t>
  </si>
  <si>
    <t>NRBB02</t>
  </si>
  <si>
    <t>NRB Bearing Limited</t>
  </si>
  <si>
    <t>INE349A01021</t>
  </si>
  <si>
    <t>WESD02</t>
  </si>
  <si>
    <t>Westlife Foodworld Limited</t>
  </si>
  <si>
    <t>INE274F01020</t>
  </si>
  <si>
    <t>ELMA01</t>
  </si>
  <si>
    <t>Electronics Mart India Limited</t>
  </si>
  <si>
    <t>INE02YR01019</t>
  </si>
  <si>
    <t>NCCL01</t>
  </si>
  <si>
    <t>TEGA01</t>
  </si>
  <si>
    <t>Tega Industries Limited</t>
  </si>
  <si>
    <t>INE011K01018</t>
  </si>
  <si>
    <t>UTIA01</t>
  </si>
  <si>
    <t>Sub Total</t>
  </si>
  <si>
    <t>(b) Unlisted</t>
  </si>
  <si>
    <t>NIL</t>
  </si>
  <si>
    <t>Total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</si>
  <si>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</si>
  <si>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</si>
  <si>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</si>
  <si>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</si>
  <si>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</si>
  <si>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</si>
  <si>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1 year Portfolo Turnover Ratio</t>
  </si>
  <si>
    <t>0.43 Times</t>
  </si>
  <si>
    <t>Monthly Portfolio Statement as on November 30,2023</t>
  </si>
  <si>
    <t>The Federal Bank  Limited</t>
  </si>
  <si>
    <t>Prince Pipes and Fittings Limited</t>
  </si>
  <si>
    <t>Teamlease Services Limited</t>
  </si>
  <si>
    <t>Alkem Laboratories Limited</t>
  </si>
  <si>
    <t>INE540L01014</t>
  </si>
  <si>
    <t>Schaeffler India Limited</t>
  </si>
  <si>
    <t>INE513A01022</t>
  </si>
  <si>
    <t>Gland Pharma Limited</t>
  </si>
  <si>
    <t>INE068V01023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</si>
</sst>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4" fontId="6" fillId="0" borderId="10" xfId="0" applyNumberFormat="1" applyFont="1" applyBorder="1" applyAlignment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4" fontId="4" fillId="0" borderId="13" xfId="0" applyNumberFormat="1" applyFont="1" applyBorder="1" applyAlignment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4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0" fontId="6" fillId="0" borderId="22" xfId="0" applyFont="1" applyBorder="1" applyAlignment="1">
      <alignment horizontal="right" vertical="top" wrapText="1"/>
    </xf>
    <xf numFmtId="0" fontId="10" fillId="0" borderId="23" xfId="0" applyFont="1" applyBorder="1" applyAlignment="1">
      <alignment horizontal="left" vertical="top" wrapText="1"/>
    </xf>
    <xf numFmtId="1" fontId="0" fillId="0" borderId="24" xfId="0" applyNumberFormat="1" applyBorder="1" applyAlignment="1">
      <alignment horizontal="right"/>
    </xf>
    <xf numFmtId="4" fontId="0" fillId="0" borderId="0" xfId="0" applyNumberFormat="1"/>
    <xf numFmtId="10" fontId="0" fillId="0" borderId="0" xfId="1" applyNumberFormat="1" applyFont="1"/>
    <xf numFmtId="10" fontId="6" fillId="0" borderId="16" xfId="1" applyNumberFormat="1" applyFont="1" applyFill="1" applyBorder="1" applyAlignment="1">
      <alignment horizontal="right" vertical="top" wrapText="1"/>
    </xf>
    <xf numFmtId="10" fontId="6" fillId="0" borderId="21" xfId="1" applyNumberFormat="1" applyFont="1" applyFill="1" applyBorder="1" applyAlignment="1">
      <alignment horizontal="right" vertical="top" wrapText="1"/>
    </xf>
    <xf numFmtId="4" fontId="6" fillId="0" borderId="0" xfId="0" applyNumberFormat="1" applyFont="1" applyAlignment="1">
      <alignment horizontal="right" vertical="top" wrapText="1"/>
    </xf>
    <xf numFmtId="10" fontId="6" fillId="0" borderId="0" xfId="1" applyNumberFormat="1" applyFont="1" applyFill="1" applyBorder="1" applyAlignment="1" applyProtection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1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1</xdr:col>
      <xdr:colOff>1190625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8450A-62CD-48A9-9CD0-BD21357BF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0"/>
          <a:ext cx="1133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92</xdr:row>
      <xdr:rowOff>38100</xdr:rowOff>
    </xdr:from>
    <xdr:to>
      <xdr:col>4</xdr:col>
      <xdr:colOff>609600</xdr:colOff>
      <xdr:row>99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1A7DF5-5F3F-482D-BFB5-6B7BCFED7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916150"/>
          <a:ext cx="72771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0FFA-B4E1-4BF4-B48B-F7256D446628}">
  <sheetPr codeName="Sheet25">
    <outlinePr summaryBelow="0"/>
  </sheetPr>
  <dimension ref="A1:I93"/>
  <sheetViews>
    <sheetView tabSelected="1" topLeftCell="A79" workbookViewId="0">
      <selection activeCell="G90" sqref="G90"/>
    </sheetView>
  </sheetViews>
  <sheetFormatPr defaultRowHeight="14.4"/>
  <cols>
    <col min="1" max="1" width="3.33203125" customWidth="1"/>
    <col min="2" max="2" width="50" customWidth="1"/>
    <col min="3" max="3" width="16.6640625" customWidth="1"/>
    <col min="4" max="4" width="33.33203125" customWidth="1"/>
    <col min="5" max="5" width="16.6640625" customWidth="1"/>
    <col min="6" max="6" width="16.6640625" style="40" customWidth="1"/>
    <col min="7" max="7" width="16.6640625" style="41" customWidth="1"/>
    <col min="8" max="8" width="16.6640625" customWidth="1"/>
    <col min="9" max="9" width="9.109375" style="7"/>
  </cols>
  <sheetData>
    <row r="1" spans="1:9" ht="15.9" customHeight="1">
      <c r="A1" s="1" t="s">
        <v>0</v>
      </c>
      <c r="B1" s="47" t="s">
        <v>1</v>
      </c>
      <c r="C1" s="48"/>
      <c r="D1" s="48"/>
      <c r="E1" s="48"/>
      <c r="F1" s="48"/>
      <c r="G1" s="48"/>
      <c r="H1" s="49"/>
      <c r="I1"/>
    </row>
    <row r="2" spans="1:9" ht="12.9" customHeight="1">
      <c r="A2" s="2"/>
      <c r="B2" s="50"/>
      <c r="C2" s="51"/>
      <c r="D2" s="51"/>
      <c r="E2" s="51"/>
      <c r="F2" s="51"/>
      <c r="G2" s="51"/>
      <c r="H2" s="52"/>
      <c r="I2"/>
    </row>
    <row r="3" spans="1:9" ht="12.9" customHeight="1">
      <c r="A3" s="3"/>
      <c r="B3" s="53" t="s">
        <v>2</v>
      </c>
      <c r="C3" s="54"/>
      <c r="D3" s="54"/>
      <c r="E3" s="54"/>
      <c r="F3" s="54"/>
      <c r="G3" s="54"/>
      <c r="H3" s="55"/>
      <c r="I3"/>
    </row>
    <row r="4" spans="1:9" ht="15" thickBot="1">
      <c r="A4" s="2"/>
      <c r="B4" s="56"/>
      <c r="C4" s="57"/>
      <c r="D4" s="57"/>
      <c r="E4" s="57"/>
      <c r="F4" s="57"/>
      <c r="G4" s="57"/>
      <c r="H4" s="58"/>
      <c r="I4"/>
    </row>
    <row r="5" spans="1:9" ht="15.9" customHeight="1">
      <c r="A5" s="2"/>
      <c r="B5" s="4" t="s">
        <v>1</v>
      </c>
      <c r="C5" s="2"/>
      <c r="D5" s="2"/>
      <c r="E5" s="2"/>
      <c r="F5" s="5"/>
      <c r="G5" s="6"/>
      <c r="H5" s="2"/>
    </row>
    <row r="6" spans="1:9" ht="12.9" customHeight="1">
      <c r="A6" s="2"/>
      <c r="B6" s="8"/>
      <c r="C6" s="2"/>
      <c r="D6" s="2"/>
      <c r="E6" s="2"/>
      <c r="F6" s="5"/>
      <c r="G6" s="6"/>
      <c r="H6" s="2"/>
    </row>
    <row r="7" spans="1:9" ht="12.9" customHeight="1" thickBot="1">
      <c r="A7" s="3"/>
      <c r="B7" s="9" t="s">
        <v>247</v>
      </c>
      <c r="C7" s="2"/>
      <c r="D7" s="2"/>
      <c r="E7" s="2"/>
      <c r="F7" s="5"/>
      <c r="G7" s="6"/>
      <c r="H7" s="2"/>
    </row>
    <row r="8" spans="1:9" ht="27.9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" customHeight="1">
      <c r="A11" s="21" t="s">
        <v>12</v>
      </c>
      <c r="B11" s="22" t="s">
        <v>248</v>
      </c>
      <c r="C11" s="17" t="s">
        <v>13</v>
      </c>
      <c r="D11" s="17" t="s">
        <v>14</v>
      </c>
      <c r="E11" s="23">
        <v>29656362</v>
      </c>
      <c r="F11" s="24">
        <v>43698.649406999997</v>
      </c>
      <c r="G11" s="25">
        <v>3.4099999999999998E-2</v>
      </c>
      <c r="H11" s="20"/>
    </row>
    <row r="12" spans="1:9" ht="12.9" customHeight="1">
      <c r="A12" s="21" t="s">
        <v>15</v>
      </c>
      <c r="B12" s="22" t="s">
        <v>24</v>
      </c>
      <c r="C12" s="17" t="s">
        <v>25</v>
      </c>
      <c r="D12" s="17" t="s">
        <v>26</v>
      </c>
      <c r="E12" s="23">
        <v>618845</v>
      </c>
      <c r="F12" s="24">
        <v>35650.732182500004</v>
      </c>
      <c r="G12" s="25">
        <v>2.7799999999999998E-2</v>
      </c>
      <c r="H12" s="26"/>
    </row>
    <row r="13" spans="1:9" ht="12.9" customHeight="1">
      <c r="A13" s="21" t="s">
        <v>19</v>
      </c>
      <c r="B13" s="22" t="s">
        <v>16</v>
      </c>
      <c r="C13" s="17" t="s">
        <v>17</v>
      </c>
      <c r="D13" s="17" t="s">
        <v>18</v>
      </c>
      <c r="E13" s="23">
        <v>3172259</v>
      </c>
      <c r="F13" s="24">
        <v>35537.231447500002</v>
      </c>
      <c r="G13" s="25">
        <v>2.7699999999999999E-2</v>
      </c>
      <c r="H13" s="26"/>
    </row>
    <row r="14" spans="1:9" ht="12.9" customHeight="1">
      <c r="A14" s="21" t="s">
        <v>23</v>
      </c>
      <c r="B14" s="22" t="s">
        <v>20</v>
      </c>
      <c r="C14" s="17" t="s">
        <v>21</v>
      </c>
      <c r="D14" s="17" t="s">
        <v>22</v>
      </c>
      <c r="E14" s="23">
        <v>2657518</v>
      </c>
      <c r="F14" s="24">
        <v>34040.148062</v>
      </c>
      <c r="G14" s="25">
        <v>2.6499999999999999E-2</v>
      </c>
      <c r="H14" s="26"/>
    </row>
    <row r="15" spans="1:9" ht="12.9" customHeight="1">
      <c r="A15" s="21" t="s">
        <v>27</v>
      </c>
      <c r="B15" s="22" t="s">
        <v>28</v>
      </c>
      <c r="C15" s="17" t="s">
        <v>29</v>
      </c>
      <c r="D15" s="17" t="s">
        <v>30</v>
      </c>
      <c r="E15" s="23">
        <v>12776882</v>
      </c>
      <c r="F15" s="24">
        <v>33385.992665999998</v>
      </c>
      <c r="G15" s="25">
        <v>2.5999999999999999E-2</v>
      </c>
      <c r="H15" s="26"/>
    </row>
    <row r="16" spans="1:9" ht="12.9" customHeight="1">
      <c r="A16" s="21" t="s">
        <v>31</v>
      </c>
      <c r="B16" s="22" t="s">
        <v>36</v>
      </c>
      <c r="C16" s="17" t="s">
        <v>37</v>
      </c>
      <c r="D16" s="17" t="s">
        <v>38</v>
      </c>
      <c r="E16" s="23">
        <v>9495652</v>
      </c>
      <c r="F16" s="24">
        <v>31800.938548000002</v>
      </c>
      <c r="G16" s="25">
        <v>2.4799999999999999E-2</v>
      </c>
      <c r="H16" s="26"/>
    </row>
    <row r="17" spans="1:8" ht="12.9" customHeight="1">
      <c r="A17" s="21" t="s">
        <v>35</v>
      </c>
      <c r="B17" s="22" t="s">
        <v>32</v>
      </c>
      <c r="C17" s="17" t="s">
        <v>33</v>
      </c>
      <c r="D17" s="17" t="s">
        <v>34</v>
      </c>
      <c r="E17" s="23">
        <v>1739986</v>
      </c>
      <c r="F17" s="24">
        <v>29676.331223000001</v>
      </c>
      <c r="G17" s="25">
        <v>2.3099999999999999E-2</v>
      </c>
      <c r="H17" s="26"/>
    </row>
    <row r="18" spans="1:8" ht="12.9" customHeight="1">
      <c r="A18" s="21" t="s">
        <v>39</v>
      </c>
      <c r="B18" s="22" t="s">
        <v>48</v>
      </c>
      <c r="C18" s="17" t="s">
        <v>49</v>
      </c>
      <c r="D18" s="17" t="s">
        <v>42</v>
      </c>
      <c r="E18" s="23">
        <v>10106058</v>
      </c>
      <c r="F18" s="24">
        <v>28797.212271</v>
      </c>
      <c r="G18" s="25">
        <v>2.2499999999999999E-2</v>
      </c>
      <c r="H18" s="26"/>
    </row>
    <row r="19" spans="1:8" ht="12.9" customHeight="1">
      <c r="A19" s="21" t="s">
        <v>43</v>
      </c>
      <c r="B19" s="22" t="s">
        <v>44</v>
      </c>
      <c r="C19" s="17" t="s">
        <v>45</v>
      </c>
      <c r="D19" s="17" t="s">
        <v>46</v>
      </c>
      <c r="E19" s="23">
        <v>7267910</v>
      </c>
      <c r="F19" s="24">
        <v>28428.429964999999</v>
      </c>
      <c r="G19" s="25">
        <v>2.2200000000000001E-2</v>
      </c>
      <c r="H19" s="26"/>
    </row>
    <row r="20" spans="1:8" ht="12.9" customHeight="1">
      <c r="A20" s="21" t="s">
        <v>47</v>
      </c>
      <c r="B20" s="22" t="s">
        <v>40</v>
      </c>
      <c r="C20" s="17" t="s">
        <v>41</v>
      </c>
      <c r="D20" s="17" t="s">
        <v>42</v>
      </c>
      <c r="E20" s="23">
        <v>1719089</v>
      </c>
      <c r="F20" s="24">
        <v>27812.281386500003</v>
      </c>
      <c r="G20" s="25">
        <v>2.1700000000000001E-2</v>
      </c>
      <c r="H20" s="26"/>
    </row>
    <row r="21" spans="1:8" ht="12.9" customHeight="1">
      <c r="A21" s="21" t="s">
        <v>50</v>
      </c>
      <c r="B21" s="22" t="s">
        <v>78</v>
      </c>
      <c r="C21" s="17" t="s">
        <v>79</v>
      </c>
      <c r="D21" s="17" t="s">
        <v>80</v>
      </c>
      <c r="E21" s="23">
        <v>6970745</v>
      </c>
      <c r="F21" s="24">
        <v>26907.075700000001</v>
      </c>
      <c r="G21" s="25">
        <v>2.1000000000000001E-2</v>
      </c>
      <c r="H21" s="26"/>
    </row>
    <row r="22" spans="1:8" ht="12.9" customHeight="1">
      <c r="A22" s="21" t="s">
        <v>53</v>
      </c>
      <c r="B22" s="22" t="s">
        <v>54</v>
      </c>
      <c r="C22" s="17" t="s">
        <v>55</v>
      </c>
      <c r="D22" s="17" t="s">
        <v>56</v>
      </c>
      <c r="E22" s="23">
        <v>2611508</v>
      </c>
      <c r="F22" s="24">
        <v>26616.489535999997</v>
      </c>
      <c r="G22" s="25">
        <v>2.0799999999999999E-2</v>
      </c>
      <c r="H22" s="26"/>
    </row>
    <row r="23" spans="1:8" ht="12.9" customHeight="1">
      <c r="A23" s="21" t="s">
        <v>57</v>
      </c>
      <c r="B23" s="22" t="s">
        <v>61</v>
      </c>
      <c r="C23" s="17" t="s">
        <v>62</v>
      </c>
      <c r="D23" s="17" t="s">
        <v>63</v>
      </c>
      <c r="E23" s="23">
        <v>488913</v>
      </c>
      <c r="F23" s="24">
        <v>26272.228968000003</v>
      </c>
      <c r="G23" s="25">
        <v>2.0500000000000001E-2</v>
      </c>
      <c r="H23" s="26"/>
    </row>
    <row r="24" spans="1:8" ht="12.9" customHeight="1">
      <c r="A24" s="21" t="s">
        <v>60</v>
      </c>
      <c r="B24" s="22" t="s">
        <v>51</v>
      </c>
      <c r="C24" s="17" t="s">
        <v>52</v>
      </c>
      <c r="D24" s="17" t="s">
        <v>14</v>
      </c>
      <c r="E24" s="23">
        <v>4608548</v>
      </c>
      <c r="F24" s="24">
        <v>26026.774829999998</v>
      </c>
      <c r="G24" s="25">
        <v>2.0299999999999999E-2</v>
      </c>
      <c r="H24" s="26"/>
    </row>
    <row r="25" spans="1:8" ht="12.9" customHeight="1">
      <c r="A25" s="21" t="s">
        <v>64</v>
      </c>
      <c r="B25" s="22" t="s">
        <v>86</v>
      </c>
      <c r="C25" s="17" t="s">
        <v>87</v>
      </c>
      <c r="D25" s="17" t="s">
        <v>88</v>
      </c>
      <c r="E25" s="23">
        <v>871246</v>
      </c>
      <c r="F25" s="24">
        <v>25872.085593000003</v>
      </c>
      <c r="G25" s="25">
        <v>2.0199999999999999E-2</v>
      </c>
      <c r="H25" s="26"/>
    </row>
    <row r="26" spans="1:8" ht="12.9" customHeight="1">
      <c r="A26" s="21" t="s">
        <v>67</v>
      </c>
      <c r="B26" s="22" t="s">
        <v>90</v>
      </c>
      <c r="C26" s="17" t="s">
        <v>91</v>
      </c>
      <c r="D26" s="17" t="s">
        <v>92</v>
      </c>
      <c r="E26" s="23">
        <v>2515732</v>
      </c>
      <c r="F26" s="24">
        <v>25230.276228000002</v>
      </c>
      <c r="G26" s="25">
        <v>1.9699999999999999E-2</v>
      </c>
      <c r="H26" s="26"/>
    </row>
    <row r="27" spans="1:8" ht="12.9" customHeight="1">
      <c r="A27" s="21" t="s">
        <v>70</v>
      </c>
      <c r="B27" s="22" t="s">
        <v>94</v>
      </c>
      <c r="C27" s="17" t="s">
        <v>95</v>
      </c>
      <c r="D27" s="17" t="s">
        <v>96</v>
      </c>
      <c r="E27" s="23">
        <v>13756716</v>
      </c>
      <c r="F27" s="24">
        <v>24968.439539999999</v>
      </c>
      <c r="G27" s="25">
        <v>1.95E-2</v>
      </c>
      <c r="H27" s="26"/>
    </row>
    <row r="28" spans="1:8" ht="12.9" customHeight="1">
      <c r="A28" s="21" t="s">
        <v>73</v>
      </c>
      <c r="B28" s="22" t="s">
        <v>65</v>
      </c>
      <c r="C28" s="17" t="s">
        <v>66</v>
      </c>
      <c r="D28" s="17" t="s">
        <v>26</v>
      </c>
      <c r="E28" s="23">
        <v>448841</v>
      </c>
      <c r="F28" s="24">
        <v>24850.979646999996</v>
      </c>
      <c r="G28" s="25">
        <v>1.9400000000000001E-2</v>
      </c>
      <c r="H28" s="26"/>
    </row>
    <row r="29" spans="1:8" ht="12.9" customHeight="1">
      <c r="A29" s="21" t="s">
        <v>77</v>
      </c>
      <c r="B29" s="22" t="s">
        <v>68</v>
      </c>
      <c r="C29" s="17" t="s">
        <v>69</v>
      </c>
      <c r="D29" s="17" t="s">
        <v>14</v>
      </c>
      <c r="E29" s="23">
        <v>1590000</v>
      </c>
      <c r="F29" s="24">
        <v>24784.92</v>
      </c>
      <c r="G29" s="25">
        <v>1.9300000000000001E-2</v>
      </c>
      <c r="H29" s="26"/>
    </row>
    <row r="30" spans="1:8" ht="12.9" customHeight="1">
      <c r="A30" s="21" t="s">
        <v>81</v>
      </c>
      <c r="B30" s="22" t="s">
        <v>134</v>
      </c>
      <c r="C30" s="17" t="s">
        <v>135</v>
      </c>
      <c r="D30" s="17" t="s">
        <v>46</v>
      </c>
      <c r="E30" s="23">
        <v>3153072</v>
      </c>
      <c r="F30" s="24">
        <v>24467.83872</v>
      </c>
      <c r="G30" s="25">
        <v>1.9099999999999999E-2</v>
      </c>
      <c r="H30" s="26"/>
    </row>
    <row r="31" spans="1:8" ht="12.9" customHeight="1">
      <c r="A31" s="21" t="s">
        <v>85</v>
      </c>
      <c r="B31" s="22" t="s">
        <v>71</v>
      </c>
      <c r="C31" s="17" t="s">
        <v>72</v>
      </c>
      <c r="D31" s="17" t="s">
        <v>14</v>
      </c>
      <c r="E31" s="23">
        <v>2250067</v>
      </c>
      <c r="F31" s="24">
        <v>24171.344747499999</v>
      </c>
      <c r="G31" s="25">
        <v>1.8800000000000001E-2</v>
      </c>
      <c r="H31" s="26"/>
    </row>
    <row r="32" spans="1:8" ht="12.9" customHeight="1">
      <c r="A32" s="21" t="s">
        <v>89</v>
      </c>
      <c r="B32" s="22" t="s">
        <v>130</v>
      </c>
      <c r="C32" s="17" t="s">
        <v>131</v>
      </c>
      <c r="D32" s="17" t="s">
        <v>132</v>
      </c>
      <c r="E32" s="23">
        <v>13643587</v>
      </c>
      <c r="F32" s="24">
        <v>23985.425945999999</v>
      </c>
      <c r="G32" s="25">
        <v>1.8700000000000001E-2</v>
      </c>
      <c r="H32" s="26"/>
    </row>
    <row r="33" spans="1:8" ht="12.9" customHeight="1">
      <c r="A33" s="21" t="s">
        <v>93</v>
      </c>
      <c r="B33" s="22" t="s">
        <v>82</v>
      </c>
      <c r="C33" s="17" t="s">
        <v>83</v>
      </c>
      <c r="D33" s="17" t="s">
        <v>84</v>
      </c>
      <c r="E33" s="23">
        <v>8248135</v>
      </c>
      <c r="F33" s="24">
        <v>23795.869475</v>
      </c>
      <c r="G33" s="25">
        <v>1.8599999999999998E-2</v>
      </c>
      <c r="H33" s="26"/>
    </row>
    <row r="34" spans="1:8" ht="12.9" customHeight="1">
      <c r="A34" s="21" t="s">
        <v>97</v>
      </c>
      <c r="B34" s="22" t="s">
        <v>98</v>
      </c>
      <c r="C34" s="17" t="s">
        <v>99</v>
      </c>
      <c r="D34" s="17" t="s">
        <v>100</v>
      </c>
      <c r="E34" s="23">
        <v>2810906</v>
      </c>
      <c r="F34" s="24">
        <v>23416.252433000001</v>
      </c>
      <c r="G34" s="25">
        <v>1.83E-2</v>
      </c>
      <c r="H34" s="26"/>
    </row>
    <row r="35" spans="1:8" ht="12.9" customHeight="1">
      <c r="A35" s="21" t="s">
        <v>101</v>
      </c>
      <c r="B35" s="22" t="s">
        <v>102</v>
      </c>
      <c r="C35" s="17" t="s">
        <v>103</v>
      </c>
      <c r="D35" s="17" t="s">
        <v>38</v>
      </c>
      <c r="E35" s="23">
        <v>4655375</v>
      </c>
      <c r="F35" s="24">
        <v>22864.8743125</v>
      </c>
      <c r="G35" s="25">
        <v>1.78E-2</v>
      </c>
      <c r="H35" s="26"/>
    </row>
    <row r="36" spans="1:8" ht="12.9" customHeight="1">
      <c r="A36" s="21" t="s">
        <v>104</v>
      </c>
      <c r="B36" s="22" t="s">
        <v>58</v>
      </c>
      <c r="C36" s="17" t="s">
        <v>59</v>
      </c>
      <c r="D36" s="17" t="s">
        <v>18</v>
      </c>
      <c r="E36" s="23">
        <v>492972</v>
      </c>
      <c r="F36" s="24">
        <v>22676.712</v>
      </c>
      <c r="G36" s="25">
        <v>1.77E-2</v>
      </c>
      <c r="H36" s="26"/>
    </row>
    <row r="37" spans="1:8" ht="12.9" customHeight="1">
      <c r="A37" s="21" t="s">
        <v>108</v>
      </c>
      <c r="B37" s="22" t="s">
        <v>105</v>
      </c>
      <c r="C37" s="17" t="s">
        <v>106</v>
      </c>
      <c r="D37" s="17" t="s">
        <v>107</v>
      </c>
      <c r="E37" s="23">
        <v>610521</v>
      </c>
      <c r="F37" s="24">
        <v>22244.637895500004</v>
      </c>
      <c r="G37" s="25">
        <v>1.7299999999999999E-2</v>
      </c>
      <c r="H37" s="26"/>
    </row>
    <row r="38" spans="1:8" ht="12.9" customHeight="1">
      <c r="A38" s="21" t="s">
        <v>112</v>
      </c>
      <c r="B38" s="22" t="s">
        <v>127</v>
      </c>
      <c r="C38" s="17" t="s">
        <v>128</v>
      </c>
      <c r="D38" s="17" t="s">
        <v>42</v>
      </c>
      <c r="E38" s="23">
        <v>1579105</v>
      </c>
      <c r="F38" s="24">
        <v>21128.424900000002</v>
      </c>
      <c r="G38" s="25">
        <v>1.6500000000000001E-2</v>
      </c>
      <c r="H38" s="26"/>
    </row>
    <row r="39" spans="1:8" ht="12.9" customHeight="1">
      <c r="A39" s="21" t="s">
        <v>116</v>
      </c>
      <c r="B39" s="22" t="s">
        <v>74</v>
      </c>
      <c r="C39" s="17" t="s">
        <v>75</v>
      </c>
      <c r="D39" s="17" t="s">
        <v>76</v>
      </c>
      <c r="E39" s="23">
        <v>821661</v>
      </c>
      <c r="F39" s="24">
        <v>20829.106349999998</v>
      </c>
      <c r="G39" s="25">
        <v>1.6199999999999999E-2</v>
      </c>
      <c r="H39" s="26"/>
    </row>
    <row r="40" spans="1:8" ht="12.9" customHeight="1">
      <c r="A40" s="21" t="s">
        <v>120</v>
      </c>
      <c r="B40" s="22" t="s">
        <v>137</v>
      </c>
      <c r="C40" s="17" t="s">
        <v>138</v>
      </c>
      <c r="D40" s="17" t="s">
        <v>14</v>
      </c>
      <c r="E40" s="23">
        <v>4887487</v>
      </c>
      <c r="F40" s="24">
        <v>19398.435902999998</v>
      </c>
      <c r="G40" s="25">
        <v>1.5100000000000001E-2</v>
      </c>
      <c r="H40" s="26"/>
    </row>
    <row r="41" spans="1:8" ht="12.9" customHeight="1">
      <c r="A41" s="21" t="s">
        <v>123</v>
      </c>
      <c r="B41" s="22" t="s">
        <v>121</v>
      </c>
      <c r="C41" s="17" t="s">
        <v>122</v>
      </c>
      <c r="D41" s="17" t="s">
        <v>107</v>
      </c>
      <c r="E41" s="23">
        <v>977019</v>
      </c>
      <c r="F41" s="24">
        <v>18324.479854500001</v>
      </c>
      <c r="G41" s="25">
        <v>1.43E-2</v>
      </c>
      <c r="H41" s="26"/>
    </row>
    <row r="42" spans="1:8" ht="12.9" customHeight="1">
      <c r="A42" s="21" t="s">
        <v>126</v>
      </c>
      <c r="B42" s="22" t="s">
        <v>113</v>
      </c>
      <c r="C42" s="17" t="s">
        <v>114</v>
      </c>
      <c r="D42" s="17" t="s">
        <v>115</v>
      </c>
      <c r="E42" s="23">
        <v>875363</v>
      </c>
      <c r="F42" s="24">
        <v>18381.747637</v>
      </c>
      <c r="G42" s="25">
        <v>1.43E-2</v>
      </c>
      <c r="H42" s="26"/>
    </row>
    <row r="43" spans="1:8" ht="12.9" customHeight="1">
      <c r="A43" s="21" t="s">
        <v>129</v>
      </c>
      <c r="B43" s="22" t="s">
        <v>109</v>
      </c>
      <c r="C43" s="17" t="s">
        <v>110</v>
      </c>
      <c r="D43" s="17" t="s">
        <v>111</v>
      </c>
      <c r="E43" s="23">
        <v>48874</v>
      </c>
      <c r="F43" s="24">
        <v>18210.159155999998</v>
      </c>
      <c r="G43" s="25">
        <v>1.4200000000000001E-2</v>
      </c>
      <c r="H43" s="26"/>
    </row>
    <row r="44" spans="1:8" ht="12.9" customHeight="1">
      <c r="A44" s="21" t="s">
        <v>133</v>
      </c>
      <c r="B44" s="22" t="s">
        <v>124</v>
      </c>
      <c r="C44" s="17" t="s">
        <v>125</v>
      </c>
      <c r="D44" s="17" t="s">
        <v>38</v>
      </c>
      <c r="E44" s="23">
        <v>835947</v>
      </c>
      <c r="F44" s="24">
        <v>16779.128184000001</v>
      </c>
      <c r="G44" s="25">
        <v>1.3100000000000001E-2</v>
      </c>
      <c r="H44" s="26"/>
    </row>
    <row r="45" spans="1:8" ht="12.9" customHeight="1">
      <c r="A45" s="21" t="s">
        <v>136</v>
      </c>
      <c r="B45" s="22" t="s">
        <v>117</v>
      </c>
      <c r="C45" s="17" t="s">
        <v>118</v>
      </c>
      <c r="D45" s="17" t="s">
        <v>119</v>
      </c>
      <c r="E45" s="23">
        <v>3236269</v>
      </c>
      <c r="F45" s="24">
        <v>16380.375543499998</v>
      </c>
      <c r="G45" s="25">
        <v>1.2800000000000001E-2</v>
      </c>
      <c r="H45" s="26"/>
    </row>
    <row r="46" spans="1:8" ht="12.9" customHeight="1">
      <c r="A46" s="21" t="s">
        <v>139</v>
      </c>
      <c r="B46" s="22" t="s">
        <v>147</v>
      </c>
      <c r="C46" s="17" t="s">
        <v>148</v>
      </c>
      <c r="D46" s="17" t="s">
        <v>22</v>
      </c>
      <c r="E46" s="23">
        <v>1443009</v>
      </c>
      <c r="F46" s="24">
        <v>16348.570465499999</v>
      </c>
      <c r="G46" s="25">
        <v>1.2699999999999999E-2</v>
      </c>
      <c r="H46" s="26"/>
    </row>
    <row r="47" spans="1:8" ht="12.9" customHeight="1">
      <c r="A47" s="21" t="s">
        <v>143</v>
      </c>
      <c r="B47" s="22" t="s">
        <v>144</v>
      </c>
      <c r="C47" s="17" t="s">
        <v>145</v>
      </c>
      <c r="D47" s="17" t="s">
        <v>84</v>
      </c>
      <c r="E47" s="23">
        <v>4115108</v>
      </c>
      <c r="F47" s="24">
        <v>16011.885227999999</v>
      </c>
      <c r="G47" s="25">
        <v>1.2500000000000001E-2</v>
      </c>
      <c r="H47" s="26"/>
    </row>
    <row r="48" spans="1:8" ht="12.9" customHeight="1">
      <c r="A48" s="21" t="s">
        <v>146</v>
      </c>
      <c r="B48" s="22" t="s">
        <v>153</v>
      </c>
      <c r="C48" s="17" t="s">
        <v>154</v>
      </c>
      <c r="D48" s="17" t="s">
        <v>22</v>
      </c>
      <c r="E48" s="23">
        <v>4110034</v>
      </c>
      <c r="F48" s="24">
        <v>15653.064489</v>
      </c>
      <c r="G48" s="25">
        <v>1.2200000000000001E-2</v>
      </c>
      <c r="H48" s="26"/>
    </row>
    <row r="49" spans="1:8" ht="12.9" customHeight="1">
      <c r="A49" s="21" t="s">
        <v>149</v>
      </c>
      <c r="B49" s="22" t="s">
        <v>156</v>
      </c>
      <c r="C49" s="17" t="s">
        <v>157</v>
      </c>
      <c r="D49" s="17" t="s">
        <v>158</v>
      </c>
      <c r="E49" s="23">
        <v>236100</v>
      </c>
      <c r="F49" s="24">
        <v>15579.88485</v>
      </c>
      <c r="G49" s="25">
        <v>1.21E-2</v>
      </c>
      <c r="H49" s="26"/>
    </row>
    <row r="50" spans="1:8" ht="12.9" customHeight="1">
      <c r="A50" s="21" t="s">
        <v>152</v>
      </c>
      <c r="B50" s="22" t="s">
        <v>150</v>
      </c>
      <c r="C50" s="17" t="s">
        <v>151</v>
      </c>
      <c r="D50" s="17" t="s">
        <v>22</v>
      </c>
      <c r="E50" s="23">
        <v>1924853</v>
      </c>
      <c r="F50" s="24">
        <v>15254.460025</v>
      </c>
      <c r="G50" s="25">
        <v>1.1900000000000001E-2</v>
      </c>
      <c r="H50" s="26"/>
    </row>
    <row r="51" spans="1:8" ht="12.9" customHeight="1">
      <c r="A51" s="21" t="s">
        <v>155</v>
      </c>
      <c r="B51" s="22" t="s">
        <v>249</v>
      </c>
      <c r="C51" s="17" t="s">
        <v>160</v>
      </c>
      <c r="D51" s="17" t="s">
        <v>18</v>
      </c>
      <c r="E51" s="23">
        <v>2173688</v>
      </c>
      <c r="F51" s="24">
        <v>14978.884007999999</v>
      </c>
      <c r="G51" s="25">
        <v>1.17E-2</v>
      </c>
      <c r="H51" s="26"/>
    </row>
    <row r="52" spans="1:8" ht="12.9" customHeight="1">
      <c r="A52" s="21" t="s">
        <v>159</v>
      </c>
      <c r="B52" s="22" t="s">
        <v>140</v>
      </c>
      <c r="C52" s="17" t="s">
        <v>141</v>
      </c>
      <c r="D52" s="17" t="s">
        <v>142</v>
      </c>
      <c r="E52" s="23">
        <v>40506</v>
      </c>
      <c r="F52" s="24">
        <v>14846.846457</v>
      </c>
      <c r="G52" s="25">
        <v>1.1599999999999999E-2</v>
      </c>
      <c r="H52" s="26"/>
    </row>
    <row r="53" spans="1:8" ht="12.9" customHeight="1">
      <c r="A53" s="21" t="s">
        <v>161</v>
      </c>
      <c r="B53" s="22" t="s">
        <v>162</v>
      </c>
      <c r="C53" s="17" t="s">
        <v>163</v>
      </c>
      <c r="D53" s="17" t="s">
        <v>115</v>
      </c>
      <c r="E53" s="23">
        <v>2516462</v>
      </c>
      <c r="F53" s="24">
        <v>14041.857959999999</v>
      </c>
      <c r="G53" s="25">
        <v>1.0999999999999999E-2</v>
      </c>
      <c r="H53" s="26"/>
    </row>
    <row r="54" spans="1:8" ht="12.9" customHeight="1">
      <c r="A54" s="21" t="s">
        <v>164</v>
      </c>
      <c r="B54" s="22" t="s">
        <v>165</v>
      </c>
      <c r="C54" s="17" t="s">
        <v>166</v>
      </c>
      <c r="D54" s="17" t="s">
        <v>115</v>
      </c>
      <c r="E54" s="23">
        <v>22756441</v>
      </c>
      <c r="F54" s="24">
        <v>14017.967655999999</v>
      </c>
      <c r="G54" s="25">
        <v>1.09E-2</v>
      </c>
      <c r="H54" s="26"/>
    </row>
    <row r="55" spans="1:8" ht="12.9" customHeight="1">
      <c r="A55" s="21" t="s">
        <v>167</v>
      </c>
      <c r="B55" s="22" t="s">
        <v>168</v>
      </c>
      <c r="C55" s="17" t="s">
        <v>169</v>
      </c>
      <c r="D55" s="17" t="s">
        <v>170</v>
      </c>
      <c r="E55" s="23">
        <v>706815</v>
      </c>
      <c r="F55" s="24">
        <v>13178.565675</v>
      </c>
      <c r="G55" s="25">
        <v>1.03E-2</v>
      </c>
      <c r="H55" s="26"/>
    </row>
    <row r="56" spans="1:8" ht="12.9" customHeight="1">
      <c r="A56" s="21" t="s">
        <v>171</v>
      </c>
      <c r="B56" s="22" t="s">
        <v>175</v>
      </c>
      <c r="C56" s="17" t="s">
        <v>176</v>
      </c>
      <c r="D56" s="17" t="s">
        <v>158</v>
      </c>
      <c r="E56" s="23">
        <v>346504</v>
      </c>
      <c r="F56" s="24">
        <v>12824.459544000001</v>
      </c>
      <c r="G56" s="25">
        <v>0.01</v>
      </c>
      <c r="H56" s="26"/>
    </row>
    <row r="57" spans="1:8" ht="12.9" customHeight="1">
      <c r="A57" s="21" t="s">
        <v>174</v>
      </c>
      <c r="B57" s="22" t="s">
        <v>172</v>
      </c>
      <c r="C57" s="17" t="s">
        <v>173</v>
      </c>
      <c r="D57" s="17" t="s">
        <v>42</v>
      </c>
      <c r="E57" s="23">
        <v>1903281</v>
      </c>
      <c r="F57" s="24">
        <v>12274.259169000001</v>
      </c>
      <c r="G57" s="25">
        <v>9.5999999999999992E-3</v>
      </c>
      <c r="H57" s="26"/>
    </row>
    <row r="58" spans="1:8" ht="12.9" customHeight="1">
      <c r="A58" s="21" t="s">
        <v>177</v>
      </c>
      <c r="B58" s="22" t="s">
        <v>178</v>
      </c>
      <c r="C58" s="17" t="s">
        <v>179</v>
      </c>
      <c r="D58" s="17" t="s">
        <v>22</v>
      </c>
      <c r="E58" s="23">
        <v>5101743</v>
      </c>
      <c r="F58" s="24">
        <v>12157.453569000001</v>
      </c>
      <c r="G58" s="25">
        <v>9.4999999999999998E-3</v>
      </c>
      <c r="H58" s="26"/>
    </row>
    <row r="59" spans="1:8" ht="12.9" customHeight="1">
      <c r="A59" s="21" t="s">
        <v>180</v>
      </c>
      <c r="B59" s="22" t="s">
        <v>181</v>
      </c>
      <c r="C59" s="17" t="s">
        <v>182</v>
      </c>
      <c r="D59" s="17" t="s">
        <v>42</v>
      </c>
      <c r="E59" s="23">
        <v>207330</v>
      </c>
      <c r="F59" s="24">
        <v>11425.126979999999</v>
      </c>
      <c r="G59" s="25">
        <v>8.8999999999999999E-3</v>
      </c>
      <c r="H59" s="26"/>
    </row>
    <row r="60" spans="1:8" ht="12.9" customHeight="1">
      <c r="A60" s="21" t="s">
        <v>183</v>
      </c>
      <c r="B60" s="22" t="s">
        <v>193</v>
      </c>
      <c r="C60" s="17" t="s">
        <v>194</v>
      </c>
      <c r="D60" s="17" t="s">
        <v>26</v>
      </c>
      <c r="E60" s="23">
        <v>447874</v>
      </c>
      <c r="F60" s="24">
        <v>10545.865141</v>
      </c>
      <c r="G60" s="25">
        <v>8.2000000000000007E-3</v>
      </c>
      <c r="H60" s="26"/>
    </row>
    <row r="61" spans="1:8" ht="12.9" customHeight="1">
      <c r="A61" s="21" t="s">
        <v>186</v>
      </c>
      <c r="B61" s="22" t="s">
        <v>184</v>
      </c>
      <c r="C61" s="17" t="s">
        <v>185</v>
      </c>
      <c r="D61" s="17" t="s">
        <v>115</v>
      </c>
      <c r="E61" s="23">
        <v>206919</v>
      </c>
      <c r="F61" s="24">
        <v>10448.892202499999</v>
      </c>
      <c r="G61" s="25">
        <v>8.0999999999999996E-3</v>
      </c>
      <c r="H61" s="26"/>
    </row>
    <row r="62" spans="1:8" ht="12.9" customHeight="1">
      <c r="A62" s="21" t="s">
        <v>189</v>
      </c>
      <c r="B62" s="22" t="s">
        <v>187</v>
      </c>
      <c r="C62" s="17" t="s">
        <v>188</v>
      </c>
      <c r="D62" s="17" t="s">
        <v>56</v>
      </c>
      <c r="E62" s="23">
        <v>1750000</v>
      </c>
      <c r="F62" s="24">
        <v>10115</v>
      </c>
      <c r="G62" s="25">
        <v>7.9000000000000008E-3</v>
      </c>
      <c r="H62" s="26"/>
    </row>
    <row r="63" spans="1:8" ht="12.9" customHeight="1">
      <c r="A63" s="21" t="s">
        <v>192</v>
      </c>
      <c r="B63" s="22" t="s">
        <v>190</v>
      </c>
      <c r="C63" s="17" t="s">
        <v>191</v>
      </c>
      <c r="D63" s="17" t="s">
        <v>14</v>
      </c>
      <c r="E63" s="23">
        <v>19890328</v>
      </c>
      <c r="F63" s="24">
        <v>9984.9446559999997</v>
      </c>
      <c r="G63" s="25">
        <v>7.7999999999999996E-3</v>
      </c>
      <c r="H63" s="26"/>
    </row>
    <row r="64" spans="1:8" ht="12.9" customHeight="1">
      <c r="A64" s="21" t="s">
        <v>195</v>
      </c>
      <c r="B64" s="22" t="s">
        <v>203</v>
      </c>
      <c r="C64" s="17" t="s">
        <v>204</v>
      </c>
      <c r="D64" s="17" t="s">
        <v>205</v>
      </c>
      <c r="E64" s="23">
        <v>2267622</v>
      </c>
      <c r="F64" s="24">
        <v>9562.5619740000002</v>
      </c>
      <c r="G64" s="25">
        <v>7.4999999999999997E-3</v>
      </c>
      <c r="H64" s="26"/>
    </row>
    <row r="65" spans="1:8" ht="12.9" customHeight="1">
      <c r="A65" s="21" t="s">
        <v>198</v>
      </c>
      <c r="B65" s="22" t="s">
        <v>250</v>
      </c>
      <c r="C65" s="17" t="s">
        <v>216</v>
      </c>
      <c r="D65" s="17" t="s">
        <v>217</v>
      </c>
      <c r="E65" s="23">
        <v>375924</v>
      </c>
      <c r="F65" s="24">
        <v>9488.3217600000007</v>
      </c>
      <c r="G65" s="25">
        <v>7.4000000000000003E-3</v>
      </c>
      <c r="H65" s="26"/>
    </row>
    <row r="66" spans="1:8" ht="12.9" customHeight="1">
      <c r="A66" s="21" t="s">
        <v>202</v>
      </c>
      <c r="B66" s="22" t="s">
        <v>196</v>
      </c>
      <c r="C66" s="17" t="s">
        <v>197</v>
      </c>
      <c r="D66" s="17" t="s">
        <v>42</v>
      </c>
      <c r="E66" s="23">
        <v>1100044</v>
      </c>
      <c r="F66" s="24">
        <v>9107.8142979999993</v>
      </c>
      <c r="G66" s="25">
        <v>7.1000000000000004E-3</v>
      </c>
      <c r="H66" s="26"/>
    </row>
    <row r="67" spans="1:8" ht="12.9" customHeight="1">
      <c r="A67" s="21" t="s">
        <v>206</v>
      </c>
      <c r="B67" s="22" t="s">
        <v>210</v>
      </c>
      <c r="C67" s="17" t="s">
        <v>211</v>
      </c>
      <c r="D67" s="17" t="s">
        <v>158</v>
      </c>
      <c r="E67" s="23">
        <v>1856702</v>
      </c>
      <c r="F67" s="24">
        <v>8722.7859960000005</v>
      </c>
      <c r="G67" s="25">
        <v>6.7999999999999996E-3</v>
      </c>
      <c r="H67" s="26"/>
    </row>
    <row r="68" spans="1:8" ht="12.9" customHeight="1">
      <c r="A68" s="21" t="s">
        <v>209</v>
      </c>
      <c r="B68" s="22" t="s">
        <v>219</v>
      </c>
      <c r="C68" s="17" t="s">
        <v>220</v>
      </c>
      <c r="D68" s="17" t="s">
        <v>22</v>
      </c>
      <c r="E68" s="23">
        <v>425922</v>
      </c>
      <c r="F68" s="24">
        <v>8416.8576030000004</v>
      </c>
      <c r="G68" s="25">
        <v>6.6E-3</v>
      </c>
      <c r="H68" s="26"/>
    </row>
    <row r="69" spans="1:8" ht="12.9" customHeight="1">
      <c r="A69" s="21" t="s">
        <v>212</v>
      </c>
      <c r="B69" s="22" t="s">
        <v>213</v>
      </c>
      <c r="C69" s="17" t="s">
        <v>214</v>
      </c>
      <c r="D69" s="17" t="s">
        <v>80</v>
      </c>
      <c r="E69" s="23">
        <v>421099</v>
      </c>
      <c r="F69" s="24">
        <v>8234.1698460000007</v>
      </c>
      <c r="G69" s="25">
        <v>6.4000000000000003E-3</v>
      </c>
      <c r="H69" s="26"/>
    </row>
    <row r="70" spans="1:8" ht="12.9" customHeight="1">
      <c r="A70" s="21" t="s">
        <v>215</v>
      </c>
      <c r="B70" s="22" t="s">
        <v>207</v>
      </c>
      <c r="C70" s="17" t="s">
        <v>208</v>
      </c>
      <c r="D70" s="17" t="s">
        <v>158</v>
      </c>
      <c r="E70" s="23">
        <v>1788333</v>
      </c>
      <c r="F70" s="24">
        <v>8153.9043135000002</v>
      </c>
      <c r="G70" s="25">
        <v>6.4000000000000003E-3</v>
      </c>
      <c r="H70" s="26"/>
    </row>
    <row r="71" spans="1:8" ht="12.9" customHeight="1">
      <c r="A71" s="21" t="s">
        <v>218</v>
      </c>
      <c r="B71" s="22" t="s">
        <v>251</v>
      </c>
      <c r="C71" s="17" t="s">
        <v>252</v>
      </c>
      <c r="D71" s="17" t="s">
        <v>22</v>
      </c>
      <c r="E71" s="23">
        <v>166110</v>
      </c>
      <c r="F71" s="24">
        <v>7846.2889050000003</v>
      </c>
      <c r="G71" s="25">
        <v>6.1000000000000004E-3</v>
      </c>
      <c r="H71" s="26"/>
    </row>
    <row r="72" spans="1:8" ht="12.9" customHeight="1">
      <c r="A72" s="21" t="s">
        <v>221</v>
      </c>
      <c r="B72" s="22" t="s">
        <v>253</v>
      </c>
      <c r="C72" s="17" t="s">
        <v>254</v>
      </c>
      <c r="D72" s="17" t="s">
        <v>115</v>
      </c>
      <c r="E72" s="23">
        <v>268906</v>
      </c>
      <c r="F72" s="24">
        <v>7631.8211860000001</v>
      </c>
      <c r="G72" s="25">
        <v>6.0000000000000001E-3</v>
      </c>
      <c r="H72" s="26"/>
    </row>
    <row r="73" spans="1:8" ht="12.9" customHeight="1">
      <c r="A73" s="21" t="s">
        <v>224</v>
      </c>
      <c r="B73" s="22" t="s">
        <v>228</v>
      </c>
      <c r="C73" s="17" t="s">
        <v>229</v>
      </c>
      <c r="D73" s="17" t="s">
        <v>132</v>
      </c>
      <c r="E73" s="23">
        <v>2633164</v>
      </c>
      <c r="F73" s="24">
        <v>5929.8853279999994</v>
      </c>
      <c r="G73" s="25">
        <v>4.5999999999999999E-3</v>
      </c>
      <c r="H73" s="26"/>
    </row>
    <row r="74" spans="1:8" ht="12.9" customHeight="1">
      <c r="A74" s="21" t="s">
        <v>227</v>
      </c>
      <c r="B74" s="22" t="s">
        <v>222</v>
      </c>
      <c r="C74" s="17" t="s">
        <v>223</v>
      </c>
      <c r="D74" s="17" t="s">
        <v>115</v>
      </c>
      <c r="E74" s="23">
        <v>2102679</v>
      </c>
      <c r="F74" s="24">
        <v>5814.9587745000008</v>
      </c>
      <c r="G74" s="25">
        <v>4.4999999999999997E-3</v>
      </c>
      <c r="H74" s="26"/>
    </row>
    <row r="75" spans="1:8" ht="12.9" customHeight="1">
      <c r="A75" s="21" t="s">
        <v>230</v>
      </c>
      <c r="B75" s="22" t="s">
        <v>199</v>
      </c>
      <c r="C75" s="17" t="s">
        <v>200</v>
      </c>
      <c r="D75" s="17" t="s">
        <v>201</v>
      </c>
      <c r="E75" s="23">
        <v>757261</v>
      </c>
      <c r="F75" s="24">
        <v>5079.7067880000004</v>
      </c>
      <c r="G75" s="25">
        <v>4.0000000000000001E-3</v>
      </c>
      <c r="H75" s="26"/>
    </row>
    <row r="76" spans="1:8" ht="12.9" customHeight="1">
      <c r="A76" s="21" t="s">
        <v>231</v>
      </c>
      <c r="B76" s="22" t="s">
        <v>225</v>
      </c>
      <c r="C76" s="17" t="s">
        <v>226</v>
      </c>
      <c r="D76" s="17" t="s">
        <v>205</v>
      </c>
      <c r="E76" s="23">
        <v>568524</v>
      </c>
      <c r="F76" s="24">
        <v>5115.5789519999998</v>
      </c>
      <c r="G76" s="25">
        <v>4.0000000000000001E-3</v>
      </c>
      <c r="H76" s="26"/>
    </row>
    <row r="77" spans="1:8" ht="12.9" customHeight="1">
      <c r="A77" s="21" t="s">
        <v>234</v>
      </c>
      <c r="B77" s="22" t="s">
        <v>255</v>
      </c>
      <c r="C77" s="17" t="s">
        <v>256</v>
      </c>
      <c r="D77" s="17" t="s">
        <v>22</v>
      </c>
      <c r="E77" s="23">
        <v>244174</v>
      </c>
      <c r="F77" s="24">
        <v>4333.2338909999999</v>
      </c>
      <c r="G77" s="25">
        <v>3.3999999999999998E-3</v>
      </c>
      <c r="H77" s="26"/>
    </row>
    <row r="78" spans="1:8" ht="12.9" customHeight="1">
      <c r="A78" s="2"/>
      <c r="B78" s="22" t="s">
        <v>232</v>
      </c>
      <c r="C78" s="17" t="s">
        <v>233</v>
      </c>
      <c r="D78" s="17" t="s">
        <v>142</v>
      </c>
      <c r="E78" s="23">
        <v>330000</v>
      </c>
      <c r="F78" s="24">
        <v>3247.3649999999998</v>
      </c>
      <c r="G78" s="25">
        <v>2.5000000000000001E-3</v>
      </c>
      <c r="H78" s="26"/>
    </row>
    <row r="79" spans="1:8" ht="12.9" customHeight="1">
      <c r="A79" s="2"/>
      <c r="B79" s="16" t="s">
        <v>235</v>
      </c>
      <c r="C79" s="17"/>
      <c r="D79" s="17"/>
      <c r="E79" s="17"/>
      <c r="F79" s="27">
        <f>SUM(F11:F78)</f>
        <v>1243785.2729480001</v>
      </c>
      <c r="G79" s="42">
        <f>SUM(G11:G78)</f>
        <v>0.97009999999999985</v>
      </c>
      <c r="H79" s="29"/>
    </row>
    <row r="80" spans="1:8" ht="12.9" customHeight="1">
      <c r="A80" s="2"/>
      <c r="B80" s="30" t="s">
        <v>236</v>
      </c>
      <c r="C80" s="31"/>
      <c r="D80" s="31"/>
      <c r="E80" s="31"/>
      <c r="F80" s="32" t="s">
        <v>237</v>
      </c>
      <c r="G80" s="28" t="s">
        <v>237</v>
      </c>
      <c r="H80" s="29"/>
    </row>
    <row r="81" spans="1:8" ht="12.9" customHeight="1">
      <c r="A81" s="2"/>
      <c r="B81" s="30" t="s">
        <v>235</v>
      </c>
      <c r="C81" s="31"/>
      <c r="D81" s="31"/>
      <c r="E81" s="31"/>
      <c r="F81" s="32" t="s">
        <v>237</v>
      </c>
      <c r="G81" s="28" t="s">
        <v>237</v>
      </c>
      <c r="H81" s="29"/>
    </row>
    <row r="82" spans="1:8" ht="12.9" customHeight="1">
      <c r="A82" s="2"/>
      <c r="B82" s="30" t="s">
        <v>238</v>
      </c>
      <c r="C82" s="33"/>
      <c r="D82" s="31"/>
      <c r="E82" s="33"/>
      <c r="F82" s="27">
        <v>1243785.2729480001</v>
      </c>
      <c r="G82" s="28">
        <v>0.97009999999999985</v>
      </c>
      <c r="H82" s="29"/>
    </row>
    <row r="83" spans="1:8" ht="12.9" customHeight="1">
      <c r="A83" s="21" t="s">
        <v>240</v>
      </c>
      <c r="B83" s="16" t="s">
        <v>239</v>
      </c>
      <c r="C83" s="17"/>
      <c r="D83" s="17"/>
      <c r="E83" s="17"/>
      <c r="F83" s="18"/>
      <c r="G83" s="19"/>
      <c r="H83" s="20"/>
    </row>
    <row r="84" spans="1:8" ht="12.9" customHeight="1">
      <c r="A84" s="2"/>
      <c r="B84" s="22" t="s">
        <v>241</v>
      </c>
      <c r="C84" s="17"/>
      <c r="D84" s="17" t="s">
        <v>242</v>
      </c>
      <c r="E84" s="23"/>
      <c r="F84" s="24">
        <v>45989.52721</v>
      </c>
      <c r="G84" s="25">
        <v>3.5900000000000001E-2</v>
      </c>
      <c r="H84" s="26"/>
    </row>
    <row r="85" spans="1:8" ht="12.9" customHeight="1">
      <c r="A85" s="2"/>
      <c r="B85" s="16" t="s">
        <v>235</v>
      </c>
      <c r="C85" s="17"/>
      <c r="D85" s="17"/>
      <c r="E85" s="17"/>
      <c r="F85" s="27">
        <v>45989.52721</v>
      </c>
      <c r="G85" s="28">
        <v>3.5900000000000001E-2</v>
      </c>
      <c r="H85" s="29"/>
    </row>
    <row r="86" spans="1:8" ht="12.9" customHeight="1">
      <c r="A86" s="2"/>
      <c r="B86" s="30" t="s">
        <v>238</v>
      </c>
      <c r="C86" s="33"/>
      <c r="D86" s="31"/>
      <c r="E86" s="33"/>
      <c r="F86" s="27">
        <v>45989.52721</v>
      </c>
      <c r="G86" s="28">
        <v>3.5900000000000001E-2</v>
      </c>
      <c r="H86" s="29"/>
    </row>
    <row r="87" spans="1:8" ht="12.9" customHeight="1">
      <c r="A87" s="2"/>
      <c r="B87" s="30" t="s">
        <v>243</v>
      </c>
      <c r="C87" s="17"/>
      <c r="D87" s="31"/>
      <c r="E87" s="17"/>
      <c r="F87" s="27">
        <v>-7428.1260377880999</v>
      </c>
      <c r="G87" s="28">
        <v>-6.0000000000000001E-3</v>
      </c>
      <c r="H87" s="29"/>
    </row>
    <row r="88" spans="1:8" ht="12.9" customHeight="1" thickBot="1">
      <c r="A88" s="2"/>
      <c r="B88" s="34" t="s">
        <v>244</v>
      </c>
      <c r="C88" s="35"/>
      <c r="D88" s="35"/>
      <c r="E88" s="35"/>
      <c r="F88" s="36">
        <f>F82+F86+F87</f>
        <v>1282346.674120212</v>
      </c>
      <c r="G88" s="43">
        <f>G82+G86+G87</f>
        <v>0.99999999999999978</v>
      </c>
      <c r="H88" s="37"/>
    </row>
    <row r="89" spans="1:8" ht="12.9" customHeight="1">
      <c r="A89" s="2"/>
      <c r="B89" s="4"/>
      <c r="C89" s="3"/>
      <c r="D89" s="3"/>
      <c r="E89" s="3"/>
      <c r="F89" s="44"/>
      <c r="G89" s="45"/>
      <c r="H89" s="46"/>
    </row>
    <row r="90" spans="1:8" ht="12.9" customHeight="1" thickBot="1">
      <c r="A90" s="2"/>
      <c r="B90" s="3"/>
      <c r="C90" s="2"/>
      <c r="D90" s="2"/>
      <c r="E90" s="2"/>
      <c r="F90" s="5"/>
      <c r="G90" s="6"/>
      <c r="H90" s="2"/>
    </row>
    <row r="91" spans="1:8" ht="12.9" customHeight="1" thickBot="1">
      <c r="A91" s="2"/>
      <c r="B91" s="38" t="s">
        <v>245</v>
      </c>
      <c r="C91" s="39" t="s">
        <v>246</v>
      </c>
      <c r="D91" s="2"/>
      <c r="E91" s="2"/>
      <c r="F91" s="59"/>
      <c r="G91" s="6"/>
      <c r="H91" s="2"/>
    </row>
    <row r="92" spans="1:8" ht="12.9" customHeight="1">
      <c r="A92" s="2"/>
      <c r="B92" s="4"/>
      <c r="C92" s="2"/>
      <c r="D92" s="2"/>
      <c r="E92" s="2"/>
      <c r="F92" s="5"/>
      <c r="G92" s="6"/>
      <c r="H92" s="2"/>
    </row>
    <row r="93" spans="1:8" ht="12.9" customHeight="1">
      <c r="A93" s="2"/>
      <c r="B93" s="4"/>
      <c r="C93" s="2"/>
      <c r="D93" s="2"/>
      <c r="E93" s="2"/>
      <c r="F93" s="5"/>
      <c r="G93" s="6"/>
      <c r="H93" s="2"/>
    </row>
  </sheetData>
  <mergeCells count="2">
    <mergeCell ref="B1:H2"/>
    <mergeCell ref="B3:H4"/>
  </mergeCells>
  <hyperlinks>
    <hyperlink ref="A1" location="Sheet1!A1" display="Home" xr:uid="{2AA4B70E-BD56-4F82-8C1E-1B7C0C25310D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Shazma Mushtaq</cp:lastModifiedBy>
  <dcterms:created xsi:type="dcterms:W3CDTF">2023-11-10T04:44:12Z</dcterms:created>
  <dcterms:modified xsi:type="dcterms:W3CDTF">2023-12-05T09:32:36Z</dcterms:modified>
</cp:coreProperties>
</file>