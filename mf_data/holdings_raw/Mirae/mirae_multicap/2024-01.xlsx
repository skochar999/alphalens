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MPF" sheetId="1" r:id="rId1"/>
  </sheets>
  <definedNames>
    <definedName name="_xlnm._FilterDatabase" localSheetId="0" hidden="1">MAMPF!$H$8:$J$430</definedName>
    <definedName name="JR_PAGE_ANCHOR_0_28">MAMPF!$A$5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0" i="1" l="1"/>
  <c r="F90" i="1"/>
  <c r="F97" i="1" l="1"/>
  <c r="G97" i="1"/>
  <c r="F96" i="1"/>
  <c r="G96" i="1"/>
  <c r="G93" i="1" l="1"/>
  <c r="G99" i="1" s="1"/>
  <c r="F93" i="1"/>
  <c r="F99" i="1" s="1"/>
</calcChain>
</file>

<file path=xl/sharedStrings.xml><?xml version="1.0" encoding="utf-8"?>
<sst xmlns="http://schemas.openxmlformats.org/spreadsheetml/2006/main" count="343" uniqueCount="290">
  <si>
    <t>Home</t>
  </si>
  <si>
    <t>Mirae Asset Multicap Fund</t>
  </si>
  <si>
    <t>(Multi Cap - An open-ended equity scheme investing across large cap, mid cap and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</si>
  <si>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</si>
  <si>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</si>
  <si>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</si>
  <si>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</si>
  <si>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</si>
  <si>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</si>
  <si>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</si>
  <si>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</si>
  <si>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</si>
  <si>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</si>
  <si>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</si>
  <si>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</si>
  <si>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</si>
  <si>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</si>
  <si>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</si>
  <si>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</si>
  <si>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</si>
  <si>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</si>
  <si>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</si>
  <si>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</si>
  <si>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</si>
  <si>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</si>
  <si>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</si>
  <si>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</si>
  <si>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</si>
  <si>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</si>
  <si>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</si>
  <si>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</si>
  <si>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</si>
  <si>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</si>
  <si>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</si>
  <si>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</si>
  <si>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</si>
  <si>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</si>
  <si>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</si>
  <si>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</si>
  <si>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</si>
  <si>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</si>
  <si>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</si>
  <si>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</si>
  <si>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</si>
  <si>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FEBA02</t>
  </si>
  <si>
    <t>INE171A01029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</si>
  <si>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</si>
  <si>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</si>
  <si>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</si>
  <si>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</si>
  <si>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</si>
  <si>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</si>
  <si>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</si>
  <si>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IT - Software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</si>
  <si>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</si>
  <si>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</si>
  <si>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</si>
  <si>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</si>
  <si>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</si>
  <si>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</si>
  <si>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</si>
  <si>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CGCE01</t>
  </si>
  <si>
    <t>Crompton Greaves Consumer Electricals Limited</t>
  </si>
  <si>
    <t>INE299U01018</t>
  </si>
  <si>
    <t>Consumer Durables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</si>
  <si>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</si>
  <si>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</si>
  <si>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</si>
  <si>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</si>
  <si>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</si>
  <si>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</si>
  <si>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</si>
  <si>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RCAM01</t>
  </si>
  <si>
    <t>Nippon Life India Asset Management Limited</t>
  </si>
  <si>
    <t>INE298J01013</t>
  </si>
  <si>
    <t>Capital Markets</t>
  </si>
  <si>
    <t>LICH02</t>
  </si>
  <si>
    <t>LIC Housing Finance Limited</t>
  </si>
  <si>
    <t>INE115A01026</t>
  </si>
  <si>
    <t>Finance</t>
  </si>
  <si>
    <t>LUPL02</t>
  </si>
  <si>
    <t>Lupin Limited</t>
  </si>
  <si>
    <t>INE326A01037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</si>
  <si>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</si>
  <si>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</si>
  <si>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</si>
  <si>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</si>
  <si>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</si>
  <si>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</si>
  <si>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</si>
  <si>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GSPL01</t>
  </si>
  <si>
    <t>Gujarat State Petronet Limited</t>
  </si>
  <si>
    <t>INE246F01010</t>
  </si>
  <si>
    <t>Gas</t>
  </si>
  <si>
    <t>GRFL02</t>
  </si>
  <si>
    <t>Gateway Distriparks Limited</t>
  </si>
  <si>
    <t>INE079J01017</t>
  </si>
  <si>
    <t>Transport Services</t>
  </si>
  <si>
    <t>RPGP01</t>
  </si>
  <si>
    <t>RPG Life Sciences Limited</t>
  </si>
  <si>
    <t>INE105J01010</t>
  </si>
  <si>
    <t>TLSL01</t>
  </si>
  <si>
    <t>INE985S01024</t>
  </si>
  <si>
    <t>Commercial Services &amp; Supplies</t>
  </si>
  <si>
    <t>VIDI01</t>
  </si>
  <si>
    <t>Vijaya Diagnostic Centre Limited</t>
  </si>
  <si>
    <t>INE043W01024</t>
  </si>
  <si>
    <t>Healthcare Services</t>
  </si>
  <si>
    <t>BAYE02</t>
  </si>
  <si>
    <t>Bayer Cropscience Limited</t>
  </si>
  <si>
    <t>INE462A01022</t>
  </si>
  <si>
    <t>Fertilizers &amp; Agrochemicals</t>
  </si>
  <si>
    <t>FRHL01</t>
  </si>
  <si>
    <t>Fortis Healthcare Limited</t>
  </si>
  <si>
    <t>INE061F01013</t>
  </si>
  <si>
    <t>NRBB02</t>
  </si>
  <si>
    <t>NRB Bearing Limited</t>
  </si>
  <si>
    <t>INE349A01021</t>
  </si>
  <si>
    <t>Auto Components</t>
  </si>
  <si>
    <t>FSNE01</t>
  </si>
  <si>
    <t>FSN E-Commerce Ventures Limited</t>
  </si>
  <si>
    <t>INE388Y01029</t>
  </si>
  <si>
    <t>Retailing</t>
  </si>
  <si>
    <t>NMDC01</t>
  </si>
  <si>
    <t>NMDC Limited</t>
  </si>
  <si>
    <t>INE584A01023</t>
  </si>
  <si>
    <t>Minerals &amp; Mining</t>
  </si>
  <si>
    <t>EIML02</t>
  </si>
  <si>
    <t>Eicher Motors Limited</t>
  </si>
  <si>
    <t>INE066A01021</t>
  </si>
  <si>
    <t>Automobiles</t>
  </si>
  <si>
    <t>WIPR02</t>
  </si>
  <si>
    <t>Wipro Limited</t>
  </si>
  <si>
    <t>INE075A01022</t>
  </si>
  <si>
    <t>INFS02</t>
  </si>
  <si>
    <t>Infosys Limited</t>
  </si>
  <si>
    <t>INE009A01021</t>
  </si>
  <si>
    <t>DABU02</t>
  </si>
  <si>
    <t>Dabur India Limited</t>
  </si>
  <si>
    <t>INE016A01026</t>
  </si>
  <si>
    <t>Personal Products</t>
  </si>
  <si>
    <t>CEAT02</t>
  </si>
  <si>
    <t>CEAT Limited</t>
  </si>
  <si>
    <t>INE482A01020</t>
  </si>
  <si>
    <t>PAGE01</t>
  </si>
  <si>
    <t>Page Industries Limited</t>
  </si>
  <si>
    <t>INE761H01022</t>
  </si>
  <si>
    <t>Textiles &amp; Apparels</t>
  </si>
  <si>
    <t>JYLL02</t>
  </si>
  <si>
    <t>Jyothy Labs Limited</t>
  </si>
  <si>
    <t>INE668F01031</t>
  </si>
  <si>
    <t>Household Products</t>
  </si>
  <si>
    <t>CAMP01</t>
  </si>
  <si>
    <t>Campus Activewear Limited</t>
  </si>
  <si>
    <t>INE278Y01022</t>
  </si>
  <si>
    <t>SBCP01</t>
  </si>
  <si>
    <t>NACL03</t>
  </si>
  <si>
    <t>SSNL02</t>
  </si>
  <si>
    <t>Delhivery Limited</t>
  </si>
  <si>
    <t>INE148O01028</t>
  </si>
  <si>
    <t>PREP01</t>
  </si>
  <si>
    <t>Prestige Estates Projects Limited</t>
  </si>
  <si>
    <t>INE811K01011</t>
  </si>
  <si>
    <t>Realty</t>
  </si>
  <si>
    <t>IEEL02</t>
  </si>
  <si>
    <t>AVAT01</t>
  </si>
  <si>
    <t>Avalon Technologies Limited</t>
  </si>
  <si>
    <t>INE0LCL01028</t>
  </si>
  <si>
    <t>Electrical Equipment</t>
  </si>
  <si>
    <t>MSUW01</t>
  </si>
  <si>
    <t>Motherson Sumi Wiring India Limited</t>
  </si>
  <si>
    <t>INE0FS801015</t>
  </si>
  <si>
    <t>INAV01</t>
  </si>
  <si>
    <t>InterGlobe Aviation Limited</t>
  </si>
  <si>
    <t>INE646L01027</t>
  </si>
  <si>
    <t>IPPL01</t>
  </si>
  <si>
    <t>Indigo Paints Limited</t>
  </si>
  <si>
    <t>INE09VQ01012</t>
  </si>
  <si>
    <t>MAHI02</t>
  </si>
  <si>
    <t>Mahindra &amp; Mahindra Limited</t>
  </si>
  <si>
    <t>INE101A01026</t>
  </si>
  <si>
    <t>SHTR01</t>
  </si>
  <si>
    <t>Shriram Finance Limited</t>
  </si>
  <si>
    <t>INE721A01013</t>
  </si>
  <si>
    <t>AVHF01</t>
  </si>
  <si>
    <t>Aptus Value Housing Finance India Limited</t>
  </si>
  <si>
    <t>INE852O01025</t>
  </si>
  <si>
    <t>GFPL01</t>
  </si>
  <si>
    <t>Go Fashion (India) Limited</t>
  </si>
  <si>
    <t>INE0BJS01011</t>
  </si>
  <si>
    <t>HLEL02</t>
  </si>
  <si>
    <t>Hindustan Unilever Limited</t>
  </si>
  <si>
    <t>INE030A01027</t>
  </si>
  <si>
    <t>Diversified FMCG</t>
  </si>
  <si>
    <t>BHFO02</t>
  </si>
  <si>
    <t>Bharat Forge Limited</t>
  </si>
  <si>
    <t>INE465A01025</t>
  </si>
  <si>
    <t>Industrial Products</t>
  </si>
  <si>
    <t>PPFL01</t>
  </si>
  <si>
    <t>INE689W01016</t>
  </si>
  <si>
    <t>EFPL01</t>
  </si>
  <si>
    <t>Equitas Small Finance Bank Limited</t>
  </si>
  <si>
    <t>INE063P01018</t>
  </si>
  <si>
    <t>ZMPL01</t>
  </si>
  <si>
    <t>Zomato Limited</t>
  </si>
  <si>
    <t>INE758T01015</t>
  </si>
  <si>
    <t>STOV02</t>
  </si>
  <si>
    <t>KAVY06</t>
  </si>
  <si>
    <t>CHEM04</t>
  </si>
  <si>
    <t>Chemplast Sanmar Limited</t>
  </si>
  <si>
    <t>INE488A01050</t>
  </si>
  <si>
    <t>Chemicals &amp; Petrochemicals</t>
  </si>
  <si>
    <t>ITCL02</t>
  </si>
  <si>
    <t>ITC Limited</t>
  </si>
  <si>
    <t>INE154A01025</t>
  </si>
  <si>
    <t>KELV01</t>
  </si>
  <si>
    <t>Whirlpool of India Limited</t>
  </si>
  <si>
    <t>INE716A01013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</si>
  <si>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</si>
  <si>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</si>
  <si>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</si>
  <si>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</si>
  <si>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</si>
  <si>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</si>
  <si>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</si>
  <si>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</si>
  <si>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</si>
  <si>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GRPA01</t>
  </si>
  <si>
    <t>SUCH02</t>
  </si>
  <si>
    <t>Sudarshan Chemical Industries Limited</t>
  </si>
  <si>
    <t>INE659A01023</t>
  </si>
  <si>
    <t>ELMA01</t>
  </si>
  <si>
    <t>Electronics Mart India Limited</t>
  </si>
  <si>
    <t>INE02YR01019</t>
  </si>
  <si>
    <t>KPIT03</t>
  </si>
  <si>
    <t>Birlasoft Limited</t>
  </si>
  <si>
    <t>INE836A01035</t>
  </si>
  <si>
    <t>STHE01</t>
  </si>
  <si>
    <t>CEPL02</t>
  </si>
  <si>
    <t>Century Plyboards (India) Limited</t>
  </si>
  <si>
    <t>INE348B01021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</si>
  <si>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</si>
  <si>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</si>
  <si>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</si>
  <si>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</si>
  <si>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</si>
  <si>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</si>
  <si>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RRKL01</t>
  </si>
  <si>
    <t>MAUD01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</si>
  <si>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</si>
  <si>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</si>
  <si>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</si>
  <si>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</si>
  <si>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</si>
  <si>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</si>
  <si>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</si>
  <si>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</si>
  <si>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</si>
  <si>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</si>
  <si>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Container Corporation of India Limited</t>
  </si>
  <si>
    <t>INE111A01025</t>
  </si>
  <si>
    <t>Flair Writing Industries</t>
  </si>
  <si>
    <t>INE00Y201027</t>
  </si>
  <si>
    <t>Fusion Micro Finance Limited</t>
  </si>
  <si>
    <t>Indian Bank</t>
  </si>
  <si>
    <t>KFin Technologies Limited</t>
  </si>
  <si>
    <t>Kolte - Patil Developers Limited</t>
  </si>
  <si>
    <t>INE139R01012</t>
  </si>
  <si>
    <t>INE562A01011</t>
  </si>
  <si>
    <t>INE138Y01010</t>
  </si>
  <si>
    <t>INE094I01018</t>
  </si>
  <si>
    <t>Monthly Portfolio Statement as on January 31,2024</t>
  </si>
  <si>
    <t>Data Patterns (India) Limited</t>
  </si>
  <si>
    <t>The Federal Bank  Limited</t>
  </si>
  <si>
    <t>Oracle Financial Services Software Limited</t>
  </si>
  <si>
    <t>Cyient Limited</t>
  </si>
  <si>
    <t>Medi Assist Healthcare Services Limited</t>
  </si>
  <si>
    <t>NHPC Limited</t>
  </si>
  <si>
    <t>One 97 Communications Limited</t>
  </si>
  <si>
    <t>Prince Pipes and Fittings Limited</t>
  </si>
  <si>
    <t>Teamlease Services Limited</t>
  </si>
  <si>
    <t>INE0IX101010</t>
  </si>
  <si>
    <t>INE881D01027</t>
  </si>
  <si>
    <t>INE136B01020</t>
  </si>
  <si>
    <t>INE456Z01021</t>
  </si>
  <si>
    <t>INE848E01016</t>
  </si>
  <si>
    <t>INE982J01020</t>
  </si>
  <si>
    <t>Aerospace &amp; Defense</t>
  </si>
  <si>
    <t>IT - Services</t>
  </si>
  <si>
    <t>Financial Technology (Fintech)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</si>
</sst>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BA8A4E7-40D1-4BDB-9ACF-DBF21AE19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0953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</xdr:colOff>
      <xdr:row>100</xdr:row>
      <xdr:rowOff>74295</xdr:rowOff>
    </xdr:from>
    <xdr:to>
      <xdr:col>3</xdr:col>
      <xdr:colOff>1186815</xdr:colOff>
      <xdr:row>107</xdr:row>
      <xdr:rowOff>47625</xdr:rowOff>
    </xdr:to>
    <xdr:pic>
      <xdr:nvPicPr>
        <xdr:cNvPr id="3" name="Picture 2" descr="Mirae Asset RISKOMETER">
          <a:extLst>
            <a:ext uri="{FF2B5EF4-FFF2-40B4-BE49-F238E27FC236}">
              <a16:creationId xmlns="" xmlns:a16="http://schemas.microsoft.com/office/drawing/2014/main" id="{49FDD8A6-61FF-49B0-8520-1E43EA9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6213455"/>
          <a:ext cx="5934075" cy="1230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I101"/>
  <sheetViews>
    <sheetView tabSelected="1" topLeftCell="A88" workbookViewId="0">
      <selection activeCell="E111" sqref="E11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38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1" t="s">
        <v>1</v>
      </c>
      <c r="C1" s="42"/>
      <c r="D1" s="42"/>
      <c r="E1" s="42"/>
      <c r="F1" s="42"/>
      <c r="G1" s="42"/>
      <c r="H1" s="43"/>
      <c r="I1"/>
    </row>
    <row r="2" spans="1:9" ht="12.95" customHeight="1">
      <c r="A2" s="2"/>
      <c r="B2" s="44"/>
      <c r="C2" s="45"/>
      <c r="D2" s="45"/>
      <c r="E2" s="45"/>
      <c r="F2" s="45"/>
      <c r="G2" s="45"/>
      <c r="H2" s="46"/>
      <c r="I2"/>
    </row>
    <row r="3" spans="1:9">
      <c r="A3" s="2"/>
      <c r="B3" s="47" t="s">
        <v>2</v>
      </c>
      <c r="C3" s="48"/>
      <c r="D3" s="48"/>
      <c r="E3" s="48"/>
      <c r="F3" s="48"/>
      <c r="G3" s="48"/>
      <c r="H3" s="49"/>
      <c r="I3"/>
    </row>
    <row r="4" spans="1:9" ht="13.5" customHeight="1" thickBot="1">
      <c r="A4" s="2"/>
      <c r="B4" s="50"/>
      <c r="C4" s="51"/>
      <c r="D4" s="51"/>
      <c r="E4" s="51"/>
      <c r="F4" s="51"/>
      <c r="G4" s="51"/>
      <c r="H4" s="52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271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662395</v>
      </c>
      <c r="F11" s="24">
        <v>9687.8580724999993</v>
      </c>
      <c r="G11" s="25">
        <v>4.1000000000000002E-2</v>
      </c>
      <c r="H11" s="26"/>
    </row>
    <row r="12" spans="1:9" ht="12.95" customHeight="1">
      <c r="A12" s="2"/>
      <c r="B12" s="22" t="s">
        <v>17</v>
      </c>
      <c r="C12" s="17" t="s">
        <v>18</v>
      </c>
      <c r="D12" s="17" t="s">
        <v>15</v>
      </c>
      <c r="E12" s="23">
        <v>687145</v>
      </c>
      <c r="F12" s="24">
        <v>7064.8813174999996</v>
      </c>
      <c r="G12" s="25">
        <v>2.9899999999999999E-2</v>
      </c>
      <c r="H12" s="26"/>
    </row>
    <row r="13" spans="1:9" ht="12.95" customHeight="1">
      <c r="A13" s="21" t="s">
        <v>12</v>
      </c>
      <c r="B13" s="22" t="s">
        <v>35</v>
      </c>
      <c r="C13" s="17" t="s">
        <v>36</v>
      </c>
      <c r="D13" s="17" t="s">
        <v>15</v>
      </c>
      <c r="E13" s="23">
        <v>631852</v>
      </c>
      <c r="F13" s="24">
        <v>6746.5997299999999</v>
      </c>
      <c r="G13" s="25">
        <v>2.86E-2</v>
      </c>
      <c r="H13" s="26"/>
    </row>
    <row r="14" spans="1:9" ht="12.95" customHeight="1">
      <c r="A14" s="21" t="s">
        <v>16</v>
      </c>
      <c r="B14" s="22" t="s">
        <v>20</v>
      </c>
      <c r="C14" s="17" t="s">
        <v>21</v>
      </c>
      <c r="D14" s="17" t="s">
        <v>22</v>
      </c>
      <c r="E14" s="23">
        <v>181341</v>
      </c>
      <c r="F14" s="24">
        <v>6310.2134475000003</v>
      </c>
      <c r="G14" s="25">
        <v>2.6700000000000002E-2</v>
      </c>
      <c r="H14" s="26"/>
    </row>
    <row r="15" spans="1:9" ht="12.95" customHeight="1">
      <c r="A15" s="21" t="s">
        <v>19</v>
      </c>
      <c r="B15" s="22" t="s">
        <v>24</v>
      </c>
      <c r="C15" s="17" t="s">
        <v>25</v>
      </c>
      <c r="D15" s="17" t="s">
        <v>15</v>
      </c>
      <c r="E15" s="23">
        <v>920884</v>
      </c>
      <c r="F15" s="24">
        <v>5898.2620200000001</v>
      </c>
      <c r="G15" s="25">
        <v>2.5000000000000001E-2</v>
      </c>
      <c r="H15" s="26"/>
    </row>
    <row r="16" spans="1:9" ht="12.95" customHeight="1">
      <c r="A16" s="21" t="s">
        <v>23</v>
      </c>
      <c r="B16" s="22" t="s">
        <v>42</v>
      </c>
      <c r="C16" s="17" t="s">
        <v>43</v>
      </c>
      <c r="D16" s="17" t="s">
        <v>15</v>
      </c>
      <c r="E16" s="23">
        <v>285572</v>
      </c>
      <c r="F16" s="24">
        <v>5212.4029300000002</v>
      </c>
      <c r="G16" s="25">
        <v>2.2100000000000002E-2</v>
      </c>
      <c r="H16" s="26"/>
    </row>
    <row r="17" spans="1:8" ht="12.95" customHeight="1">
      <c r="A17" s="21" t="s">
        <v>26</v>
      </c>
      <c r="B17" s="22" t="s">
        <v>91</v>
      </c>
      <c r="C17" s="17" t="s">
        <v>92</v>
      </c>
      <c r="D17" s="17" t="s">
        <v>93</v>
      </c>
      <c r="E17" s="23">
        <v>1399673</v>
      </c>
      <c r="F17" s="24">
        <v>5148.6971304999997</v>
      </c>
      <c r="G17" s="25">
        <v>2.18E-2</v>
      </c>
      <c r="H17" s="26"/>
    </row>
    <row r="18" spans="1:8" ht="12.95" customHeight="1">
      <c r="A18" s="21" t="s">
        <v>30</v>
      </c>
      <c r="B18" s="22" t="s">
        <v>31</v>
      </c>
      <c r="C18" s="17" t="s">
        <v>32</v>
      </c>
      <c r="D18" s="17" t="s">
        <v>33</v>
      </c>
      <c r="E18" s="23">
        <v>260761</v>
      </c>
      <c r="F18" s="24">
        <v>5101.9193455000004</v>
      </c>
      <c r="G18" s="25">
        <v>2.1600000000000001E-2</v>
      </c>
      <c r="H18" s="26"/>
    </row>
    <row r="19" spans="1:8" ht="12.95" customHeight="1">
      <c r="A19" s="21" t="s">
        <v>34</v>
      </c>
      <c r="B19" s="22" t="s">
        <v>158</v>
      </c>
      <c r="C19" s="17" t="s">
        <v>159</v>
      </c>
      <c r="D19" s="17" t="s">
        <v>97</v>
      </c>
      <c r="E19" s="23">
        <v>1066078</v>
      </c>
      <c r="F19" s="24">
        <v>4791.4875710000006</v>
      </c>
      <c r="G19" s="25">
        <v>2.0299999999999999E-2</v>
      </c>
      <c r="H19" s="26"/>
    </row>
    <row r="20" spans="1:8" ht="12.95" customHeight="1">
      <c r="A20" s="21" t="s">
        <v>37</v>
      </c>
      <c r="B20" s="22" t="s">
        <v>51</v>
      </c>
      <c r="C20" s="17" t="s">
        <v>52</v>
      </c>
      <c r="D20" s="17" t="s">
        <v>53</v>
      </c>
      <c r="E20" s="23">
        <v>297979</v>
      </c>
      <c r="F20" s="24">
        <v>4696.1490400000002</v>
      </c>
      <c r="G20" s="25">
        <v>1.9900000000000001E-2</v>
      </c>
      <c r="H20" s="26"/>
    </row>
    <row r="21" spans="1:8" ht="12.95" customHeight="1">
      <c r="A21" s="21" t="s">
        <v>41</v>
      </c>
      <c r="B21" s="22" t="s">
        <v>27</v>
      </c>
      <c r="C21" s="17" t="s">
        <v>28</v>
      </c>
      <c r="D21" s="17" t="s">
        <v>29</v>
      </c>
      <c r="E21" s="23">
        <v>1462490</v>
      </c>
      <c r="F21" s="24">
        <v>4643.4057499999999</v>
      </c>
      <c r="G21" s="25">
        <v>1.9699999999999999E-2</v>
      </c>
      <c r="H21" s="26"/>
    </row>
    <row r="22" spans="1:8" ht="12.95" customHeight="1">
      <c r="A22" s="21" t="s">
        <v>44</v>
      </c>
      <c r="B22" s="22" t="s">
        <v>132</v>
      </c>
      <c r="C22" s="17" t="s">
        <v>133</v>
      </c>
      <c r="D22" s="17" t="s">
        <v>53</v>
      </c>
      <c r="E22" s="23">
        <v>959550</v>
      </c>
      <c r="F22" s="24">
        <v>4588.0883249999997</v>
      </c>
      <c r="G22" s="25">
        <v>1.9400000000000001E-2</v>
      </c>
      <c r="H22" s="26"/>
    </row>
    <row r="23" spans="1:8" ht="12.95" customHeight="1">
      <c r="A23" s="21" t="s">
        <v>46</v>
      </c>
      <c r="B23" s="22" t="s">
        <v>138</v>
      </c>
      <c r="C23" s="17" t="s">
        <v>139</v>
      </c>
      <c r="D23" s="17" t="s">
        <v>140</v>
      </c>
      <c r="E23" s="23">
        <v>839854</v>
      </c>
      <c r="F23" s="24">
        <v>4531.8521839999994</v>
      </c>
      <c r="G23" s="25">
        <v>1.9199999999999998E-2</v>
      </c>
      <c r="H23" s="26"/>
    </row>
    <row r="24" spans="1:8" ht="12.95" customHeight="1">
      <c r="A24" s="21" t="s">
        <v>50</v>
      </c>
      <c r="B24" s="22" t="s">
        <v>38</v>
      </c>
      <c r="C24" s="17" t="s">
        <v>39</v>
      </c>
      <c r="D24" s="17" t="s">
        <v>40</v>
      </c>
      <c r="E24" s="23">
        <v>158890</v>
      </c>
      <c r="F24" s="24">
        <v>4533.5289249999996</v>
      </c>
      <c r="G24" s="25">
        <v>1.9199999999999998E-2</v>
      </c>
      <c r="H24" s="26"/>
    </row>
    <row r="25" spans="1:8" ht="12.95" customHeight="1">
      <c r="A25" s="21" t="s">
        <v>54</v>
      </c>
      <c r="B25" s="22" t="s">
        <v>62</v>
      </c>
      <c r="C25" s="17" t="s">
        <v>63</v>
      </c>
      <c r="D25" s="17" t="s">
        <v>64</v>
      </c>
      <c r="E25" s="23">
        <v>1417449</v>
      </c>
      <c r="F25" s="24">
        <v>4294.1617455000005</v>
      </c>
      <c r="G25" s="25">
        <v>1.8200000000000001E-2</v>
      </c>
      <c r="H25" s="26"/>
    </row>
    <row r="26" spans="1:8" ht="12.95" customHeight="1">
      <c r="A26" s="21" t="s">
        <v>58</v>
      </c>
      <c r="B26" s="22" t="s">
        <v>273</v>
      </c>
      <c r="C26" s="17" t="s">
        <v>45</v>
      </c>
      <c r="D26" s="17" t="s">
        <v>15</v>
      </c>
      <c r="E26" s="23">
        <v>2921627</v>
      </c>
      <c r="F26" s="24">
        <v>4303.5565710000001</v>
      </c>
      <c r="G26" s="25">
        <v>1.8200000000000001E-2</v>
      </c>
      <c r="H26" s="26"/>
    </row>
    <row r="27" spans="1:8" ht="12.95" customHeight="1">
      <c r="A27" s="21" t="s">
        <v>61</v>
      </c>
      <c r="B27" s="22" t="s">
        <v>225</v>
      </c>
      <c r="C27" s="17" t="s">
        <v>226</v>
      </c>
      <c r="D27" s="17" t="s">
        <v>75</v>
      </c>
      <c r="E27" s="23">
        <v>405285</v>
      </c>
      <c r="F27" s="24">
        <v>4178.0830649999998</v>
      </c>
      <c r="G27" s="25">
        <v>1.77E-2</v>
      </c>
      <c r="H27" s="26"/>
    </row>
    <row r="28" spans="1:8" ht="12.95" customHeight="1">
      <c r="A28" s="21" t="s">
        <v>65</v>
      </c>
      <c r="B28" s="22" t="s">
        <v>280</v>
      </c>
      <c r="C28" s="17" t="s">
        <v>102</v>
      </c>
      <c r="D28" s="17" t="s">
        <v>103</v>
      </c>
      <c r="E28" s="23">
        <v>133722</v>
      </c>
      <c r="F28" s="24">
        <v>3833.274852</v>
      </c>
      <c r="G28" s="25">
        <v>1.6199999999999999E-2</v>
      </c>
      <c r="H28" s="26"/>
    </row>
    <row r="29" spans="1:8" ht="12.95" customHeight="1">
      <c r="A29" s="21" t="s">
        <v>69</v>
      </c>
      <c r="B29" s="22" t="s">
        <v>81</v>
      </c>
      <c r="C29" s="17" t="s">
        <v>82</v>
      </c>
      <c r="D29" s="17" t="s">
        <v>33</v>
      </c>
      <c r="E29" s="23">
        <v>249203</v>
      </c>
      <c r="F29" s="24">
        <v>3751.3773605000001</v>
      </c>
      <c r="G29" s="25">
        <v>1.5900000000000001E-2</v>
      </c>
      <c r="H29" s="26"/>
    </row>
    <row r="30" spans="1:8" ht="12.95" customHeight="1">
      <c r="A30" s="21" t="s">
        <v>72</v>
      </c>
      <c r="B30" s="22" t="s">
        <v>109</v>
      </c>
      <c r="C30" s="17" t="s">
        <v>110</v>
      </c>
      <c r="D30" s="17" t="s">
        <v>111</v>
      </c>
      <c r="E30" s="23">
        <v>62252</v>
      </c>
      <c r="F30" s="24">
        <v>3736.3961660000004</v>
      </c>
      <c r="G30" s="25">
        <v>1.5800000000000002E-2</v>
      </c>
      <c r="H30" s="26"/>
    </row>
    <row r="31" spans="1:8" ht="12.95" customHeight="1">
      <c r="A31" s="21" t="s">
        <v>76</v>
      </c>
      <c r="B31" s="22" t="s">
        <v>113</v>
      </c>
      <c r="C31" s="17" t="s">
        <v>114</v>
      </c>
      <c r="D31" s="17" t="s">
        <v>107</v>
      </c>
      <c r="E31" s="23">
        <v>834095</v>
      </c>
      <c r="F31" s="24">
        <v>3602.4563050000002</v>
      </c>
      <c r="G31" s="25">
        <v>1.52E-2</v>
      </c>
      <c r="H31" s="26"/>
    </row>
    <row r="32" spans="1:8" ht="12.95" customHeight="1">
      <c r="A32" s="21" t="s">
        <v>80</v>
      </c>
      <c r="B32" s="22" t="s">
        <v>105</v>
      </c>
      <c r="C32" s="17" t="s">
        <v>106</v>
      </c>
      <c r="D32" s="17" t="s">
        <v>107</v>
      </c>
      <c r="E32" s="23">
        <v>542645</v>
      </c>
      <c r="F32" s="24">
        <v>3583.6275799999999</v>
      </c>
      <c r="G32" s="25">
        <v>1.52E-2</v>
      </c>
      <c r="H32" s="26"/>
    </row>
    <row r="33" spans="1:8" ht="12.95" customHeight="1">
      <c r="A33" s="21" t="s">
        <v>83</v>
      </c>
      <c r="B33" s="22" t="s">
        <v>120</v>
      </c>
      <c r="C33" s="17" t="s">
        <v>121</v>
      </c>
      <c r="D33" s="17" t="s">
        <v>122</v>
      </c>
      <c r="E33" s="23">
        <v>2171679</v>
      </c>
      <c r="F33" s="24">
        <v>3545.2659675</v>
      </c>
      <c r="G33" s="25">
        <v>1.4999999999999999E-2</v>
      </c>
      <c r="H33" s="26"/>
    </row>
    <row r="34" spans="1:8" ht="12.95" customHeight="1">
      <c r="A34" s="21" t="s">
        <v>86</v>
      </c>
      <c r="B34" s="22" t="s">
        <v>84</v>
      </c>
      <c r="C34" s="17" t="s">
        <v>85</v>
      </c>
      <c r="D34" s="17" t="s">
        <v>33</v>
      </c>
      <c r="E34" s="23">
        <v>306212</v>
      </c>
      <c r="F34" s="24">
        <v>3522.6628479999999</v>
      </c>
      <c r="G34" s="25">
        <v>1.49E-2</v>
      </c>
      <c r="H34" s="20"/>
    </row>
    <row r="35" spans="1:8" ht="12.95" customHeight="1">
      <c r="A35" s="21" t="s">
        <v>90</v>
      </c>
      <c r="B35" s="22" t="s">
        <v>77</v>
      </c>
      <c r="C35" s="17" t="s">
        <v>78</v>
      </c>
      <c r="D35" s="17" t="s">
        <v>79</v>
      </c>
      <c r="E35" s="23">
        <v>543595</v>
      </c>
      <c r="F35" s="24">
        <v>3400.7303200000001</v>
      </c>
      <c r="G35" s="25">
        <v>1.44E-2</v>
      </c>
      <c r="H35" s="26"/>
    </row>
    <row r="36" spans="1:8" ht="12.95" customHeight="1">
      <c r="A36" s="21" t="s">
        <v>94</v>
      </c>
      <c r="B36" s="22" t="s">
        <v>99</v>
      </c>
      <c r="C36" s="17" t="s">
        <v>100</v>
      </c>
      <c r="D36" s="17" t="s">
        <v>33</v>
      </c>
      <c r="E36" s="23">
        <v>208758</v>
      </c>
      <c r="F36" s="24">
        <v>3375.9299969999997</v>
      </c>
      <c r="G36" s="25">
        <v>1.43E-2</v>
      </c>
      <c r="H36" s="26"/>
    </row>
    <row r="37" spans="1:8" ht="12.95" customHeight="1">
      <c r="A37" s="21" t="s">
        <v>98</v>
      </c>
      <c r="B37" s="22" t="s">
        <v>55</v>
      </c>
      <c r="C37" s="17" t="s">
        <v>56</v>
      </c>
      <c r="D37" s="17" t="s">
        <v>57</v>
      </c>
      <c r="E37" s="23">
        <v>272854</v>
      </c>
      <c r="F37" s="24">
        <v>3194.301778</v>
      </c>
      <c r="G37" s="25">
        <v>1.35E-2</v>
      </c>
      <c r="H37" s="26"/>
    </row>
    <row r="38" spans="1:8" ht="12.95" customHeight="1">
      <c r="A38" s="21" t="s">
        <v>101</v>
      </c>
      <c r="B38" s="22" t="s">
        <v>176</v>
      </c>
      <c r="C38" s="17" t="s">
        <v>177</v>
      </c>
      <c r="D38" s="17" t="s">
        <v>64</v>
      </c>
      <c r="E38" s="23">
        <v>220170</v>
      </c>
      <c r="F38" s="24">
        <v>3178.0438650000001</v>
      </c>
      <c r="G38" s="25">
        <v>1.35E-2</v>
      </c>
      <c r="H38" s="26"/>
    </row>
    <row r="39" spans="1:8" ht="12.95" customHeight="1">
      <c r="A39" s="21" t="s">
        <v>104</v>
      </c>
      <c r="B39" s="22" t="s">
        <v>161</v>
      </c>
      <c r="C39" s="17" t="s">
        <v>162</v>
      </c>
      <c r="D39" s="17" t="s">
        <v>163</v>
      </c>
      <c r="E39" s="23">
        <v>252962</v>
      </c>
      <c r="F39" s="24">
        <v>3200.9811480000003</v>
      </c>
      <c r="G39" s="25">
        <v>1.35E-2</v>
      </c>
      <c r="H39" s="26"/>
    </row>
    <row r="40" spans="1:8" ht="12.95" customHeight="1">
      <c r="A40" s="21" t="s">
        <v>108</v>
      </c>
      <c r="B40" s="22" t="s">
        <v>66</v>
      </c>
      <c r="C40" s="17" t="s">
        <v>67</v>
      </c>
      <c r="D40" s="17" t="s">
        <v>68</v>
      </c>
      <c r="E40" s="23">
        <v>124498</v>
      </c>
      <c r="F40" s="24">
        <v>3167.6026139999999</v>
      </c>
      <c r="G40" s="25">
        <v>1.34E-2</v>
      </c>
      <c r="H40" s="20"/>
    </row>
    <row r="41" spans="1:8" ht="12.95" customHeight="1">
      <c r="A41" s="21" t="s">
        <v>112</v>
      </c>
      <c r="B41" s="22" t="s">
        <v>128</v>
      </c>
      <c r="C41" s="17" t="s">
        <v>129</v>
      </c>
      <c r="D41" s="17" t="s">
        <v>130</v>
      </c>
      <c r="E41" s="23">
        <v>79125</v>
      </c>
      <c r="F41" s="24">
        <v>3038.0835000000002</v>
      </c>
      <c r="G41" s="25">
        <v>1.29E-2</v>
      </c>
      <c r="H41" s="26"/>
    </row>
    <row r="42" spans="1:8" ht="12.95" customHeight="1">
      <c r="A42" s="21" t="s">
        <v>115</v>
      </c>
      <c r="B42" s="22" t="s">
        <v>87</v>
      </c>
      <c r="C42" s="17" t="s">
        <v>88</v>
      </c>
      <c r="D42" s="17" t="s">
        <v>89</v>
      </c>
      <c r="E42" s="23">
        <v>2243159</v>
      </c>
      <c r="F42" s="24">
        <v>3049.5746604999999</v>
      </c>
      <c r="G42" s="25">
        <v>1.29E-2</v>
      </c>
      <c r="H42" s="26"/>
    </row>
    <row r="43" spans="1:8" ht="12.95" customHeight="1">
      <c r="A43" s="21" t="s">
        <v>119</v>
      </c>
      <c r="B43" s="22" t="s">
        <v>95</v>
      </c>
      <c r="C43" s="17" t="s">
        <v>96</v>
      </c>
      <c r="D43" s="17" t="s">
        <v>97</v>
      </c>
      <c r="E43" s="23">
        <v>2691044</v>
      </c>
      <c r="F43" s="24">
        <v>3020.6968900000002</v>
      </c>
      <c r="G43" s="25">
        <v>1.2800000000000001E-2</v>
      </c>
      <c r="H43" s="26"/>
    </row>
    <row r="44" spans="1:8" ht="12.95" customHeight="1">
      <c r="A44" s="21" t="s">
        <v>123</v>
      </c>
      <c r="B44" s="22" t="s">
        <v>264</v>
      </c>
      <c r="C44" s="17" t="s">
        <v>268</v>
      </c>
      <c r="D44" s="17" t="s">
        <v>15</v>
      </c>
      <c r="E44" s="23">
        <v>576049</v>
      </c>
      <c r="F44" s="24">
        <v>2873.6204364999999</v>
      </c>
      <c r="G44" s="25">
        <v>1.2200000000000001E-2</v>
      </c>
      <c r="H44" s="26"/>
    </row>
    <row r="45" spans="1:8" ht="12.95" customHeight="1">
      <c r="A45" s="21" t="s">
        <v>127</v>
      </c>
      <c r="B45" s="22" t="s">
        <v>124</v>
      </c>
      <c r="C45" s="17" t="s">
        <v>125</v>
      </c>
      <c r="D45" s="17" t="s">
        <v>126</v>
      </c>
      <c r="E45" s="23">
        <v>1281917</v>
      </c>
      <c r="F45" s="24">
        <v>2818.2945245000001</v>
      </c>
      <c r="G45" s="25">
        <v>1.1900000000000001E-2</v>
      </c>
      <c r="H45" s="26"/>
    </row>
    <row r="46" spans="1:8" ht="12.95" customHeight="1">
      <c r="A46" s="21" t="s">
        <v>131</v>
      </c>
      <c r="B46" s="22" t="s">
        <v>239</v>
      </c>
      <c r="C46" s="17" t="s">
        <v>240</v>
      </c>
      <c r="D46" s="17" t="s">
        <v>64</v>
      </c>
      <c r="E46" s="23">
        <v>354624</v>
      </c>
      <c r="F46" s="24">
        <v>2784.3303360000004</v>
      </c>
      <c r="G46" s="25">
        <v>1.18E-2</v>
      </c>
      <c r="H46" s="26"/>
    </row>
    <row r="47" spans="1:8" ht="12.95" customHeight="1">
      <c r="A47" s="21" t="s">
        <v>134</v>
      </c>
      <c r="B47" s="22" t="s">
        <v>263</v>
      </c>
      <c r="C47" s="17" t="s">
        <v>267</v>
      </c>
      <c r="D47" s="17" t="s">
        <v>79</v>
      </c>
      <c r="E47" s="23">
        <v>428276</v>
      </c>
      <c r="F47" s="24">
        <v>2779.297102</v>
      </c>
      <c r="G47" s="25">
        <v>1.18E-2</v>
      </c>
      <c r="H47" s="26"/>
    </row>
    <row r="48" spans="1:8" ht="12.95" customHeight="1">
      <c r="A48" s="21" t="s">
        <v>137</v>
      </c>
      <c r="B48" s="22" t="s">
        <v>153</v>
      </c>
      <c r="C48" s="17" t="s">
        <v>154</v>
      </c>
      <c r="D48" s="17" t="s">
        <v>64</v>
      </c>
      <c r="E48" s="23">
        <v>1001453</v>
      </c>
      <c r="F48" s="24">
        <v>2762.0073739999998</v>
      </c>
      <c r="G48" s="25">
        <v>1.17E-2</v>
      </c>
      <c r="H48" s="26"/>
    </row>
    <row r="49" spans="1:8" ht="12.95" customHeight="1">
      <c r="A49" s="21" t="s">
        <v>141</v>
      </c>
      <c r="B49" s="22" t="s">
        <v>116</v>
      </c>
      <c r="C49" s="17" t="s">
        <v>117</v>
      </c>
      <c r="D49" s="17" t="s">
        <v>118</v>
      </c>
      <c r="E49" s="23">
        <v>805747</v>
      </c>
      <c r="F49" s="24">
        <v>2772.9783004999999</v>
      </c>
      <c r="G49" s="25">
        <v>1.17E-2</v>
      </c>
      <c r="H49" s="26"/>
    </row>
    <row r="50" spans="1:8" ht="12.95" customHeight="1">
      <c r="A50" s="21" t="s">
        <v>144</v>
      </c>
      <c r="B50" s="22" t="s">
        <v>70</v>
      </c>
      <c r="C50" s="17" t="s">
        <v>71</v>
      </c>
      <c r="D50" s="17" t="s">
        <v>64</v>
      </c>
      <c r="E50" s="23">
        <v>181444</v>
      </c>
      <c r="F50" s="24">
        <v>2700.7032180000001</v>
      </c>
      <c r="G50" s="25">
        <v>1.14E-2</v>
      </c>
      <c r="H50" s="26"/>
    </row>
    <row r="51" spans="1:8" ht="12.95" customHeight="1">
      <c r="A51" s="21" t="s">
        <v>148</v>
      </c>
      <c r="B51" s="22" t="s">
        <v>179</v>
      </c>
      <c r="C51" s="17" t="s">
        <v>180</v>
      </c>
      <c r="D51" s="17" t="s">
        <v>130</v>
      </c>
      <c r="E51" s="23">
        <v>154725</v>
      </c>
      <c r="F51" s="24">
        <v>2555.3607375000001</v>
      </c>
      <c r="G51" s="25">
        <v>1.0800000000000001E-2</v>
      </c>
      <c r="H51" s="26"/>
    </row>
    <row r="52" spans="1:8" ht="12.95" customHeight="1">
      <c r="A52" s="21" t="s">
        <v>152</v>
      </c>
      <c r="B52" s="22" t="s">
        <v>259</v>
      </c>
      <c r="C52" s="17" t="s">
        <v>260</v>
      </c>
      <c r="D52" s="17" t="s">
        <v>97</v>
      </c>
      <c r="E52" s="23">
        <v>279112</v>
      </c>
      <c r="F52" s="24">
        <v>2477.1190000000001</v>
      </c>
      <c r="G52" s="25">
        <v>1.0500000000000001E-2</v>
      </c>
      <c r="H52" s="26"/>
    </row>
    <row r="53" spans="1:8" ht="12.95" customHeight="1">
      <c r="A53" s="21" t="s">
        <v>155</v>
      </c>
      <c r="B53" s="22" t="s">
        <v>47</v>
      </c>
      <c r="C53" s="17" t="s">
        <v>48</v>
      </c>
      <c r="D53" s="17" t="s">
        <v>49</v>
      </c>
      <c r="E53" s="23">
        <v>177386</v>
      </c>
      <c r="F53" s="24">
        <v>2485.4439390000002</v>
      </c>
      <c r="G53" s="25">
        <v>1.0500000000000001E-2</v>
      </c>
      <c r="H53" s="26"/>
    </row>
    <row r="54" spans="1:8" ht="12.95" customHeight="1">
      <c r="A54" s="21" t="s">
        <v>156</v>
      </c>
      <c r="B54" s="22" t="s">
        <v>142</v>
      </c>
      <c r="C54" s="17" t="s">
        <v>143</v>
      </c>
      <c r="D54" s="17" t="s">
        <v>118</v>
      </c>
      <c r="E54" s="23">
        <v>92673</v>
      </c>
      <c r="F54" s="24">
        <v>2456.297865</v>
      </c>
      <c r="G54" s="25">
        <v>1.04E-2</v>
      </c>
      <c r="H54" s="26"/>
    </row>
    <row r="55" spans="1:8" ht="12.95" customHeight="1">
      <c r="A55" s="21" t="s">
        <v>157</v>
      </c>
      <c r="B55" s="22" t="s">
        <v>59</v>
      </c>
      <c r="C55" s="17" t="s">
        <v>60</v>
      </c>
      <c r="D55" s="17" t="s">
        <v>53</v>
      </c>
      <c r="E55" s="23">
        <v>38762</v>
      </c>
      <c r="F55" s="24">
        <v>2422.6637619999997</v>
      </c>
      <c r="G55" s="25">
        <v>1.03E-2</v>
      </c>
      <c r="H55" s="26"/>
    </row>
    <row r="56" spans="1:8" ht="12.95" customHeight="1">
      <c r="A56" s="21" t="s">
        <v>160</v>
      </c>
      <c r="B56" s="22" t="s">
        <v>149</v>
      </c>
      <c r="C56" s="17" t="s">
        <v>150</v>
      </c>
      <c r="D56" s="17" t="s">
        <v>151</v>
      </c>
      <c r="E56" s="23">
        <v>461871</v>
      </c>
      <c r="F56" s="24">
        <v>2379.3284564999999</v>
      </c>
      <c r="G56" s="25">
        <v>1.01E-2</v>
      </c>
      <c r="H56" s="26"/>
    </row>
    <row r="57" spans="1:8" ht="12.95" customHeight="1">
      <c r="A57" s="21" t="s">
        <v>164</v>
      </c>
      <c r="B57" s="22" t="s">
        <v>266</v>
      </c>
      <c r="C57" s="17" t="s">
        <v>270</v>
      </c>
      <c r="D57" s="17" t="s">
        <v>163</v>
      </c>
      <c r="E57" s="23">
        <v>466000</v>
      </c>
      <c r="F57" s="24">
        <v>2380.328</v>
      </c>
      <c r="G57" s="25">
        <v>1.01E-2</v>
      </c>
      <c r="H57" s="26"/>
    </row>
    <row r="58" spans="1:8" ht="12.95" customHeight="1">
      <c r="A58" s="21" t="s">
        <v>165</v>
      </c>
      <c r="B58" s="22" t="s">
        <v>265</v>
      </c>
      <c r="C58" s="17" t="s">
        <v>269</v>
      </c>
      <c r="D58" s="17" t="s">
        <v>75</v>
      </c>
      <c r="E58" s="23">
        <v>381088</v>
      </c>
      <c r="F58" s="24">
        <v>2365.4132159999999</v>
      </c>
      <c r="G58" s="25">
        <v>0.01</v>
      </c>
      <c r="H58" s="26"/>
    </row>
    <row r="59" spans="1:8" ht="12.95" customHeight="1">
      <c r="A59" s="21" t="s">
        <v>169</v>
      </c>
      <c r="B59" s="22" t="s">
        <v>272</v>
      </c>
      <c r="C59" s="17" t="s">
        <v>281</v>
      </c>
      <c r="D59" s="17" t="s">
        <v>287</v>
      </c>
      <c r="E59" s="23">
        <v>123255</v>
      </c>
      <c r="F59" s="24">
        <v>2348.6240250000001</v>
      </c>
      <c r="G59" s="25">
        <v>9.9000000000000008E-3</v>
      </c>
      <c r="H59" s="26"/>
    </row>
    <row r="60" spans="1:8" ht="12.95" customHeight="1">
      <c r="A60" s="21" t="s">
        <v>172</v>
      </c>
      <c r="B60" s="22" t="s">
        <v>73</v>
      </c>
      <c r="C60" s="17" t="s">
        <v>74</v>
      </c>
      <c r="D60" s="17" t="s">
        <v>75</v>
      </c>
      <c r="E60" s="23">
        <v>441112</v>
      </c>
      <c r="F60" s="24">
        <v>2314.73522</v>
      </c>
      <c r="G60" s="25">
        <v>9.7999999999999997E-3</v>
      </c>
      <c r="H60" s="26"/>
    </row>
    <row r="61" spans="1:8" ht="12.95" customHeight="1">
      <c r="A61" s="21" t="s">
        <v>175</v>
      </c>
      <c r="B61" s="22" t="s">
        <v>170</v>
      </c>
      <c r="C61" s="17" t="s">
        <v>171</v>
      </c>
      <c r="D61" s="17" t="s">
        <v>118</v>
      </c>
      <c r="E61" s="23">
        <v>3457502</v>
      </c>
      <c r="F61" s="24">
        <v>2249.105051</v>
      </c>
      <c r="G61" s="25">
        <v>9.4999999999999998E-3</v>
      </c>
      <c r="H61" s="26"/>
    </row>
    <row r="62" spans="1:8" ht="12.95" customHeight="1">
      <c r="A62" s="21" t="s">
        <v>178</v>
      </c>
      <c r="B62" s="22" t="s">
        <v>245</v>
      </c>
      <c r="C62" s="17" t="s">
        <v>246</v>
      </c>
      <c r="D62" s="17" t="s">
        <v>118</v>
      </c>
      <c r="E62" s="23">
        <v>50863</v>
      </c>
      <c r="F62" s="24">
        <v>2225.917469</v>
      </c>
      <c r="G62" s="25">
        <v>9.4000000000000004E-3</v>
      </c>
      <c r="H62" s="26"/>
    </row>
    <row r="63" spans="1:8" ht="12.95" customHeight="1">
      <c r="A63" s="21" t="s">
        <v>181</v>
      </c>
      <c r="B63" s="22" t="s">
        <v>145</v>
      </c>
      <c r="C63" s="17" t="s">
        <v>146</v>
      </c>
      <c r="D63" s="17" t="s">
        <v>147</v>
      </c>
      <c r="E63" s="23">
        <v>5750</v>
      </c>
      <c r="F63" s="24">
        <v>2145.5607500000001</v>
      </c>
      <c r="G63" s="25">
        <v>9.1000000000000004E-3</v>
      </c>
      <c r="H63" s="26"/>
    </row>
    <row r="64" spans="1:8" ht="12.95" customHeight="1">
      <c r="A64" s="21" t="s">
        <v>184</v>
      </c>
      <c r="B64" s="22" t="s">
        <v>182</v>
      </c>
      <c r="C64" s="17" t="s">
        <v>183</v>
      </c>
      <c r="D64" s="17" t="s">
        <v>79</v>
      </c>
      <c r="E64" s="23">
        <v>85000</v>
      </c>
      <c r="F64" s="24">
        <v>2096.7800000000002</v>
      </c>
      <c r="G64" s="25">
        <v>8.8999999999999999E-3</v>
      </c>
      <c r="H64" s="26"/>
    </row>
    <row r="65" spans="1:8" ht="12.95" customHeight="1">
      <c r="A65" s="21" t="s">
        <v>187</v>
      </c>
      <c r="B65" s="22" t="s">
        <v>275</v>
      </c>
      <c r="C65" s="17" t="s">
        <v>283</v>
      </c>
      <c r="D65" s="17" t="s">
        <v>288</v>
      </c>
      <c r="E65" s="23">
        <v>105000</v>
      </c>
      <c r="F65" s="24">
        <v>2072.4899999999998</v>
      </c>
      <c r="G65" s="25">
        <v>8.8000000000000005E-3</v>
      </c>
      <c r="H65" s="26"/>
    </row>
    <row r="66" spans="1:8" ht="12.95" customHeight="1">
      <c r="A66" s="21" t="s">
        <v>190</v>
      </c>
      <c r="B66" s="22" t="s">
        <v>173</v>
      </c>
      <c r="C66" s="17" t="s">
        <v>174</v>
      </c>
      <c r="D66" s="17" t="s">
        <v>97</v>
      </c>
      <c r="E66" s="23">
        <v>67785</v>
      </c>
      <c r="F66" s="24">
        <v>2007.3510974999999</v>
      </c>
      <c r="G66" s="25">
        <v>8.5000000000000006E-3</v>
      </c>
      <c r="H66" s="26"/>
    </row>
    <row r="67" spans="1:8" ht="12.95" customHeight="1">
      <c r="A67" s="21" t="s">
        <v>194</v>
      </c>
      <c r="B67" s="22" t="s">
        <v>209</v>
      </c>
      <c r="C67" s="17" t="s">
        <v>210</v>
      </c>
      <c r="D67" s="17" t="s">
        <v>211</v>
      </c>
      <c r="E67" s="23">
        <v>388690</v>
      </c>
      <c r="F67" s="24">
        <v>1917.40777</v>
      </c>
      <c r="G67" s="25">
        <v>8.0999999999999996E-3</v>
      </c>
      <c r="H67" s="26"/>
    </row>
    <row r="68" spans="1:8" ht="12.95" customHeight="1">
      <c r="A68" s="21" t="s">
        <v>198</v>
      </c>
      <c r="B68" s="22" t="s">
        <v>276</v>
      </c>
      <c r="C68" s="17" t="s">
        <v>284</v>
      </c>
      <c r="D68" s="17" t="s">
        <v>49</v>
      </c>
      <c r="E68" s="23">
        <v>418670</v>
      </c>
      <c r="F68" s="24">
        <v>1920.648625</v>
      </c>
      <c r="G68" s="25">
        <v>8.0999999999999996E-3</v>
      </c>
      <c r="H68" s="26"/>
    </row>
    <row r="69" spans="1:8" ht="12.95" customHeight="1">
      <c r="A69" s="21" t="s">
        <v>200</v>
      </c>
      <c r="B69" s="22" t="s">
        <v>235</v>
      </c>
      <c r="C69" s="17" t="s">
        <v>236</v>
      </c>
      <c r="D69" s="17" t="s">
        <v>53</v>
      </c>
      <c r="E69" s="23">
        <v>223274</v>
      </c>
      <c r="F69" s="24">
        <v>1894.3682530000001</v>
      </c>
      <c r="G69" s="25">
        <v>8.0000000000000002E-3</v>
      </c>
      <c r="H69" s="26"/>
    </row>
    <row r="70" spans="1:8" ht="12.95" customHeight="1">
      <c r="A70" s="21" t="s">
        <v>203</v>
      </c>
      <c r="B70" s="22" t="s">
        <v>232</v>
      </c>
      <c r="C70" s="17" t="s">
        <v>233</v>
      </c>
      <c r="D70" s="17" t="s">
        <v>122</v>
      </c>
      <c r="E70" s="23">
        <v>853892</v>
      </c>
      <c r="F70" s="24">
        <v>1865.327074</v>
      </c>
      <c r="G70" s="25">
        <v>7.9000000000000008E-3</v>
      </c>
      <c r="H70" s="26"/>
    </row>
    <row r="71" spans="1:8" ht="12.95" customHeight="1">
      <c r="A71" s="21" t="s">
        <v>206</v>
      </c>
      <c r="B71" s="22" t="s">
        <v>195</v>
      </c>
      <c r="C71" s="17" t="s">
        <v>196</v>
      </c>
      <c r="D71" s="17" t="s">
        <v>197</v>
      </c>
      <c r="E71" s="23">
        <v>148956</v>
      </c>
      <c r="F71" s="24">
        <v>1839.9789900000001</v>
      </c>
      <c r="G71" s="25">
        <v>7.7999999999999996E-3</v>
      </c>
      <c r="H71" s="26"/>
    </row>
    <row r="72" spans="1:8" ht="12.95" customHeight="1">
      <c r="A72" s="21" t="s">
        <v>207</v>
      </c>
      <c r="B72" s="22" t="s">
        <v>274</v>
      </c>
      <c r="C72" s="17" t="s">
        <v>282</v>
      </c>
      <c r="D72" s="17" t="s">
        <v>53</v>
      </c>
      <c r="E72" s="23">
        <v>28000</v>
      </c>
      <c r="F72" s="24">
        <v>1825.9079999999999</v>
      </c>
      <c r="G72" s="25">
        <v>7.7000000000000002E-3</v>
      </c>
      <c r="H72" s="26"/>
    </row>
    <row r="73" spans="1:8" ht="12.95" customHeight="1">
      <c r="A73" s="21" t="s">
        <v>208</v>
      </c>
      <c r="B73" s="22" t="s">
        <v>279</v>
      </c>
      <c r="C73" s="17" t="s">
        <v>199</v>
      </c>
      <c r="D73" s="17" t="s">
        <v>197</v>
      </c>
      <c r="E73" s="23">
        <v>232461</v>
      </c>
      <c r="F73" s="24">
        <v>1651.867866</v>
      </c>
      <c r="G73" s="25">
        <v>7.0000000000000001E-3</v>
      </c>
      <c r="H73" s="26"/>
    </row>
    <row r="74" spans="1:8" ht="12.95" customHeight="1">
      <c r="A74" s="21" t="s">
        <v>212</v>
      </c>
      <c r="B74" s="22" t="s">
        <v>204</v>
      </c>
      <c r="C74" s="17" t="s">
        <v>205</v>
      </c>
      <c r="D74" s="17" t="s">
        <v>122</v>
      </c>
      <c r="E74" s="23">
        <v>1189618</v>
      </c>
      <c r="F74" s="24">
        <v>1660.1119190000002</v>
      </c>
      <c r="G74" s="25">
        <v>7.0000000000000001E-3</v>
      </c>
      <c r="H74" s="26"/>
    </row>
    <row r="75" spans="1:8" ht="12.95" customHeight="1">
      <c r="A75" s="21" t="s">
        <v>215</v>
      </c>
      <c r="B75" s="22" t="s">
        <v>166</v>
      </c>
      <c r="C75" s="17" t="s">
        <v>167</v>
      </c>
      <c r="D75" s="17" t="s">
        <v>168</v>
      </c>
      <c r="E75" s="23">
        <v>300428</v>
      </c>
      <c r="F75" s="24">
        <v>1640.1866659999998</v>
      </c>
      <c r="G75" s="25">
        <v>6.8999999999999999E-3</v>
      </c>
      <c r="H75" s="26"/>
    </row>
    <row r="76" spans="1:8" ht="12.95" customHeight="1">
      <c r="A76" s="21" t="s">
        <v>218</v>
      </c>
      <c r="B76" s="22" t="s">
        <v>188</v>
      </c>
      <c r="C76" s="17" t="s">
        <v>189</v>
      </c>
      <c r="D76" s="17" t="s">
        <v>122</v>
      </c>
      <c r="E76" s="23">
        <v>146074</v>
      </c>
      <c r="F76" s="24">
        <v>1615.1402180000002</v>
      </c>
      <c r="G76" s="25">
        <v>6.7999999999999996E-3</v>
      </c>
      <c r="H76" s="26"/>
    </row>
    <row r="77" spans="1:8" ht="12.95" customHeight="1">
      <c r="A77" s="21" t="s">
        <v>221</v>
      </c>
      <c r="B77" s="22" t="s">
        <v>261</v>
      </c>
      <c r="C77" s="17" t="s">
        <v>262</v>
      </c>
      <c r="D77" s="17" t="s">
        <v>151</v>
      </c>
      <c r="E77" s="23">
        <v>478186</v>
      </c>
      <c r="F77" s="24">
        <v>1574.905591</v>
      </c>
      <c r="G77" s="25">
        <v>6.7000000000000002E-3</v>
      </c>
      <c r="H77" s="26"/>
    </row>
    <row r="78" spans="1:8" ht="12.95" customHeight="1">
      <c r="A78" s="21" t="s">
        <v>224</v>
      </c>
      <c r="B78" s="22" t="s">
        <v>216</v>
      </c>
      <c r="C78" s="17" t="s">
        <v>217</v>
      </c>
      <c r="D78" s="17" t="s">
        <v>64</v>
      </c>
      <c r="E78" s="23">
        <v>116807</v>
      </c>
      <c r="F78" s="24">
        <v>1575.3176055000001</v>
      </c>
      <c r="G78" s="25">
        <v>6.7000000000000002E-3</v>
      </c>
      <c r="H78" s="26"/>
    </row>
    <row r="79" spans="1:8" ht="12.95" customHeight="1">
      <c r="A79" s="21" t="s">
        <v>227</v>
      </c>
      <c r="B79" s="22" t="s">
        <v>277</v>
      </c>
      <c r="C79" s="17" t="s">
        <v>285</v>
      </c>
      <c r="D79" s="17" t="s">
        <v>29</v>
      </c>
      <c r="E79" s="23">
        <v>1700000</v>
      </c>
      <c r="F79" s="24">
        <v>1546.15</v>
      </c>
      <c r="G79" s="25">
        <v>6.4999999999999997E-3</v>
      </c>
      <c r="H79" s="26"/>
    </row>
    <row r="80" spans="1:8" ht="12.95" customHeight="1">
      <c r="A80" s="21" t="s">
        <v>228</v>
      </c>
      <c r="B80" s="22" t="s">
        <v>213</v>
      </c>
      <c r="C80" s="17" t="s">
        <v>214</v>
      </c>
      <c r="D80" s="17" t="s">
        <v>193</v>
      </c>
      <c r="E80" s="23">
        <v>326055</v>
      </c>
      <c r="F80" s="24">
        <v>1439.6958525</v>
      </c>
      <c r="G80" s="25">
        <v>6.1000000000000004E-3</v>
      </c>
      <c r="H80" s="26"/>
    </row>
    <row r="81" spans="1:8" ht="12.95" customHeight="1">
      <c r="A81" s="21" t="s">
        <v>231</v>
      </c>
      <c r="B81" s="22" t="s">
        <v>222</v>
      </c>
      <c r="C81" s="17" t="s">
        <v>223</v>
      </c>
      <c r="D81" s="17" t="s">
        <v>211</v>
      </c>
      <c r="E81" s="23">
        <v>41668</v>
      </c>
      <c r="F81" s="24">
        <v>1424.0038999999999</v>
      </c>
      <c r="G81" s="25">
        <v>6.0000000000000001E-3</v>
      </c>
      <c r="H81" s="26"/>
    </row>
    <row r="82" spans="1:8" ht="12.95" customHeight="1">
      <c r="A82" s="21" t="s">
        <v>234</v>
      </c>
      <c r="B82" s="22" t="s">
        <v>242</v>
      </c>
      <c r="C82" s="17" t="s">
        <v>243</v>
      </c>
      <c r="D82" s="17" t="s">
        <v>118</v>
      </c>
      <c r="E82" s="23">
        <v>227397</v>
      </c>
      <c r="F82" s="24">
        <v>1405.7682540000001</v>
      </c>
      <c r="G82" s="25">
        <v>5.8999999999999999E-3</v>
      </c>
      <c r="H82" s="26"/>
    </row>
    <row r="83" spans="1:8" ht="12.95" customHeight="1">
      <c r="A83" s="21" t="s">
        <v>237</v>
      </c>
      <c r="B83" s="22" t="s">
        <v>229</v>
      </c>
      <c r="C83" s="17" t="s">
        <v>230</v>
      </c>
      <c r="D83" s="17" t="s">
        <v>211</v>
      </c>
      <c r="E83" s="23">
        <v>252997</v>
      </c>
      <c r="F83" s="24">
        <v>1329.2462379999999</v>
      </c>
      <c r="G83" s="25">
        <v>5.5999999999999999E-3</v>
      </c>
      <c r="H83" s="26"/>
    </row>
    <row r="84" spans="1:8" ht="12.95" customHeight="1">
      <c r="A84" s="21" t="s">
        <v>238</v>
      </c>
      <c r="B84" s="22" t="s">
        <v>201</v>
      </c>
      <c r="C84" s="17" t="s">
        <v>202</v>
      </c>
      <c r="D84" s="17" t="s">
        <v>15</v>
      </c>
      <c r="E84" s="23">
        <v>1206854</v>
      </c>
      <c r="F84" s="24">
        <v>1252.1110249999999</v>
      </c>
      <c r="G84" s="25">
        <v>5.3E-3</v>
      </c>
      <c r="H84" s="26"/>
    </row>
    <row r="85" spans="1:8" ht="12.95" customHeight="1">
      <c r="A85" s="21" t="s">
        <v>241</v>
      </c>
      <c r="B85" s="22" t="s">
        <v>278</v>
      </c>
      <c r="C85" s="17" t="s">
        <v>286</v>
      </c>
      <c r="D85" s="17" t="s">
        <v>289</v>
      </c>
      <c r="E85" s="23">
        <v>150000</v>
      </c>
      <c r="F85" s="24">
        <v>1141.8</v>
      </c>
      <c r="G85" s="25">
        <v>4.7999999999999996E-3</v>
      </c>
      <c r="H85" s="26"/>
    </row>
    <row r="86" spans="1:8" ht="12.95" customHeight="1">
      <c r="A86" s="21" t="s">
        <v>244</v>
      </c>
      <c r="B86" s="22" t="s">
        <v>185</v>
      </c>
      <c r="C86" s="17" t="s">
        <v>186</v>
      </c>
      <c r="D86" s="17" t="s">
        <v>79</v>
      </c>
      <c r="E86" s="23">
        <v>134128</v>
      </c>
      <c r="F86" s="24">
        <v>502.51055200000002</v>
      </c>
      <c r="G86" s="25">
        <v>2.0999999999999999E-3</v>
      </c>
      <c r="H86" s="26"/>
    </row>
    <row r="87" spans="1:8" ht="12.95" customHeight="1">
      <c r="A87" s="21" t="s">
        <v>247</v>
      </c>
      <c r="B87" s="22" t="s">
        <v>191</v>
      </c>
      <c r="C87" s="17" t="s">
        <v>192</v>
      </c>
      <c r="D87" s="17" t="s">
        <v>193</v>
      </c>
      <c r="E87" s="23">
        <v>8507</v>
      </c>
      <c r="F87" s="24">
        <v>211.10545850000003</v>
      </c>
      <c r="G87" s="25">
        <v>8.9999999999999998E-4</v>
      </c>
      <c r="H87" s="26"/>
    </row>
    <row r="88" spans="1:8" ht="12.95" customHeight="1">
      <c r="A88" s="21" t="s">
        <v>248</v>
      </c>
      <c r="B88" s="22" t="s">
        <v>135</v>
      </c>
      <c r="C88" s="17" t="s">
        <v>136</v>
      </c>
      <c r="D88" s="17" t="s">
        <v>53</v>
      </c>
      <c r="E88" s="23">
        <v>6709</v>
      </c>
      <c r="F88" s="24">
        <v>111.42978099999999</v>
      </c>
      <c r="G88" s="25">
        <v>5.0000000000000001E-4</v>
      </c>
      <c r="H88" s="26"/>
    </row>
    <row r="89" spans="1:8" ht="12.95" customHeight="1">
      <c r="A89" s="2"/>
      <c r="B89" s="22" t="s">
        <v>219</v>
      </c>
      <c r="C89" s="17" t="s">
        <v>220</v>
      </c>
      <c r="D89" s="17" t="s">
        <v>33</v>
      </c>
      <c r="E89" s="23">
        <v>8518</v>
      </c>
      <c r="F89" s="24">
        <v>120.823571</v>
      </c>
      <c r="G89" s="25">
        <v>5.0000000000000001E-4</v>
      </c>
      <c r="H89" s="26"/>
    </row>
    <row r="90" spans="1:8" ht="12.95" customHeight="1">
      <c r="A90" s="2"/>
      <c r="B90" s="16" t="s">
        <v>249</v>
      </c>
      <c r="C90" s="17"/>
      <c r="D90" s="17"/>
      <c r="E90" s="17"/>
      <c r="F90" s="27">
        <f>SUM(F11:F89)</f>
        <v>233871.71611099993</v>
      </c>
      <c r="G90" s="28">
        <f>SUM(G11:G89)</f>
        <v>0.9899</v>
      </c>
      <c r="H90" s="29"/>
    </row>
    <row r="91" spans="1:8" ht="12.95" customHeight="1">
      <c r="A91" s="2"/>
      <c r="B91" s="30" t="s">
        <v>250</v>
      </c>
      <c r="C91" s="31"/>
      <c r="D91" s="31"/>
      <c r="E91" s="31"/>
      <c r="F91" s="32" t="s">
        <v>251</v>
      </c>
      <c r="G91" s="28" t="s">
        <v>251</v>
      </c>
      <c r="H91" s="29"/>
    </row>
    <row r="92" spans="1:8" ht="12.95" customHeight="1">
      <c r="A92" s="2"/>
      <c r="B92" s="30" t="s">
        <v>249</v>
      </c>
      <c r="C92" s="31"/>
      <c r="D92" s="31"/>
      <c r="E92" s="31"/>
      <c r="F92" s="32" t="s">
        <v>251</v>
      </c>
      <c r="G92" s="28" t="s">
        <v>251</v>
      </c>
      <c r="H92" s="29"/>
    </row>
    <row r="93" spans="1:8" ht="12.95" customHeight="1">
      <c r="A93" s="21" t="s">
        <v>254</v>
      </c>
      <c r="B93" s="30" t="s">
        <v>252</v>
      </c>
      <c r="C93" s="33"/>
      <c r="D93" s="31"/>
      <c r="E93" s="33"/>
      <c r="F93" s="27">
        <f t="shared" ref="F93:G93" si="0">F90</f>
        <v>233871.71611099993</v>
      </c>
      <c r="G93" s="28">
        <f t="shared" si="0"/>
        <v>0.9899</v>
      </c>
      <c r="H93" s="29"/>
    </row>
    <row r="94" spans="1:8" ht="12.95" customHeight="1">
      <c r="A94" s="2"/>
      <c r="B94" s="16" t="s">
        <v>253</v>
      </c>
      <c r="C94" s="17"/>
      <c r="D94" s="17"/>
      <c r="E94" s="17"/>
      <c r="F94" s="18"/>
      <c r="G94" s="19"/>
      <c r="H94" s="20"/>
    </row>
    <row r="95" spans="1:8" ht="12.95" customHeight="1">
      <c r="A95" s="2"/>
      <c r="B95" s="22" t="s">
        <v>255</v>
      </c>
      <c r="C95" s="17"/>
      <c r="D95" s="17" t="s">
        <v>256</v>
      </c>
      <c r="E95" s="23"/>
      <c r="F95" s="24">
        <v>3029.6516499999998</v>
      </c>
      <c r="G95" s="25">
        <v>1.2800000000000001E-2</v>
      </c>
      <c r="H95" s="26"/>
    </row>
    <row r="96" spans="1:8" ht="12.95" customHeight="1">
      <c r="A96" s="2"/>
      <c r="B96" s="16" t="s">
        <v>249</v>
      </c>
      <c r="C96" s="17"/>
      <c r="D96" s="17"/>
      <c r="E96" s="17"/>
      <c r="F96" s="27">
        <f t="shared" ref="F96:G96" si="1">F95</f>
        <v>3029.6516499999998</v>
      </c>
      <c r="G96" s="28">
        <f t="shared" si="1"/>
        <v>1.2800000000000001E-2</v>
      </c>
      <c r="H96" s="29"/>
    </row>
    <row r="97" spans="1:8" ht="12.95" customHeight="1">
      <c r="A97" s="2"/>
      <c r="B97" s="30" t="s">
        <v>252</v>
      </c>
      <c r="C97" s="33"/>
      <c r="D97" s="31"/>
      <c r="E97" s="33"/>
      <c r="F97" s="27">
        <f t="shared" ref="F97:G97" si="2">F95</f>
        <v>3029.6516499999998</v>
      </c>
      <c r="G97" s="28">
        <f t="shared" si="2"/>
        <v>1.2800000000000001E-2</v>
      </c>
      <c r="H97" s="29"/>
    </row>
    <row r="98" spans="1:8" ht="12.95" customHeight="1">
      <c r="A98" s="2"/>
      <c r="B98" s="30" t="s">
        <v>257</v>
      </c>
      <c r="C98" s="17"/>
      <c r="D98" s="31"/>
      <c r="E98" s="17"/>
      <c r="F98" s="27">
        <v>-623.99919547078707</v>
      </c>
      <c r="G98" s="28">
        <v>-2.7000000000000001E-3</v>
      </c>
      <c r="H98" s="29"/>
    </row>
    <row r="99" spans="1:8" ht="12.95" customHeight="1" thickBot="1">
      <c r="A99" s="2"/>
      <c r="B99" s="34" t="s">
        <v>258</v>
      </c>
      <c r="C99" s="35"/>
      <c r="D99" s="35"/>
      <c r="E99" s="35"/>
      <c r="F99" s="36">
        <f>F98+F96+F93</f>
        <v>236277.36856552915</v>
      </c>
      <c r="G99" s="40">
        <f>G98+G96+G93</f>
        <v>1</v>
      </c>
      <c r="H99" s="37"/>
    </row>
    <row r="100" spans="1:8" ht="12.95" customHeight="1">
      <c r="A100" s="2"/>
      <c r="B100" s="3"/>
      <c r="C100" s="2"/>
      <c r="D100" s="2"/>
      <c r="E100" s="2"/>
      <c r="F100" s="4"/>
      <c r="G100" s="5"/>
      <c r="H100" s="2"/>
    </row>
    <row r="101" spans="1:8" ht="12.95" customHeight="1">
      <c r="A101" s="2"/>
      <c r="B101" s="3"/>
      <c r="C101" s="2"/>
      <c r="D101" s="2"/>
      <c r="E101" s="2"/>
      <c r="F101" s="4"/>
      <c r="G101" s="5"/>
      <c r="H101" s="2"/>
    </row>
  </sheetData>
  <sortState ref="B11:H89">
    <sortCondition descending="1" ref="G11:G89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2023-11-10T04:44:15Z</dcterms:created>
  <dcterms:modified xsi:type="dcterms:W3CDTF">2024-02-06T18:42:17Z</dcterms:modified>
</cp:coreProperties>
</file>