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March\Monthly Work\MIRAE PORTFOLIO\New folder\"/>
    </mc:Choice>
  </mc:AlternateContent>
  <bookViews>
    <workbookView xWindow="0" yWindow="0" windowWidth="28800" windowHeight="10935"/>
  </bookViews>
  <sheets>
    <sheet name="MAIPF" sheetId="1" r:id="rId1"/>
  </sheets>
  <definedNames>
    <definedName name="_xlnm._FilterDatabase" localSheetId="0" hidden="1">MAIPF!$A$9:$M$246</definedName>
    <definedName name="JR_PAGE_ANCHOR_0_1">#N/A</definedName>
    <definedName name="JR_PAGE_ANCHOR_0_10">#N/A</definedName>
    <definedName name="JR_PAGE_ANCHOR_0_11">#N/A</definedName>
    <definedName name="JR_PAGE_ANCHOR_0_12">#N/A</definedName>
    <definedName name="JR_PAGE_ANCHOR_0_13">#N/A</definedName>
    <definedName name="JR_PAGE_ANCHOR_0_14">#N/A</definedName>
    <definedName name="JR_PAGE_ANCHOR_0_15">#N/A</definedName>
    <definedName name="JR_PAGE_ANCHOR_0_16">#N/A</definedName>
    <definedName name="JR_PAGE_ANCHOR_0_17">#N/A</definedName>
    <definedName name="JR_PAGE_ANCHOR_0_18">#N/A</definedName>
    <definedName name="JR_PAGE_ANCHOR_0_19">#N/A</definedName>
    <definedName name="JR_PAGE_ANCHOR_0_2">#N/A</definedName>
    <definedName name="JR_PAGE_ANCHOR_0_20">#N/A</definedName>
    <definedName name="JR_PAGE_ANCHOR_0_21">#N/A</definedName>
    <definedName name="JR_PAGE_ANCHOR_0_22">#N/A</definedName>
    <definedName name="JR_PAGE_ANCHOR_0_23">#N/A</definedName>
    <definedName name="JR_PAGE_ANCHOR_0_24">#N/A</definedName>
    <definedName name="JR_PAGE_ANCHOR_0_25">#N/A</definedName>
    <definedName name="JR_PAGE_ANCHOR_0_26">#N/A</definedName>
    <definedName name="JR_PAGE_ANCHOR_0_27">#N/A</definedName>
    <definedName name="JR_PAGE_ANCHOR_0_28">#N/A</definedName>
    <definedName name="JR_PAGE_ANCHOR_0_29">#N/A</definedName>
    <definedName name="JR_PAGE_ANCHOR_0_3">#N/A</definedName>
    <definedName name="JR_PAGE_ANCHOR_0_30">#N/A</definedName>
    <definedName name="JR_PAGE_ANCHOR_0_31">#N/A</definedName>
    <definedName name="JR_PAGE_ANCHOR_0_32">#N/A</definedName>
    <definedName name="JR_PAGE_ANCHOR_0_33">#N/A</definedName>
    <definedName name="JR_PAGE_ANCHOR_0_34">#N/A</definedName>
    <definedName name="JR_PAGE_ANCHOR_0_35">#N/A</definedName>
    <definedName name="JR_PAGE_ANCHOR_0_36">#N/A</definedName>
    <definedName name="JR_PAGE_ANCHOR_0_37">#N/A</definedName>
    <definedName name="JR_PAGE_ANCHOR_0_38">#N/A</definedName>
    <definedName name="JR_PAGE_ANCHOR_0_39">#N/A</definedName>
    <definedName name="JR_PAGE_ANCHOR_0_4">#N/A</definedName>
    <definedName name="JR_PAGE_ANCHOR_0_40">#N/A</definedName>
    <definedName name="JR_PAGE_ANCHOR_0_41">#N/A</definedName>
    <definedName name="JR_PAGE_ANCHOR_0_42">#N/A</definedName>
    <definedName name="JR_PAGE_ANCHOR_0_43">#N/A</definedName>
    <definedName name="JR_PAGE_ANCHOR_0_44">#N/A</definedName>
    <definedName name="JR_PAGE_ANCHOR_0_45">#N/A</definedName>
    <definedName name="JR_PAGE_ANCHOR_0_46">#N/A</definedName>
    <definedName name="JR_PAGE_ANCHOR_0_47">#N/A</definedName>
    <definedName name="JR_PAGE_ANCHOR_0_48">#N/A</definedName>
    <definedName name="JR_PAGE_ANCHOR_0_49">#N/A</definedName>
    <definedName name="JR_PAGE_ANCHOR_0_5">#N/A</definedName>
    <definedName name="JR_PAGE_ANCHOR_0_50">#N/A</definedName>
    <definedName name="JR_PAGE_ANCHOR_0_51">#N/A</definedName>
    <definedName name="JR_PAGE_ANCHOR_0_52">#N/A</definedName>
    <definedName name="JR_PAGE_ANCHOR_0_53">#N/A</definedName>
    <definedName name="JR_PAGE_ANCHOR_0_54">#N/A</definedName>
    <definedName name="JR_PAGE_ANCHOR_0_55">#N/A</definedName>
    <definedName name="JR_PAGE_ANCHOR_0_56">#N/A</definedName>
    <definedName name="JR_PAGE_ANCHOR_0_6">#N/A</definedName>
    <definedName name="JR_PAGE_ANCHOR_0_7">#N/A</definedName>
    <definedName name="JR_PAGE_ANCHOR_0_8">#N/A</definedName>
    <definedName name="JR_PAGE_ANCHOR_0_9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9" i="1" l="1"/>
  <c r="F169" i="1"/>
  <c r="G85" i="1"/>
  <c r="G86" i="1" s="1"/>
  <c r="G177" i="1" s="1"/>
  <c r="F85" i="1"/>
  <c r="F86" i="1" s="1"/>
  <c r="F177" i="1" s="1"/>
</calcChain>
</file>

<file path=xl/sharedStrings.xml><?xml version="1.0" encoding="utf-8"?>
<sst xmlns="http://schemas.openxmlformats.org/spreadsheetml/2006/main" count="671" uniqueCount="540">
  <si>
    <t>Home</t>
  </si>
  <si>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</si>
  <si>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</si>
  <si>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</si>
  <si>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February 29,2024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</si>
  <si>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</si>
  <si>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</si>
  <si>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</si>
  <si>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</si>
  <si>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</si>
  <si>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</si>
  <si>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</si>
  <si>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</si>
  <si>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</si>
  <si>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</si>
  <si>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</si>
  <si>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</si>
  <si>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</si>
  <si>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</si>
  <si>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</si>
  <si>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</si>
  <si>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</si>
  <si>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</si>
  <si>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</si>
  <si>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</si>
  <si>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</si>
  <si>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</si>
  <si>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</si>
  <si>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</si>
  <si>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</si>
  <si>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</si>
  <si>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</si>
  <si>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</si>
  <si>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</si>
  <si>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</si>
  <si>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</si>
  <si>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</si>
  <si>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</si>
  <si>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</si>
  <si>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</si>
  <si>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</si>
  <si>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</si>
  <si>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</si>
  <si>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</si>
  <si>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</si>
  <si>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</si>
  <si>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</si>
  <si>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</si>
  <si>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</si>
  <si>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</si>
  <si>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</si>
  <si>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TELC03</t>
  </si>
  <si>
    <t>Tata Motors Limited</t>
  </si>
  <si>
    <t>INE155A01022</t>
  </si>
  <si>
    <t>Automobiles</t>
  </si>
  <si>
    <t>TCSL01</t>
  </si>
  <si>
    <t>Tata Consultancy Services Limited</t>
  </si>
  <si>
    <t>INE467B01029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</si>
  <si>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</si>
  <si>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</si>
  <si>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</si>
  <si>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</si>
  <si>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</si>
  <si>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</si>
  <si>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</si>
  <si>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</si>
  <si>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AUPH03</t>
  </si>
  <si>
    <t>Aurobindo Pharma Limited</t>
  </si>
  <si>
    <t>INE406A01037</t>
  </si>
  <si>
    <t>Pharmaceuticals &amp; Biotechnology</t>
  </si>
  <si>
    <t>SHTR01</t>
  </si>
  <si>
    <t>Shriram Finance Limited</t>
  </si>
  <si>
    <t>INE721A01013</t>
  </si>
  <si>
    <t>Finance</t>
  </si>
  <si>
    <t>GSPL01</t>
  </si>
  <si>
    <t>Gujarat State Petronet Limited</t>
  </si>
  <si>
    <t>INE246F01010</t>
  </si>
  <si>
    <t>Gas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</si>
  <si>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</si>
  <si>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</si>
  <si>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</si>
  <si>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</si>
  <si>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</si>
  <si>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</si>
  <si>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</si>
  <si>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</si>
  <si>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</si>
  <si>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</si>
  <si>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HAIL03</t>
  </si>
  <si>
    <t>Havells India Limited</t>
  </si>
  <si>
    <t>INE176B01034</t>
  </si>
  <si>
    <t>Consumer Durables</t>
  </si>
  <si>
    <t>HLEL02</t>
  </si>
  <si>
    <t>Hindustan Unilever Limited</t>
  </si>
  <si>
    <t>INE030A01027</t>
  </si>
  <si>
    <t>MOSU03</t>
  </si>
  <si>
    <t>Samvardhana Motherson International Limited</t>
  </si>
  <si>
    <t>INE775A01035</t>
  </si>
  <si>
    <t>Auto Components</t>
  </si>
  <si>
    <t>ZMPL01</t>
  </si>
  <si>
    <t>Zomato Limited</t>
  </si>
  <si>
    <t>INE758T01015</t>
  </si>
  <si>
    <t>Retailing</t>
  </si>
  <si>
    <t>CRAF01</t>
  </si>
  <si>
    <t>Craftsman Automation Limited</t>
  </si>
  <si>
    <t>INE00LO01017</t>
  </si>
  <si>
    <t>SSNL02</t>
  </si>
  <si>
    <t>Delhivery Limited</t>
  </si>
  <si>
    <t>INE148O01028</t>
  </si>
  <si>
    <t>Transport Services</t>
  </si>
  <si>
    <t>GPIL03</t>
  </si>
  <si>
    <t>Greenply Industries Limited</t>
  </si>
  <si>
    <t>INE461C01038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</si>
  <si>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</si>
  <si>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</si>
  <si>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</si>
  <si>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</si>
  <si>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</si>
  <si>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</si>
  <si>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Insurance</t>
  </si>
  <si>
    <t>LICH02</t>
  </si>
  <si>
    <t>LIC Housing Finance Limited</t>
  </si>
  <si>
    <t>INE115A01026</t>
  </si>
  <si>
    <t>INAV01</t>
  </si>
  <si>
    <t>InterGlobe Aviation Limited</t>
  </si>
  <si>
    <t>INE646L01027</t>
  </si>
  <si>
    <t>SAEL02</t>
  </si>
  <si>
    <t>TVS Motor Company Limited</t>
  </si>
  <si>
    <t>INE494B01023</t>
  </si>
  <si>
    <t>DABU02</t>
  </si>
  <si>
    <t>Dabur India Limited</t>
  </si>
  <si>
    <t>INE016A01026</t>
  </si>
  <si>
    <t>Personal Products</t>
  </si>
  <si>
    <t>IIBL01</t>
  </si>
  <si>
    <t>IndusInd Bank Limited</t>
  </si>
  <si>
    <t>INE095A01012</t>
  </si>
  <si>
    <t>PPFL01</t>
  </si>
  <si>
    <t>Prince Pipes And Fittings Limited</t>
  </si>
  <si>
    <t>INE689W01016</t>
  </si>
  <si>
    <t>Industrial Products</t>
  </si>
  <si>
    <t>KOMA02</t>
  </si>
  <si>
    <t>Kotak Mahindra Bank Limited</t>
  </si>
  <si>
    <t>INE237A01028</t>
  </si>
  <si>
    <t>KACE03</t>
  </si>
  <si>
    <t>Kajaria Ceramics Limited</t>
  </si>
  <si>
    <t>INE217B01036</t>
  </si>
  <si>
    <t>BFLS01</t>
  </si>
  <si>
    <t>MphasiS Limited</t>
  </si>
  <si>
    <t>INE356A01018</t>
  </si>
  <si>
    <t>MAXI02</t>
  </si>
  <si>
    <t>Max Financial Services Limited</t>
  </si>
  <si>
    <t>INE180A01020</t>
  </si>
  <si>
    <t>TOPH02</t>
  </si>
  <si>
    <t>Torrent Pharmaceuticals Limited</t>
  </si>
  <si>
    <t>INE685A01028</t>
  </si>
  <si>
    <t>COAL01</t>
  </si>
  <si>
    <t>Coal India Limited</t>
  </si>
  <si>
    <t>INE522F01014</t>
  </si>
  <si>
    <t>Consumable Fuels</t>
  </si>
  <si>
    <t>KIMS01</t>
  </si>
  <si>
    <t>Krishna Institute Of Medical Sciences Limited</t>
  </si>
  <si>
    <t>INE967H01017</t>
  </si>
  <si>
    <t>Healthcare Services</t>
  </si>
  <si>
    <t>GCPL02</t>
  </si>
  <si>
    <t>Godrej Consumer Products Limited</t>
  </si>
  <si>
    <t>INE102D01028</t>
  </si>
  <si>
    <t>TDPS02</t>
  </si>
  <si>
    <t>TD Power Systems Limited</t>
  </si>
  <si>
    <t>INE419M01027</t>
  </si>
  <si>
    <t>Electrical Equipment</t>
  </si>
  <si>
    <t>TWAT02</t>
  </si>
  <si>
    <t>Titan Company Limited</t>
  </si>
  <si>
    <t>INE280A01028</t>
  </si>
  <si>
    <t>HINI02</t>
  </si>
  <si>
    <t>Hindalco Industries Limited</t>
  </si>
  <si>
    <t>INE038A01020</t>
  </si>
  <si>
    <t>Non - Ferrous Metals</t>
  </si>
  <si>
    <t>VORL03</t>
  </si>
  <si>
    <t>Vinati Organics Limited</t>
  </si>
  <si>
    <t>INE410B01037</t>
  </si>
  <si>
    <t>Chemicals &amp; Petrochemicals</t>
  </si>
  <si>
    <t>GRFL02</t>
  </si>
  <si>
    <t>Gateway Distriparks Limited</t>
  </si>
  <si>
    <t>INE079J01017</t>
  </si>
  <si>
    <t>ELMA01</t>
  </si>
  <si>
    <t>Electronics Mart India Limited</t>
  </si>
  <si>
    <t>INE02YR01019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</si>
  <si>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</si>
  <si>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</si>
  <si>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</si>
  <si>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</si>
  <si>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</si>
  <si>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</si>
  <si>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TINV04</t>
  </si>
  <si>
    <t>Cholamandalam Financial Holdings Limited</t>
  </si>
  <si>
    <t>INE149A01033</t>
  </si>
  <si>
    <t>FEBA02</t>
  </si>
  <si>
    <t>The Federal Bank Limited</t>
  </si>
  <si>
    <t>INE171A01029</t>
  </si>
  <si>
    <t>BRIG01</t>
  </si>
  <si>
    <t>Brigade Enterprises Limited</t>
  </si>
  <si>
    <t>INE791I01019</t>
  </si>
  <si>
    <t>Realty</t>
  </si>
  <si>
    <t>PAGE01</t>
  </si>
  <si>
    <t>Page Industries Limited</t>
  </si>
  <si>
    <t>INE761H01022</t>
  </si>
  <si>
    <t>Textiles &amp; Apparels</t>
  </si>
  <si>
    <t>ULCC01</t>
  </si>
  <si>
    <t>UltraTech Cement Limited</t>
  </si>
  <si>
    <t>INE481G01011</t>
  </si>
  <si>
    <t>TATC01</t>
  </si>
  <si>
    <t>Tatva Chintan Pharma Chem Limited</t>
  </si>
  <si>
    <t>INE0GK401011</t>
  </si>
  <si>
    <t>EIML02</t>
  </si>
  <si>
    <t>Eicher Motors Limited</t>
  </si>
  <si>
    <t>INE066A01021</t>
  </si>
  <si>
    <t>WESD02</t>
  </si>
  <si>
    <t>Westlife Foodworld Limited</t>
  </si>
  <si>
    <t>INE274F01020</t>
  </si>
  <si>
    <t>Leisure Services</t>
  </si>
  <si>
    <t>YATR01</t>
  </si>
  <si>
    <t>Yatra Online Limited</t>
  </si>
  <si>
    <t>INE0JR601024</t>
  </si>
  <si>
    <t>ODCL03</t>
  </si>
  <si>
    <t>Dalmia Bharat Limited</t>
  </si>
  <si>
    <t>INE00R701025</t>
  </si>
  <si>
    <t>GFPL01</t>
  </si>
  <si>
    <t>Go Fashion (India) Limited</t>
  </si>
  <si>
    <t>INE0BJS01011</t>
  </si>
  <si>
    <t>BAFL02</t>
  </si>
  <si>
    <t>Bajaj Finance Limited</t>
  </si>
  <si>
    <t>INE296A01024</t>
  </si>
  <si>
    <t>EMAM02</t>
  </si>
  <si>
    <t>Emami Limited</t>
  </si>
  <si>
    <t>INE548C01032</t>
  </si>
  <si>
    <t>AVAT01</t>
  </si>
  <si>
    <t>Avalon Technologies Limited</t>
  </si>
  <si>
    <t>INE0LCL01028</t>
  </si>
  <si>
    <t>ONCO02</t>
  </si>
  <si>
    <t>One 97 Communications Limited</t>
  </si>
  <si>
    <t>INE982J01020</t>
  </si>
  <si>
    <t>Financial Technology (Fintech)</t>
  </si>
  <si>
    <t>SBCP01</t>
  </si>
  <si>
    <t>SBI Cards and Payment Services Limited</t>
  </si>
  <si>
    <t>INE018E01016</t>
  </si>
  <si>
    <t>NEST02</t>
  </si>
  <si>
    <t>Nestle India Limited</t>
  </si>
  <si>
    <t>INE239A01024</t>
  </si>
  <si>
    <t>Food Products</t>
  </si>
  <si>
    <t>Sub Total</t>
  </si>
  <si>
    <t>(b) Unlisted</t>
  </si>
  <si>
    <t>NIL</t>
  </si>
  <si>
    <t>REIT</t>
  </si>
  <si>
    <t xml:space="preserve">Embassy Office Parks REIT   </t>
  </si>
  <si>
    <t>INE041025011</t>
  </si>
  <si>
    <t xml:space="preserve"> 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</si>
  <si>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</si>
  <si>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</si>
  <si>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</si>
  <si>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</si>
  <si>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</si>
  <si>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</si>
  <si>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</si>
  <si>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</si>
  <si>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</si>
  <si>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</si>
  <si>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GOI4584</t>
  </si>
  <si>
    <t>7.26% Government of India (22/08/2032)</t>
  </si>
  <si>
    <t>IN0020220060</t>
  </si>
  <si>
    <t>GOI4976</t>
  </si>
  <si>
    <t>7.26% Government of India (06/02/2033)</t>
  </si>
  <si>
    <t>IN0020220151</t>
  </si>
  <si>
    <t>HHFL186</t>
  </si>
  <si>
    <t>Hero Fincorp Limited (13/08/2024) (ZCB)  **</t>
  </si>
  <si>
    <t>INE957N07724</t>
  </si>
  <si>
    <t>ICRA AA+</t>
  </si>
  <si>
    <t>GOI5077</t>
  </si>
  <si>
    <t>7.06% Government of India (10/04/2028)</t>
  </si>
  <si>
    <t>IN0020230010</t>
  </si>
  <si>
    <t>SHTR492</t>
  </si>
  <si>
    <t>9% Shriram Finance Limited (24/06/2024) **</t>
  </si>
  <si>
    <t>INE721A07RJ5</t>
  </si>
  <si>
    <t>CRISIL AA+</t>
  </si>
  <si>
    <t>CHOL1032</t>
  </si>
  <si>
    <t>8.5% Cholamandalam Investment and Finance Company Ltd (07/12/2026) **</t>
  </si>
  <si>
    <t>INE121A07RO8</t>
  </si>
  <si>
    <t>MUFL355</t>
  </si>
  <si>
    <t>7.1% Muthoot Finance Limited (20/06/2024) **</t>
  </si>
  <si>
    <t>INE414G07FT8</t>
  </si>
  <si>
    <t>MUFL392</t>
  </si>
  <si>
    <t>8.3% Muthoot Finance Limited (06/01/2026) **</t>
  </si>
  <si>
    <t>INE414G07HI7</t>
  </si>
  <si>
    <t>POWF491</t>
  </si>
  <si>
    <t>7.42% Power Finance Corporation Limited (08/09/2032) **</t>
  </si>
  <si>
    <t>INE134E08LQ9</t>
  </si>
  <si>
    <t>CRISIL AAA</t>
  </si>
  <si>
    <t>GOI5196</t>
  </si>
  <si>
    <t>7.18% Government of India (24/07/2037)</t>
  </si>
  <si>
    <t>IN0020230077</t>
  </si>
  <si>
    <t>NBAR680</t>
  </si>
  <si>
    <t>7.25% National Bank For Agriculture and Rural Development (01/08/2025) **</t>
  </si>
  <si>
    <t>INE261F08DQ4</t>
  </si>
  <si>
    <t>CHOL941</t>
  </si>
  <si>
    <t>7.38% Cholamandalam Investment and Finance Company Ltd (31/07/2024) **</t>
  </si>
  <si>
    <t>INE121A07PN4</t>
  </si>
  <si>
    <t>RECL421</t>
  </si>
  <si>
    <t>6.92% REC Limited (20/03/2032) **</t>
  </si>
  <si>
    <t>INE020B08DV3</t>
  </si>
  <si>
    <t>MUFL405</t>
  </si>
  <si>
    <t>8.43% Muthoot Finance Limited (31/07/2026) **</t>
  </si>
  <si>
    <t>INE414G07IG9</t>
  </si>
  <si>
    <t>GOI5152</t>
  </si>
  <si>
    <t>7.3% Government of India (19/06/2053)</t>
  </si>
  <si>
    <t>IN0020230051</t>
  </si>
  <si>
    <t>MOFV60</t>
  </si>
  <si>
    <t>9.5% Motilal Oswal Finvest Limited (12/09/2025) **</t>
  </si>
  <si>
    <t>INE01WN07094</t>
  </si>
  <si>
    <t>CRISIL AA</t>
  </si>
  <si>
    <t>RUPL50</t>
  </si>
  <si>
    <t>7.9% Jamnagar Utilities &amp; Power Private Limited (10/08/2028) **</t>
  </si>
  <si>
    <t>INE936D07182</t>
  </si>
  <si>
    <t>LARS419</t>
  </si>
  <si>
    <t>7.725% Larsen &amp; Toubro Limited (28/04/2028) **</t>
  </si>
  <si>
    <t>INE018A08BE9</t>
  </si>
  <si>
    <t>GOI4913</t>
  </si>
  <si>
    <t>7.49% MEGHALAYA SDL (MD 21/12/2027)</t>
  </si>
  <si>
    <t>IN2420220070</t>
  </si>
  <si>
    <t>RECL430</t>
  </si>
  <si>
    <t>7.53% REC Limited (31/03/2033) **</t>
  </si>
  <si>
    <t>INE020B08EC1</t>
  </si>
  <si>
    <t>BHAT66</t>
  </si>
  <si>
    <t>8.9% Bharti Telecom Limited (04/12/2025) **</t>
  </si>
  <si>
    <t>INE403D08181</t>
  </si>
  <si>
    <t>RECL429</t>
  </si>
  <si>
    <t>7.6% REC Limited (27/02/2026) **</t>
  </si>
  <si>
    <t>INE020B08EF4</t>
  </si>
  <si>
    <t>IFMC88</t>
  </si>
  <si>
    <t>9% Northern Arc Capital Limited (12/07/2024) **</t>
  </si>
  <si>
    <t>INE850M07459</t>
  </si>
  <si>
    <t>ICRA AA-</t>
  </si>
  <si>
    <t>EOPR28</t>
  </si>
  <si>
    <t>7.77% Embassy Office Parks REIT (05/06/2025) **</t>
  </si>
  <si>
    <t>INE041007100</t>
  </si>
  <si>
    <t>SIDB465</t>
  </si>
  <si>
    <t>7.15% Small Industries Dev Bank of India (02/06/2025) **</t>
  </si>
  <si>
    <t>INE556F08JY8</t>
  </si>
  <si>
    <t>ICRA AAA</t>
  </si>
  <si>
    <t>NBAR747</t>
  </si>
  <si>
    <t>7.68% National Bank For Agriculture and Rural Development (30/04/2029) **</t>
  </si>
  <si>
    <t>INE261F08EG3</t>
  </si>
  <si>
    <t>BAFL826</t>
  </si>
  <si>
    <t>7.9% Bajaj Finance Limited (17/11/2025) **</t>
  </si>
  <si>
    <t>INE296A07SF4</t>
  </si>
  <si>
    <t>SIDB539</t>
  </si>
  <si>
    <t>7.79% Small Industries Dev Bank of India (14/05/2027)</t>
  </si>
  <si>
    <t>INE556F08KM1</t>
  </si>
  <si>
    <t>PGCI457</t>
  </si>
  <si>
    <t>7.5% Power Grid Corporation of India Limited (24/08/2033) **</t>
  </si>
  <si>
    <t>INE752E08700</t>
  </si>
  <si>
    <t>NBAR701</t>
  </si>
  <si>
    <t>7.58% National Bank For Agriculture and Rural Development (31/07/2026) **</t>
  </si>
  <si>
    <t>INE261F08DX0</t>
  </si>
  <si>
    <t>RECL387</t>
  </si>
  <si>
    <t>6.88% REC Limited (20/03/2025) **</t>
  </si>
  <si>
    <t>INE020B08CK8</t>
  </si>
  <si>
    <t>NBAR646</t>
  </si>
  <si>
    <t>5.23% National Bank For Agriculture and Rural Development (31/01/2025) **</t>
  </si>
  <si>
    <t>INE261F08DI1</t>
  </si>
  <si>
    <t>BHAT52</t>
  </si>
  <si>
    <t>8.7% Bharti Telecom Limited (21/11/2024) **</t>
  </si>
  <si>
    <t>INE403D08116</t>
  </si>
  <si>
    <t>IIFW286</t>
  </si>
  <si>
    <t>9.66% 360 One Prime Limited (18/01/2029) **</t>
  </si>
  <si>
    <t>INE248U07ER8</t>
  </si>
  <si>
    <t>IIFW285</t>
  </si>
  <si>
    <t>9.61% 360 One Prime Limited (18/01/2027) **</t>
  </si>
  <si>
    <t>INE248U07EW8</t>
  </si>
  <si>
    <t>BHFL96</t>
  </si>
  <si>
    <t>7.9237% Bajaj Housing Finance Limited (16/03/2026) **</t>
  </si>
  <si>
    <t>INE377Y07375</t>
  </si>
  <si>
    <t>GOI2490</t>
  </si>
  <si>
    <t>6.99% Telangana SDL (MD 10/06/2028)</t>
  </si>
  <si>
    <t>IN4520200093</t>
  </si>
  <si>
    <t>GOI4549</t>
  </si>
  <si>
    <t>7.61% Rajasthan SDL (MD 29/03/2027)</t>
  </si>
  <si>
    <t>IN2920160446</t>
  </si>
  <si>
    <t>RECL331</t>
  </si>
  <si>
    <t>7.7% REC Limited (10/12/2027) **</t>
  </si>
  <si>
    <t>INE020B08AQ9</t>
  </si>
  <si>
    <t>ICHF205</t>
  </si>
  <si>
    <t>7.95% ICICI Home Finance Company Limited (24/11/2025) **</t>
  </si>
  <si>
    <t>INE071G07561</t>
  </si>
  <si>
    <t>POWF486</t>
  </si>
  <si>
    <t>7.13% Power Finance Corporation Limited (08/08/2025) **</t>
  </si>
  <si>
    <t>INE134E08LO4</t>
  </si>
  <si>
    <t>EOPR26</t>
  </si>
  <si>
    <t>6.25% Embassy Office Parks REIT (18/10/2024) **</t>
  </si>
  <si>
    <t>INE041007076</t>
  </si>
  <si>
    <t>LICH597</t>
  </si>
  <si>
    <t>5.776% LIC Housing Finance Limited (11/09/2025) **</t>
  </si>
  <si>
    <t>INE115A07OY6</t>
  </si>
  <si>
    <t>POWF483</t>
  </si>
  <si>
    <t>6.09% Power Finance Corporation Limited (27/08/2026) **</t>
  </si>
  <si>
    <t>INE134E08LK2</t>
  </si>
  <si>
    <t>LICH334</t>
  </si>
  <si>
    <t>8.48% LIC Housing Finance Limited (29/06/2026) **</t>
  </si>
  <si>
    <t>INE115A07JS8</t>
  </si>
  <si>
    <t>LICH328</t>
  </si>
  <si>
    <t>8.45% LIC Housing Finance Limited (22/05/2026) **</t>
  </si>
  <si>
    <t>INE115A07JM1</t>
  </si>
  <si>
    <t>NBAR741</t>
  </si>
  <si>
    <t>7.8% National Bank For Agriculture and Rural Development (15/03/2027) **</t>
  </si>
  <si>
    <t>INE261F08EF5</t>
  </si>
  <si>
    <t>GODP225</t>
  </si>
  <si>
    <t>8.3% Godrej Properties Limited (19/03/2027) **</t>
  </si>
  <si>
    <t>INE484J08055</t>
  </si>
  <si>
    <t>GOI1893</t>
  </si>
  <si>
    <t>7.59% Karnataka SDL (MD 29/03/2027)</t>
  </si>
  <si>
    <t>IN1920160125</t>
  </si>
  <si>
    <t>IDBK394</t>
  </si>
  <si>
    <t>8.95% IDFC First Bank Limited (13/05/2025) **</t>
  </si>
  <si>
    <t>INE092T08469</t>
  </si>
  <si>
    <t>IDFC213</t>
  </si>
  <si>
    <t>8.8% IDFC First Bank Limited (15/06/2025) **</t>
  </si>
  <si>
    <t>INE092T08493</t>
  </si>
  <si>
    <t>GOI4360</t>
  </si>
  <si>
    <t>7.25% Punjab SDL (MD 14/06/2027)</t>
  </si>
  <si>
    <t>IN2820170057</t>
  </si>
  <si>
    <t>HDFB901</t>
  </si>
  <si>
    <t>7.77% HDFC Bank Limited (28/06/2027) **</t>
  </si>
  <si>
    <t>INE040A08823</t>
  </si>
  <si>
    <t>NBAR677</t>
  </si>
  <si>
    <t>7.4% National Bank For Agriculture and Rural Development (30/01/2026)</t>
  </si>
  <si>
    <t>INE261F08DO9</t>
  </si>
  <si>
    <t>IOIC609</t>
  </si>
  <si>
    <t>5.6% Indian Oil Corporation Limited (23/01/2026) **</t>
  </si>
  <si>
    <t>INE242A08494</t>
  </si>
  <si>
    <t>GOI1449</t>
  </si>
  <si>
    <t>8.39% Andhra Pradesh SDL (MD 27/01/2026)</t>
  </si>
  <si>
    <t>IN1020150125</t>
  </si>
  <si>
    <t>(b) Privately placed / Unlisted</t>
  </si>
  <si>
    <t>Money Market Instruments</t>
  </si>
  <si>
    <t>Certificate of Deposit</t>
  </si>
  <si>
    <t>IBCL1152</t>
  </si>
  <si>
    <t>ICICI Bank Limited (13/06/2024) #</t>
  </si>
  <si>
    <t>INE090A169Z3</t>
  </si>
  <si>
    <t>ICRA A1+</t>
  </si>
  <si>
    <t>NBAR744</t>
  </si>
  <si>
    <t>National Bank For Agriculture and Rural Development (17/01/2025) ** #</t>
  </si>
  <si>
    <t>INE261F16769</t>
  </si>
  <si>
    <t>CRISIL A1+</t>
  </si>
  <si>
    <t>UTIB1297</t>
  </si>
  <si>
    <t>Axis Bank Limited (21/06/2024) ** #</t>
  </si>
  <si>
    <t>INE238AD6561</t>
  </si>
  <si>
    <t>UTIB1287</t>
  </si>
  <si>
    <t>Axis Bank Limited (20/06/2024) ** #</t>
  </si>
  <si>
    <t>INE238AD6447</t>
  </si>
  <si>
    <t>SIDB522</t>
  </si>
  <si>
    <t>Small Industries Dev Bank of India (21/06/2024) ** #</t>
  </si>
  <si>
    <t>INE556F16AL7</t>
  </si>
  <si>
    <t>CARE A1+</t>
  </si>
  <si>
    <t>HDFB923</t>
  </si>
  <si>
    <t>HDFC Bank Limited (13/09/2024) ** #</t>
  </si>
  <si>
    <t>INE040A16DX2</t>
  </si>
  <si>
    <t>Commercial Paper</t>
  </si>
  <si>
    <t>GOSL351</t>
  </si>
  <si>
    <t>Godrej Industries Limited (25/04/2024) **</t>
  </si>
  <si>
    <t>INE233A14H07</t>
  </si>
  <si>
    <t>ISLI20</t>
  </si>
  <si>
    <t>IIFL Samasta Finance Limited (24/04/2024) **</t>
  </si>
  <si>
    <t>INE413U14224</t>
  </si>
  <si>
    <t>BGHP113</t>
  </si>
  <si>
    <t>Birla Group Holdings Private Limited (13/03/2024) **</t>
  </si>
  <si>
    <t>INE09OL14CR1</t>
  </si>
  <si>
    <t>MOFS159</t>
  </si>
  <si>
    <t>Motilal Oswal Financial Services Limited (23/08/2024) **</t>
  </si>
  <si>
    <t>INE338I14FH6</t>
  </si>
  <si>
    <t>MOFV68</t>
  </si>
  <si>
    <t>Motilal Oswal Finvest Limited (07/03/2024) **</t>
  </si>
  <si>
    <t>INE01WN14892</t>
  </si>
  <si>
    <t>PHFL121</t>
  </si>
  <si>
    <t>Piramal Capital &amp; Housing Finance Limited (07/05/2024) **</t>
  </si>
  <si>
    <t>INE516Y14EX4</t>
  </si>
  <si>
    <t>IGHL23</t>
  </si>
  <si>
    <t>IGH Holdings Private Limited (19/03/2024) **</t>
  </si>
  <si>
    <t>INE02FN14176</t>
  </si>
  <si>
    <t>TREPS / Reverse Repo</t>
  </si>
  <si>
    <t>TRP_010324</t>
  </si>
  <si>
    <t>TREPS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</si>
  <si>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</si>
  <si>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</si>
  <si>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</si>
  <si>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</si>
  <si>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</si>
  <si>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</si>
  <si>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</si>
  <si>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February 29,2024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</si>
  <si>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</si>
  <si>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</si>
  <si>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</si>
  <si>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</si>
  <si>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</si>
  <si>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(hedging positions) as a %age of net assets : Nil</t>
  </si>
  <si>
    <t>For the period ended February 29,2024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</si>
  <si>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</si>
  <si>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</si>
  <si>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</si>
  <si>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</si>
  <si>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</si>
  <si>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February 29,2024</t>
  </si>
  <si>
    <t>Futures Price when purchased (Rs)</t>
  </si>
  <si>
    <t>Current price of the contract (Rs)</t>
  </si>
  <si>
    <t>Margin maintained (Rs. Lakhs)</t>
  </si>
  <si>
    <t>Long</t>
  </si>
  <si>
    <t>Total exposure due to futures (hedging positions) as a %age of net assets : 0.34 %</t>
  </si>
  <si>
    <t>For the period ended February 29,2024 following details specified for non-hedging transactions through futures which have been squared off/expired:</t>
  </si>
  <si>
    <t>Total Number of contracts where futures were bought : 345</t>
  </si>
  <si>
    <t>Total Number of contracts where futures were sold : 845</t>
  </si>
  <si>
    <t>Gross Notional Value of contracts where futures were bought : Rs. 198,813,313</t>
  </si>
  <si>
    <t>Gross Notional Value of contracts where futures were sold : Rs. 490,524,265</t>
  </si>
  <si>
    <t>Net Profit/Loss value on all contracts combined : Rs. 11,507,473</t>
  </si>
  <si>
    <t>C. Hedging Positions through Put Options as on February 29,2024</t>
  </si>
  <si>
    <t>Number of Contracts</t>
  </si>
  <si>
    <t>Option Price when purchased</t>
  </si>
  <si>
    <t>Current Option Price</t>
  </si>
  <si>
    <t>Total % age of existing assets hedged through put options - NIL</t>
  </si>
  <si>
    <t>For the half year period ended February 29,2024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</si>
  <si>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29,2024</t>
  </si>
  <si>
    <t>Call / put</t>
  </si>
  <si>
    <t>Number of contracts</t>
  </si>
  <si>
    <t>Current Price</t>
  </si>
  <si>
    <t>Total Exposure through options as a %age of net assets : NIL</t>
  </si>
  <si>
    <t>For the half year period ended February 29,2024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</si>
  <si>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29,2024 - NIL</t>
  </si>
  <si>
    <t>Average maturity (in years)</t>
  </si>
  <si>
    <t>Yield</t>
  </si>
  <si>
    <t>Modified duration</t>
  </si>
  <si>
    <t>Macaulay duration</t>
  </si>
  <si>
    <t>1 year Portfolo Turnover Ratio</t>
  </si>
  <si>
    <t>0.56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</si>
</sst>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3">
    <xf numFmtId="0" fontId="0" fillId="0" borderId="0" xfId="0"/>
    <xf numFmtId="0" fontId="3" fillId="2" borderId="0" xfId="2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4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7" fillId="0" borderId="13" xfId="0" applyNumberFormat="1" applyFont="1" applyFill="1" applyBorder="1" applyAlignment="1" applyProtection="1">
      <alignment horizontal="left" vertical="top" wrapText="1"/>
    </xf>
    <xf numFmtId="4" fontId="7" fillId="0" borderId="13" xfId="0" applyNumberFormat="1" applyFont="1" applyFill="1" applyBorder="1" applyAlignment="1" applyProtection="1">
      <alignment horizontal="left" vertical="top" wrapText="1"/>
    </xf>
    <xf numFmtId="10" fontId="7" fillId="0" borderId="14" xfId="1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3" fontId="7" fillId="0" borderId="13" xfId="0" applyNumberFormat="1" applyFont="1" applyFill="1" applyBorder="1" applyAlignment="1" applyProtection="1">
      <alignment horizontal="right" vertical="top" wrapText="1"/>
    </xf>
    <xf numFmtId="4" fontId="7" fillId="0" borderId="13" xfId="0" applyNumberFormat="1" applyFont="1" applyFill="1" applyBorder="1" applyAlignment="1" applyProtection="1">
      <alignment horizontal="right" vertical="top" wrapText="1"/>
    </xf>
    <xf numFmtId="10" fontId="7" fillId="0" borderId="13" xfId="1" applyNumberFormat="1" applyFont="1" applyFill="1" applyBorder="1" applyAlignment="1" applyProtection="1">
      <alignment horizontal="right" vertical="top" wrapText="1"/>
    </xf>
    <xf numFmtId="164" fontId="9" fillId="0" borderId="15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4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7" fillId="0" borderId="17" xfId="0" applyNumberFormat="1" applyFont="1" applyFill="1" applyBorder="1" applyAlignment="1" applyProtection="1">
      <alignment horizontal="left" vertical="top" wrapText="1"/>
    </xf>
    <xf numFmtId="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2" xfId="0" applyFont="1" applyFill="1" applyBorder="1" applyAlignment="1" applyProtection="1">
      <alignment horizontal="left" vertical="top" wrapText="1"/>
    </xf>
    <xf numFmtId="4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0" applyNumberFormat="1" applyFont="1" applyFill="1" applyBorder="1" applyAlignment="1" applyProtection="1">
      <alignment horizontal="right" vertical="top" wrapText="1"/>
    </xf>
    <xf numFmtId="0" fontId="6" fillId="0" borderId="15" xfId="0" applyNumberFormat="1" applyFont="1" applyFill="1" applyBorder="1" applyAlignment="1" applyProtection="1">
      <alignment horizontal="righ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7" fillId="0" borderId="16" xfId="0" applyNumberFormat="1" applyFont="1" applyFill="1" applyBorder="1" applyAlignment="1" applyProtection="1">
      <alignment horizontal="left" vertical="top" wrapText="1"/>
    </xf>
    <xf numFmtId="10" fontId="6" fillId="0" borderId="16" xfId="0" applyNumberFormat="1" applyFont="1" applyFill="1" applyBorder="1" applyAlignment="1" applyProtection="1">
      <alignment horizontal="righ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7" fillId="0" borderId="21" xfId="0" applyNumberFormat="1" applyFont="1" applyFill="1" applyBorder="1" applyAlignment="1" applyProtection="1">
      <alignment horizontal="left" vertical="top" wrapText="1"/>
    </xf>
    <xf numFmtId="4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1" xfId="0" applyNumberFormat="1" applyFont="1" applyFill="1" applyBorder="1" applyAlignment="1" applyProtection="1">
      <alignment horizontal="right" vertical="top" wrapText="1"/>
    </xf>
    <xf numFmtId="0" fontId="6" fillId="0" borderId="22" xfId="0" applyNumberFormat="1" applyFont="1" applyFill="1" applyBorder="1" applyAlignment="1" applyProtection="1">
      <alignment horizontal="right" vertical="top" wrapText="1"/>
    </xf>
    <xf numFmtId="0" fontId="2" fillId="0" borderId="0" xfId="0" applyFont="1"/>
    <xf numFmtId="0" fontId="11" fillId="0" borderId="0" xfId="3" applyFont="1"/>
    <xf numFmtId="0" fontId="12" fillId="0" borderId="0" xfId="3" applyFont="1"/>
    <xf numFmtId="10" fontId="1" fillId="0" borderId="0" xfId="1" applyNumberFormat="1" applyFont="1"/>
    <xf numFmtId="0" fontId="12" fillId="0" borderId="23" xfId="3" applyFont="1" applyBorder="1"/>
    <xf numFmtId="4" fontId="12" fillId="0" borderId="23" xfId="3" applyNumberFormat="1" applyFont="1" applyBorder="1"/>
    <xf numFmtId="0" fontId="12" fillId="0" borderId="24" xfId="3" applyFont="1" applyBorder="1"/>
    <xf numFmtId="0" fontId="12" fillId="0" borderId="25" xfId="3" applyFont="1" applyBorder="1"/>
    <xf numFmtId="0" fontId="12" fillId="0" borderId="26" xfId="3" applyFont="1" applyBorder="1"/>
    <xf numFmtId="0" fontId="12" fillId="0" borderId="26" xfId="3" applyFont="1" applyBorder="1"/>
    <xf numFmtId="0" fontId="12" fillId="0" borderId="27" xfId="3" applyFont="1" applyBorder="1" applyAlignment="1">
      <alignment horizontal="left"/>
    </xf>
    <xf numFmtId="0" fontId="12" fillId="0" borderId="28" xfId="3" applyFont="1" applyBorder="1" applyAlignment="1">
      <alignment horizontal="left"/>
    </xf>
    <xf numFmtId="0" fontId="12" fillId="0" borderId="29" xfId="3" applyFont="1" applyBorder="1" applyAlignment="1">
      <alignment horizontal="left"/>
    </xf>
    <xf numFmtId="0" fontId="12" fillId="0" borderId="30" xfId="3" applyFont="1" applyBorder="1"/>
    <xf numFmtId="0" fontId="12" fillId="0" borderId="31" xfId="3" applyFont="1" applyBorder="1"/>
    <xf numFmtId="0" fontId="12" fillId="0" borderId="32" xfId="3" applyFont="1" applyBorder="1"/>
    <xf numFmtId="0" fontId="12" fillId="0" borderId="33" xfId="3" applyFont="1" applyBorder="1"/>
    <xf numFmtId="0" fontId="12" fillId="0" borderId="34" xfId="3" applyFont="1" applyBorder="1"/>
    <xf numFmtId="0" fontId="12" fillId="0" borderId="24" xfId="3" applyFont="1" applyBorder="1"/>
    <xf numFmtId="0" fontId="12" fillId="0" borderId="25" xfId="3" applyFont="1" applyBorder="1"/>
    <xf numFmtId="4" fontId="12" fillId="0" borderId="25" xfId="3" applyNumberFormat="1" applyFont="1" applyBorder="1"/>
    <xf numFmtId="4" fontId="12" fillId="0" borderId="26" xfId="3" applyNumberFormat="1" applyFont="1" applyBorder="1"/>
    <xf numFmtId="0" fontId="12" fillId="0" borderId="28" xfId="3" applyFont="1" applyBorder="1"/>
    <xf numFmtId="0" fontId="12" fillId="0" borderId="23" xfId="3" applyFont="1" applyBorder="1" applyAlignment="1">
      <alignment horizontal="center" vertical="center"/>
    </xf>
    <xf numFmtId="0" fontId="12" fillId="0" borderId="23" xfId="3" applyFont="1" applyBorder="1"/>
    <xf numFmtId="0" fontId="12" fillId="0" borderId="27" xfId="3" applyFont="1" applyBorder="1" applyAlignment="1">
      <alignment horizontal="left" vertical="top" wrapText="1"/>
    </xf>
    <xf numFmtId="0" fontId="12" fillId="0" borderId="28" xfId="3" applyFont="1" applyBorder="1" applyAlignment="1">
      <alignment horizontal="left" vertical="top"/>
    </xf>
    <xf numFmtId="0" fontId="12" fillId="0" borderId="29" xfId="3" applyFont="1" applyBorder="1" applyAlignment="1">
      <alignment horizontal="left" vertical="top"/>
    </xf>
    <xf numFmtId="0" fontId="12" fillId="0" borderId="30" xfId="3" applyFont="1" applyBorder="1" applyAlignment="1">
      <alignment horizontal="left" vertical="top"/>
    </xf>
    <xf numFmtId="0" fontId="12" fillId="0" borderId="0" xfId="3" applyFont="1" applyAlignment="1">
      <alignment horizontal="left" vertical="top"/>
    </xf>
    <xf numFmtId="0" fontId="12" fillId="0" borderId="31" xfId="3" applyFont="1" applyBorder="1" applyAlignment="1">
      <alignment horizontal="left" vertical="top"/>
    </xf>
    <xf numFmtId="0" fontId="12" fillId="0" borderId="32" xfId="3" applyFont="1" applyBorder="1" applyAlignment="1">
      <alignment horizontal="left" vertical="top"/>
    </xf>
    <xf numFmtId="0" fontId="12" fillId="0" borderId="33" xfId="3" applyFont="1" applyBorder="1" applyAlignment="1">
      <alignment horizontal="left" vertical="top"/>
    </xf>
    <xf numFmtId="0" fontId="12" fillId="0" borderId="34" xfId="3" applyFont="1" applyBorder="1" applyAlignment="1">
      <alignment horizontal="left" vertical="top"/>
    </xf>
    <xf numFmtId="0" fontId="12" fillId="0" borderId="0" xfId="3" applyFont="1" applyAlignment="1">
      <alignment horizontal="left" vertical="top"/>
    </xf>
    <xf numFmtId="0" fontId="12" fillId="0" borderId="23" xfId="3" applyFont="1" applyBorder="1" applyAlignment="1">
      <alignment horizontal="left" vertical="top" wrapText="1"/>
    </xf>
    <xf numFmtId="0" fontId="12" fillId="0" borderId="23" xfId="3" applyFont="1" applyBorder="1" applyAlignment="1">
      <alignment horizontal="left" vertical="top"/>
    </xf>
    <xf numFmtId="0" fontId="6" fillId="0" borderId="35" xfId="0" applyFont="1" applyBorder="1" applyAlignment="1">
      <alignment horizontal="left" vertical="top" wrapText="1"/>
    </xf>
    <xf numFmtId="2" fontId="13" fillId="0" borderId="35" xfId="0" applyNumberFormat="1" applyFont="1" applyBorder="1" applyAlignment="1">
      <alignment vertical="center" wrapText="1"/>
    </xf>
    <xf numFmtId="10" fontId="13" fillId="0" borderId="8" xfId="0" applyNumberFormat="1" applyFont="1" applyBorder="1" applyAlignment="1">
      <alignment horizontal="right" vertical="center" wrapText="1"/>
    </xf>
    <xf numFmtId="0" fontId="13" fillId="0" borderId="8" xfId="0" applyFont="1" applyBorder="1" applyAlignment="1">
      <alignment vertical="center" wrapText="1"/>
    </xf>
    <xf numFmtId="0" fontId="14" fillId="0" borderId="0" xfId="0" applyFont="1"/>
    <xf numFmtId="2" fontId="13" fillId="0" borderId="8" xfId="0" applyNumberFormat="1" applyFont="1" applyBorder="1" applyAlignment="1">
      <alignment vertical="center" wrapText="1"/>
    </xf>
    <xf numFmtId="2" fontId="0" fillId="0" borderId="0" xfId="0" applyNumberFormat="1"/>
    <xf numFmtId="0" fontId="15" fillId="0" borderId="35" xfId="0" applyFont="1" applyBorder="1" applyAlignment="1">
      <alignment horizontal="left" vertical="top" wrapText="1"/>
    </xf>
    <xf numFmtId="2" fontId="0" fillId="0" borderId="35" xfId="0" applyNumberFormat="1" applyBorder="1" applyAlignment="1">
      <alignment horizontal="right"/>
    </xf>
  </cellXfs>
  <cellStyles count="4">
    <cellStyle name="Hyperlink" xfId="2" builtinId="8"/>
    <cellStyle name="Normal" xfId="0" builtinId="0"/>
    <cellStyle name="Normal 3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700-0000EA6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7</xdr:col>
      <xdr:colOff>76200</xdr:colOff>
      <xdr:row>259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1700-0000EB6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2386250"/>
          <a:ext cx="1005840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M246"/>
  <sheetViews>
    <sheetView tabSelected="1" topLeftCell="A72" workbookViewId="0">
      <selection activeCell="B82" sqref="B8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42" customWidth="1"/>
    <col min="7" max="7" width="16.5703125" style="70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2.9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3</v>
      </c>
      <c r="C5" s="5"/>
      <c r="D5" s="5"/>
      <c r="E5" s="5"/>
      <c r="F5" s="16"/>
      <c r="G5" s="17"/>
      <c r="H5" s="5"/>
      <c r="I5" s="18"/>
    </row>
    <row r="6" spans="1:9" ht="15.95" customHeight="1">
      <c r="A6" s="19"/>
      <c r="B6" s="20"/>
      <c r="C6" s="19"/>
      <c r="D6" s="19"/>
      <c r="E6" s="19"/>
      <c r="F6" s="21"/>
      <c r="G6" s="17"/>
      <c r="H6" s="19"/>
    </row>
    <row r="7" spans="1:9" ht="12.95" customHeight="1">
      <c r="A7" s="19"/>
      <c r="B7" s="22"/>
      <c r="C7" s="19"/>
      <c r="D7" s="19"/>
      <c r="E7" s="19"/>
      <c r="F7" s="21"/>
      <c r="G7" s="17"/>
      <c r="H7" s="19"/>
    </row>
    <row r="8" spans="1:9" ht="12.95" customHeight="1" thickBot="1">
      <c r="A8" s="23"/>
      <c r="B8" s="24" t="s">
        <v>4</v>
      </c>
      <c r="C8" s="19"/>
      <c r="D8" s="19"/>
      <c r="E8" s="19"/>
      <c r="F8" s="21"/>
      <c r="G8" s="17"/>
      <c r="H8" s="19"/>
    </row>
    <row r="9" spans="1:9" ht="27.95" customHeight="1">
      <c r="A9" s="19"/>
      <c r="B9" s="25" t="s">
        <v>5</v>
      </c>
      <c r="C9" s="26" t="s">
        <v>6</v>
      </c>
      <c r="D9" s="27" t="s">
        <v>7</v>
      </c>
      <c r="E9" s="27" t="s">
        <v>8</v>
      </c>
      <c r="F9" s="28" t="s">
        <v>9</v>
      </c>
      <c r="G9" s="29" t="s">
        <v>10</v>
      </c>
      <c r="H9" s="30" t="s">
        <v>11</v>
      </c>
    </row>
    <row r="10" spans="1:9" ht="12.95" customHeight="1">
      <c r="A10" s="19"/>
      <c r="B10" s="31" t="s">
        <v>12</v>
      </c>
      <c r="C10" s="32"/>
      <c r="D10" s="32"/>
      <c r="E10" s="32"/>
      <c r="F10" s="33"/>
      <c r="G10" s="34"/>
      <c r="H10" s="35"/>
    </row>
    <row r="11" spans="1:9" ht="12.95" customHeight="1">
      <c r="A11" s="19"/>
      <c r="B11" s="31" t="s">
        <v>13</v>
      </c>
      <c r="C11" s="32"/>
      <c r="D11" s="32"/>
      <c r="E11" s="32"/>
      <c r="F11" s="33"/>
      <c r="G11" s="34"/>
      <c r="H11" s="35"/>
    </row>
    <row r="12" spans="1:9" ht="12.95" customHeight="1">
      <c r="A12" s="36" t="s">
        <v>14</v>
      </c>
      <c r="B12" s="37" t="s">
        <v>15</v>
      </c>
      <c r="C12" s="32" t="s">
        <v>16</v>
      </c>
      <c r="D12" s="32" t="s">
        <v>17</v>
      </c>
      <c r="E12" s="38">
        <v>3325779</v>
      </c>
      <c r="F12" s="39">
        <v>46673.982486000001</v>
      </c>
      <c r="G12" s="40">
        <v>5.5473546131199605E-2</v>
      </c>
      <c r="H12" s="41"/>
    </row>
    <row r="13" spans="1:9" ht="12.95" customHeight="1">
      <c r="A13" s="36" t="s">
        <v>18</v>
      </c>
      <c r="B13" s="37" t="s">
        <v>19</v>
      </c>
      <c r="C13" s="32" t="s">
        <v>20</v>
      </c>
      <c r="D13" s="32" t="s">
        <v>17</v>
      </c>
      <c r="E13" s="38">
        <v>3814452</v>
      </c>
      <c r="F13" s="39">
        <v>40135.663944</v>
      </c>
      <c r="G13" s="40">
        <v>4.7702541902689452E-2</v>
      </c>
      <c r="H13" s="41"/>
    </row>
    <row r="14" spans="1:9" ht="12.95" customHeight="1">
      <c r="A14" s="36" t="s">
        <v>21</v>
      </c>
      <c r="B14" s="37" t="s">
        <v>22</v>
      </c>
      <c r="C14" s="32" t="s">
        <v>23</v>
      </c>
      <c r="D14" s="32" t="s">
        <v>24</v>
      </c>
      <c r="E14" s="38">
        <v>1256356</v>
      </c>
      <c r="F14" s="39">
        <v>36705.696896000001</v>
      </c>
      <c r="G14" s="40">
        <v>4.3625914515626536E-2</v>
      </c>
      <c r="H14" s="41"/>
    </row>
    <row r="15" spans="1:9" ht="12.95" customHeight="1">
      <c r="A15" s="36" t="s">
        <v>25</v>
      </c>
      <c r="B15" s="37" t="s">
        <v>26</v>
      </c>
      <c r="C15" s="32" t="s">
        <v>27</v>
      </c>
      <c r="D15" s="32" t="s">
        <v>17</v>
      </c>
      <c r="E15" s="38">
        <v>4760875</v>
      </c>
      <c r="F15" s="39">
        <v>35616.105875000001</v>
      </c>
      <c r="G15" s="40">
        <v>4.2330900151130973E-2</v>
      </c>
      <c r="H15" s="41"/>
    </row>
    <row r="16" spans="1:9" ht="12.95" customHeight="1">
      <c r="A16" s="36" t="s">
        <v>28</v>
      </c>
      <c r="B16" s="37" t="s">
        <v>29</v>
      </c>
      <c r="C16" s="32" t="s">
        <v>30</v>
      </c>
      <c r="D16" s="32" t="s">
        <v>31</v>
      </c>
      <c r="E16" s="38">
        <v>1930907</v>
      </c>
      <c r="F16" s="39">
        <v>32321.452272999999</v>
      </c>
      <c r="G16" s="40">
        <v>3.8415097195347393E-2</v>
      </c>
      <c r="H16" s="41"/>
    </row>
    <row r="17" spans="1:13" ht="12.95" customHeight="1">
      <c r="A17" s="36" t="s">
        <v>32</v>
      </c>
      <c r="B17" s="37" t="s">
        <v>33</v>
      </c>
      <c r="C17" s="32" t="s">
        <v>34</v>
      </c>
      <c r="D17" s="32" t="s">
        <v>17</v>
      </c>
      <c r="E17" s="38">
        <v>2506615</v>
      </c>
      <c r="F17" s="39">
        <v>26948.617865</v>
      </c>
      <c r="G17" s="40">
        <v>3.2029308764354052E-2</v>
      </c>
      <c r="H17" s="41"/>
    </row>
    <row r="18" spans="1:13" ht="12.95" customHeight="1">
      <c r="A18" s="36" t="s">
        <v>35</v>
      </c>
      <c r="B18" s="37" t="s">
        <v>36</v>
      </c>
      <c r="C18" s="32" t="s">
        <v>37</v>
      </c>
      <c r="D18" s="32" t="s">
        <v>38</v>
      </c>
      <c r="E18" s="38">
        <v>629621</v>
      </c>
      <c r="F18" s="39">
        <v>21895.385085499998</v>
      </c>
      <c r="G18" s="40">
        <v>2.6023377263022097E-2</v>
      </c>
      <c r="H18" s="41"/>
    </row>
    <row r="19" spans="1:13" ht="12.95" customHeight="1">
      <c r="A19" s="36" t="s">
        <v>39</v>
      </c>
      <c r="B19" s="37" t="s">
        <v>40</v>
      </c>
      <c r="C19" s="32" t="s">
        <v>41</v>
      </c>
      <c r="D19" s="32" t="s">
        <v>42</v>
      </c>
      <c r="E19" s="38">
        <v>6236000</v>
      </c>
      <c r="F19" s="39">
        <v>20928.016</v>
      </c>
      <c r="G19" s="40">
        <v>2.4873627643810216E-2</v>
      </c>
      <c r="H19" s="41"/>
    </row>
    <row r="20" spans="1:13" ht="12.95" customHeight="1">
      <c r="A20" s="36" t="s">
        <v>43</v>
      </c>
      <c r="B20" s="37" t="s">
        <v>44</v>
      </c>
      <c r="C20" s="32" t="s">
        <v>45</v>
      </c>
      <c r="D20" s="32" t="s">
        <v>46</v>
      </c>
      <c r="E20" s="38">
        <v>1366573</v>
      </c>
      <c r="F20" s="39">
        <v>15351.397795499999</v>
      </c>
      <c r="G20" s="40">
        <v>1.8245635543153064E-2</v>
      </c>
      <c r="H20" s="41"/>
    </row>
    <row r="21" spans="1:13" ht="12.95" customHeight="1">
      <c r="A21" s="36" t="s">
        <v>47</v>
      </c>
      <c r="B21" s="37" t="s">
        <v>48</v>
      </c>
      <c r="C21" s="32" t="s">
        <v>49</v>
      </c>
      <c r="D21" s="32" t="s">
        <v>50</v>
      </c>
      <c r="E21" s="38">
        <v>3672256</v>
      </c>
      <c r="F21" s="39">
        <v>14920.376128</v>
      </c>
      <c r="G21" s="40">
        <v>1.7733352273501073E-2</v>
      </c>
      <c r="H21" s="41"/>
    </row>
    <row r="22" spans="1:13" ht="12.95" customHeight="1">
      <c r="A22" s="36" t="s">
        <v>51</v>
      </c>
      <c r="B22" s="37" t="s">
        <v>52</v>
      </c>
      <c r="C22" s="32" t="s">
        <v>53</v>
      </c>
      <c r="D22" s="32" t="s">
        <v>54</v>
      </c>
      <c r="E22" s="38">
        <v>1528774</v>
      </c>
      <c r="F22" s="39">
        <v>14526.410548</v>
      </c>
      <c r="G22" s="40">
        <v>1.7265111368993082E-2</v>
      </c>
      <c r="H22" s="41"/>
    </row>
    <row r="23" spans="1:13" ht="12.95" customHeight="1">
      <c r="A23" s="36" t="s">
        <v>55</v>
      </c>
      <c r="B23" s="37" t="s">
        <v>56</v>
      </c>
      <c r="C23" s="32" t="s">
        <v>57</v>
      </c>
      <c r="D23" s="32" t="s">
        <v>31</v>
      </c>
      <c r="E23" s="38">
        <v>325130</v>
      </c>
      <c r="F23" s="39">
        <v>13314.39863</v>
      </c>
      <c r="G23" s="40">
        <v>1.5824595787000396E-2</v>
      </c>
      <c r="H23" s="41"/>
    </row>
    <row r="24" spans="1:13" ht="12.95" customHeight="1">
      <c r="A24" s="36" t="s">
        <v>58</v>
      </c>
      <c r="B24" s="37" t="s">
        <v>59</v>
      </c>
      <c r="C24" s="32" t="s">
        <v>60</v>
      </c>
      <c r="D24" s="32" t="s">
        <v>61</v>
      </c>
      <c r="E24" s="38">
        <v>5374810</v>
      </c>
      <c r="F24" s="39">
        <v>11023.73531</v>
      </c>
      <c r="G24" s="40">
        <v>1.3102067933475528E-2</v>
      </c>
      <c r="H24" s="41"/>
    </row>
    <row r="25" spans="1:13" ht="12.95" customHeight="1">
      <c r="A25" s="36" t="s">
        <v>62</v>
      </c>
      <c r="B25" s="37" t="s">
        <v>63</v>
      </c>
      <c r="C25" s="32" t="s">
        <v>64</v>
      </c>
      <c r="D25" s="32" t="s">
        <v>65</v>
      </c>
      <c r="E25" s="38">
        <v>1762110</v>
      </c>
      <c r="F25" s="39">
        <v>10676.62449</v>
      </c>
      <c r="G25" s="40">
        <v>1.2689515435053429E-2</v>
      </c>
      <c r="H25" s="41"/>
    </row>
    <row r="26" spans="1:13" ht="12.95" customHeight="1">
      <c r="A26" s="36" t="s">
        <v>66</v>
      </c>
      <c r="B26" s="37" t="s">
        <v>67</v>
      </c>
      <c r="C26" s="32" t="s">
        <v>68</v>
      </c>
      <c r="D26" s="32" t="s">
        <v>69</v>
      </c>
      <c r="E26" s="38">
        <v>1027344</v>
      </c>
      <c r="F26" s="39">
        <v>10562.123664000001</v>
      </c>
      <c r="G26" s="40">
        <v>1.2553427479518958E-2</v>
      </c>
      <c r="H26" s="41"/>
    </row>
    <row r="27" spans="1:13" ht="12.95" customHeight="1">
      <c r="A27" s="36" t="s">
        <v>70</v>
      </c>
      <c r="B27" s="37" t="s">
        <v>71</v>
      </c>
      <c r="C27" s="32" t="s">
        <v>72</v>
      </c>
      <c r="D27" s="32" t="s">
        <v>73</v>
      </c>
      <c r="E27" s="38">
        <v>419547</v>
      </c>
      <c r="F27" s="39">
        <v>10231.073141999999</v>
      </c>
      <c r="G27" s="40">
        <v>1.2159963167588148E-2</v>
      </c>
      <c r="H27" s="41"/>
      <c r="M27" s="42"/>
    </row>
    <row r="28" spans="1:13" ht="12.95" customHeight="1">
      <c r="A28" s="36" t="s">
        <v>74</v>
      </c>
      <c r="B28" s="37" t="s">
        <v>75</v>
      </c>
      <c r="C28" s="32" t="s">
        <v>76</v>
      </c>
      <c r="D28" s="32" t="s">
        <v>77</v>
      </c>
      <c r="E28" s="38">
        <v>2705319</v>
      </c>
      <c r="F28" s="39">
        <v>9979.9217910000007</v>
      </c>
      <c r="G28" s="40">
        <v>1.1861461618897919E-2</v>
      </c>
      <c r="H28" s="41"/>
    </row>
    <row r="29" spans="1:13" ht="12.95" customHeight="1">
      <c r="A29" s="36" t="s">
        <v>78</v>
      </c>
      <c r="B29" s="37" t="s">
        <v>79</v>
      </c>
      <c r="C29" s="32" t="s">
        <v>80</v>
      </c>
      <c r="D29" s="32" t="s">
        <v>81</v>
      </c>
      <c r="E29" s="38">
        <v>6194999</v>
      </c>
      <c r="F29" s="39">
        <v>8725.6560914999991</v>
      </c>
      <c r="G29" s="40">
        <v>1.0370726043401123E-2</v>
      </c>
      <c r="H29" s="41"/>
    </row>
    <row r="30" spans="1:13" ht="12.95" customHeight="1">
      <c r="A30" s="36" t="s">
        <v>82</v>
      </c>
      <c r="B30" s="37" t="s">
        <v>83</v>
      </c>
      <c r="C30" s="32" t="s">
        <v>84</v>
      </c>
      <c r="D30" s="32" t="s">
        <v>69</v>
      </c>
      <c r="E30" s="38">
        <v>551063</v>
      </c>
      <c r="F30" s="39">
        <v>8695.4986085</v>
      </c>
      <c r="G30" s="40">
        <v>1.0334882894064056E-2</v>
      </c>
      <c r="H30" s="41"/>
    </row>
    <row r="31" spans="1:13" ht="12.95" customHeight="1">
      <c r="A31" s="36" t="s">
        <v>85</v>
      </c>
      <c r="B31" s="37" t="s">
        <v>86</v>
      </c>
      <c r="C31" s="32" t="s">
        <v>87</v>
      </c>
      <c r="D31" s="32" t="s">
        <v>54</v>
      </c>
      <c r="E31" s="38">
        <v>74402</v>
      </c>
      <c r="F31" s="39">
        <v>8398.758167</v>
      </c>
      <c r="G31" s="40">
        <v>9.9821972286512021E-3</v>
      </c>
      <c r="H31" s="41"/>
    </row>
    <row r="32" spans="1:13" ht="12.95" customHeight="1">
      <c r="A32" s="36" t="s">
        <v>88</v>
      </c>
      <c r="B32" s="37" t="s">
        <v>89</v>
      </c>
      <c r="C32" s="32" t="s">
        <v>90</v>
      </c>
      <c r="D32" s="32" t="s">
        <v>91</v>
      </c>
      <c r="E32" s="38">
        <v>535847</v>
      </c>
      <c r="F32" s="39">
        <v>8205.6930345000001</v>
      </c>
      <c r="G32" s="40">
        <v>9.7527330397473005E-3</v>
      </c>
      <c r="H32" s="41"/>
    </row>
    <row r="33" spans="1:8" ht="12.95" customHeight="1">
      <c r="A33" s="36" t="s">
        <v>92</v>
      </c>
      <c r="B33" s="37" t="s">
        <v>93</v>
      </c>
      <c r="C33" s="32" t="s">
        <v>94</v>
      </c>
      <c r="D33" s="32" t="s">
        <v>50</v>
      </c>
      <c r="E33" s="38">
        <v>336699</v>
      </c>
      <c r="F33" s="39">
        <v>8122.189977</v>
      </c>
      <c r="G33" s="40">
        <v>9.653486940194687E-3</v>
      </c>
      <c r="H33" s="41"/>
    </row>
    <row r="34" spans="1:8" ht="12.95" customHeight="1">
      <c r="A34" s="36" t="s">
        <v>95</v>
      </c>
      <c r="B34" s="37" t="s">
        <v>96</v>
      </c>
      <c r="C34" s="32" t="s">
        <v>97</v>
      </c>
      <c r="D34" s="32" t="s">
        <v>98</v>
      </c>
      <c r="E34" s="38">
        <v>6656416</v>
      </c>
      <c r="F34" s="39">
        <v>7934.4478719999997</v>
      </c>
      <c r="G34" s="40">
        <v>9.4303493425917841E-3</v>
      </c>
      <c r="H34" s="41"/>
    </row>
    <row r="35" spans="1:8" ht="12.95" customHeight="1">
      <c r="A35" s="36" t="s">
        <v>99</v>
      </c>
      <c r="B35" s="37" t="s">
        <v>100</v>
      </c>
      <c r="C35" s="32" t="s">
        <v>101</v>
      </c>
      <c r="D35" s="32" t="s">
        <v>102</v>
      </c>
      <c r="E35" s="38">
        <v>4778783</v>
      </c>
      <c r="F35" s="39">
        <v>7906.4964735000003</v>
      </c>
      <c r="G35" s="40">
        <v>9.3971281964299706E-3</v>
      </c>
      <c r="H35" s="41"/>
    </row>
    <row r="36" spans="1:8" ht="12.95" customHeight="1">
      <c r="A36" s="36" t="s">
        <v>103</v>
      </c>
      <c r="B36" s="37" t="s">
        <v>104</v>
      </c>
      <c r="C36" s="32" t="s">
        <v>105</v>
      </c>
      <c r="D36" s="32" t="s">
        <v>98</v>
      </c>
      <c r="E36" s="38">
        <v>185674</v>
      </c>
      <c r="F36" s="39">
        <v>7777.6053490000004</v>
      </c>
      <c r="G36" s="40">
        <v>9.2439369031222362E-3</v>
      </c>
      <c r="H36" s="41"/>
    </row>
    <row r="37" spans="1:8" ht="12.95" customHeight="1">
      <c r="A37" s="36" t="s">
        <v>106</v>
      </c>
      <c r="B37" s="37" t="s">
        <v>107</v>
      </c>
      <c r="C37" s="32" t="s">
        <v>108</v>
      </c>
      <c r="D37" s="32" t="s">
        <v>109</v>
      </c>
      <c r="E37" s="38">
        <v>1609757</v>
      </c>
      <c r="F37" s="39">
        <v>7615.7603669999999</v>
      </c>
      <c r="G37" s="40">
        <v>9.0515788784395722E-3</v>
      </c>
      <c r="H37" s="41"/>
    </row>
    <row r="38" spans="1:8" ht="12.95" customHeight="1">
      <c r="A38" s="36" t="s">
        <v>110</v>
      </c>
      <c r="B38" s="37" t="s">
        <v>111</v>
      </c>
      <c r="C38" s="32" t="s">
        <v>112</v>
      </c>
      <c r="D38" s="32" t="s">
        <v>91</v>
      </c>
      <c r="E38" s="38">
        <v>2685821</v>
      </c>
      <c r="F38" s="39">
        <v>7061.0234090000004</v>
      </c>
      <c r="G38" s="40">
        <v>8.3922559625190189E-3</v>
      </c>
      <c r="H38" s="41"/>
    </row>
    <row r="39" spans="1:8" ht="12.95" customHeight="1">
      <c r="A39" s="36" t="s">
        <v>113</v>
      </c>
      <c r="B39" s="37" t="s">
        <v>114</v>
      </c>
      <c r="C39" s="32" t="s">
        <v>115</v>
      </c>
      <c r="D39" s="32" t="s">
        <v>31</v>
      </c>
      <c r="E39" s="38">
        <v>385000</v>
      </c>
      <c r="F39" s="39">
        <v>6405.8225000000002</v>
      </c>
      <c r="G39" s="40">
        <v>7.6135283735133544E-3</v>
      </c>
      <c r="H39" s="41"/>
    </row>
    <row r="40" spans="1:8" ht="12.95" customHeight="1">
      <c r="A40" s="36" t="s">
        <v>116</v>
      </c>
      <c r="B40" s="37" t="s">
        <v>117</v>
      </c>
      <c r="C40" s="32" t="s">
        <v>118</v>
      </c>
      <c r="D40" s="32" t="s">
        <v>119</v>
      </c>
      <c r="E40" s="38">
        <v>404076</v>
      </c>
      <c r="F40" s="39">
        <v>6273.4819379999999</v>
      </c>
      <c r="G40" s="40">
        <v>7.4562373115531298E-3</v>
      </c>
      <c r="H40" s="41"/>
    </row>
    <row r="41" spans="1:8" ht="12.95" customHeight="1">
      <c r="A41" s="36" t="s">
        <v>120</v>
      </c>
      <c r="B41" s="37" t="s">
        <v>121</v>
      </c>
      <c r="C41" s="32" t="s">
        <v>122</v>
      </c>
      <c r="D41" s="32" t="s">
        <v>73</v>
      </c>
      <c r="E41" s="38">
        <v>926892</v>
      </c>
      <c r="F41" s="39">
        <v>6005.7967140000001</v>
      </c>
      <c r="G41" s="40">
        <v>7.138084717082353E-3</v>
      </c>
      <c r="H41" s="41"/>
    </row>
    <row r="42" spans="1:8" ht="12.95" customHeight="1">
      <c r="A42" s="36" t="s">
        <v>123</v>
      </c>
      <c r="B42" s="37" t="s">
        <v>124</v>
      </c>
      <c r="C42" s="32" t="s">
        <v>125</v>
      </c>
      <c r="D42" s="32" t="s">
        <v>109</v>
      </c>
      <c r="E42" s="38">
        <v>187565</v>
      </c>
      <c r="F42" s="39">
        <v>5918.3322275</v>
      </c>
      <c r="G42" s="40">
        <v>7.034130330328345E-3</v>
      </c>
      <c r="H42" s="41"/>
    </row>
    <row r="43" spans="1:8" ht="12.95" customHeight="1">
      <c r="A43" s="36" t="s">
        <v>126</v>
      </c>
      <c r="B43" s="37" t="s">
        <v>127</v>
      </c>
      <c r="C43" s="32" t="s">
        <v>128</v>
      </c>
      <c r="D43" s="32" t="s">
        <v>54</v>
      </c>
      <c r="E43" s="38">
        <v>267374</v>
      </c>
      <c r="F43" s="39">
        <v>5719.664608</v>
      </c>
      <c r="G43" s="40">
        <v>6.7980074034190204E-3</v>
      </c>
      <c r="H43" s="41"/>
    </row>
    <row r="44" spans="1:8" ht="12.95" customHeight="1">
      <c r="A44" s="36" t="s">
        <v>129</v>
      </c>
      <c r="B44" s="37" t="s">
        <v>130</v>
      </c>
      <c r="C44" s="32" t="s">
        <v>131</v>
      </c>
      <c r="D44" s="32" t="s">
        <v>132</v>
      </c>
      <c r="E44" s="38">
        <v>1051289</v>
      </c>
      <c r="F44" s="39">
        <v>5657.5117534999999</v>
      </c>
      <c r="G44" s="40">
        <v>6.7241367144902225E-3</v>
      </c>
      <c r="H44" s="41"/>
    </row>
    <row r="45" spans="1:8" ht="12.95" customHeight="1">
      <c r="A45" s="36" t="s">
        <v>133</v>
      </c>
      <c r="B45" s="37" t="s">
        <v>134</v>
      </c>
      <c r="C45" s="32" t="s">
        <v>135</v>
      </c>
      <c r="D45" s="32" t="s">
        <v>17</v>
      </c>
      <c r="E45" s="38">
        <v>372000</v>
      </c>
      <c r="F45" s="39">
        <v>5486.6279999999997</v>
      </c>
      <c r="G45" s="40">
        <v>6.5210358159179136E-3</v>
      </c>
      <c r="H45" s="41"/>
    </row>
    <row r="46" spans="1:8" ht="12.95" customHeight="1">
      <c r="A46" s="36" t="s">
        <v>136</v>
      </c>
      <c r="B46" s="37" t="s">
        <v>137</v>
      </c>
      <c r="C46" s="32" t="s">
        <v>138</v>
      </c>
      <c r="D46" s="32" t="s">
        <v>139</v>
      </c>
      <c r="E46" s="38">
        <v>951814</v>
      </c>
      <c r="F46" s="39">
        <v>5458.1773830000002</v>
      </c>
      <c r="G46" s="40">
        <v>6.4872213323331034E-3</v>
      </c>
      <c r="H46" s="41"/>
    </row>
    <row r="47" spans="1:8" ht="12.95" customHeight="1">
      <c r="A47" s="36" t="s">
        <v>140</v>
      </c>
      <c r="B47" s="37" t="s">
        <v>141</v>
      </c>
      <c r="C47" s="32" t="s">
        <v>142</v>
      </c>
      <c r="D47" s="32" t="s">
        <v>17</v>
      </c>
      <c r="E47" s="38">
        <v>316817</v>
      </c>
      <c r="F47" s="39">
        <v>5352.4648065000001</v>
      </c>
      <c r="G47" s="40">
        <v>6.3615784971437182E-3</v>
      </c>
      <c r="H47" s="41"/>
    </row>
    <row r="48" spans="1:8" ht="12.95" customHeight="1">
      <c r="A48" s="36" t="s">
        <v>143</v>
      </c>
      <c r="B48" s="37" t="s">
        <v>144</v>
      </c>
      <c r="C48" s="32" t="s">
        <v>145</v>
      </c>
      <c r="D48" s="32" t="s">
        <v>91</v>
      </c>
      <c r="E48" s="38">
        <v>414712</v>
      </c>
      <c r="F48" s="39">
        <v>5293.1766120000002</v>
      </c>
      <c r="G48" s="40">
        <v>6.2911125497903337E-3</v>
      </c>
      <c r="H48" s="41"/>
    </row>
    <row r="49" spans="1:8" ht="12.95" customHeight="1">
      <c r="A49" s="36" t="s">
        <v>146</v>
      </c>
      <c r="B49" s="37" t="s">
        <v>147</v>
      </c>
      <c r="C49" s="32" t="s">
        <v>148</v>
      </c>
      <c r="D49" s="32" t="s">
        <v>31</v>
      </c>
      <c r="E49" s="38">
        <v>200000</v>
      </c>
      <c r="F49" s="39">
        <v>5234.7</v>
      </c>
      <c r="G49" s="40">
        <v>6.221611194632751E-3</v>
      </c>
      <c r="H49" s="41"/>
    </row>
    <row r="50" spans="1:8" ht="12.95" customHeight="1">
      <c r="A50" s="36" t="s">
        <v>149</v>
      </c>
      <c r="B50" s="37" t="s">
        <v>150</v>
      </c>
      <c r="C50" s="32" t="s">
        <v>151</v>
      </c>
      <c r="D50" s="32" t="s">
        <v>119</v>
      </c>
      <c r="E50" s="38">
        <v>534555</v>
      </c>
      <c r="F50" s="39">
        <v>5183.5798349999995</v>
      </c>
      <c r="G50" s="40">
        <v>6.1608532159834551E-3</v>
      </c>
      <c r="H50" s="41"/>
    </row>
    <row r="51" spans="1:8" ht="12.95" customHeight="1">
      <c r="A51" s="36" t="s">
        <v>152</v>
      </c>
      <c r="B51" s="37" t="s">
        <v>153</v>
      </c>
      <c r="C51" s="32" t="s">
        <v>154</v>
      </c>
      <c r="D51" s="32" t="s">
        <v>69</v>
      </c>
      <c r="E51" s="38">
        <v>193542</v>
      </c>
      <c r="F51" s="39">
        <v>5160.0232619999997</v>
      </c>
      <c r="G51" s="40">
        <v>6.1328554628583502E-3</v>
      </c>
      <c r="H51" s="41"/>
    </row>
    <row r="52" spans="1:8" ht="12.95" customHeight="1">
      <c r="A52" s="36" t="s">
        <v>155</v>
      </c>
      <c r="B52" s="37" t="s">
        <v>156</v>
      </c>
      <c r="C52" s="32" t="s">
        <v>157</v>
      </c>
      <c r="D52" s="32" t="s">
        <v>158</v>
      </c>
      <c r="E52" s="38">
        <v>1175000</v>
      </c>
      <c r="F52" s="39">
        <v>5131.2250000000004</v>
      </c>
      <c r="G52" s="40">
        <v>6.0986277918848144E-3</v>
      </c>
      <c r="H52" s="41"/>
    </row>
    <row r="53" spans="1:8" ht="12.95" customHeight="1">
      <c r="A53" s="36" t="s">
        <v>159</v>
      </c>
      <c r="B53" s="37" t="s">
        <v>160</v>
      </c>
      <c r="C53" s="32" t="s">
        <v>161</v>
      </c>
      <c r="D53" s="32" t="s">
        <v>162</v>
      </c>
      <c r="E53" s="38">
        <v>220521</v>
      </c>
      <c r="F53" s="39">
        <v>4977.6000119999999</v>
      </c>
      <c r="G53" s="40">
        <v>5.9160394974044966E-3</v>
      </c>
      <c r="H53" s="41"/>
    </row>
    <row r="54" spans="1:8" ht="12.95" customHeight="1">
      <c r="A54" s="36" t="s">
        <v>163</v>
      </c>
      <c r="B54" s="37" t="s">
        <v>164</v>
      </c>
      <c r="C54" s="32" t="s">
        <v>165</v>
      </c>
      <c r="D54" s="32" t="s">
        <v>132</v>
      </c>
      <c r="E54" s="38">
        <v>394001</v>
      </c>
      <c r="F54" s="39">
        <v>4955.3505770000002</v>
      </c>
      <c r="G54" s="40">
        <v>5.8895953203035633E-3</v>
      </c>
      <c r="H54" s="41"/>
    </row>
    <row r="55" spans="1:8" ht="12.95" customHeight="1">
      <c r="A55" s="36" t="s">
        <v>166</v>
      </c>
      <c r="B55" s="37" t="s">
        <v>167</v>
      </c>
      <c r="C55" s="32" t="s">
        <v>168</v>
      </c>
      <c r="D55" s="32" t="s">
        <v>169</v>
      </c>
      <c r="E55" s="38">
        <v>1645552</v>
      </c>
      <c r="F55" s="39">
        <v>4908.6816159999998</v>
      </c>
      <c r="G55" s="40">
        <v>5.8341277423717853E-3</v>
      </c>
      <c r="H55" s="41"/>
    </row>
    <row r="56" spans="1:8" ht="12.95" customHeight="1">
      <c r="A56" s="36" t="s">
        <v>170</v>
      </c>
      <c r="B56" s="37" t="s">
        <v>171</v>
      </c>
      <c r="C56" s="32" t="s">
        <v>172</v>
      </c>
      <c r="D56" s="32" t="s">
        <v>91</v>
      </c>
      <c r="E56" s="38">
        <v>131953</v>
      </c>
      <c r="F56" s="39">
        <v>4782.5045319999999</v>
      </c>
      <c r="G56" s="40">
        <v>5.6841621744652161E-3</v>
      </c>
      <c r="H56" s="41"/>
    </row>
    <row r="57" spans="1:8" ht="12.95" customHeight="1">
      <c r="A57" s="36" t="s">
        <v>173</v>
      </c>
      <c r="B57" s="37" t="s">
        <v>174</v>
      </c>
      <c r="C57" s="32" t="s">
        <v>175</v>
      </c>
      <c r="D57" s="32" t="s">
        <v>176</v>
      </c>
      <c r="E57" s="38">
        <v>893712</v>
      </c>
      <c r="F57" s="39">
        <v>4502.9679120000001</v>
      </c>
      <c r="G57" s="40">
        <v>5.3519238104134462E-3</v>
      </c>
      <c r="H57" s="41"/>
    </row>
    <row r="58" spans="1:8" ht="12.95" customHeight="1">
      <c r="A58" s="36" t="s">
        <v>177</v>
      </c>
      <c r="B58" s="37" t="s">
        <v>178</v>
      </c>
      <c r="C58" s="32" t="s">
        <v>179</v>
      </c>
      <c r="D58" s="32" t="s">
        <v>180</v>
      </c>
      <c r="E58" s="38">
        <v>270054</v>
      </c>
      <c r="F58" s="39">
        <v>4496.6691540000002</v>
      </c>
      <c r="G58" s="40">
        <v>5.3444375316801691E-3</v>
      </c>
      <c r="H58" s="41"/>
    </row>
    <row r="59" spans="1:8" ht="12.95" customHeight="1">
      <c r="A59" s="36" t="s">
        <v>181</v>
      </c>
      <c r="B59" s="37" t="s">
        <v>182</v>
      </c>
      <c r="C59" s="32" t="s">
        <v>183</v>
      </c>
      <c r="D59" s="32" t="s">
        <v>109</v>
      </c>
      <c r="E59" s="38">
        <v>4042828</v>
      </c>
      <c r="F59" s="39">
        <v>4370.2970679999999</v>
      </c>
      <c r="G59" s="40">
        <v>5.1942401975546811E-3</v>
      </c>
      <c r="H59" s="41"/>
    </row>
    <row r="60" spans="1:8" ht="12.95" customHeight="1">
      <c r="A60" s="36" t="s">
        <v>184</v>
      </c>
      <c r="B60" s="37" t="s">
        <v>185</v>
      </c>
      <c r="C60" s="32" t="s">
        <v>186</v>
      </c>
      <c r="D60" s="32" t="s">
        <v>102</v>
      </c>
      <c r="E60" s="38">
        <v>2090026</v>
      </c>
      <c r="F60" s="39">
        <v>4330.533872</v>
      </c>
      <c r="G60" s="40">
        <v>5.1469803459169607E-3</v>
      </c>
      <c r="H60" s="41"/>
    </row>
    <row r="61" spans="1:8" ht="12.95" customHeight="1">
      <c r="A61" s="36" t="s">
        <v>187</v>
      </c>
      <c r="B61" s="37" t="s">
        <v>188</v>
      </c>
      <c r="C61" s="32" t="s">
        <v>189</v>
      </c>
      <c r="D61" s="32" t="s">
        <v>91</v>
      </c>
      <c r="E61" s="38">
        <v>1419098</v>
      </c>
      <c r="F61" s="39">
        <v>4129.5751799999998</v>
      </c>
      <c r="G61" s="40">
        <v>4.9081344048303738E-3</v>
      </c>
      <c r="H61" s="41"/>
    </row>
    <row r="62" spans="1:8" ht="12.95" customHeight="1">
      <c r="A62" s="36" t="s">
        <v>190</v>
      </c>
      <c r="B62" s="37" t="s">
        <v>191</v>
      </c>
      <c r="C62" s="32" t="s">
        <v>192</v>
      </c>
      <c r="D62" s="32" t="s">
        <v>98</v>
      </c>
      <c r="E62" s="38">
        <v>595486</v>
      </c>
      <c r="F62" s="39">
        <v>4104.9827409999998</v>
      </c>
      <c r="G62" s="40">
        <v>4.8789054912754953E-3</v>
      </c>
      <c r="H62" s="41"/>
    </row>
    <row r="63" spans="1:8" ht="12.95" customHeight="1">
      <c r="A63" s="36" t="s">
        <v>193</v>
      </c>
      <c r="B63" s="37" t="s">
        <v>194</v>
      </c>
      <c r="C63" s="32" t="s">
        <v>195</v>
      </c>
      <c r="D63" s="32" t="s">
        <v>73</v>
      </c>
      <c r="E63" s="38">
        <v>368596</v>
      </c>
      <c r="F63" s="39">
        <v>3876.8927279999998</v>
      </c>
      <c r="G63" s="40">
        <v>4.6078130928066761E-3</v>
      </c>
      <c r="H63" s="41"/>
    </row>
    <row r="64" spans="1:8" ht="12.95" customHeight="1">
      <c r="A64" s="36" t="s">
        <v>196</v>
      </c>
      <c r="B64" s="37" t="s">
        <v>197</v>
      </c>
      <c r="C64" s="32" t="s">
        <v>198</v>
      </c>
      <c r="D64" s="32" t="s">
        <v>17</v>
      </c>
      <c r="E64" s="38">
        <v>2474602</v>
      </c>
      <c r="F64" s="39">
        <v>3721.8014079999998</v>
      </c>
      <c r="G64" s="40">
        <v>4.4234820150558267E-3</v>
      </c>
      <c r="H64" s="41"/>
    </row>
    <row r="65" spans="1:8" ht="12.95" customHeight="1">
      <c r="A65" s="36" t="s">
        <v>199</v>
      </c>
      <c r="B65" s="37" t="s">
        <v>200</v>
      </c>
      <c r="C65" s="32" t="s">
        <v>201</v>
      </c>
      <c r="D65" s="32" t="s">
        <v>202</v>
      </c>
      <c r="E65" s="38">
        <v>366744</v>
      </c>
      <c r="F65" s="39">
        <v>3670.9240679999998</v>
      </c>
      <c r="G65" s="40">
        <v>4.3630126418162645E-3</v>
      </c>
      <c r="H65" s="41"/>
    </row>
    <row r="66" spans="1:8" ht="12.95" customHeight="1">
      <c r="A66" s="36" t="s">
        <v>203</v>
      </c>
      <c r="B66" s="37" t="s">
        <v>204</v>
      </c>
      <c r="C66" s="32" t="s">
        <v>205</v>
      </c>
      <c r="D66" s="32" t="s">
        <v>206</v>
      </c>
      <c r="E66" s="38">
        <v>8922</v>
      </c>
      <c r="F66" s="39">
        <v>3061.0980509999999</v>
      </c>
      <c r="G66" s="40">
        <v>3.6382145876497404E-3</v>
      </c>
      <c r="H66" s="41"/>
    </row>
    <row r="67" spans="1:8" ht="12.95" customHeight="1">
      <c r="A67" s="36" t="s">
        <v>207</v>
      </c>
      <c r="B67" s="37" t="s">
        <v>208</v>
      </c>
      <c r="C67" s="32" t="s">
        <v>209</v>
      </c>
      <c r="D67" s="32" t="s">
        <v>65</v>
      </c>
      <c r="E67" s="38">
        <v>28500</v>
      </c>
      <c r="F67" s="39">
        <v>2819.3339999999998</v>
      </c>
      <c r="G67" s="40">
        <v>3.350870150306366E-3</v>
      </c>
      <c r="H67" s="41"/>
    </row>
    <row r="68" spans="1:8" ht="12.95" customHeight="1">
      <c r="A68" s="36" t="s">
        <v>210</v>
      </c>
      <c r="B68" s="37" t="s">
        <v>211</v>
      </c>
      <c r="C68" s="32" t="s">
        <v>212</v>
      </c>
      <c r="D68" s="32" t="s">
        <v>180</v>
      </c>
      <c r="E68" s="38">
        <v>230380</v>
      </c>
      <c r="F68" s="39">
        <v>2798.5410499999998</v>
      </c>
      <c r="G68" s="40">
        <v>3.3261570529962165E-3</v>
      </c>
      <c r="H68" s="41"/>
    </row>
    <row r="69" spans="1:8" ht="12.95" customHeight="1">
      <c r="A69" s="36" t="s">
        <v>213</v>
      </c>
      <c r="B69" s="37" t="s">
        <v>214</v>
      </c>
      <c r="C69" s="32" t="s">
        <v>215</v>
      </c>
      <c r="D69" s="32" t="s">
        <v>54</v>
      </c>
      <c r="E69" s="38">
        <v>66721</v>
      </c>
      <c r="F69" s="39">
        <v>2530.3272040000002</v>
      </c>
      <c r="G69" s="40">
        <v>3.0073761740864215E-3</v>
      </c>
      <c r="H69" s="41"/>
    </row>
    <row r="70" spans="1:8" ht="12.95" customHeight="1">
      <c r="A70" s="36" t="s">
        <v>216</v>
      </c>
      <c r="B70" s="37" t="s">
        <v>217</v>
      </c>
      <c r="C70" s="32" t="s">
        <v>218</v>
      </c>
      <c r="D70" s="32" t="s">
        <v>219</v>
      </c>
      <c r="E70" s="38">
        <v>320619</v>
      </c>
      <c r="F70" s="39">
        <v>2400.7950719999999</v>
      </c>
      <c r="G70" s="40">
        <v>2.8534230225178794E-3</v>
      </c>
      <c r="H70" s="41"/>
    </row>
    <row r="71" spans="1:8" ht="12.95" customHeight="1">
      <c r="A71" s="36" t="s">
        <v>220</v>
      </c>
      <c r="B71" s="37" t="s">
        <v>221</v>
      </c>
      <c r="C71" s="32" t="s">
        <v>222</v>
      </c>
      <c r="D71" s="32" t="s">
        <v>219</v>
      </c>
      <c r="E71" s="38">
        <v>1360564</v>
      </c>
      <c r="F71" s="39">
        <v>2292.5503399999998</v>
      </c>
      <c r="G71" s="40">
        <v>2.7247706381651519E-3</v>
      </c>
      <c r="H71" s="41"/>
    </row>
    <row r="72" spans="1:8" ht="12.95" customHeight="1">
      <c r="A72" s="36" t="s">
        <v>223</v>
      </c>
      <c r="B72" s="37" t="s">
        <v>224</v>
      </c>
      <c r="C72" s="32" t="s">
        <v>225</v>
      </c>
      <c r="D72" s="32" t="s">
        <v>65</v>
      </c>
      <c r="E72" s="38">
        <v>100038</v>
      </c>
      <c r="F72" s="39">
        <v>2025.6694620000001</v>
      </c>
      <c r="G72" s="40">
        <v>2.40757403507458E-3</v>
      </c>
      <c r="H72" s="41"/>
    </row>
    <row r="73" spans="1:8" ht="12.95" customHeight="1">
      <c r="A73" s="36" t="s">
        <v>226</v>
      </c>
      <c r="B73" s="37" t="s">
        <v>227</v>
      </c>
      <c r="C73" s="32" t="s">
        <v>228</v>
      </c>
      <c r="D73" s="32" t="s">
        <v>102</v>
      </c>
      <c r="E73" s="38">
        <v>160000</v>
      </c>
      <c r="F73" s="39">
        <v>1808.64</v>
      </c>
      <c r="G73" s="40">
        <v>2.1496274611841329E-3</v>
      </c>
      <c r="H73" s="41"/>
    </row>
    <row r="74" spans="1:8" ht="12.95" customHeight="1">
      <c r="A74" s="36" t="s">
        <v>229</v>
      </c>
      <c r="B74" s="37" t="s">
        <v>230</v>
      </c>
      <c r="C74" s="32" t="s">
        <v>231</v>
      </c>
      <c r="D74" s="32" t="s">
        <v>73</v>
      </c>
      <c r="E74" s="38">
        <v>27250</v>
      </c>
      <c r="F74" s="39">
        <v>1769.9828749999999</v>
      </c>
      <c r="G74" s="40">
        <v>2.1036822109019165E-3</v>
      </c>
      <c r="H74" s="41"/>
    </row>
    <row r="75" spans="1:8" ht="12.95" customHeight="1">
      <c r="A75" s="36" t="s">
        <v>232</v>
      </c>
      <c r="B75" s="37" t="s">
        <v>233</v>
      </c>
      <c r="C75" s="32" t="s">
        <v>234</v>
      </c>
      <c r="D75" s="32" t="s">
        <v>132</v>
      </c>
      <c r="E75" s="38">
        <v>300210</v>
      </c>
      <c r="F75" s="39">
        <v>1398.9785999999999</v>
      </c>
      <c r="G75" s="40">
        <v>1.6627315641415275E-3</v>
      </c>
      <c r="H75" s="41"/>
    </row>
    <row r="76" spans="1:8" ht="12.95" customHeight="1">
      <c r="A76" s="36" t="s">
        <v>235</v>
      </c>
      <c r="B76" s="37" t="s">
        <v>236</v>
      </c>
      <c r="C76" s="32" t="s">
        <v>237</v>
      </c>
      <c r="D76" s="32" t="s">
        <v>169</v>
      </c>
      <c r="E76" s="38">
        <v>256042</v>
      </c>
      <c r="F76" s="39">
        <v>1359.454999</v>
      </c>
      <c r="G76" s="40">
        <v>1.6157564789534941E-3</v>
      </c>
      <c r="H76" s="41"/>
    </row>
    <row r="77" spans="1:8" ht="12.95" customHeight="1">
      <c r="A77" s="36" t="s">
        <v>238</v>
      </c>
      <c r="B77" s="37" t="s">
        <v>239</v>
      </c>
      <c r="C77" s="32" t="s">
        <v>240</v>
      </c>
      <c r="D77" s="32" t="s">
        <v>241</v>
      </c>
      <c r="E77" s="38">
        <v>196316</v>
      </c>
      <c r="F77" s="39">
        <v>791.74242800000002</v>
      </c>
      <c r="G77" s="40">
        <v>9.410116249852934E-4</v>
      </c>
      <c r="H77" s="41"/>
    </row>
    <row r="78" spans="1:8" ht="12.95" customHeight="1">
      <c r="A78" s="36" t="s">
        <v>242</v>
      </c>
      <c r="B78" s="37" t="s">
        <v>243</v>
      </c>
      <c r="C78" s="32" t="s">
        <v>244</v>
      </c>
      <c r="D78" s="32" t="s">
        <v>73</v>
      </c>
      <c r="E78" s="38">
        <v>32038</v>
      </c>
      <c r="F78" s="39">
        <v>230.56146699999999</v>
      </c>
      <c r="G78" s="40">
        <v>2.7402980192525831E-4</v>
      </c>
      <c r="H78" s="41"/>
    </row>
    <row r="79" spans="1:8" ht="12.95" customHeight="1">
      <c r="A79" s="36" t="s">
        <v>245</v>
      </c>
      <c r="B79" s="37" t="s">
        <v>246</v>
      </c>
      <c r="C79" s="32" t="s">
        <v>247</v>
      </c>
      <c r="D79" s="32" t="s">
        <v>248</v>
      </c>
      <c r="E79" s="38">
        <v>10</v>
      </c>
      <c r="F79" s="39">
        <v>0.25962000000000002</v>
      </c>
      <c r="G79" s="40">
        <v>3.085668134469129E-7</v>
      </c>
      <c r="H79" s="41"/>
    </row>
    <row r="80" spans="1:8" ht="12.95" customHeight="1">
      <c r="A80" s="19"/>
      <c r="B80" s="31" t="s">
        <v>249</v>
      </c>
      <c r="C80" s="32"/>
      <c r="D80" s="32"/>
      <c r="E80" s="32"/>
      <c r="F80" s="43">
        <v>612651.41194750019</v>
      </c>
      <c r="G80" s="44">
        <v>0.72815612795005002</v>
      </c>
      <c r="H80" s="45"/>
    </row>
    <row r="81" spans="1:9" ht="12.95" customHeight="1">
      <c r="A81" s="19"/>
      <c r="B81" s="46" t="s">
        <v>250</v>
      </c>
      <c r="C81" s="47"/>
      <c r="D81" s="47"/>
      <c r="E81" s="47"/>
      <c r="F81" s="48" t="s">
        <v>251</v>
      </c>
      <c r="G81" s="44" t="s">
        <v>251</v>
      </c>
      <c r="H81" s="45"/>
    </row>
    <row r="82" spans="1:9" ht="12.95" customHeight="1">
      <c r="A82" s="19"/>
      <c r="B82" s="46" t="s">
        <v>249</v>
      </c>
      <c r="C82" s="47"/>
      <c r="D82" s="47"/>
      <c r="E82" s="47"/>
      <c r="F82" s="48" t="s">
        <v>251</v>
      </c>
      <c r="G82" s="44" t="s">
        <v>251</v>
      </c>
      <c r="H82" s="45"/>
    </row>
    <row r="83" spans="1:9" ht="12.95" customHeight="1">
      <c r="A83" s="19"/>
      <c r="B83" s="49" t="s">
        <v>252</v>
      </c>
      <c r="C83" s="32"/>
      <c r="D83" s="32"/>
      <c r="E83" s="32"/>
      <c r="F83" s="50"/>
      <c r="G83" s="51"/>
      <c r="H83" s="52"/>
    </row>
    <row r="84" spans="1:9" ht="12.95" customHeight="1">
      <c r="A84" s="5"/>
      <c r="B84" s="53" t="s">
        <v>253</v>
      </c>
      <c r="C84" s="54" t="s">
        <v>254</v>
      </c>
      <c r="D84" s="54" t="s">
        <v>255</v>
      </c>
      <c r="E84" s="55">
        <v>1747854</v>
      </c>
      <c r="F84" s="56">
        <v>6533.4782519999999</v>
      </c>
      <c r="G84" s="40">
        <v>7.7652513864276502E-3</v>
      </c>
      <c r="H84" s="57"/>
      <c r="I84" s="18"/>
    </row>
    <row r="85" spans="1:9" ht="12.95" customHeight="1">
      <c r="A85" s="5"/>
      <c r="B85" s="58" t="s">
        <v>249</v>
      </c>
      <c r="C85" s="54"/>
      <c r="D85" s="54"/>
      <c r="E85" s="54"/>
      <c r="F85" s="59">
        <f>F84</f>
        <v>6533.4782519999999</v>
      </c>
      <c r="G85" s="44">
        <f>G84</f>
        <v>7.7652513864276502E-3</v>
      </c>
      <c r="H85" s="57"/>
      <c r="I85" s="18"/>
    </row>
    <row r="86" spans="1:9" ht="12.95" customHeight="1">
      <c r="A86" s="19"/>
      <c r="B86" s="46" t="s">
        <v>256</v>
      </c>
      <c r="C86" s="60"/>
      <c r="D86" s="47"/>
      <c r="E86" s="60"/>
      <c r="F86" s="43">
        <f>+F80+F85</f>
        <v>619184.89019950014</v>
      </c>
      <c r="G86" s="61">
        <f>+G80+G85</f>
        <v>0.73592137933647772</v>
      </c>
      <c r="H86" s="45"/>
    </row>
    <row r="87" spans="1:9" ht="12.95" customHeight="1">
      <c r="A87" s="19"/>
      <c r="B87" s="31" t="s">
        <v>257</v>
      </c>
      <c r="C87" s="32"/>
      <c r="D87" s="32"/>
      <c r="E87" s="32"/>
      <c r="F87" s="33"/>
      <c r="G87" s="34"/>
      <c r="H87" s="35"/>
    </row>
    <row r="88" spans="1:9" ht="12.95" customHeight="1">
      <c r="A88" s="19"/>
      <c r="B88" s="31" t="s">
        <v>258</v>
      </c>
      <c r="C88" s="32"/>
      <c r="D88" s="32"/>
      <c r="E88" s="32"/>
      <c r="F88" s="33"/>
      <c r="G88" s="34"/>
      <c r="H88" s="35"/>
    </row>
    <row r="89" spans="1:9" ht="12.95" customHeight="1">
      <c r="A89" s="36" t="s">
        <v>259</v>
      </c>
      <c r="B89" s="37" t="s">
        <v>260</v>
      </c>
      <c r="C89" s="32" t="s">
        <v>261</v>
      </c>
      <c r="D89" s="32" t="s">
        <v>262</v>
      </c>
      <c r="E89" s="38">
        <v>16400000</v>
      </c>
      <c r="F89" s="39">
        <v>16513.127199999999</v>
      </c>
      <c r="G89" s="40">
        <v>1.962638872254658E-2</v>
      </c>
      <c r="H89" s="41">
        <v>7.2030999999999998E-2</v>
      </c>
    </row>
    <row r="90" spans="1:9" ht="12.95" customHeight="1">
      <c r="A90" s="36" t="s">
        <v>263</v>
      </c>
      <c r="B90" s="37" t="s">
        <v>264</v>
      </c>
      <c r="C90" s="32" t="s">
        <v>265</v>
      </c>
      <c r="D90" s="32" t="s">
        <v>262</v>
      </c>
      <c r="E90" s="38">
        <v>13600000</v>
      </c>
      <c r="F90" s="39">
        <v>13722.930399999999</v>
      </c>
      <c r="G90" s="40">
        <v>1.6310149082049804E-2</v>
      </c>
      <c r="H90" s="41">
        <v>7.1877999999999997E-2</v>
      </c>
    </row>
    <row r="91" spans="1:9" ht="12.95" customHeight="1">
      <c r="A91" s="36" t="s">
        <v>266</v>
      </c>
      <c r="B91" s="37" t="s">
        <v>267</v>
      </c>
      <c r="C91" s="32" t="s">
        <v>268</v>
      </c>
      <c r="D91" s="32" t="s">
        <v>262</v>
      </c>
      <c r="E91" s="38">
        <v>8850000</v>
      </c>
      <c r="F91" s="39">
        <v>8931.8182500000003</v>
      </c>
      <c r="G91" s="40">
        <v>1.0615756473651806E-2</v>
      </c>
      <c r="H91" s="41">
        <v>7.2388999999999995E-2</v>
      </c>
    </row>
    <row r="92" spans="1:9" ht="12.95" customHeight="1">
      <c r="A92" s="36" t="s">
        <v>269</v>
      </c>
      <c r="B92" s="37" t="s">
        <v>270</v>
      </c>
      <c r="C92" s="32" t="s">
        <v>271</v>
      </c>
      <c r="D92" s="32" t="s">
        <v>262</v>
      </c>
      <c r="E92" s="38">
        <v>7500000</v>
      </c>
      <c r="F92" s="39">
        <v>7575.54</v>
      </c>
      <c r="G92" s="40">
        <v>9.0037756642000859E-3</v>
      </c>
      <c r="H92" s="41">
        <v>7.2307999999999997E-2</v>
      </c>
    </row>
    <row r="93" spans="1:9" ht="12.95" customHeight="1">
      <c r="A93" s="36" t="s">
        <v>272</v>
      </c>
      <c r="B93" s="37" t="s">
        <v>273</v>
      </c>
      <c r="C93" s="32" t="s">
        <v>274</v>
      </c>
      <c r="D93" s="32" t="s">
        <v>275</v>
      </c>
      <c r="E93" s="38">
        <v>5000000</v>
      </c>
      <c r="F93" s="39">
        <v>5491.0649999999996</v>
      </c>
      <c r="G93" s="40">
        <v>6.5263093347194849E-3</v>
      </c>
      <c r="H93" s="41">
        <v>8.8200000000000001E-2</v>
      </c>
    </row>
    <row r="94" spans="1:9" ht="12.95" customHeight="1">
      <c r="A94" s="36" t="s">
        <v>276</v>
      </c>
      <c r="B94" s="37" t="s">
        <v>277</v>
      </c>
      <c r="C94" s="32" t="s">
        <v>278</v>
      </c>
      <c r="D94" s="32" t="s">
        <v>262</v>
      </c>
      <c r="E94" s="38">
        <v>5050000</v>
      </c>
      <c r="F94" s="39">
        <v>5049.9192000000003</v>
      </c>
      <c r="G94" s="40">
        <v>6.0019932043308818E-3</v>
      </c>
      <c r="H94" s="41">
        <v>7.1820000000000009E-2</v>
      </c>
    </row>
    <row r="95" spans="1:9" ht="12.95" customHeight="1">
      <c r="A95" s="36" t="s">
        <v>279</v>
      </c>
      <c r="B95" s="37" t="s">
        <v>280</v>
      </c>
      <c r="C95" s="32" t="s">
        <v>281</v>
      </c>
      <c r="D95" s="32" t="s">
        <v>282</v>
      </c>
      <c r="E95" s="38">
        <v>5000000</v>
      </c>
      <c r="F95" s="39">
        <v>5003.4650000000001</v>
      </c>
      <c r="G95" s="40">
        <v>5.9467808768321317E-3</v>
      </c>
      <c r="H95" s="41">
        <v>8.9050000000000004E-2</v>
      </c>
    </row>
    <row r="96" spans="1:9" ht="12.95" customHeight="1">
      <c r="A96" s="36" t="s">
        <v>283</v>
      </c>
      <c r="B96" s="37" t="s">
        <v>284</v>
      </c>
      <c r="C96" s="32" t="s">
        <v>285</v>
      </c>
      <c r="D96" s="32" t="s">
        <v>275</v>
      </c>
      <c r="E96" s="38">
        <v>5000000</v>
      </c>
      <c r="F96" s="39">
        <v>4991.5749999999998</v>
      </c>
      <c r="G96" s="40">
        <v>5.9326492251416466E-3</v>
      </c>
      <c r="H96" s="41">
        <v>8.5449999999999998E-2</v>
      </c>
    </row>
    <row r="97" spans="1:8" ht="12.95" customHeight="1">
      <c r="A97" s="36" t="s">
        <v>286</v>
      </c>
      <c r="B97" s="37" t="s">
        <v>287</v>
      </c>
      <c r="C97" s="32" t="s">
        <v>288</v>
      </c>
      <c r="D97" s="32" t="s">
        <v>282</v>
      </c>
      <c r="E97" s="38">
        <v>5000000</v>
      </c>
      <c r="F97" s="39">
        <v>4977.5450000000001</v>
      </c>
      <c r="G97" s="40">
        <v>5.9159741138533782E-3</v>
      </c>
      <c r="H97" s="41">
        <v>8.6775000000000005E-2</v>
      </c>
    </row>
    <row r="98" spans="1:8" ht="12.95" customHeight="1">
      <c r="A98" s="36" t="s">
        <v>289</v>
      </c>
      <c r="B98" s="37" t="s">
        <v>290</v>
      </c>
      <c r="C98" s="32" t="s">
        <v>291</v>
      </c>
      <c r="D98" s="32" t="s">
        <v>282</v>
      </c>
      <c r="E98" s="38">
        <v>5000000</v>
      </c>
      <c r="F98" s="39">
        <v>4966.17</v>
      </c>
      <c r="G98" s="40">
        <v>5.9024545564118919E-3</v>
      </c>
      <c r="H98" s="41">
        <v>8.6849999999999997E-2</v>
      </c>
    </row>
    <row r="99" spans="1:8" ht="12.95" customHeight="1">
      <c r="A99" s="36" t="s">
        <v>292</v>
      </c>
      <c r="B99" s="37" t="s">
        <v>293</v>
      </c>
      <c r="C99" s="32" t="s">
        <v>294</v>
      </c>
      <c r="D99" s="32" t="s">
        <v>295</v>
      </c>
      <c r="E99" s="38">
        <v>5000000</v>
      </c>
      <c r="F99" s="39">
        <v>4959.8950000000004</v>
      </c>
      <c r="G99" s="40">
        <v>5.8949965148342807E-3</v>
      </c>
      <c r="H99" s="41">
        <v>7.5399999999999995E-2</v>
      </c>
    </row>
    <row r="100" spans="1:8" ht="12.95" customHeight="1">
      <c r="A100" s="36" t="s">
        <v>296</v>
      </c>
      <c r="B100" s="37" t="s">
        <v>297</v>
      </c>
      <c r="C100" s="32" t="s">
        <v>298</v>
      </c>
      <c r="D100" s="32" t="s">
        <v>262</v>
      </c>
      <c r="E100" s="38">
        <v>4850000</v>
      </c>
      <c r="F100" s="39">
        <v>4869.9625999999998</v>
      </c>
      <c r="G100" s="40">
        <v>5.7881089326232297E-3</v>
      </c>
      <c r="H100" s="41">
        <v>7.2577000000000003E-2</v>
      </c>
    </row>
    <row r="101" spans="1:8" ht="12.95" customHeight="1">
      <c r="A101" s="36" t="s">
        <v>299</v>
      </c>
      <c r="B101" s="37" t="s">
        <v>300</v>
      </c>
      <c r="C101" s="32" t="s">
        <v>301</v>
      </c>
      <c r="D101" s="32" t="s">
        <v>295</v>
      </c>
      <c r="E101" s="38">
        <v>4500000</v>
      </c>
      <c r="F101" s="39">
        <v>4461.2820000000002</v>
      </c>
      <c r="G101" s="40">
        <v>5.3023787482785242E-3</v>
      </c>
      <c r="H101" s="41">
        <v>7.8600000000000003E-2</v>
      </c>
    </row>
    <row r="102" spans="1:8" ht="12.95" customHeight="1">
      <c r="A102" s="36" t="s">
        <v>302</v>
      </c>
      <c r="B102" s="37" t="s">
        <v>303</v>
      </c>
      <c r="C102" s="32" t="s">
        <v>304</v>
      </c>
      <c r="D102" s="32" t="s">
        <v>275</v>
      </c>
      <c r="E102" s="38">
        <v>4000000</v>
      </c>
      <c r="F102" s="39">
        <v>3974.4</v>
      </c>
      <c r="G102" s="40">
        <v>4.7237036567422024E-3</v>
      </c>
      <c r="H102" s="41">
        <v>8.6050000000000001E-2</v>
      </c>
    </row>
    <row r="103" spans="1:8" ht="12.95" customHeight="1">
      <c r="A103" s="36" t="s">
        <v>305</v>
      </c>
      <c r="B103" s="37" t="s">
        <v>306</v>
      </c>
      <c r="C103" s="32" t="s">
        <v>307</v>
      </c>
      <c r="D103" s="32" t="s">
        <v>295</v>
      </c>
      <c r="E103" s="38">
        <v>4000000</v>
      </c>
      <c r="F103" s="39">
        <v>3855.6280000000002</v>
      </c>
      <c r="G103" s="40">
        <v>4.5825392720002071E-3</v>
      </c>
      <c r="H103" s="41">
        <v>7.5318999999999997E-2</v>
      </c>
    </row>
    <row r="104" spans="1:8" ht="12.95" customHeight="1">
      <c r="A104" s="36" t="s">
        <v>308</v>
      </c>
      <c r="B104" s="37" t="s">
        <v>309</v>
      </c>
      <c r="C104" s="32" t="s">
        <v>310</v>
      </c>
      <c r="D104" s="32" t="s">
        <v>282</v>
      </c>
      <c r="E104" s="38">
        <v>3500000</v>
      </c>
      <c r="F104" s="39">
        <v>3478.2860000000001</v>
      </c>
      <c r="G104" s="40">
        <v>4.1340560329597448E-3</v>
      </c>
      <c r="H104" s="41">
        <v>8.6849999999999997E-2</v>
      </c>
    </row>
    <row r="105" spans="1:8" ht="12.95" customHeight="1">
      <c r="A105" s="36" t="s">
        <v>311</v>
      </c>
      <c r="B105" s="37" t="s">
        <v>312</v>
      </c>
      <c r="C105" s="32" t="s">
        <v>313</v>
      </c>
      <c r="D105" s="32" t="s">
        <v>262</v>
      </c>
      <c r="E105" s="38">
        <v>3000000</v>
      </c>
      <c r="F105" s="39">
        <v>3051.36</v>
      </c>
      <c r="G105" s="40">
        <v>3.6266405973321473E-3</v>
      </c>
      <c r="H105" s="41">
        <v>7.2863999999999998E-2</v>
      </c>
    </row>
    <row r="106" spans="1:8" ht="12.95" customHeight="1">
      <c r="A106" s="36" t="s">
        <v>314</v>
      </c>
      <c r="B106" s="37" t="s">
        <v>315</v>
      </c>
      <c r="C106" s="32" t="s">
        <v>316</v>
      </c>
      <c r="D106" s="32" t="s">
        <v>317</v>
      </c>
      <c r="E106" s="38">
        <v>3000000</v>
      </c>
      <c r="F106" s="39">
        <v>2999.2710000000002</v>
      </c>
      <c r="G106" s="40">
        <v>3.5647311267765808E-3</v>
      </c>
      <c r="H106" s="41">
        <v>9.4398999999999997E-2</v>
      </c>
    </row>
    <row r="107" spans="1:8" ht="12.95" customHeight="1">
      <c r="A107" s="36" t="s">
        <v>318</v>
      </c>
      <c r="B107" s="37" t="s">
        <v>319</v>
      </c>
      <c r="C107" s="32" t="s">
        <v>320</v>
      </c>
      <c r="D107" s="32" t="s">
        <v>295</v>
      </c>
      <c r="E107" s="38">
        <v>2800000</v>
      </c>
      <c r="F107" s="39">
        <v>2806.2159999999999</v>
      </c>
      <c r="G107" s="40">
        <v>3.3352789806784613E-3</v>
      </c>
      <c r="H107" s="41">
        <v>7.8187499999999993E-2</v>
      </c>
    </row>
    <row r="108" spans="1:8" ht="12.95" customHeight="1">
      <c r="A108" s="36" t="s">
        <v>321</v>
      </c>
      <c r="B108" s="37" t="s">
        <v>322</v>
      </c>
      <c r="C108" s="32" t="s">
        <v>323</v>
      </c>
      <c r="D108" s="32" t="s">
        <v>295</v>
      </c>
      <c r="E108" s="38">
        <v>2500000</v>
      </c>
      <c r="F108" s="39">
        <v>2509.8474999999999</v>
      </c>
      <c r="G108" s="40">
        <v>2.9830353798347611E-3</v>
      </c>
      <c r="H108" s="41">
        <v>7.5999999999999998E-2</v>
      </c>
    </row>
    <row r="109" spans="1:8" ht="12.95" customHeight="1">
      <c r="A109" s="36" t="s">
        <v>324</v>
      </c>
      <c r="B109" s="37" t="s">
        <v>325</v>
      </c>
      <c r="C109" s="32" t="s">
        <v>326</v>
      </c>
      <c r="D109" s="32" t="s">
        <v>262</v>
      </c>
      <c r="E109" s="38">
        <v>2500000</v>
      </c>
      <c r="F109" s="39">
        <v>2508.6125000000002</v>
      </c>
      <c r="G109" s="40">
        <v>2.9815675421696855E-3</v>
      </c>
      <c r="H109" s="41">
        <v>7.5157000000000002E-2</v>
      </c>
    </row>
    <row r="110" spans="1:8" ht="12.95" customHeight="1">
      <c r="A110" s="36" t="s">
        <v>327</v>
      </c>
      <c r="B110" s="37" t="s">
        <v>328</v>
      </c>
      <c r="C110" s="32" t="s">
        <v>329</v>
      </c>
      <c r="D110" s="32" t="s">
        <v>295</v>
      </c>
      <c r="E110" s="38">
        <v>2500000</v>
      </c>
      <c r="F110" s="39">
        <v>2507.1325000000002</v>
      </c>
      <c r="G110" s="40">
        <v>2.9798085140366392E-3</v>
      </c>
      <c r="H110" s="41">
        <v>7.4803999999999995E-2</v>
      </c>
    </row>
    <row r="111" spans="1:8" ht="12.95" customHeight="1">
      <c r="A111" s="36" t="s">
        <v>330</v>
      </c>
      <c r="B111" s="37" t="s">
        <v>331</v>
      </c>
      <c r="C111" s="32" t="s">
        <v>332</v>
      </c>
      <c r="D111" s="32" t="s">
        <v>282</v>
      </c>
      <c r="E111" s="38">
        <v>2500000</v>
      </c>
      <c r="F111" s="39">
        <v>2501.5275000000001</v>
      </c>
      <c r="G111" s="40">
        <v>2.9731467892489885E-3</v>
      </c>
      <c r="H111" s="41">
        <v>8.8175000000000003E-2</v>
      </c>
    </row>
    <row r="112" spans="1:8" ht="12.95" customHeight="1">
      <c r="A112" s="36" t="s">
        <v>333</v>
      </c>
      <c r="B112" s="37" t="s">
        <v>334</v>
      </c>
      <c r="C112" s="32" t="s">
        <v>335</v>
      </c>
      <c r="D112" s="32" t="s">
        <v>295</v>
      </c>
      <c r="E112" s="38">
        <v>2500000</v>
      </c>
      <c r="F112" s="39">
        <v>2495.52</v>
      </c>
      <c r="G112" s="40">
        <v>2.9660066801211003E-3</v>
      </c>
      <c r="H112" s="41">
        <v>7.6999999999999999E-2</v>
      </c>
    </row>
    <row r="113" spans="1:8" ht="12.95" customHeight="1">
      <c r="A113" s="36" t="s">
        <v>336</v>
      </c>
      <c r="B113" s="37" t="s">
        <v>337</v>
      </c>
      <c r="C113" s="32" t="s">
        <v>338</v>
      </c>
      <c r="D113" s="32" t="s">
        <v>339</v>
      </c>
      <c r="E113" s="38">
        <v>2500000</v>
      </c>
      <c r="F113" s="39">
        <v>2494.5100000000002</v>
      </c>
      <c r="G113" s="40">
        <v>2.9648062622735488E-3</v>
      </c>
      <c r="H113" s="41">
        <v>9.4850000000000004E-2</v>
      </c>
    </row>
    <row r="114" spans="1:8" ht="12.95" customHeight="1">
      <c r="A114" s="36" t="s">
        <v>340</v>
      </c>
      <c r="B114" s="37" t="s">
        <v>341</v>
      </c>
      <c r="C114" s="32" t="s">
        <v>342</v>
      </c>
      <c r="D114" s="32" t="s">
        <v>295</v>
      </c>
      <c r="E114" s="38">
        <v>2500000</v>
      </c>
      <c r="F114" s="39">
        <v>2492.4074999999998</v>
      </c>
      <c r="G114" s="40">
        <v>2.9623073726453529E-3</v>
      </c>
      <c r="H114" s="41">
        <v>8.2699999999999996E-2</v>
      </c>
    </row>
    <row r="115" spans="1:8" ht="12.95" customHeight="1">
      <c r="A115" s="36" t="s">
        <v>343</v>
      </c>
      <c r="B115" s="37" t="s">
        <v>344</v>
      </c>
      <c r="C115" s="32" t="s">
        <v>345</v>
      </c>
      <c r="D115" s="32" t="s">
        <v>346</v>
      </c>
      <c r="E115" s="38">
        <v>2500000</v>
      </c>
      <c r="F115" s="39">
        <v>2480.1224999999999</v>
      </c>
      <c r="G115" s="40">
        <v>2.9477062506085478E-3</v>
      </c>
      <c r="H115" s="41">
        <v>7.7950000000000005E-2</v>
      </c>
    </row>
    <row r="116" spans="1:8" ht="12.95" customHeight="1">
      <c r="A116" s="36" t="s">
        <v>347</v>
      </c>
      <c r="B116" s="37" t="s">
        <v>348</v>
      </c>
      <c r="C116" s="32" t="s">
        <v>349</v>
      </c>
      <c r="D116" s="32" t="s">
        <v>295</v>
      </c>
      <c r="E116" s="38">
        <v>2000000</v>
      </c>
      <c r="F116" s="39">
        <v>2005.268</v>
      </c>
      <c r="G116" s="40">
        <v>2.3833262339845317E-3</v>
      </c>
      <c r="H116" s="41">
        <v>7.6238E-2</v>
      </c>
    </row>
    <row r="117" spans="1:8" ht="12.95" customHeight="1">
      <c r="A117" s="36" t="s">
        <v>350</v>
      </c>
      <c r="B117" s="37" t="s">
        <v>351</v>
      </c>
      <c r="C117" s="32" t="s">
        <v>352</v>
      </c>
      <c r="D117" s="32" t="s">
        <v>295</v>
      </c>
      <c r="E117" s="38">
        <v>2000000</v>
      </c>
      <c r="F117" s="39">
        <v>1989.492</v>
      </c>
      <c r="G117" s="40">
        <v>2.364575944912278E-3</v>
      </c>
      <c r="H117" s="41">
        <v>8.2000000000000003E-2</v>
      </c>
    </row>
    <row r="118" spans="1:8" ht="12.95" customHeight="1">
      <c r="A118" s="36" t="s">
        <v>353</v>
      </c>
      <c r="B118" s="37" t="s">
        <v>354</v>
      </c>
      <c r="C118" s="32" t="s">
        <v>355</v>
      </c>
      <c r="D118" s="32" t="s">
        <v>295</v>
      </c>
      <c r="E118" s="38">
        <v>1750000</v>
      </c>
      <c r="F118" s="39">
        <v>1753.0519999999999</v>
      </c>
      <c r="G118" s="40">
        <v>2.0835593153329386E-3</v>
      </c>
      <c r="H118" s="41">
        <v>7.7299999999999994E-2</v>
      </c>
    </row>
    <row r="119" spans="1:8" ht="12.95" customHeight="1">
      <c r="A119" s="36" t="s">
        <v>356</v>
      </c>
      <c r="B119" s="37" t="s">
        <v>357</v>
      </c>
      <c r="C119" s="32" t="s">
        <v>358</v>
      </c>
      <c r="D119" s="32" t="s">
        <v>295</v>
      </c>
      <c r="E119" s="38">
        <v>150000000</v>
      </c>
      <c r="F119" s="39">
        <v>1500.4259999999999</v>
      </c>
      <c r="G119" s="40">
        <v>1.7833050983471911E-3</v>
      </c>
      <c r="H119" s="41">
        <v>7.4749999999999997E-2</v>
      </c>
    </row>
    <row r="120" spans="1:8" ht="12.95" customHeight="1">
      <c r="A120" s="36" t="s">
        <v>359</v>
      </c>
      <c r="B120" s="37" t="s">
        <v>360</v>
      </c>
      <c r="C120" s="32" t="s">
        <v>361</v>
      </c>
      <c r="D120" s="32" t="s">
        <v>295</v>
      </c>
      <c r="E120" s="38">
        <v>1500000</v>
      </c>
      <c r="F120" s="39">
        <v>1492.9005</v>
      </c>
      <c r="G120" s="40">
        <v>1.7743607968504081E-3</v>
      </c>
      <c r="H120" s="41">
        <v>7.7700000000000005E-2</v>
      </c>
    </row>
    <row r="121" spans="1:8" ht="12.95" customHeight="1">
      <c r="A121" s="36" t="s">
        <v>362</v>
      </c>
      <c r="B121" s="37" t="s">
        <v>363</v>
      </c>
      <c r="C121" s="32" t="s">
        <v>364</v>
      </c>
      <c r="D121" s="32" t="s">
        <v>295</v>
      </c>
      <c r="E121" s="38">
        <v>1500000</v>
      </c>
      <c r="F121" s="39">
        <v>1486.0335</v>
      </c>
      <c r="G121" s="40">
        <v>1.7661991440195788E-3</v>
      </c>
      <c r="H121" s="41">
        <v>7.85E-2</v>
      </c>
    </row>
    <row r="122" spans="1:8" ht="12.95" customHeight="1">
      <c r="A122" s="36" t="s">
        <v>365</v>
      </c>
      <c r="B122" s="37" t="s">
        <v>366</v>
      </c>
      <c r="C122" s="32" t="s">
        <v>367</v>
      </c>
      <c r="D122" s="32" t="s">
        <v>295</v>
      </c>
      <c r="E122" s="38">
        <v>1500000</v>
      </c>
      <c r="F122" s="39">
        <v>1465.662</v>
      </c>
      <c r="G122" s="40">
        <v>1.7419869537409647E-3</v>
      </c>
      <c r="H122" s="41">
        <v>7.8700000000000006E-2</v>
      </c>
    </row>
    <row r="123" spans="1:8" ht="12.95" customHeight="1">
      <c r="A123" s="36" t="s">
        <v>368</v>
      </c>
      <c r="B123" s="37" t="s">
        <v>369</v>
      </c>
      <c r="C123" s="32" t="s">
        <v>370</v>
      </c>
      <c r="D123" s="32" t="s">
        <v>282</v>
      </c>
      <c r="E123" s="38">
        <v>1250000</v>
      </c>
      <c r="F123" s="39">
        <v>1246.33125</v>
      </c>
      <c r="G123" s="40">
        <v>1.4813052242192734E-3</v>
      </c>
      <c r="H123" s="41">
        <v>8.9174000000000003E-2</v>
      </c>
    </row>
    <row r="124" spans="1:8" ht="12.95" customHeight="1">
      <c r="A124" s="36" t="s">
        <v>371</v>
      </c>
      <c r="B124" s="37" t="s">
        <v>372</v>
      </c>
      <c r="C124" s="32" t="s">
        <v>373</v>
      </c>
      <c r="D124" s="32" t="s">
        <v>317</v>
      </c>
      <c r="E124" s="38">
        <v>1243780</v>
      </c>
      <c r="F124" s="39">
        <v>1242.3421903000001</v>
      </c>
      <c r="G124" s="40">
        <v>1.4765640970323135E-3</v>
      </c>
      <c r="H124" s="41">
        <v>9.6785999999999997E-2</v>
      </c>
    </row>
    <row r="125" spans="1:8" ht="12.95" customHeight="1">
      <c r="A125" s="36" t="s">
        <v>374</v>
      </c>
      <c r="B125" s="37" t="s">
        <v>375</v>
      </c>
      <c r="C125" s="32" t="s">
        <v>376</v>
      </c>
      <c r="D125" s="32" t="s">
        <v>317</v>
      </c>
      <c r="E125" s="38">
        <v>1243780</v>
      </c>
      <c r="F125" s="39">
        <v>1240.9653258999999</v>
      </c>
      <c r="G125" s="40">
        <v>1.4749276489140774E-3</v>
      </c>
      <c r="H125" s="41">
        <v>9.6849000000000005E-2</v>
      </c>
    </row>
    <row r="126" spans="1:8" ht="12.95" customHeight="1">
      <c r="A126" s="36" t="s">
        <v>377</v>
      </c>
      <c r="B126" s="37" t="s">
        <v>378</v>
      </c>
      <c r="C126" s="32" t="s">
        <v>379</v>
      </c>
      <c r="D126" s="32" t="s">
        <v>295</v>
      </c>
      <c r="E126" s="38">
        <v>1200000</v>
      </c>
      <c r="F126" s="39">
        <v>1201.3584000000001</v>
      </c>
      <c r="G126" s="40">
        <v>1.4278535293724742E-3</v>
      </c>
      <c r="H126" s="41">
        <v>7.8549999999999995E-2</v>
      </c>
    </row>
    <row r="127" spans="1:8" ht="12.95" customHeight="1">
      <c r="A127" s="36" t="s">
        <v>380</v>
      </c>
      <c r="B127" s="37" t="s">
        <v>381</v>
      </c>
      <c r="C127" s="32" t="s">
        <v>382</v>
      </c>
      <c r="D127" s="32" t="s">
        <v>262</v>
      </c>
      <c r="E127" s="38">
        <v>1100000</v>
      </c>
      <c r="F127" s="39">
        <v>1084.0434</v>
      </c>
      <c r="G127" s="40">
        <v>1.2884208365155118E-3</v>
      </c>
      <c r="H127" s="41">
        <v>7.5240000000000001E-2</v>
      </c>
    </row>
    <row r="128" spans="1:8" ht="12.95" customHeight="1">
      <c r="A128" s="36" t="s">
        <v>383</v>
      </c>
      <c r="B128" s="37" t="s">
        <v>384</v>
      </c>
      <c r="C128" s="32" t="s">
        <v>385</v>
      </c>
      <c r="D128" s="32" t="s">
        <v>262</v>
      </c>
      <c r="E128" s="38">
        <v>1000000</v>
      </c>
      <c r="F128" s="39">
        <v>1006.665</v>
      </c>
      <c r="G128" s="40">
        <v>1.1964540915897718E-3</v>
      </c>
      <c r="H128" s="41">
        <v>7.4961E-2</v>
      </c>
    </row>
    <row r="129" spans="1:8" ht="12.95" customHeight="1">
      <c r="A129" s="36" t="s">
        <v>386</v>
      </c>
      <c r="B129" s="37" t="s">
        <v>387</v>
      </c>
      <c r="C129" s="32" t="s">
        <v>388</v>
      </c>
      <c r="D129" s="32" t="s">
        <v>295</v>
      </c>
      <c r="E129" s="38">
        <v>1000000</v>
      </c>
      <c r="F129" s="39">
        <v>1000.93</v>
      </c>
      <c r="G129" s="40">
        <v>1.1896378575742181E-3</v>
      </c>
      <c r="H129" s="41">
        <v>7.6700000000000004E-2</v>
      </c>
    </row>
    <row r="130" spans="1:8" ht="12.95" customHeight="1">
      <c r="A130" s="36" t="s">
        <v>389</v>
      </c>
      <c r="B130" s="37" t="s">
        <v>390</v>
      </c>
      <c r="C130" s="32" t="s">
        <v>391</v>
      </c>
      <c r="D130" s="32" t="s">
        <v>295</v>
      </c>
      <c r="E130" s="38">
        <v>1000000</v>
      </c>
      <c r="F130" s="39">
        <v>995.221</v>
      </c>
      <c r="G130" s="40">
        <v>1.1828525254042449E-3</v>
      </c>
      <c r="H130" s="41">
        <v>8.2180000000000003E-2</v>
      </c>
    </row>
    <row r="131" spans="1:8" ht="12.95" customHeight="1">
      <c r="A131" s="36" t="s">
        <v>392</v>
      </c>
      <c r="B131" s="37" t="s">
        <v>393</v>
      </c>
      <c r="C131" s="32" t="s">
        <v>394</v>
      </c>
      <c r="D131" s="32" t="s">
        <v>295</v>
      </c>
      <c r="E131" s="38">
        <v>1000000</v>
      </c>
      <c r="F131" s="39">
        <v>990.43200000000002</v>
      </c>
      <c r="G131" s="40">
        <v>1.1771606431548141E-3</v>
      </c>
      <c r="H131" s="41">
        <v>7.8100000000000003E-2</v>
      </c>
    </row>
    <row r="132" spans="1:8" ht="12.95" customHeight="1">
      <c r="A132" s="36" t="s">
        <v>395</v>
      </c>
      <c r="B132" s="37" t="s">
        <v>396</v>
      </c>
      <c r="C132" s="32" t="s">
        <v>397</v>
      </c>
      <c r="D132" s="32" t="s">
        <v>295</v>
      </c>
      <c r="E132" s="38">
        <v>1000000</v>
      </c>
      <c r="F132" s="39">
        <v>988.75099999999998</v>
      </c>
      <c r="G132" s="40">
        <v>1.1751627199847799E-3</v>
      </c>
      <c r="H132" s="41">
        <v>8.3449999999999996E-2</v>
      </c>
    </row>
    <row r="133" spans="1:8" ht="12.95" customHeight="1">
      <c r="A133" s="36" t="s">
        <v>398</v>
      </c>
      <c r="B133" s="37" t="s">
        <v>399</v>
      </c>
      <c r="C133" s="32" t="s">
        <v>400</v>
      </c>
      <c r="D133" s="32" t="s">
        <v>295</v>
      </c>
      <c r="E133" s="38">
        <v>1000000</v>
      </c>
      <c r="F133" s="39">
        <v>968.70100000000002</v>
      </c>
      <c r="G133" s="40">
        <v>1.1513326429120944E-3</v>
      </c>
      <c r="H133" s="41">
        <v>7.9899999999999999E-2</v>
      </c>
    </row>
    <row r="134" spans="1:8" ht="12.95" customHeight="1">
      <c r="A134" s="36" t="s">
        <v>401</v>
      </c>
      <c r="B134" s="37" t="s">
        <v>402</v>
      </c>
      <c r="C134" s="32" t="s">
        <v>403</v>
      </c>
      <c r="D134" s="32" t="s">
        <v>295</v>
      </c>
      <c r="E134" s="38">
        <v>1000000</v>
      </c>
      <c r="F134" s="39">
        <v>964.72</v>
      </c>
      <c r="G134" s="40">
        <v>1.146601094940705E-3</v>
      </c>
      <c r="H134" s="41">
        <v>7.6749999999999999E-2</v>
      </c>
    </row>
    <row r="135" spans="1:8" ht="12.95" customHeight="1">
      <c r="A135" s="36" t="s">
        <v>404</v>
      </c>
      <c r="B135" s="37" t="s">
        <v>405</v>
      </c>
      <c r="C135" s="32" t="s">
        <v>406</v>
      </c>
      <c r="D135" s="32" t="s">
        <v>295</v>
      </c>
      <c r="E135" s="38">
        <v>500000</v>
      </c>
      <c r="F135" s="39">
        <v>505.91050000000001</v>
      </c>
      <c r="G135" s="40">
        <v>6.0129108263744864E-4</v>
      </c>
      <c r="H135" s="41">
        <v>7.8700000000000006E-2</v>
      </c>
    </row>
    <row r="136" spans="1:8" ht="12.95" customHeight="1">
      <c r="A136" s="36" t="s">
        <v>407</v>
      </c>
      <c r="B136" s="37" t="s">
        <v>408</v>
      </c>
      <c r="C136" s="32" t="s">
        <v>409</v>
      </c>
      <c r="D136" s="32" t="s">
        <v>295</v>
      </c>
      <c r="E136" s="38">
        <v>500000</v>
      </c>
      <c r="F136" s="39">
        <v>505.43549999999999</v>
      </c>
      <c r="G136" s="40">
        <v>6.0072652968934262E-4</v>
      </c>
      <c r="H136" s="41">
        <v>7.8700000000000006E-2</v>
      </c>
    </row>
    <row r="137" spans="1:8" ht="12.95" customHeight="1">
      <c r="A137" s="36" t="s">
        <v>410</v>
      </c>
      <c r="B137" s="37" t="s">
        <v>411</v>
      </c>
      <c r="C137" s="32" t="s">
        <v>412</v>
      </c>
      <c r="D137" s="32" t="s">
        <v>346</v>
      </c>
      <c r="E137" s="38">
        <v>500000</v>
      </c>
      <c r="F137" s="39">
        <v>500.96800000000002</v>
      </c>
      <c r="G137" s="40">
        <v>5.9541676064584024E-4</v>
      </c>
      <c r="H137" s="41">
        <v>7.7287999999999996E-2</v>
      </c>
    </row>
    <row r="138" spans="1:8" ht="12.95" customHeight="1">
      <c r="A138" s="36" t="s">
        <v>413</v>
      </c>
      <c r="B138" s="37" t="s">
        <v>414</v>
      </c>
      <c r="C138" s="32" t="s">
        <v>415</v>
      </c>
      <c r="D138" s="32" t="s">
        <v>275</v>
      </c>
      <c r="E138" s="38">
        <v>500000</v>
      </c>
      <c r="F138" s="39">
        <v>499.07150000000001</v>
      </c>
      <c r="G138" s="40">
        <v>5.9316270871724434E-4</v>
      </c>
      <c r="H138" s="41">
        <v>8.3650000000000002E-2</v>
      </c>
    </row>
    <row r="139" spans="1:8" ht="12.95" customHeight="1">
      <c r="A139" s="36" t="s">
        <v>416</v>
      </c>
      <c r="B139" s="37" t="s">
        <v>417</v>
      </c>
      <c r="C139" s="32" t="s">
        <v>418</v>
      </c>
      <c r="D139" s="32" t="s">
        <v>262</v>
      </c>
      <c r="E139" s="38">
        <v>400000</v>
      </c>
      <c r="F139" s="39">
        <v>402.69799999999998</v>
      </c>
      <c r="G139" s="40">
        <v>4.7861966967662324E-4</v>
      </c>
      <c r="H139" s="41">
        <v>7.4725E-2</v>
      </c>
    </row>
    <row r="140" spans="1:8" ht="12.95" customHeight="1">
      <c r="A140" s="36" t="s">
        <v>419</v>
      </c>
      <c r="B140" s="37" t="s">
        <v>420</v>
      </c>
      <c r="C140" s="32" t="s">
        <v>421</v>
      </c>
      <c r="D140" s="32" t="s">
        <v>275</v>
      </c>
      <c r="E140" s="38">
        <v>390000</v>
      </c>
      <c r="F140" s="39">
        <v>391.67388</v>
      </c>
      <c r="G140" s="40">
        <v>4.6551714452657168E-4</v>
      </c>
      <c r="H140" s="41">
        <v>8.5050000000000001E-2</v>
      </c>
    </row>
    <row r="141" spans="1:8" ht="12.95" customHeight="1">
      <c r="A141" s="36" t="s">
        <v>422</v>
      </c>
      <c r="B141" s="37" t="s">
        <v>423</v>
      </c>
      <c r="C141" s="32" t="s">
        <v>424</v>
      </c>
      <c r="D141" s="32" t="s">
        <v>275</v>
      </c>
      <c r="E141" s="38">
        <v>390000</v>
      </c>
      <c r="F141" s="39">
        <v>391.06196999999997</v>
      </c>
      <c r="G141" s="40">
        <v>4.6478986959083371E-4</v>
      </c>
      <c r="H141" s="41">
        <v>8.5050000000000001E-2</v>
      </c>
    </row>
    <row r="142" spans="1:8" ht="12.95" customHeight="1">
      <c r="A142" s="36" t="s">
        <v>425</v>
      </c>
      <c r="B142" s="37" t="s">
        <v>426</v>
      </c>
      <c r="C142" s="32" t="s">
        <v>427</v>
      </c>
      <c r="D142" s="32" t="s">
        <v>262</v>
      </c>
      <c r="E142" s="38">
        <v>300000</v>
      </c>
      <c r="F142" s="39">
        <v>298.69499999999999</v>
      </c>
      <c r="G142" s="40">
        <v>3.5500872175689717E-4</v>
      </c>
      <c r="H142" s="41">
        <v>7.5327000000000005E-2</v>
      </c>
    </row>
    <row r="143" spans="1:8" ht="12.95" customHeight="1">
      <c r="A143" s="36" t="s">
        <v>428</v>
      </c>
      <c r="B143" s="37" t="s">
        <v>429</v>
      </c>
      <c r="C143" s="32" t="s">
        <v>430</v>
      </c>
      <c r="D143" s="32" t="s">
        <v>295</v>
      </c>
      <c r="E143" s="38">
        <v>300000</v>
      </c>
      <c r="F143" s="39">
        <v>298.46969999999999</v>
      </c>
      <c r="G143" s="40">
        <v>3.5474094537961659E-4</v>
      </c>
      <c r="H143" s="41">
        <v>7.9299999999999995E-2</v>
      </c>
    </row>
    <row r="144" spans="1:8" ht="12.95" customHeight="1">
      <c r="A144" s="36" t="s">
        <v>431</v>
      </c>
      <c r="B144" s="37" t="s">
        <v>432</v>
      </c>
      <c r="C144" s="32" t="s">
        <v>433</v>
      </c>
      <c r="D144" s="32" t="s">
        <v>295</v>
      </c>
      <c r="E144" s="38">
        <v>300000</v>
      </c>
      <c r="F144" s="39">
        <v>297.87479999999999</v>
      </c>
      <c r="G144" s="40">
        <v>3.5403388738208336E-4</v>
      </c>
      <c r="H144" s="41">
        <v>7.8E-2</v>
      </c>
    </row>
    <row r="145" spans="1:8" ht="12.95" customHeight="1">
      <c r="A145" s="36" t="s">
        <v>434</v>
      </c>
      <c r="B145" s="37" t="s">
        <v>435</v>
      </c>
      <c r="C145" s="32" t="s">
        <v>436</v>
      </c>
      <c r="D145" s="32" t="s">
        <v>295</v>
      </c>
      <c r="E145" s="38">
        <v>160000</v>
      </c>
      <c r="F145" s="39">
        <v>154.44607999999999</v>
      </c>
      <c r="G145" s="40">
        <v>1.8356418902614198E-4</v>
      </c>
      <c r="H145" s="41">
        <v>7.6249999999999998E-2</v>
      </c>
    </row>
    <row r="146" spans="1:8" ht="12.95" customHeight="1">
      <c r="A146" s="36" t="s">
        <v>437</v>
      </c>
      <c r="B146" s="37" t="s">
        <v>438</v>
      </c>
      <c r="C146" s="32" t="s">
        <v>439</v>
      </c>
      <c r="D146" s="32" t="s">
        <v>262</v>
      </c>
      <c r="E146" s="38">
        <v>125000</v>
      </c>
      <c r="F146" s="39">
        <v>127.3045</v>
      </c>
      <c r="G146" s="40">
        <v>1.5130553848876249E-4</v>
      </c>
      <c r="H146" s="41">
        <v>7.4634999999999993E-2</v>
      </c>
    </row>
    <row r="147" spans="1:8" ht="12.95" customHeight="1">
      <c r="A147" s="19"/>
      <c r="B147" s="31" t="s">
        <v>249</v>
      </c>
      <c r="C147" s="32"/>
      <c r="D147" s="32"/>
      <c r="E147" s="32"/>
      <c r="F147" s="43">
        <v>160666.03964619999</v>
      </c>
      <c r="G147" s="44">
        <v>0.19095681335322126</v>
      </c>
      <c r="H147" s="45"/>
    </row>
    <row r="148" spans="1:8" ht="12.95" customHeight="1">
      <c r="A148" s="19"/>
      <c r="B148" s="46" t="s">
        <v>440</v>
      </c>
      <c r="C148" s="47"/>
      <c r="D148" s="47"/>
      <c r="E148" s="47"/>
      <c r="F148" s="48" t="s">
        <v>251</v>
      </c>
      <c r="G148" s="44" t="s">
        <v>251</v>
      </c>
      <c r="H148" s="45"/>
    </row>
    <row r="149" spans="1:8" ht="12.95" customHeight="1">
      <c r="A149" s="19"/>
      <c r="B149" s="46" t="s">
        <v>249</v>
      </c>
      <c r="C149" s="47"/>
      <c r="D149" s="47"/>
      <c r="E149" s="47"/>
      <c r="F149" s="48" t="s">
        <v>251</v>
      </c>
      <c r="G149" s="44" t="s">
        <v>251</v>
      </c>
      <c r="H149" s="45"/>
    </row>
    <row r="150" spans="1:8" ht="12.95" customHeight="1">
      <c r="A150" s="19"/>
      <c r="B150" s="46" t="s">
        <v>256</v>
      </c>
      <c r="C150" s="60"/>
      <c r="D150" s="47"/>
      <c r="E150" s="60"/>
      <c r="F150" s="43">
        <v>160666.03964619999</v>
      </c>
      <c r="G150" s="44">
        <v>0.19095681335322126</v>
      </c>
      <c r="H150" s="45"/>
    </row>
    <row r="151" spans="1:8" ht="12.95" customHeight="1">
      <c r="A151" s="19"/>
      <c r="B151" s="31" t="s">
        <v>441</v>
      </c>
      <c r="C151" s="32"/>
      <c r="D151" s="32"/>
      <c r="E151" s="32"/>
      <c r="F151" s="33"/>
      <c r="G151" s="34"/>
      <c r="H151" s="35"/>
    </row>
    <row r="152" spans="1:8" ht="12.95" customHeight="1">
      <c r="A152" s="19"/>
      <c r="B152" s="31" t="s">
        <v>442</v>
      </c>
      <c r="C152" s="32"/>
      <c r="D152" s="32"/>
      <c r="E152" s="32"/>
      <c r="F152" s="33"/>
      <c r="G152" s="34"/>
      <c r="H152" s="35"/>
    </row>
    <row r="153" spans="1:8" ht="12.95" customHeight="1">
      <c r="A153" s="36" t="s">
        <v>443</v>
      </c>
      <c r="B153" s="37" t="s">
        <v>444</v>
      </c>
      <c r="C153" s="32" t="s">
        <v>445</v>
      </c>
      <c r="D153" s="32" t="s">
        <v>446</v>
      </c>
      <c r="E153" s="38">
        <v>3300000</v>
      </c>
      <c r="F153" s="39">
        <v>3228.8850000000002</v>
      </c>
      <c r="G153" s="40">
        <v>3.8376348333585058E-3</v>
      </c>
      <c r="H153" s="41">
        <v>7.7299999999999994E-2</v>
      </c>
    </row>
    <row r="154" spans="1:8" ht="12.95" customHeight="1">
      <c r="A154" s="36" t="s">
        <v>447</v>
      </c>
      <c r="B154" s="37" t="s">
        <v>448</v>
      </c>
      <c r="C154" s="32" t="s">
        <v>449</v>
      </c>
      <c r="D154" s="32" t="s">
        <v>450</v>
      </c>
      <c r="E154" s="38">
        <v>2000000</v>
      </c>
      <c r="F154" s="39">
        <v>1870.93</v>
      </c>
      <c r="G154" s="40">
        <v>2.2236611519999721E-3</v>
      </c>
      <c r="H154" s="41">
        <v>7.8200000000000006E-2</v>
      </c>
    </row>
    <row r="155" spans="1:8" ht="12.95" customHeight="1">
      <c r="A155" s="36" t="s">
        <v>451</v>
      </c>
      <c r="B155" s="37" t="s">
        <v>452</v>
      </c>
      <c r="C155" s="32" t="s">
        <v>453</v>
      </c>
      <c r="D155" s="32" t="s">
        <v>450</v>
      </c>
      <c r="E155" s="38">
        <v>1500000</v>
      </c>
      <c r="F155" s="39">
        <v>1464.894</v>
      </c>
      <c r="G155" s="40">
        <v>1.7410741607638163E-3</v>
      </c>
      <c r="H155" s="41">
        <v>7.8100000000000003E-2</v>
      </c>
    </row>
    <row r="156" spans="1:8" ht="12.95" customHeight="1">
      <c r="A156" s="36" t="s">
        <v>454</v>
      </c>
      <c r="B156" s="37" t="s">
        <v>455</v>
      </c>
      <c r="C156" s="32" t="s">
        <v>456</v>
      </c>
      <c r="D156" s="32" t="s">
        <v>450</v>
      </c>
      <c r="E156" s="38">
        <v>1000000</v>
      </c>
      <c r="F156" s="39">
        <v>976.8</v>
      </c>
      <c r="G156" s="40">
        <v>1.1609585678104327E-3</v>
      </c>
      <c r="H156" s="41">
        <v>7.8100000000000003E-2</v>
      </c>
    </row>
    <row r="157" spans="1:8" ht="12.95" customHeight="1">
      <c r="A157" s="36" t="s">
        <v>457</v>
      </c>
      <c r="B157" s="37" t="s">
        <v>458</v>
      </c>
      <c r="C157" s="32" t="s">
        <v>459</v>
      </c>
      <c r="D157" s="32" t="s">
        <v>460</v>
      </c>
      <c r="E157" s="38">
        <v>1000000</v>
      </c>
      <c r="F157" s="39">
        <v>976.52300000000002</v>
      </c>
      <c r="G157" s="40">
        <v>1.1606293443017475E-3</v>
      </c>
      <c r="H157" s="41">
        <v>7.8350000000000003E-2</v>
      </c>
    </row>
    <row r="158" spans="1:8" ht="12.95" customHeight="1">
      <c r="A158" s="36" t="s">
        <v>461</v>
      </c>
      <c r="B158" s="37" t="s">
        <v>462</v>
      </c>
      <c r="C158" s="32" t="s">
        <v>463</v>
      </c>
      <c r="D158" s="32" t="s">
        <v>460</v>
      </c>
      <c r="E158" s="38">
        <v>1000000</v>
      </c>
      <c r="F158" s="39">
        <v>959.72500000000002</v>
      </c>
      <c r="G158" s="40">
        <v>1.1406643749916742E-3</v>
      </c>
      <c r="H158" s="41">
        <v>7.8149999999999997E-2</v>
      </c>
    </row>
    <row r="159" spans="1:8" ht="12.95" customHeight="1">
      <c r="A159" s="19"/>
      <c r="B159" s="31" t="s">
        <v>249</v>
      </c>
      <c r="C159" s="32"/>
      <c r="D159" s="32"/>
      <c r="E159" s="32"/>
      <c r="F159" s="43">
        <v>9477.7569999999996</v>
      </c>
      <c r="G159" s="44">
        <v>1.126462243322615E-2</v>
      </c>
      <c r="H159" s="45"/>
    </row>
    <row r="160" spans="1:8" ht="12.95" customHeight="1">
      <c r="A160" s="19"/>
      <c r="B160" s="31" t="s">
        <v>464</v>
      </c>
      <c r="C160" s="32"/>
      <c r="D160" s="32"/>
      <c r="E160" s="32"/>
      <c r="F160" s="33"/>
      <c r="G160" s="34"/>
      <c r="H160" s="35"/>
    </row>
    <row r="161" spans="1:8" ht="12.95" customHeight="1">
      <c r="A161" s="36" t="s">
        <v>465</v>
      </c>
      <c r="B161" s="37" t="s">
        <v>466</v>
      </c>
      <c r="C161" s="32" t="s">
        <v>467</v>
      </c>
      <c r="D161" s="32" t="s">
        <v>450</v>
      </c>
      <c r="E161" s="38">
        <v>6500000</v>
      </c>
      <c r="F161" s="39">
        <v>6424.2165000000005</v>
      </c>
      <c r="G161" s="40">
        <v>7.635390240729064E-3</v>
      </c>
      <c r="H161" s="41">
        <v>7.8285999999999994E-2</v>
      </c>
    </row>
    <row r="162" spans="1:8" ht="12.95" customHeight="1">
      <c r="A162" s="36" t="s">
        <v>468</v>
      </c>
      <c r="B162" s="37" t="s">
        <v>469</v>
      </c>
      <c r="C162" s="32" t="s">
        <v>470</v>
      </c>
      <c r="D162" s="32" t="s">
        <v>450</v>
      </c>
      <c r="E162" s="38">
        <v>4200000</v>
      </c>
      <c r="F162" s="39">
        <v>4140.4902000000002</v>
      </c>
      <c r="G162" s="40">
        <v>4.9211072610822392E-3</v>
      </c>
      <c r="H162" s="41">
        <v>9.715E-2</v>
      </c>
    </row>
    <row r="163" spans="1:8" ht="12.95" customHeight="1">
      <c r="A163" s="36" t="s">
        <v>471</v>
      </c>
      <c r="B163" s="37" t="s">
        <v>472</v>
      </c>
      <c r="C163" s="32" t="s">
        <v>473</v>
      </c>
      <c r="D163" s="32" t="s">
        <v>450</v>
      </c>
      <c r="E163" s="38">
        <v>3600000</v>
      </c>
      <c r="F163" s="39">
        <v>3590.5859999999998</v>
      </c>
      <c r="G163" s="40">
        <v>4.2675282352172298E-3</v>
      </c>
      <c r="H163" s="41">
        <v>7.9749E-2</v>
      </c>
    </row>
    <row r="164" spans="1:8" ht="12.95" customHeight="1">
      <c r="A164" s="36" t="s">
        <v>474</v>
      </c>
      <c r="B164" s="37" t="s">
        <v>475</v>
      </c>
      <c r="C164" s="32" t="s">
        <v>476</v>
      </c>
      <c r="D164" s="32" t="s">
        <v>450</v>
      </c>
      <c r="E164" s="38">
        <v>3500000</v>
      </c>
      <c r="F164" s="39">
        <v>3356.3004999999998</v>
      </c>
      <c r="G164" s="40">
        <v>3.9890722989572467E-3</v>
      </c>
      <c r="H164" s="41">
        <v>8.9300000000000004E-2</v>
      </c>
    </row>
    <row r="165" spans="1:8" ht="12.95" customHeight="1">
      <c r="A165" s="36" t="s">
        <v>477</v>
      </c>
      <c r="B165" s="37" t="s">
        <v>478</v>
      </c>
      <c r="C165" s="32" t="s">
        <v>479</v>
      </c>
      <c r="D165" s="32" t="s">
        <v>450</v>
      </c>
      <c r="E165" s="38">
        <v>2500000</v>
      </c>
      <c r="F165" s="39">
        <v>2496.5825</v>
      </c>
      <c r="G165" s="40">
        <v>2.9672694959260743E-3</v>
      </c>
      <c r="H165" s="41">
        <v>8.3304000000000003E-2</v>
      </c>
    </row>
    <row r="166" spans="1:8" ht="12.95" customHeight="1">
      <c r="A166" s="36" t="s">
        <v>480</v>
      </c>
      <c r="B166" s="37" t="s">
        <v>481</v>
      </c>
      <c r="C166" s="32" t="s">
        <v>482</v>
      </c>
      <c r="D166" s="32" t="s">
        <v>450</v>
      </c>
      <c r="E166" s="38">
        <v>1500000</v>
      </c>
      <c r="F166" s="39">
        <v>1475.595</v>
      </c>
      <c r="G166" s="40">
        <v>1.7537926472852531E-3</v>
      </c>
      <c r="H166" s="41">
        <v>9.01E-2</v>
      </c>
    </row>
    <row r="167" spans="1:8" ht="12.95" customHeight="1">
      <c r="A167" s="36" t="s">
        <v>483</v>
      </c>
      <c r="B167" s="37" t="s">
        <v>484</v>
      </c>
      <c r="C167" s="32" t="s">
        <v>485</v>
      </c>
      <c r="D167" s="32" t="s">
        <v>450</v>
      </c>
      <c r="E167" s="38">
        <v>1100000</v>
      </c>
      <c r="F167" s="39">
        <v>1095.4328</v>
      </c>
      <c r="G167" s="40">
        <v>1.3019575088253194E-3</v>
      </c>
      <c r="H167" s="41">
        <v>8.455E-2</v>
      </c>
    </row>
    <row r="168" spans="1:8" ht="12.95" customHeight="1">
      <c r="A168" s="19"/>
      <c r="B168" s="31" t="s">
        <v>249</v>
      </c>
      <c r="C168" s="32"/>
      <c r="D168" s="32"/>
      <c r="E168" s="32"/>
      <c r="F168" s="43">
        <v>22579.2035</v>
      </c>
      <c r="G168" s="44">
        <v>2.6836117688022427E-2</v>
      </c>
      <c r="H168" s="45"/>
    </row>
    <row r="169" spans="1:8" ht="12.95" customHeight="1">
      <c r="A169" s="19"/>
      <c r="B169" s="46" t="s">
        <v>256</v>
      </c>
      <c r="C169" s="60"/>
      <c r="D169" s="47"/>
      <c r="E169" s="60"/>
      <c r="F169" s="43">
        <f>F159+F168</f>
        <v>32056.960500000001</v>
      </c>
      <c r="G169" s="61">
        <f>G159+G168</f>
        <v>3.8100740121248575E-2</v>
      </c>
      <c r="H169" s="45"/>
    </row>
    <row r="170" spans="1:8" ht="12.95" customHeight="1">
      <c r="A170" s="19"/>
      <c r="B170" s="31" t="s">
        <v>486</v>
      </c>
      <c r="C170" s="32"/>
      <c r="D170" s="32"/>
      <c r="E170" s="32"/>
      <c r="F170" s="33"/>
      <c r="G170" s="34"/>
      <c r="H170" s="35"/>
    </row>
    <row r="171" spans="1:8" ht="12.95" customHeight="1">
      <c r="A171" s="36" t="s">
        <v>487</v>
      </c>
      <c r="B171" s="37" t="s">
        <v>488</v>
      </c>
      <c r="C171" s="32"/>
      <c r="D171" s="32" t="s">
        <v>255</v>
      </c>
      <c r="E171" s="38"/>
      <c r="F171" s="39">
        <v>26286.854480000002</v>
      </c>
      <c r="G171" s="40">
        <v>3.1242781459195387E-2</v>
      </c>
      <c r="H171" s="41"/>
    </row>
    <row r="172" spans="1:8" ht="12.95" customHeight="1">
      <c r="A172" s="19"/>
      <c r="B172" s="31" t="s">
        <v>249</v>
      </c>
      <c r="C172" s="32"/>
      <c r="D172" s="32"/>
      <c r="E172" s="32"/>
      <c r="F172" s="43">
        <v>26286.854480000002</v>
      </c>
      <c r="G172" s="44">
        <v>3.1242781459195387E-2</v>
      </c>
      <c r="H172" s="45"/>
    </row>
    <row r="173" spans="1:8" ht="12.95" customHeight="1">
      <c r="A173" s="19"/>
      <c r="B173" s="46" t="s">
        <v>440</v>
      </c>
      <c r="C173" s="47"/>
      <c r="D173" s="47"/>
      <c r="E173" s="47"/>
      <c r="F173" s="48" t="s">
        <v>251</v>
      </c>
      <c r="G173" s="44" t="s">
        <v>251</v>
      </c>
      <c r="H173" s="45"/>
    </row>
    <row r="174" spans="1:8" ht="12.95" customHeight="1">
      <c r="A174" s="19"/>
      <c r="B174" s="46" t="s">
        <v>249</v>
      </c>
      <c r="C174" s="47"/>
      <c r="D174" s="47"/>
      <c r="E174" s="47"/>
      <c r="F174" s="48" t="s">
        <v>251</v>
      </c>
      <c r="G174" s="44" t="s">
        <v>251</v>
      </c>
      <c r="H174" s="45"/>
    </row>
    <row r="175" spans="1:8" ht="12.95" customHeight="1">
      <c r="A175" s="19"/>
      <c r="B175" s="46" t="s">
        <v>256</v>
      </c>
      <c r="C175" s="60"/>
      <c r="D175" s="47"/>
      <c r="E175" s="60"/>
      <c r="F175" s="43">
        <v>26286.854480000002</v>
      </c>
      <c r="G175" s="44">
        <v>3.1242781459195387E-2</v>
      </c>
      <c r="H175" s="45"/>
    </row>
    <row r="176" spans="1:8" ht="12.95" customHeight="1">
      <c r="A176" s="19"/>
      <c r="B176" s="46" t="s">
        <v>489</v>
      </c>
      <c r="C176" s="32"/>
      <c r="D176" s="47"/>
      <c r="E176" s="32"/>
      <c r="F176" s="43">
        <v>3178.9502254889649</v>
      </c>
      <c r="G176" s="44">
        <v>3.7782857298570027E-3</v>
      </c>
      <c r="H176" s="45"/>
    </row>
    <row r="177" spans="1:8" ht="12.95" customHeight="1" thickBot="1">
      <c r="A177" s="19"/>
      <c r="B177" s="62" t="s">
        <v>490</v>
      </c>
      <c r="C177" s="63"/>
      <c r="D177" s="63"/>
      <c r="E177" s="63"/>
      <c r="F177" s="64">
        <f>+F86+F150+F169+F175+F176</f>
        <v>841373.69505118916</v>
      </c>
      <c r="G177" s="65">
        <f>+G86+G150+G169+G175+G176</f>
        <v>0.99999999999999989</v>
      </c>
      <c r="H177" s="66"/>
    </row>
    <row r="178" spans="1:8" ht="12.95" customHeight="1">
      <c r="A178" s="19"/>
      <c r="B178" s="23"/>
      <c r="C178" s="19"/>
      <c r="D178" s="19"/>
      <c r="E178" s="19"/>
      <c r="F178" s="21"/>
      <c r="G178" s="17"/>
      <c r="H178" s="19"/>
    </row>
    <row r="179" spans="1:8" ht="12.95" customHeight="1">
      <c r="A179" s="19"/>
      <c r="B179" s="20" t="s">
        <v>491</v>
      </c>
      <c r="C179" s="19"/>
      <c r="D179" s="19"/>
      <c r="E179" s="19"/>
      <c r="F179" s="21"/>
      <c r="G179" s="17"/>
      <c r="H179" s="19"/>
    </row>
    <row r="180" spans="1:8" ht="12.95" customHeight="1">
      <c r="A180" s="19"/>
      <c r="B180" s="20" t="s">
        <v>492</v>
      </c>
      <c r="C180" s="19"/>
      <c r="D180" s="19"/>
      <c r="E180" s="19"/>
      <c r="F180" s="21"/>
      <c r="G180" s="17"/>
      <c r="H180" s="19"/>
    </row>
    <row r="181" spans="1:8" ht="12.95" customHeight="1">
      <c r="A181" s="19"/>
      <c r="B181" s="20" t="s">
        <v>493</v>
      </c>
      <c r="C181" s="19"/>
      <c r="D181" s="19"/>
      <c r="E181" s="19"/>
      <c r="F181" s="21"/>
      <c r="G181" s="17"/>
      <c r="H181" s="19"/>
    </row>
    <row r="182" spans="1:8" ht="12.95" customHeight="1">
      <c r="A182" s="19"/>
      <c r="B182" s="20" t="s">
        <v>494</v>
      </c>
      <c r="C182" s="19"/>
      <c r="D182" s="19"/>
      <c r="E182" s="19"/>
      <c r="F182" s="21"/>
      <c r="G182" s="17"/>
      <c r="H182" s="19"/>
    </row>
    <row r="183" spans="1:8" ht="12.95" customHeight="1">
      <c r="A183" s="19"/>
      <c r="B183" s="20"/>
      <c r="C183" s="19"/>
      <c r="D183" s="19"/>
      <c r="E183" s="19"/>
      <c r="F183" s="21"/>
      <c r="G183" s="17"/>
      <c r="H183" s="19"/>
    </row>
    <row r="184" spans="1:8" ht="12.95" customHeight="1">
      <c r="A184" s="19"/>
      <c r="B184" s="67" t="s">
        <v>495</v>
      </c>
      <c r="F184"/>
      <c r="G184" s="17"/>
      <c r="H184" s="19"/>
    </row>
    <row r="185" spans="1:8">
      <c r="B185" s="68" t="s">
        <v>496</v>
      </c>
      <c r="C185" s="69"/>
      <c r="D185" s="69"/>
      <c r="E185" s="69"/>
      <c r="F185" s="69"/>
    </row>
    <row r="186" spans="1:8">
      <c r="B186" s="71" t="s">
        <v>497</v>
      </c>
      <c r="C186" s="71" t="s">
        <v>498</v>
      </c>
      <c r="D186" s="71" t="s">
        <v>499</v>
      </c>
      <c r="E186" s="71" t="s">
        <v>500</v>
      </c>
      <c r="F186" s="71" t="s">
        <v>501</v>
      </c>
    </row>
    <row r="187" spans="1:8">
      <c r="B187" s="71" t="s">
        <v>251</v>
      </c>
      <c r="C187" s="71"/>
      <c r="D187" s="71"/>
      <c r="E187" s="71"/>
      <c r="F187" s="71"/>
    </row>
    <row r="188" spans="1:8">
      <c r="B188" s="71"/>
      <c r="C188" s="71"/>
      <c r="D188" s="71"/>
      <c r="E188" s="71"/>
      <c r="F188" s="71"/>
    </row>
    <row r="189" spans="1:8">
      <c r="B189" s="71"/>
      <c r="C189" s="71"/>
      <c r="D189" s="72"/>
      <c r="E189" s="71"/>
      <c r="F189" s="72"/>
    </row>
    <row r="190" spans="1:8">
      <c r="B190" s="73" t="s">
        <v>502</v>
      </c>
      <c r="C190" s="74"/>
      <c r="D190" s="74"/>
      <c r="E190" s="75"/>
      <c r="F190" s="76"/>
    </row>
    <row r="191" spans="1:8">
      <c r="B191" s="77" t="s">
        <v>503</v>
      </c>
      <c r="C191" s="78"/>
      <c r="D191" s="78"/>
      <c r="E191" s="78"/>
      <c r="F191" s="79"/>
    </row>
    <row r="192" spans="1:8">
      <c r="B192" s="80"/>
      <c r="C192" s="69"/>
      <c r="D192" s="69"/>
      <c r="E192" s="69"/>
      <c r="F192" s="81"/>
    </row>
    <row r="193" spans="2:6">
      <c r="B193" s="80" t="s">
        <v>504</v>
      </c>
      <c r="C193" s="69"/>
      <c r="D193" s="69"/>
      <c r="E193" s="69"/>
      <c r="F193" s="81"/>
    </row>
    <row r="194" spans="2:6">
      <c r="B194" s="80" t="s">
        <v>505</v>
      </c>
      <c r="C194" s="69"/>
      <c r="D194" s="69"/>
      <c r="E194" s="69"/>
      <c r="F194" s="81"/>
    </row>
    <row r="195" spans="2:6">
      <c r="B195" s="80" t="s">
        <v>506</v>
      </c>
      <c r="C195" s="69"/>
      <c r="D195" s="69"/>
      <c r="E195" s="69"/>
      <c r="F195" s="81"/>
    </row>
    <row r="196" spans="2:6">
      <c r="B196" s="80" t="s">
        <v>507</v>
      </c>
      <c r="C196" s="69"/>
      <c r="D196" s="69"/>
      <c r="E196" s="69"/>
      <c r="F196" s="81"/>
    </row>
    <row r="197" spans="2:6">
      <c r="B197" s="82" t="s">
        <v>508</v>
      </c>
      <c r="C197" s="83"/>
      <c r="D197" s="83"/>
      <c r="E197" s="83"/>
      <c r="F197" s="84"/>
    </row>
    <row r="198" spans="2:6">
      <c r="B198" s="69"/>
      <c r="C198" s="69"/>
      <c r="D198" s="69"/>
      <c r="E198" s="69"/>
      <c r="F198" s="69"/>
    </row>
    <row r="199" spans="2:6">
      <c r="B199" s="68" t="s">
        <v>509</v>
      </c>
      <c r="C199" s="69"/>
      <c r="D199" s="69"/>
      <c r="E199" s="69"/>
      <c r="F199" s="69"/>
    </row>
    <row r="200" spans="2:6">
      <c r="B200" s="71" t="s">
        <v>497</v>
      </c>
      <c r="C200" s="71" t="s">
        <v>498</v>
      </c>
      <c r="D200" s="71" t="s">
        <v>510</v>
      </c>
      <c r="E200" s="71" t="s">
        <v>511</v>
      </c>
      <c r="F200" s="71" t="s">
        <v>512</v>
      </c>
    </row>
    <row r="201" spans="2:6">
      <c r="B201" s="71"/>
      <c r="C201" s="71"/>
      <c r="D201" s="71"/>
      <c r="E201" s="71"/>
      <c r="F201" s="71"/>
    </row>
    <row r="202" spans="2:6">
      <c r="B202" s="71" t="s">
        <v>243</v>
      </c>
      <c r="C202" s="71" t="s">
        <v>513</v>
      </c>
      <c r="D202" s="72">
        <v>713.17719999999997</v>
      </c>
      <c r="E202" s="71">
        <v>714.9</v>
      </c>
      <c r="F202" s="72">
        <v>494.58501120000005</v>
      </c>
    </row>
    <row r="203" spans="2:6">
      <c r="B203" s="85"/>
      <c r="C203" s="86"/>
      <c r="D203" s="87"/>
      <c r="E203" s="86"/>
      <c r="F203" s="88"/>
    </row>
    <row r="204" spans="2:6">
      <c r="B204" s="85" t="s">
        <v>514</v>
      </c>
      <c r="C204" s="86"/>
      <c r="D204" s="86"/>
      <c r="E204" s="86"/>
      <c r="F204" s="76"/>
    </row>
    <row r="205" spans="2:6">
      <c r="B205" s="77" t="s">
        <v>515</v>
      </c>
      <c r="C205" s="78"/>
      <c r="D205" s="78"/>
      <c r="E205" s="78"/>
      <c r="F205" s="79"/>
    </row>
    <row r="206" spans="2:6">
      <c r="B206" s="80"/>
      <c r="C206" s="69"/>
      <c r="D206" s="69"/>
      <c r="E206" s="69"/>
      <c r="F206" s="81"/>
    </row>
    <row r="207" spans="2:6">
      <c r="B207" s="80" t="s">
        <v>516</v>
      </c>
      <c r="C207" s="69"/>
      <c r="D207" s="69"/>
      <c r="E207" s="69"/>
      <c r="F207" s="81"/>
    </row>
    <row r="208" spans="2:6">
      <c r="B208" s="80" t="s">
        <v>517</v>
      </c>
      <c r="C208" s="69"/>
      <c r="D208" s="69"/>
      <c r="E208" s="69"/>
      <c r="F208" s="81"/>
    </row>
    <row r="209" spans="2:6">
      <c r="B209" s="80" t="s">
        <v>518</v>
      </c>
      <c r="C209" s="69"/>
      <c r="D209" s="69"/>
      <c r="E209" s="69"/>
      <c r="F209" s="81"/>
    </row>
    <row r="210" spans="2:6">
      <c r="B210" s="80" t="s">
        <v>519</v>
      </c>
      <c r="C210" s="69"/>
      <c r="D210" s="69"/>
      <c r="E210" s="69"/>
      <c r="F210" s="81"/>
    </row>
    <row r="211" spans="2:6">
      <c r="B211" s="82" t="s">
        <v>520</v>
      </c>
      <c r="C211" s="83"/>
      <c r="D211" s="83"/>
      <c r="E211" s="83"/>
      <c r="F211" s="84"/>
    </row>
    <row r="212" spans="2:6">
      <c r="B212" s="89"/>
      <c r="C212" s="69"/>
      <c r="D212" s="69"/>
      <c r="E212" s="69"/>
      <c r="F212" s="69"/>
    </row>
    <row r="213" spans="2:6">
      <c r="B213" s="68" t="s">
        <v>521</v>
      </c>
      <c r="C213" s="68"/>
      <c r="D213" s="68"/>
      <c r="E213" s="68"/>
      <c r="F213" s="68"/>
    </row>
    <row r="214" spans="2:6">
      <c r="B214" s="90" t="s">
        <v>497</v>
      </c>
      <c r="C214" s="90" t="s">
        <v>522</v>
      </c>
      <c r="D214" s="90" t="s">
        <v>523</v>
      </c>
      <c r="E214" s="90" t="s">
        <v>524</v>
      </c>
      <c r="F214" s="69"/>
    </row>
    <row r="215" spans="2:6">
      <c r="B215" s="71" t="s">
        <v>251</v>
      </c>
      <c r="C215" s="71"/>
      <c r="D215" s="71"/>
      <c r="E215" s="71"/>
      <c r="F215" s="69"/>
    </row>
    <row r="216" spans="2:6">
      <c r="B216" s="91" t="s">
        <v>525</v>
      </c>
      <c r="C216" s="91"/>
      <c r="D216" s="91"/>
      <c r="E216" s="91"/>
      <c r="F216" s="69"/>
    </row>
    <row r="217" spans="2:6">
      <c r="B217" s="92" t="s">
        <v>526</v>
      </c>
      <c r="C217" s="93"/>
      <c r="D217" s="93"/>
      <c r="E217" s="94"/>
      <c r="F217" s="69"/>
    </row>
    <row r="218" spans="2:6">
      <c r="B218" s="95"/>
      <c r="C218" s="96"/>
      <c r="D218" s="96"/>
      <c r="E218" s="97"/>
      <c r="F218" s="69"/>
    </row>
    <row r="219" spans="2:6">
      <c r="B219" s="95"/>
      <c r="C219" s="96"/>
      <c r="D219" s="96"/>
      <c r="E219" s="97"/>
      <c r="F219" s="69"/>
    </row>
    <row r="220" spans="2:6">
      <c r="B220" s="95"/>
      <c r="C220" s="96"/>
      <c r="D220" s="96"/>
      <c r="E220" s="97"/>
      <c r="F220" s="69"/>
    </row>
    <row r="221" spans="2:6">
      <c r="B221" s="95"/>
      <c r="C221" s="96"/>
      <c r="D221" s="96"/>
      <c r="E221" s="97"/>
      <c r="F221" s="69"/>
    </row>
    <row r="222" spans="2:6">
      <c r="B222" s="95"/>
      <c r="C222" s="96"/>
      <c r="D222" s="96"/>
      <c r="E222" s="97"/>
      <c r="F222" s="69"/>
    </row>
    <row r="223" spans="2:6">
      <c r="B223" s="98"/>
      <c r="C223" s="99"/>
      <c r="D223" s="99"/>
      <c r="E223" s="100"/>
      <c r="F223" s="69"/>
    </row>
    <row r="224" spans="2:6">
      <c r="B224" s="101"/>
      <c r="C224" s="101"/>
      <c r="D224" s="101"/>
      <c r="E224" s="101"/>
      <c r="F224" s="69"/>
    </row>
    <row r="225" spans="2:6">
      <c r="B225" s="68" t="s">
        <v>527</v>
      </c>
      <c r="C225" s="68"/>
      <c r="D225" s="68"/>
      <c r="E225" s="68"/>
      <c r="F225" s="68"/>
    </row>
    <row r="226" spans="2:6">
      <c r="B226" s="90" t="s">
        <v>497</v>
      </c>
      <c r="C226" s="90" t="s">
        <v>528</v>
      </c>
      <c r="D226" s="90" t="s">
        <v>529</v>
      </c>
      <c r="E226" s="90" t="s">
        <v>523</v>
      </c>
      <c r="F226" s="90" t="s">
        <v>530</v>
      </c>
    </row>
    <row r="227" spans="2:6">
      <c r="B227" s="71" t="s">
        <v>251</v>
      </c>
      <c r="C227" s="71"/>
      <c r="D227" s="71"/>
      <c r="E227" s="71"/>
      <c r="F227" s="71"/>
    </row>
    <row r="228" spans="2:6">
      <c r="B228" s="71"/>
      <c r="C228" s="71"/>
      <c r="D228" s="71"/>
      <c r="E228" s="71"/>
      <c r="F228" s="71"/>
    </row>
    <row r="229" spans="2:6">
      <c r="B229" s="91" t="s">
        <v>531</v>
      </c>
      <c r="C229" s="91"/>
      <c r="D229" s="91"/>
      <c r="E229" s="91"/>
      <c r="F229" s="71"/>
    </row>
    <row r="230" spans="2:6">
      <c r="B230" s="102" t="s">
        <v>532</v>
      </c>
      <c r="C230" s="103"/>
      <c r="D230" s="103"/>
      <c r="E230" s="103"/>
      <c r="F230" s="91"/>
    </row>
    <row r="231" spans="2:6">
      <c r="B231" s="103"/>
      <c r="C231" s="103"/>
      <c r="D231" s="103"/>
      <c r="E231" s="103"/>
      <c r="F231" s="91"/>
    </row>
    <row r="232" spans="2:6">
      <c r="B232" s="103"/>
      <c r="C232" s="103"/>
      <c r="D232" s="103"/>
      <c r="E232" s="103"/>
      <c r="F232" s="91"/>
    </row>
    <row r="233" spans="2:6">
      <c r="B233" s="103"/>
      <c r="C233" s="103"/>
      <c r="D233" s="103"/>
      <c r="E233" s="103"/>
      <c r="F233" s="91"/>
    </row>
    <row r="234" spans="2:6">
      <c r="B234" s="103"/>
      <c r="C234" s="103"/>
      <c r="D234" s="103"/>
      <c r="E234" s="103"/>
      <c r="F234" s="91"/>
    </row>
    <row r="235" spans="2:6">
      <c r="B235" s="103"/>
      <c r="C235" s="103"/>
      <c r="D235" s="103"/>
      <c r="E235" s="103"/>
      <c r="F235" s="91"/>
    </row>
    <row r="236" spans="2:6">
      <c r="B236" s="103"/>
      <c r="C236" s="103"/>
      <c r="D236" s="103"/>
      <c r="E236" s="103"/>
      <c r="F236" s="91"/>
    </row>
    <row r="237" spans="2:6">
      <c r="B237" s="69"/>
      <c r="C237" s="69"/>
      <c r="D237" s="69"/>
      <c r="E237" s="69"/>
      <c r="F237" s="69"/>
    </row>
    <row r="238" spans="2:6">
      <c r="B238" s="68" t="s">
        <v>533</v>
      </c>
      <c r="C238" s="68"/>
      <c r="D238" s="68"/>
      <c r="E238" s="68"/>
      <c r="F238" s="68"/>
    </row>
    <row r="239" spans="2:6">
      <c r="F239"/>
    </row>
    <row r="240" spans="2:6">
      <c r="F240"/>
    </row>
    <row r="241" spans="2:7" ht="15.75" thickBot="1">
      <c r="F241"/>
    </row>
    <row r="242" spans="2:7" ht="15.75" thickBot="1">
      <c r="B242" s="104" t="s">
        <v>534</v>
      </c>
      <c r="C242" s="105">
        <v>3.68</v>
      </c>
      <c r="D242" s="5"/>
      <c r="E242" s="5"/>
      <c r="F242" s="16"/>
      <c r="G242" s="17"/>
    </row>
    <row r="243" spans="2:7" ht="15.75" thickBot="1">
      <c r="B243" s="104" t="s">
        <v>535</v>
      </c>
      <c r="C243" s="106">
        <v>7.7899999999999997E-2</v>
      </c>
    </row>
    <row r="244" spans="2:7" ht="16.5" thickBot="1">
      <c r="B244" s="104" t="s">
        <v>536</v>
      </c>
      <c r="C244" s="107">
        <v>2.61</v>
      </c>
      <c r="E244" s="108"/>
    </row>
    <row r="245" spans="2:7" ht="15.75" thickBot="1">
      <c r="B245" s="104" t="s">
        <v>537</v>
      </c>
      <c r="C245" s="109">
        <v>2.74</v>
      </c>
      <c r="E245" s="110"/>
    </row>
    <row r="246" spans="2:7" ht="15.75" thickBot="1">
      <c r="B246" s="111" t="s">
        <v>538</v>
      </c>
      <c r="C246" s="112" t="s">
        <v>539</v>
      </c>
    </row>
  </sheetData>
  <mergeCells count="9">
    <mergeCell ref="B217:E223"/>
    <mergeCell ref="B229:E229"/>
    <mergeCell ref="B230:F236"/>
    <mergeCell ref="B1:H2"/>
    <mergeCell ref="B3:H4"/>
    <mergeCell ref="B190:E190"/>
    <mergeCell ref="B191:F191"/>
    <mergeCell ref="B205:F205"/>
    <mergeCell ref="B216:E216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MAIPF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2024-03-07T10:06:56Z</dcterms:created>
  <dcterms:modified xsi:type="dcterms:W3CDTF">2024-03-07T10:06:57Z</dcterms:modified>
</cp:coreProperties>
</file>