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AIPF" sheetId="1" r:id="rId1"/>
  </sheets>
  <definedNames>
    <definedName name="_xlnm._FilterDatabase" localSheetId="0" hidden="1">MAIPF!$B$10:$H$174</definedName>
    <definedName name="JR_PAGE_ANCHOR_0_24">MAIPF!$A$5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6" i="1" l="1"/>
  <c r="F166" i="1"/>
  <c r="F172" i="1"/>
  <c r="G172" i="1"/>
  <c r="F169" i="1"/>
  <c r="G169" i="1"/>
  <c r="G162" i="1"/>
  <c r="F162" i="1"/>
  <c r="G152" i="1" l="1"/>
  <c r="F152" i="1"/>
  <c r="G140" i="1"/>
  <c r="G143" i="1" s="1"/>
  <c r="F140" i="1"/>
  <c r="F143" i="1" s="1"/>
  <c r="G77" i="1"/>
  <c r="G80" i="1" s="1"/>
  <c r="F77" i="1"/>
  <c r="F80" i="1" s="1"/>
  <c r="F163" i="1" l="1"/>
  <c r="F174" i="1" s="1"/>
  <c r="G163" i="1"/>
  <c r="G174" i="1" s="1"/>
</calcChain>
</file>

<file path=xl/sharedStrings.xml><?xml version="1.0" encoding="utf-8"?>
<sst xmlns="http://schemas.openxmlformats.org/spreadsheetml/2006/main" count="615" uniqueCount="495">
  <si>
    <t>Home</t>
  </si>
  <si>
    <t>(Aggressive Hybrid Fund - An open ended hybrid scheme Investing predominantly in equity and equity related instruments)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</si>
  <si>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</si>
  <si>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</si>
  <si>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</si>
  <si>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</si>
  <si>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</si>
  <si>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</si>
  <si>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</si>
  <si>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</si>
  <si>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</si>
  <si>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</si>
  <si>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</si>
  <si>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</si>
  <si>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</si>
  <si>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</si>
  <si>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</si>
  <si>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</si>
  <si>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</si>
  <si>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</si>
  <si>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</si>
  <si>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</si>
  <si>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</si>
  <si>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</si>
  <si>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</si>
  <si>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</si>
  <si>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</si>
  <si>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</si>
  <si>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</si>
  <si>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</si>
  <si>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</si>
  <si>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</si>
  <si>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</si>
  <si>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</si>
  <si>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</si>
  <si>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</si>
  <si>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</si>
  <si>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</si>
  <si>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</si>
  <si>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</si>
  <si>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</si>
  <si>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</si>
  <si>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</si>
  <si>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</si>
  <si>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</si>
  <si>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</si>
  <si>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</si>
  <si>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</si>
  <si>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</si>
  <si>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</si>
  <si>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</si>
  <si>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</si>
  <si>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</si>
  <si>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</si>
  <si>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Automobiles</t>
  </si>
  <si>
    <t>SPIL03</t>
  </si>
  <si>
    <t>Sun Pharmaceutical Industries Limited</t>
  </si>
  <si>
    <t>INE044A01036</t>
  </si>
  <si>
    <t>Pharmaceuticals &amp; Biotechnology</t>
  </si>
  <si>
    <t>CRAF01</t>
  </si>
  <si>
    <t>Craftsman Automation Limited</t>
  </si>
  <si>
    <t>INE00LO01017</t>
  </si>
  <si>
    <t>Auto Components</t>
  </si>
  <si>
    <t>AUPH03</t>
  </si>
  <si>
    <t>Aurobindo Pharma Limited</t>
  </si>
  <si>
    <t>INE406A01037</t>
  </si>
  <si>
    <t>TISC03</t>
  </si>
  <si>
    <t>Tata Steel Limited</t>
  </si>
  <si>
    <t>INE081A01020</t>
  </si>
  <si>
    <t>Ferrous Metals</t>
  </si>
  <si>
    <t>SHTR01</t>
  </si>
  <si>
    <t>Shriram Finance Limited</t>
  </si>
  <si>
    <t>INE721A01013</t>
  </si>
  <si>
    <t>Finance</t>
  </si>
  <si>
    <t>MAUD01</t>
  </si>
  <si>
    <t>Maruti Suzuki India Limited</t>
  </si>
  <si>
    <t>INE585B01010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</si>
  <si>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</si>
  <si>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</si>
  <si>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</si>
  <si>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</si>
  <si>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</si>
  <si>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</si>
  <si>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</si>
  <si>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</si>
  <si>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KIMS01</t>
  </si>
  <si>
    <t>Krishna Institute Of Medical Sciences Limited</t>
  </si>
  <si>
    <t>INE967H01017</t>
  </si>
  <si>
    <t>Healthcare Services</t>
  </si>
  <si>
    <t>GSPL01</t>
  </si>
  <si>
    <t>Gujarat State Petronet Limited</t>
  </si>
  <si>
    <t>INE246F01010</t>
  </si>
  <si>
    <t>Gas</t>
  </si>
  <si>
    <t>HAIL03</t>
  </si>
  <si>
    <t>Havells India Limited</t>
  </si>
  <si>
    <t>INE176B01034</t>
  </si>
  <si>
    <t>Consumer Durables</t>
  </si>
  <si>
    <t>SSNL02</t>
  </si>
  <si>
    <t>Delhivery Limited</t>
  </si>
  <si>
    <t>INE148O01028</t>
  </si>
  <si>
    <t>Transport Services</t>
  </si>
  <si>
    <t>HLEL02</t>
  </si>
  <si>
    <t>Hindustan Unilever Limited</t>
  </si>
  <si>
    <t>INE030A01027</t>
  </si>
  <si>
    <t>PPFL01</t>
  </si>
  <si>
    <t>INE689W01016</t>
  </si>
  <si>
    <t>Industrial Products</t>
  </si>
  <si>
    <t>MOSU03</t>
  </si>
  <si>
    <t>Samvardhana Motherson International Limited</t>
  </si>
  <si>
    <t>INE775A01035</t>
  </si>
  <si>
    <t>DABU02</t>
  </si>
  <si>
    <t>Dabur India Limited</t>
  </si>
  <si>
    <t>INE016A01026</t>
  </si>
  <si>
    <t>Personal Products</t>
  </si>
  <si>
    <t>SLIF01</t>
  </si>
  <si>
    <t>SBI Life Insurance Company Limited</t>
  </si>
  <si>
    <t>INE123W01016</t>
  </si>
  <si>
    <t>Insurance</t>
  </si>
  <si>
    <t>ILOM01</t>
  </si>
  <si>
    <t>IIBL01</t>
  </si>
  <si>
    <t>IndusInd Bank Limited</t>
  </si>
  <si>
    <t>INE095A01012</t>
  </si>
  <si>
    <t>KACE03</t>
  </si>
  <si>
    <t>Kajaria Ceramics Limited</t>
  </si>
  <si>
    <t>INE217B01036</t>
  </si>
  <si>
    <t>KOMA02</t>
  </si>
  <si>
    <t>Kotak Mahindra Bank Limited</t>
  </si>
  <si>
    <t>INE237A01028</t>
  </si>
  <si>
    <t>ZMPL01</t>
  </si>
  <si>
    <t>Zomato Limited</t>
  </si>
  <si>
    <t>INE758T01015</t>
  </si>
  <si>
    <t>Retailing</t>
  </si>
  <si>
    <t>HCLT02</t>
  </si>
  <si>
    <t>HCL Technologies Limited</t>
  </si>
  <si>
    <t>INE860A01027</t>
  </si>
  <si>
    <t>SAEL02</t>
  </si>
  <si>
    <t>TVS Motor Company Limited</t>
  </si>
  <si>
    <t>INE494B01023</t>
  </si>
  <si>
    <t>MAXI02</t>
  </si>
  <si>
    <t>Max Financial Services Limited</t>
  </si>
  <si>
    <t>INE180A01020</t>
  </si>
  <si>
    <t>ULCC01</t>
  </si>
  <si>
    <t>UltraTech Cement Limited</t>
  </si>
  <si>
    <t>INE481G01011</t>
  </si>
  <si>
    <t>VORL03</t>
  </si>
  <si>
    <t>Vinati Organics Limited</t>
  </si>
  <si>
    <t>INE410B01037</t>
  </si>
  <si>
    <t>Chemicals &amp; Petrochemicals</t>
  </si>
  <si>
    <t>INAV01</t>
  </si>
  <si>
    <t>InterGlobe Aviation Limited</t>
  </si>
  <si>
    <t>INE646L01027</t>
  </si>
  <si>
    <t>GPIL03</t>
  </si>
  <si>
    <t>Greenply Industries Limited</t>
  </si>
  <si>
    <t>INE461C01038</t>
  </si>
  <si>
    <t>LICH02</t>
  </si>
  <si>
    <t>LIC Housing Finance Limited</t>
  </si>
  <si>
    <t>INE115A01026</t>
  </si>
  <si>
    <t>BFLS01</t>
  </si>
  <si>
    <t>MphasiS Limited</t>
  </si>
  <si>
    <t>INE356A01018</t>
  </si>
  <si>
    <t>TWAT02</t>
  </si>
  <si>
    <t>Titan Company Limited</t>
  </si>
  <si>
    <t>INE280A01028</t>
  </si>
  <si>
    <t>TINV04</t>
  </si>
  <si>
    <t>Cholamandalam Financial Holdings Limited</t>
  </si>
  <si>
    <t>INE149A01033</t>
  </si>
  <si>
    <t>WESD02</t>
  </si>
  <si>
    <t>Westlife Foodworld Limited</t>
  </si>
  <si>
    <t>INE274F01020</t>
  </si>
  <si>
    <t>Leisure Services</t>
  </si>
  <si>
    <t>BFSL02</t>
  </si>
  <si>
    <t>Bajaj Finserv Limited</t>
  </si>
  <si>
    <t>INE918I01026</t>
  </si>
  <si>
    <t>CGCE01</t>
  </si>
  <si>
    <t>Crompton Greaves Consumer Electricals Limited</t>
  </si>
  <si>
    <t>INE299U01018</t>
  </si>
  <si>
    <t>ELMA01</t>
  </si>
  <si>
    <t>Electronics Mart India Limited</t>
  </si>
  <si>
    <t>INE02YR01019</t>
  </si>
  <si>
    <t>TDPS02</t>
  </si>
  <si>
    <t>TD Power Systems Limited</t>
  </si>
  <si>
    <t>INE419M01027</t>
  </si>
  <si>
    <t>Electrical Equipment</t>
  </si>
  <si>
    <t>HINI02</t>
  </si>
  <si>
    <t>Hindalco Industries Limited</t>
  </si>
  <si>
    <t>INE038A01020</t>
  </si>
  <si>
    <t>Non - Ferrous Metals</t>
  </si>
  <si>
    <t>TOPH02</t>
  </si>
  <si>
    <t>Torrent Pharmaceuticals Limited</t>
  </si>
  <si>
    <t>INE685A01028</t>
  </si>
  <si>
    <t>GRFL02</t>
  </si>
  <si>
    <t>Gateway Distriparks Limited</t>
  </si>
  <si>
    <t>INE079J01017</t>
  </si>
  <si>
    <t>FEBA02</t>
  </si>
  <si>
    <t>INE171A01029</t>
  </si>
  <si>
    <t>TATC01</t>
  </si>
  <si>
    <t>Tatva Chintan Pharma Chem Limited</t>
  </si>
  <si>
    <t>INE0GK401011</t>
  </si>
  <si>
    <t>PAGE01</t>
  </si>
  <si>
    <t>Page Industries Limited</t>
  </si>
  <si>
    <t>INE761H01022</t>
  </si>
  <si>
    <t>Textiles &amp; Apparels</t>
  </si>
  <si>
    <t>SONB01</t>
  </si>
  <si>
    <t>Sona BLW Precision Forgings Limited</t>
  </si>
  <si>
    <t>INE073K01018</t>
  </si>
  <si>
    <t>SBCP01</t>
  </si>
  <si>
    <t>SBI Cards and Payment Services Limited</t>
  </si>
  <si>
    <t>INE018E01016</t>
  </si>
  <si>
    <t>NEST01</t>
  </si>
  <si>
    <t>Nestle India Limited</t>
  </si>
  <si>
    <t>INE239A01016</t>
  </si>
  <si>
    <t>Food Products</t>
  </si>
  <si>
    <t>BIOC01</t>
  </si>
  <si>
    <t>GFPL01</t>
  </si>
  <si>
    <t>Go Fashion (India) Limited</t>
  </si>
  <si>
    <t>INE0BJS01011</t>
  </si>
  <si>
    <t>IEEL02</t>
  </si>
  <si>
    <t>ONCO02</t>
  </si>
  <si>
    <t>One 97 Communications Limited</t>
  </si>
  <si>
    <t>INE982J01020</t>
  </si>
  <si>
    <t>Financial Technology (Fintech)</t>
  </si>
  <si>
    <t>YATR01</t>
  </si>
  <si>
    <t>Yatra Online Limited</t>
  </si>
  <si>
    <t>INE0JR601024</t>
  </si>
  <si>
    <t>EMAM02</t>
  </si>
  <si>
    <t>Emami Limited</t>
  </si>
  <si>
    <t>INE548C01032</t>
  </si>
  <si>
    <t>AVAT01</t>
  </si>
  <si>
    <t>Avalon Technologies Limited</t>
  </si>
  <si>
    <t>INE0LCL01028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</si>
  <si>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</si>
  <si>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</si>
  <si>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</si>
  <si>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</si>
  <si>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</si>
  <si>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</si>
  <si>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GOI4976</t>
  </si>
  <si>
    <t>IN0020220151</t>
  </si>
  <si>
    <t>SOVEREIGN</t>
  </si>
  <si>
    <t>GOI4485</t>
  </si>
  <si>
    <t>IN0020220037</t>
  </si>
  <si>
    <t>GOI4584</t>
  </si>
  <si>
    <t>IN0020220060</t>
  </si>
  <si>
    <t>RUPL50</t>
  </si>
  <si>
    <t>INE936D07182</t>
  </si>
  <si>
    <t>CRISIL AAA</t>
  </si>
  <si>
    <t>HHFL186</t>
  </si>
  <si>
    <t>INE957N07724</t>
  </si>
  <si>
    <t>ICRA AA+</t>
  </si>
  <si>
    <t>GOI5077</t>
  </si>
  <si>
    <t>IN0020230010</t>
  </si>
  <si>
    <t>SHTR492</t>
  </si>
  <si>
    <t>INE721A07RJ5</t>
  </si>
  <si>
    <t>CRISIL AA+</t>
  </si>
  <si>
    <t>LARS427</t>
  </si>
  <si>
    <t>MUFL392</t>
  </si>
  <si>
    <t>INE414G07HI7</t>
  </si>
  <si>
    <t>MUFL355</t>
  </si>
  <si>
    <t>INE414G07FT8</t>
  </si>
  <si>
    <t>SIDB468</t>
  </si>
  <si>
    <t>ICRA AAA</t>
  </si>
  <si>
    <t>NBAR680</t>
  </si>
  <si>
    <t>INE261F08DQ4</t>
  </si>
  <si>
    <t>POWF491</t>
  </si>
  <si>
    <t>INE134E08LQ9</t>
  </si>
  <si>
    <t>GOI4900</t>
  </si>
  <si>
    <t>IN0020220102</t>
  </si>
  <si>
    <t>GODP225</t>
  </si>
  <si>
    <t>INE484J08055</t>
  </si>
  <si>
    <t>CHOL941</t>
  </si>
  <si>
    <t>INE121A07PN4</t>
  </si>
  <si>
    <t>RECL421</t>
  </si>
  <si>
    <t>INE020B08DV3</t>
  </si>
  <si>
    <t>MUFL405</t>
  </si>
  <si>
    <t>INE414G07IG9</t>
  </si>
  <si>
    <t>MOFV60</t>
  </si>
  <si>
    <t>INE01WN07094</t>
  </si>
  <si>
    <t>CRISIL AA</t>
  </si>
  <si>
    <t>LARS419</t>
  </si>
  <si>
    <t>INE018A08BE9</t>
  </si>
  <si>
    <t>IFMC88</t>
  </si>
  <si>
    <t>INE850M07459</t>
  </si>
  <si>
    <t>ICRA AA-</t>
  </si>
  <si>
    <t>RECL429</t>
  </si>
  <si>
    <t>INE020B08EF4</t>
  </si>
  <si>
    <t>EOPR28</t>
  </si>
  <si>
    <t>INE041007100</t>
  </si>
  <si>
    <t>GOI4913</t>
  </si>
  <si>
    <t>7.49% MEGHALAYA SDL (MD 21/12/2027)</t>
  </si>
  <si>
    <t>IN2420220070</t>
  </si>
  <si>
    <t>SIDB465</t>
  </si>
  <si>
    <t>INE556F08JY8</t>
  </si>
  <si>
    <t>RECL430</t>
  </si>
  <si>
    <t>INE020B08EC1</t>
  </si>
  <si>
    <t>BHFL96</t>
  </si>
  <si>
    <t>INE377Y07375</t>
  </si>
  <si>
    <t>BAFL826</t>
  </si>
  <si>
    <t>INE296A07SF4</t>
  </si>
  <si>
    <t>ONGC38</t>
  </si>
  <si>
    <t>INE213A08040</t>
  </si>
  <si>
    <t>LICH635</t>
  </si>
  <si>
    <t>INE115A07QB9</t>
  </si>
  <si>
    <t>PGCI457</t>
  </si>
  <si>
    <t>INE752E08700</t>
  </si>
  <si>
    <t>RECL387</t>
  </si>
  <si>
    <t>INE020B08CK8</t>
  </si>
  <si>
    <t>NBAR646</t>
  </si>
  <si>
    <t>INE261F08DI1</t>
  </si>
  <si>
    <t>BHAT52</t>
  </si>
  <si>
    <t>INE403D08116</t>
  </si>
  <si>
    <t>NBAR699</t>
  </si>
  <si>
    <t>INE261F08DW2</t>
  </si>
  <si>
    <t>GOI2490</t>
  </si>
  <si>
    <t>6.99% Telangana SDL (MD 10/06/2028)</t>
  </si>
  <si>
    <t>IN4520200093</t>
  </si>
  <si>
    <t>GOI1739</t>
  </si>
  <si>
    <t>7.74% Tamilnadu UDAY SDL (MD 22/02/2024)</t>
  </si>
  <si>
    <t>IN3120161010</t>
  </si>
  <si>
    <t>GOI4549</t>
  </si>
  <si>
    <t>7.61% Rajasthan SDL (MD 29/03/2027)</t>
  </si>
  <si>
    <t>IN2920160446</t>
  </si>
  <si>
    <t>ICHF205</t>
  </si>
  <si>
    <t>INE071G07561</t>
  </si>
  <si>
    <t>RECL331</t>
  </si>
  <si>
    <t>INE020B08AQ9</t>
  </si>
  <si>
    <t>NHBA299</t>
  </si>
  <si>
    <t>BHFL84</t>
  </si>
  <si>
    <t>SIDB445</t>
  </si>
  <si>
    <t>INE556F08JS0</t>
  </si>
  <si>
    <t>CARE AAA</t>
  </si>
  <si>
    <t>OPAL34</t>
  </si>
  <si>
    <t>POWF486</t>
  </si>
  <si>
    <t>INE134E08LO4</t>
  </si>
  <si>
    <t>LICH574</t>
  </si>
  <si>
    <t>LICH597</t>
  </si>
  <si>
    <t>INE115A07OY6</t>
  </si>
  <si>
    <t>POWF483</t>
  </si>
  <si>
    <t>INE134E08LK2</t>
  </si>
  <si>
    <t>LICH585</t>
  </si>
  <si>
    <t>LICH334</t>
  </si>
  <si>
    <t>INE115A07JS8</t>
  </si>
  <si>
    <t>LICH328</t>
  </si>
  <si>
    <t>INE115A07JM1</t>
  </si>
  <si>
    <t>NTPC108</t>
  </si>
  <si>
    <t>GOI1893</t>
  </si>
  <si>
    <t>7.59% Karnataka SDL (MD 29/03/2027)</t>
  </si>
  <si>
    <t>IN1920160125</t>
  </si>
  <si>
    <t>IDBK394</t>
  </si>
  <si>
    <t>INE092T08469</t>
  </si>
  <si>
    <t>IDFC213</t>
  </si>
  <si>
    <t>INE092T08493</t>
  </si>
  <si>
    <t>GOI4360</t>
  </si>
  <si>
    <t>7.25% Punjab SDL (MD 14/06/2027)</t>
  </si>
  <si>
    <t>IN2820170057</t>
  </si>
  <si>
    <t>GOI5228</t>
  </si>
  <si>
    <t>IN0020230085</t>
  </si>
  <si>
    <t>INE242A08494</t>
  </si>
  <si>
    <t>GOI1793</t>
  </si>
  <si>
    <t>7.85% Rajasthan SDL (MD 15/03/2027)</t>
  </si>
  <si>
    <t>IN2920160438</t>
  </si>
  <si>
    <t>GOI1449</t>
  </si>
  <si>
    <t>8.39% Andhra Pradesh SDL (MD 27/01/2026)</t>
  </si>
  <si>
    <t>IN1020150125</t>
  </si>
  <si>
    <t>(b) Privately placed / Unlisted</t>
  </si>
  <si>
    <t>Money Market Instruments</t>
  </si>
  <si>
    <t>Certificate of Deposit</t>
  </si>
  <si>
    <t>IBCL1152</t>
  </si>
  <si>
    <t>INE090A169Z3</t>
  </si>
  <si>
    <t>ICRA A1+</t>
  </si>
  <si>
    <t>HDFB927</t>
  </si>
  <si>
    <t>CARE A1+</t>
  </si>
  <si>
    <t>UTIB1291</t>
  </si>
  <si>
    <t>CRISIL A1+</t>
  </si>
  <si>
    <t>HDFB833</t>
  </si>
  <si>
    <t>INE040A16DX2</t>
  </si>
  <si>
    <t>INBK398</t>
  </si>
  <si>
    <t>INE562A16LN9</t>
  </si>
  <si>
    <t>SIDB496</t>
  </si>
  <si>
    <t>Commercial Paper</t>
  </si>
  <si>
    <t>ISLI20</t>
  </si>
  <si>
    <t>INE413U14224</t>
  </si>
  <si>
    <t>BGHP113</t>
  </si>
  <si>
    <t>INE09OL14CR1</t>
  </si>
  <si>
    <t>MOFS159</t>
  </si>
  <si>
    <t>INE338I14FH6</t>
  </si>
  <si>
    <t>SHEB148</t>
  </si>
  <si>
    <t>MUFL406</t>
  </si>
  <si>
    <t>INE414G14SW1</t>
  </si>
  <si>
    <t>SIDB526</t>
  </si>
  <si>
    <t>INE556F14JL3</t>
  </si>
  <si>
    <t>IGHL23</t>
  </si>
  <si>
    <t>INE02FN14176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</si>
  <si>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</si>
  <si>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</si>
  <si>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</si>
  <si>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</si>
  <si>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</si>
  <si>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</si>
  <si>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</si>
  <si>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</si>
  <si>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</si>
  <si>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</si>
  <si>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</si>
  <si>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</si>
  <si>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</si>
  <si>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</si>
  <si>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Portfolo Turnover Ratio</t>
  </si>
  <si>
    <t>Eicher Motors Limited</t>
  </si>
  <si>
    <t>INE066A01021</t>
  </si>
  <si>
    <t>INE261F08DO9</t>
  </si>
  <si>
    <t>INE041007076</t>
  </si>
  <si>
    <t>INE090AD6071</t>
  </si>
  <si>
    <t>INE238AD6561</t>
  </si>
  <si>
    <t>INE556F16AL7</t>
  </si>
  <si>
    <t>0.56 Times</t>
  </si>
  <si>
    <t>Monthly Portfolio Statement as on December 31,2023</t>
  </si>
  <si>
    <t>Coal India Limited</t>
  </si>
  <si>
    <t>The Federal Bank Limited</t>
  </si>
  <si>
    <t>Godrej Consumer Products Limited</t>
  </si>
  <si>
    <t>Prince Pipes And Fittings Limited</t>
  </si>
  <si>
    <t>Mirae Asset Aggressive Hybrid Fund</t>
  </si>
  <si>
    <t>Mirae Asset Aggressive Hybrid Fund (Formerly Known as Mirae Asset Hybrid Equity Fund)</t>
  </si>
  <si>
    <t>INE522F01014</t>
  </si>
  <si>
    <t>INE102D01028</t>
  </si>
  <si>
    <t>Consumable Fuels</t>
  </si>
  <si>
    <t xml:space="preserve">7.9% Bajaj Finance Limited (MD 17/11/2025) ** </t>
  </si>
  <si>
    <t xml:space="preserve">8.7% Bharti Telecom Limited (MD 21/11/2024) ** </t>
  </si>
  <si>
    <t xml:space="preserve">8.9% Bharti Telecom Limited (MD 04/12/2025) ** </t>
  </si>
  <si>
    <t xml:space="preserve">7.9237% Bajaj Housing Finance Limited (MD 16/03/2026) ** </t>
  </si>
  <si>
    <t xml:space="preserve">8.5% Cholamandalam Investment and Finance Company Ltd (MD 07/12/2026) ** </t>
  </si>
  <si>
    <t xml:space="preserve">7.38% Cholamandalam Investment and Finance Company Ltd (MD 31/07/2024) ** </t>
  </si>
  <si>
    <t xml:space="preserve">6.25% Embassy Office Parks REIT (MD 18/10/2024) ** </t>
  </si>
  <si>
    <t xml:space="preserve">7.77% Embassy Office Parks REIT (MD 05/06/2025) ** </t>
  </si>
  <si>
    <t xml:space="preserve">8.3% Godrej Properties Limited (MD 19/03/2027) ** </t>
  </si>
  <si>
    <t xml:space="preserve">7.95% ICICI Home Finance Company Limited (MD 24/11/2025) ** </t>
  </si>
  <si>
    <t xml:space="preserve">8.95% IDFC First Bank Limited (MD 13/05/2025) ** </t>
  </si>
  <si>
    <t xml:space="preserve">8.8% IDFC First Bank Limited (MD 15/06/2025) ** </t>
  </si>
  <si>
    <t xml:space="preserve">9.03980156% Northern Arc Capital Limited (MD 12/07/2024) ** </t>
  </si>
  <si>
    <t xml:space="preserve">5.6% Indian Oil Corporation Limited (MD 23/01/2026) ** </t>
  </si>
  <si>
    <t xml:space="preserve">7.725% Larsen &amp; Toubro Limited (MD 28/04/2028) ** </t>
  </si>
  <si>
    <t xml:space="preserve">8.45% LIC Housing Finance Limited (MD 22/05/2026) ** </t>
  </si>
  <si>
    <t xml:space="preserve">8.48% LIC Housing Finance Limited (MD 29/06/2026) ** </t>
  </si>
  <si>
    <t xml:space="preserve">5.776% LIC Housing Finance Limited (MD 11/09/2025) ** </t>
  </si>
  <si>
    <t xml:space="preserve">7.7201% LIC Housing Finance Limited (MD 12/02/2026) ** </t>
  </si>
  <si>
    <t xml:space="preserve">9.5% Motilal Oswal Finvest Limited (MD 12/09/2025) ** </t>
  </si>
  <si>
    <t xml:space="preserve">7.1% Muthoot Finance Limited (MD 20/06/2024) ** </t>
  </si>
  <si>
    <t xml:space="preserve">8.3% Muthoot Finance Limited (MD 06/01/2026) ** </t>
  </si>
  <si>
    <t xml:space="preserve">8.43% Muthoot Finance Limited (MD 31/07/2026) ** </t>
  </si>
  <si>
    <t xml:space="preserve">5.23% National Bank For Agriculture and Rural Development (MD 31/01/2025) ** </t>
  </si>
  <si>
    <t xml:space="preserve">7.4% National Bank For Agriculture and Rural Development (MD 30/01/2026)  </t>
  </si>
  <si>
    <t xml:space="preserve">7.25% National Bank For Agriculture and Rural Development (MD 01/08/2025) ** </t>
  </si>
  <si>
    <t xml:space="preserve">7.57% National Bank For Agriculture and Rural Development (MD 19/03/2026) ** </t>
  </si>
  <si>
    <t xml:space="preserve">4.5% Oil &amp; Natural Gas Corporation Limited (MD 09/02/2024) ** </t>
  </si>
  <si>
    <t xml:space="preserve">6.09% Power Finance Corporation Limited (MD 27/08/2026) ** </t>
  </si>
  <si>
    <t xml:space="preserve">7.13% Power Finance Corporation Limited (MD 08/08/2025) ** </t>
  </si>
  <si>
    <t xml:space="preserve">7.42% Power Finance Corporation Limited (MD 08/09/2032) ** </t>
  </si>
  <si>
    <t xml:space="preserve">7.7% REC Limited (MD 10/12/2027) ** </t>
  </si>
  <si>
    <t xml:space="preserve">6.88% REC Limited (MD 20/03/2025) ** </t>
  </si>
  <si>
    <t xml:space="preserve">6.92% REC Limited (MD 20/03/2032) ** </t>
  </si>
  <si>
    <t xml:space="preserve">7.6% REC Limited (MD 27/02/2026) ** </t>
  </si>
  <si>
    <t xml:space="preserve">7.53% REC Limited (MD 31/03/2033) ** </t>
  </si>
  <si>
    <t xml:space="preserve">7.9% Jamnagar Utilities &amp; Power Private Limited (MD 10/08/2028)  </t>
  </si>
  <si>
    <t xml:space="preserve">9% Shriram Finance Limited (MD 24/06/2024) ** </t>
  </si>
  <si>
    <t xml:space="preserve">5.24% Small Industries Dev Bank of India (MD 26/03/2024) ** </t>
  </si>
  <si>
    <t xml:space="preserve">7.15% Small Industries Dev Bank of India (MD 02/06/2025) ** </t>
  </si>
  <si>
    <t xml:space="preserve">7.38% Government of India (MD 20/06/2027)  </t>
  </si>
  <si>
    <t xml:space="preserve">7.26% Government of India (MD 22/08/2032)  </t>
  </si>
  <si>
    <t xml:space="preserve">7.41% Government of India (MD 19/12/2036)  </t>
  </si>
  <si>
    <t xml:space="preserve">7.26% Government of India (MD 06/02/2033)  </t>
  </si>
  <si>
    <t xml:space="preserve">7.06% Government of India (MD 10/04/2028)  </t>
  </si>
  <si>
    <t xml:space="preserve">7.18% Government of India (MD 24/07/2037)  </t>
  </si>
  <si>
    <t xml:space="preserve">7.18% Government of India (MD 14/08/2033)  </t>
  </si>
  <si>
    <t xml:space="preserve">7.5% Power Grid Corporation of India Limited (MD 24/08/2033) ** </t>
  </si>
  <si>
    <t xml:space="preserve">Hero Fincorp Limited (MD 13/08/2024) ** </t>
  </si>
  <si>
    <t>INE403D08181</t>
  </si>
  <si>
    <t>INE121A07RO8</t>
  </si>
  <si>
    <t>IN0020230077</t>
  </si>
  <si>
    <t>HDFC Bank Limited (MD 13/09/2024) ** #</t>
  </si>
  <si>
    <t>ICICI Bank Limited (MD 13/06/2024)  #</t>
  </si>
  <si>
    <t>ICICI Bank Limited (MD 29/10/2024) ** #</t>
  </si>
  <si>
    <t>Indian Bank (MD 05/03/2024)  #</t>
  </si>
  <si>
    <t>Small Industries Dev Bank of India (MD 21/06/2024) ** #</t>
  </si>
  <si>
    <t>Axis Bank Limited (MD 21/06/2024) ** #</t>
  </si>
  <si>
    <t xml:space="preserve">Birla Group Holdings Private Limited (MD 13/03/2024) ** </t>
  </si>
  <si>
    <t xml:space="preserve">IIFL Securities Limited (MD 23/02/2024) ** </t>
  </si>
  <si>
    <t xml:space="preserve">IGH Holdings Private Limited (MD 19/03/2024) ** </t>
  </si>
  <si>
    <t xml:space="preserve">IIFL Samasta Finance Limited (MD 24/04/2024) ** </t>
  </si>
  <si>
    <t xml:space="preserve">Motilal Oswal Financial Services Limited (MD 23/08/2024) ** </t>
  </si>
  <si>
    <t xml:space="preserve">Motilal Oswal Finvest Limited (MD 07/03/2024) ** </t>
  </si>
  <si>
    <t xml:space="preserve">Muthoot Finance Limited (MD 15/05/2024) ** </t>
  </si>
  <si>
    <t xml:space="preserve">Small Industries Dev Bank of India (MD 15/02/2024) ** </t>
  </si>
  <si>
    <t>INE489L14272</t>
  </si>
  <si>
    <t>INE01WN14892</t>
  </si>
  <si>
    <t>REIT</t>
  </si>
  <si>
    <t xml:space="preserve">Embassy Office Parks REIT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</si>
</sst>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4" fontId="4" fillId="0" borderId="10" xfId="0" applyNumberFormat="1" applyFont="1" applyBorder="1" applyAlignment="1">
      <alignment horizontal="center" vertical="center" wrapText="1"/>
    </xf>
    <xf numFmtId="10" fontId="4" fillId="0" borderId="10" xfId="1" applyNumberFormat="1" applyFont="1" applyFill="1" applyBorder="1" applyAlignment="1" applyProtection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4" fontId="5" fillId="0" borderId="13" xfId="0" applyNumberFormat="1" applyFont="1" applyBorder="1" applyAlignment="1">
      <alignment horizontal="left" vertical="top" wrapText="1"/>
    </xf>
    <xf numFmtId="10" fontId="5" fillId="0" borderId="14" xfId="1" applyNumberFormat="1" applyFont="1" applyFill="1" applyBorder="1" applyAlignment="1" applyProtection="1">
      <alignment horizontal="left" vertical="top" wrapText="1"/>
    </xf>
    <xf numFmtId="0" fontId="7" fillId="0" borderId="1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10" fontId="5" fillId="0" borderId="13" xfId="1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0" fontId="4" fillId="0" borderId="17" xfId="1" applyNumberFormat="1" applyFont="1" applyFill="1" applyBorder="1" applyAlignment="1" applyProtection="1">
      <alignment horizontal="right" vertical="top" wrapText="1"/>
    </xf>
    <xf numFmtId="0" fontId="4" fillId="0" borderId="18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4" fontId="4" fillId="0" borderId="17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4" fontId="4" fillId="0" borderId="21" xfId="0" applyNumberFormat="1" applyFont="1" applyBorder="1" applyAlignment="1">
      <alignment horizontal="right" vertical="top" wrapText="1"/>
    </xf>
    <xf numFmtId="0" fontId="4" fillId="0" borderId="22" xfId="0" applyFont="1" applyBorder="1" applyAlignment="1">
      <alignment horizontal="right" vertical="top" wrapText="1"/>
    </xf>
    <xf numFmtId="0" fontId="4" fillId="0" borderId="23" xfId="0" applyFont="1" applyBorder="1" applyAlignment="1">
      <alignment horizontal="left" vertical="top" wrapText="1"/>
    </xf>
    <xf numFmtId="2" fontId="9" fillId="0" borderId="23" xfId="0" applyNumberFormat="1" applyFont="1" applyBorder="1" applyAlignment="1">
      <alignment vertical="center" wrapText="1"/>
    </xf>
    <xf numFmtId="10" fontId="9" fillId="0" borderId="8" xfId="0" applyNumberFormat="1" applyFont="1" applyBorder="1" applyAlignment="1">
      <alignment horizontal="right" vertical="center" wrapText="1"/>
    </xf>
    <xf numFmtId="4" fontId="0" fillId="0" borderId="0" xfId="0" applyNumberFormat="1"/>
    <xf numFmtId="10" fontId="0" fillId="0" borderId="0" xfId="1" applyNumberFormat="1" applyFont="1"/>
    <xf numFmtId="0" fontId="9" fillId="0" borderId="8" xfId="0" applyFont="1" applyBorder="1" applyAlignment="1">
      <alignment vertical="center" wrapText="1"/>
    </xf>
    <xf numFmtId="0" fontId="10" fillId="0" borderId="23" xfId="0" applyFont="1" applyBorder="1" applyAlignment="1">
      <alignment horizontal="left" vertical="top" wrapText="1"/>
    </xf>
    <xf numFmtId="2" fontId="0" fillId="0" borderId="23" xfId="0" applyNumberFormat="1" applyBorder="1" applyAlignment="1">
      <alignment horizontal="right"/>
    </xf>
    <xf numFmtId="10" fontId="4" fillId="0" borderId="16" xfId="1" applyNumberFormat="1" applyFont="1" applyFill="1" applyBorder="1" applyAlignment="1">
      <alignment horizontal="right" vertical="top" wrapText="1"/>
    </xf>
    <xf numFmtId="10" fontId="4" fillId="0" borderId="21" xfId="1" applyNumberFormat="1" applyFont="1" applyFill="1" applyBorder="1" applyAlignment="1">
      <alignment horizontal="right" vertical="top" wrapText="1"/>
    </xf>
    <xf numFmtId="0" fontId="11" fillId="0" borderId="0" xfId="0" applyFont="1"/>
    <xf numFmtId="2" fontId="0" fillId="0" borderId="0" xfId="0" applyNumberFormat="1"/>
    <xf numFmtId="2" fontId="9" fillId="0" borderId="8" xfId="0" applyNumberFormat="1" applyFont="1" applyBorder="1" applyAlignment="1">
      <alignment vertical="center" wrapText="1"/>
    </xf>
    <xf numFmtId="0" fontId="4" fillId="0" borderId="15" xfId="0" applyFont="1" applyBorder="1" applyAlignment="1">
      <alignment horizontal="righ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1</xdr:col>
      <xdr:colOff>1209675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996139F-7854-46B2-9CE0-164174AE9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1430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7</xdr:col>
      <xdr:colOff>47625</xdr:colOff>
      <xdr:row>198</xdr:row>
      <xdr:rowOff>39300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0899100"/>
          <a:ext cx="10058400" cy="213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I185"/>
  <sheetViews>
    <sheetView tabSelected="1" topLeftCell="A65" workbookViewId="0">
      <selection activeCell="K82" sqref="K82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1" customWidth="1"/>
    <col min="7" max="7" width="16.7109375" style="42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52" t="s">
        <v>421</v>
      </c>
      <c r="C1" s="53"/>
      <c r="D1" s="53"/>
      <c r="E1" s="53"/>
      <c r="F1" s="53"/>
      <c r="G1" s="53"/>
      <c r="H1" s="54"/>
      <c r="I1"/>
    </row>
    <row r="2" spans="1:9" ht="12.95" customHeight="1">
      <c r="A2" s="2"/>
      <c r="B2" s="55"/>
      <c r="C2" s="56"/>
      <c r="D2" s="56"/>
      <c r="E2" s="56"/>
      <c r="F2" s="56"/>
      <c r="G2" s="56"/>
      <c r="H2" s="57"/>
      <c r="I2"/>
    </row>
    <row r="3" spans="1:9">
      <c r="A3" s="2"/>
      <c r="B3" s="58" t="s">
        <v>1</v>
      </c>
      <c r="C3" s="59"/>
      <c r="D3" s="59"/>
      <c r="E3" s="59"/>
      <c r="F3" s="59"/>
      <c r="G3" s="59"/>
      <c r="H3" s="60"/>
      <c r="I3"/>
    </row>
    <row r="4" spans="1:9" ht="12.95" customHeight="1" thickBot="1">
      <c r="A4" s="2"/>
      <c r="B4" s="61"/>
      <c r="C4" s="62"/>
      <c r="D4" s="62"/>
      <c r="E4" s="62"/>
      <c r="F4" s="62"/>
      <c r="G4" s="62"/>
      <c r="H4" s="63"/>
      <c r="I4"/>
    </row>
    <row r="5" spans="1:9" ht="15.95" customHeight="1">
      <c r="A5" s="2"/>
      <c r="B5" s="3" t="s">
        <v>420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415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2</v>
      </c>
      <c r="C8" s="11" t="s">
        <v>3</v>
      </c>
      <c r="D8" s="12" t="s">
        <v>4</v>
      </c>
      <c r="E8" s="12" t="s">
        <v>5</v>
      </c>
      <c r="F8" s="13" t="s">
        <v>6</v>
      </c>
      <c r="G8" s="14" t="s">
        <v>7</v>
      </c>
      <c r="H8" s="15" t="s">
        <v>8</v>
      </c>
    </row>
    <row r="9" spans="1:9" ht="12.95" customHeight="1">
      <c r="A9" s="2"/>
      <c r="B9" s="16" t="s">
        <v>9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10</v>
      </c>
      <c r="C10" s="17"/>
      <c r="D10" s="17"/>
      <c r="E10" s="17"/>
      <c r="F10" s="18"/>
      <c r="G10" s="19"/>
      <c r="H10" s="20"/>
    </row>
    <row r="11" spans="1:9" ht="12.95" customHeight="1">
      <c r="A11" s="21" t="s">
        <v>11</v>
      </c>
      <c r="B11" s="22" t="s">
        <v>12</v>
      </c>
      <c r="C11" s="17" t="s">
        <v>13</v>
      </c>
      <c r="D11" s="17" t="s">
        <v>14</v>
      </c>
      <c r="E11" s="23">
        <v>3310779</v>
      </c>
      <c r="F11" s="24">
        <v>56589.490057499999</v>
      </c>
      <c r="G11" s="25">
        <v>6.8099999999999994E-2</v>
      </c>
      <c r="H11" s="26"/>
    </row>
    <row r="12" spans="1:9" ht="12.95" customHeight="1">
      <c r="A12" s="21" t="s">
        <v>15</v>
      </c>
      <c r="B12" s="22" t="s">
        <v>16</v>
      </c>
      <c r="C12" s="17" t="s">
        <v>17</v>
      </c>
      <c r="D12" s="17" t="s">
        <v>14</v>
      </c>
      <c r="E12" s="23">
        <v>4214452</v>
      </c>
      <c r="F12" s="24">
        <v>42001.228631999998</v>
      </c>
      <c r="G12" s="25">
        <v>5.0599999999999999E-2</v>
      </c>
      <c r="H12" s="26"/>
    </row>
    <row r="13" spans="1:9" ht="12.95" customHeight="1">
      <c r="A13" s="21" t="s">
        <v>18</v>
      </c>
      <c r="B13" s="22" t="s">
        <v>19</v>
      </c>
      <c r="C13" s="17" t="s">
        <v>20</v>
      </c>
      <c r="D13" s="17" t="s">
        <v>21</v>
      </c>
      <c r="E13" s="23">
        <v>1313356</v>
      </c>
      <c r="F13" s="24">
        <v>33949.595922</v>
      </c>
      <c r="G13" s="25">
        <v>4.0899999999999999E-2</v>
      </c>
      <c r="H13" s="26"/>
    </row>
    <row r="14" spans="1:9" ht="12.95" customHeight="1">
      <c r="A14" s="21" t="s">
        <v>22</v>
      </c>
      <c r="B14" s="22" t="s">
        <v>23</v>
      </c>
      <c r="C14" s="17" t="s">
        <v>24</v>
      </c>
      <c r="D14" s="17" t="s">
        <v>14</v>
      </c>
      <c r="E14" s="23">
        <v>4760875</v>
      </c>
      <c r="F14" s="24">
        <v>30567.197937500001</v>
      </c>
      <c r="G14" s="25">
        <v>3.6799999999999999E-2</v>
      </c>
      <c r="H14" s="26"/>
    </row>
    <row r="15" spans="1:9" ht="12.95" customHeight="1">
      <c r="A15" s="21" t="s">
        <v>25</v>
      </c>
      <c r="B15" s="22" t="s">
        <v>26</v>
      </c>
      <c r="C15" s="17" t="s">
        <v>27</v>
      </c>
      <c r="D15" s="17" t="s">
        <v>28</v>
      </c>
      <c r="E15" s="23">
        <v>1930907</v>
      </c>
      <c r="F15" s="24">
        <v>29791.964103000002</v>
      </c>
      <c r="G15" s="25">
        <v>3.5900000000000001E-2</v>
      </c>
      <c r="H15" s="26"/>
    </row>
    <row r="16" spans="1:9" ht="12.95" customHeight="1">
      <c r="A16" s="21" t="s">
        <v>29</v>
      </c>
      <c r="B16" s="22" t="s">
        <v>30</v>
      </c>
      <c r="C16" s="17" t="s">
        <v>31</v>
      </c>
      <c r="D16" s="17" t="s">
        <v>14</v>
      </c>
      <c r="E16" s="23">
        <v>2426615</v>
      </c>
      <c r="F16" s="24">
        <v>26748.577144999999</v>
      </c>
      <c r="G16" s="25">
        <v>3.2199999999999999E-2</v>
      </c>
      <c r="H16" s="26"/>
    </row>
    <row r="17" spans="1:8" ht="12.95" customHeight="1">
      <c r="A17" s="21" t="s">
        <v>32</v>
      </c>
      <c r="B17" s="22" t="s">
        <v>33</v>
      </c>
      <c r="C17" s="17" t="s">
        <v>34</v>
      </c>
      <c r="D17" s="17" t="s">
        <v>35</v>
      </c>
      <c r="E17" s="23">
        <v>605552</v>
      </c>
      <c r="F17" s="24">
        <v>21351.76352</v>
      </c>
      <c r="G17" s="25">
        <v>2.5700000000000001E-2</v>
      </c>
      <c r="H17" s="26"/>
    </row>
    <row r="18" spans="1:8" ht="12.95" customHeight="1">
      <c r="A18" s="21" t="s">
        <v>36</v>
      </c>
      <c r="B18" s="22" t="s">
        <v>41</v>
      </c>
      <c r="C18" s="17" t="s">
        <v>42</v>
      </c>
      <c r="D18" s="17" t="s">
        <v>43</v>
      </c>
      <c r="E18" s="23">
        <v>6236000</v>
      </c>
      <c r="F18" s="24">
        <v>19403.313999999998</v>
      </c>
      <c r="G18" s="25">
        <v>2.3400000000000001E-2</v>
      </c>
      <c r="H18" s="26"/>
    </row>
    <row r="19" spans="1:8" ht="12.95" customHeight="1">
      <c r="A19" s="21" t="s">
        <v>40</v>
      </c>
      <c r="B19" s="22" t="s">
        <v>37</v>
      </c>
      <c r="C19" s="17" t="s">
        <v>38</v>
      </c>
      <c r="D19" s="17" t="s">
        <v>39</v>
      </c>
      <c r="E19" s="23">
        <v>3672256</v>
      </c>
      <c r="F19" s="24">
        <v>16969.494975999998</v>
      </c>
      <c r="G19" s="25">
        <v>2.0400000000000001E-2</v>
      </c>
      <c r="H19" s="26"/>
    </row>
    <row r="20" spans="1:8" ht="12.95" customHeight="1">
      <c r="A20" s="21" t="s">
        <v>44</v>
      </c>
      <c r="B20" s="22" t="s">
        <v>48</v>
      </c>
      <c r="C20" s="17" t="s">
        <v>49</v>
      </c>
      <c r="D20" s="17" t="s">
        <v>50</v>
      </c>
      <c r="E20" s="23">
        <v>1441573</v>
      </c>
      <c r="F20" s="24">
        <v>14879.916506</v>
      </c>
      <c r="G20" s="25">
        <v>1.7899999999999999E-2</v>
      </c>
      <c r="H20" s="26"/>
    </row>
    <row r="21" spans="1:8" ht="12.95" customHeight="1">
      <c r="A21" s="21" t="s">
        <v>47</v>
      </c>
      <c r="B21" s="22" t="s">
        <v>52</v>
      </c>
      <c r="C21" s="17" t="s">
        <v>53</v>
      </c>
      <c r="D21" s="17" t="s">
        <v>54</v>
      </c>
      <c r="E21" s="23">
        <v>1663774</v>
      </c>
      <c r="F21" s="24">
        <v>12976.605313</v>
      </c>
      <c r="G21" s="25">
        <v>1.5599999999999999E-2</v>
      </c>
      <c r="H21" s="26"/>
    </row>
    <row r="22" spans="1:8" ht="12.95" customHeight="1">
      <c r="A22" s="21" t="s">
        <v>51</v>
      </c>
      <c r="B22" s="22" t="s">
        <v>45</v>
      </c>
      <c r="C22" s="17" t="s">
        <v>46</v>
      </c>
      <c r="D22" s="17" t="s">
        <v>28</v>
      </c>
      <c r="E22" s="23">
        <v>325130</v>
      </c>
      <c r="F22" s="24">
        <v>12333.48142</v>
      </c>
      <c r="G22" s="25">
        <v>1.4800000000000001E-2</v>
      </c>
      <c r="H22" s="26"/>
    </row>
    <row r="23" spans="1:8" ht="12.95" customHeight="1">
      <c r="A23" s="21" t="s">
        <v>55</v>
      </c>
      <c r="B23" s="22" t="s">
        <v>64</v>
      </c>
      <c r="C23" s="17" t="s">
        <v>65</v>
      </c>
      <c r="D23" s="17" t="s">
        <v>58</v>
      </c>
      <c r="E23" s="23">
        <v>1027344</v>
      </c>
      <c r="F23" s="24">
        <v>11136.408960000001</v>
      </c>
      <c r="G23" s="25">
        <v>1.34E-2</v>
      </c>
      <c r="H23" s="26"/>
    </row>
    <row r="24" spans="1:8" ht="12.95" customHeight="1">
      <c r="A24" s="21" t="s">
        <v>59</v>
      </c>
      <c r="B24" s="22" t="s">
        <v>82</v>
      </c>
      <c r="C24" s="17" t="s">
        <v>83</v>
      </c>
      <c r="D24" s="17" t="s">
        <v>84</v>
      </c>
      <c r="E24" s="23">
        <v>5374810</v>
      </c>
      <c r="F24" s="24">
        <v>9900.4000199999991</v>
      </c>
      <c r="G24" s="25">
        <v>1.1900000000000001E-2</v>
      </c>
      <c r="H24" s="26"/>
    </row>
    <row r="25" spans="1:8" ht="12.95" customHeight="1">
      <c r="A25" s="21" t="s">
        <v>63</v>
      </c>
      <c r="B25" s="22" t="s">
        <v>60</v>
      </c>
      <c r="C25" s="17" t="s">
        <v>61</v>
      </c>
      <c r="D25" s="17" t="s">
        <v>62</v>
      </c>
      <c r="E25" s="23">
        <v>183011</v>
      </c>
      <c r="F25" s="24">
        <v>9894.0321875000009</v>
      </c>
      <c r="G25" s="25">
        <v>1.1900000000000001E-2</v>
      </c>
      <c r="H25" s="26"/>
    </row>
    <row r="26" spans="1:8" ht="12.95" customHeight="1">
      <c r="A26" s="21" t="s">
        <v>66</v>
      </c>
      <c r="B26" s="22" t="s">
        <v>56</v>
      </c>
      <c r="C26" s="17" t="s">
        <v>57</v>
      </c>
      <c r="D26" s="17" t="s">
        <v>58</v>
      </c>
      <c r="E26" s="23">
        <v>736063</v>
      </c>
      <c r="F26" s="24">
        <v>9270.3454535000001</v>
      </c>
      <c r="G26" s="25">
        <v>1.12E-2</v>
      </c>
      <c r="H26" s="26"/>
    </row>
    <row r="27" spans="1:8" ht="12.95" customHeight="1">
      <c r="A27" s="21" t="s">
        <v>70</v>
      </c>
      <c r="B27" s="22" t="s">
        <v>78</v>
      </c>
      <c r="C27" s="17" t="s">
        <v>79</v>
      </c>
      <c r="D27" s="17" t="s">
        <v>80</v>
      </c>
      <c r="E27" s="23">
        <v>1762110</v>
      </c>
      <c r="F27" s="24">
        <v>9178.8309900000004</v>
      </c>
      <c r="G27" s="25">
        <v>1.0999999999999999E-2</v>
      </c>
      <c r="H27" s="26"/>
    </row>
    <row r="28" spans="1:8" ht="12.95" customHeight="1">
      <c r="A28" s="21" t="s">
        <v>74</v>
      </c>
      <c r="B28" s="22" t="s">
        <v>102</v>
      </c>
      <c r="C28" s="17" t="s">
        <v>103</v>
      </c>
      <c r="D28" s="17" t="s">
        <v>39</v>
      </c>
      <c r="E28" s="23">
        <v>336699</v>
      </c>
      <c r="F28" s="24">
        <v>8969.4930105000003</v>
      </c>
      <c r="G28" s="25">
        <v>1.0800000000000001E-2</v>
      </c>
      <c r="H28" s="26"/>
    </row>
    <row r="29" spans="1:8" ht="12.95" customHeight="1">
      <c r="A29" s="21" t="s">
        <v>77</v>
      </c>
      <c r="B29" s="22" t="s">
        <v>71</v>
      </c>
      <c r="C29" s="17" t="s">
        <v>72</v>
      </c>
      <c r="D29" s="17" t="s">
        <v>73</v>
      </c>
      <c r="E29" s="23">
        <v>419547</v>
      </c>
      <c r="F29" s="24">
        <v>8614.5585510000001</v>
      </c>
      <c r="G29" s="25">
        <v>1.04E-2</v>
      </c>
      <c r="H29" s="26"/>
    </row>
    <row r="30" spans="1:8" ht="12.95" customHeight="1">
      <c r="A30" s="21" t="s">
        <v>81</v>
      </c>
      <c r="B30" s="22" t="s">
        <v>67</v>
      </c>
      <c r="C30" s="17" t="s">
        <v>68</v>
      </c>
      <c r="D30" s="17" t="s">
        <v>69</v>
      </c>
      <c r="E30" s="23">
        <v>6194999</v>
      </c>
      <c r="F30" s="24">
        <v>8648.2186039999997</v>
      </c>
      <c r="G30" s="25">
        <v>1.04E-2</v>
      </c>
      <c r="H30" s="26"/>
    </row>
    <row r="31" spans="1:8" ht="12.95" customHeight="1">
      <c r="A31" s="21" t="s">
        <v>85</v>
      </c>
      <c r="B31" s="22" t="s">
        <v>90</v>
      </c>
      <c r="C31" s="17" t="s">
        <v>91</v>
      </c>
      <c r="D31" s="17" t="s">
        <v>92</v>
      </c>
      <c r="E31" s="23">
        <v>2730915</v>
      </c>
      <c r="F31" s="24">
        <v>8356.5998999999993</v>
      </c>
      <c r="G31" s="25">
        <v>1.01E-2</v>
      </c>
      <c r="H31" s="26"/>
    </row>
    <row r="32" spans="1:8" ht="12.95" customHeight="1">
      <c r="A32" s="21" t="s">
        <v>89</v>
      </c>
      <c r="B32" s="22" t="s">
        <v>75</v>
      </c>
      <c r="C32" s="17" t="s">
        <v>76</v>
      </c>
      <c r="D32" s="17" t="s">
        <v>54</v>
      </c>
      <c r="E32" s="23">
        <v>74402</v>
      </c>
      <c r="F32" s="24">
        <v>7665.1544470000008</v>
      </c>
      <c r="G32" s="25">
        <v>9.1999999999999998E-3</v>
      </c>
      <c r="H32" s="26"/>
    </row>
    <row r="33" spans="1:8" ht="12.95" customHeight="1">
      <c r="A33" s="21" t="s">
        <v>93</v>
      </c>
      <c r="B33" s="22" t="s">
        <v>419</v>
      </c>
      <c r="C33" s="17" t="s">
        <v>105</v>
      </c>
      <c r="D33" s="17" t="s">
        <v>106</v>
      </c>
      <c r="E33" s="23">
        <v>951814</v>
      </c>
      <c r="F33" s="24">
        <v>7069.5984850000004</v>
      </c>
      <c r="G33" s="25">
        <v>8.5000000000000006E-3</v>
      </c>
      <c r="H33" s="26"/>
    </row>
    <row r="34" spans="1:8" ht="12.95" customHeight="1">
      <c r="A34" s="21" t="s">
        <v>97</v>
      </c>
      <c r="B34" s="22" t="s">
        <v>94</v>
      </c>
      <c r="C34" s="17" t="s">
        <v>95</v>
      </c>
      <c r="D34" s="17" t="s">
        <v>96</v>
      </c>
      <c r="E34" s="23">
        <v>505847</v>
      </c>
      <c r="F34" s="24">
        <v>6919.7340365</v>
      </c>
      <c r="G34" s="25">
        <v>8.3000000000000001E-3</v>
      </c>
      <c r="H34" s="26"/>
    </row>
    <row r="35" spans="1:8" ht="12.95" customHeight="1">
      <c r="A35" s="21" t="s">
        <v>101</v>
      </c>
      <c r="B35" s="22" t="s">
        <v>108</v>
      </c>
      <c r="C35" s="17" t="s">
        <v>109</v>
      </c>
      <c r="D35" s="17" t="s">
        <v>62</v>
      </c>
      <c r="E35" s="23">
        <v>6471650</v>
      </c>
      <c r="F35" s="24">
        <v>6597.8471749999999</v>
      </c>
      <c r="G35" s="25">
        <v>7.9000000000000008E-3</v>
      </c>
      <c r="H35" s="26"/>
    </row>
    <row r="36" spans="1:8" ht="12.95" customHeight="1">
      <c r="A36" s="21" t="s">
        <v>104</v>
      </c>
      <c r="B36" s="22" t="s">
        <v>152</v>
      </c>
      <c r="C36" s="17" t="s">
        <v>153</v>
      </c>
      <c r="D36" s="17" t="s">
        <v>96</v>
      </c>
      <c r="E36" s="23">
        <v>2685821</v>
      </c>
      <c r="F36" s="24">
        <v>6405.6830849999997</v>
      </c>
      <c r="G36" s="25">
        <v>7.7000000000000002E-3</v>
      </c>
      <c r="H36" s="26"/>
    </row>
    <row r="37" spans="1:8" ht="12.95" customHeight="1">
      <c r="A37" s="21" t="s">
        <v>107</v>
      </c>
      <c r="B37" s="22" t="s">
        <v>120</v>
      </c>
      <c r="C37" s="17" t="s">
        <v>121</v>
      </c>
      <c r="D37" s="17" t="s">
        <v>14</v>
      </c>
      <c r="E37" s="23">
        <v>372000</v>
      </c>
      <c r="F37" s="24">
        <v>5948.0940000000001</v>
      </c>
      <c r="G37" s="25">
        <v>7.1999999999999998E-3</v>
      </c>
      <c r="H37" s="26"/>
    </row>
    <row r="38" spans="1:8" ht="12.95" customHeight="1">
      <c r="A38" s="21" t="s">
        <v>110</v>
      </c>
      <c r="B38" s="22" t="s">
        <v>111</v>
      </c>
      <c r="C38" s="17" t="s">
        <v>112</v>
      </c>
      <c r="D38" s="17" t="s">
        <v>113</v>
      </c>
      <c r="E38" s="23">
        <v>1051289</v>
      </c>
      <c r="F38" s="24">
        <v>5857.7823079999998</v>
      </c>
      <c r="G38" s="25">
        <v>7.1000000000000004E-3</v>
      </c>
      <c r="H38" s="26"/>
    </row>
    <row r="39" spans="1:8" ht="12.95" customHeight="1">
      <c r="A39" s="21" t="s">
        <v>114</v>
      </c>
      <c r="B39" s="22" t="s">
        <v>98</v>
      </c>
      <c r="C39" s="17" t="s">
        <v>99</v>
      </c>
      <c r="D39" s="17" t="s">
        <v>100</v>
      </c>
      <c r="E39" s="23">
        <v>1517775</v>
      </c>
      <c r="F39" s="24">
        <v>5907.9391875000001</v>
      </c>
      <c r="G39" s="25">
        <v>7.1000000000000004E-3</v>
      </c>
      <c r="H39" s="26"/>
    </row>
    <row r="40" spans="1:8" ht="12.95" customHeight="1">
      <c r="A40" s="21" t="s">
        <v>118</v>
      </c>
      <c r="B40" s="22" t="s">
        <v>129</v>
      </c>
      <c r="C40" s="17" t="s">
        <v>130</v>
      </c>
      <c r="D40" s="17" t="s">
        <v>131</v>
      </c>
      <c r="E40" s="23">
        <v>4778783</v>
      </c>
      <c r="F40" s="24">
        <v>5911.3545709999999</v>
      </c>
      <c r="G40" s="25">
        <v>7.1000000000000004E-3</v>
      </c>
      <c r="H40" s="26"/>
    </row>
    <row r="41" spans="1:8" ht="12.95" customHeight="1">
      <c r="A41" s="21" t="s">
        <v>119</v>
      </c>
      <c r="B41" s="22" t="s">
        <v>115</v>
      </c>
      <c r="C41" s="17" t="s">
        <v>116</v>
      </c>
      <c r="D41" s="17" t="s">
        <v>117</v>
      </c>
      <c r="E41" s="23">
        <v>404076</v>
      </c>
      <c r="F41" s="24">
        <v>5788.7927760000002</v>
      </c>
      <c r="G41" s="25">
        <v>7.0000000000000001E-3</v>
      </c>
      <c r="H41" s="26"/>
    </row>
    <row r="42" spans="1:8" ht="12.95" customHeight="1">
      <c r="A42" s="21" t="s">
        <v>122</v>
      </c>
      <c r="B42" s="22" t="s">
        <v>133</v>
      </c>
      <c r="C42" s="17" t="s">
        <v>134</v>
      </c>
      <c r="D42" s="17" t="s">
        <v>28</v>
      </c>
      <c r="E42" s="23">
        <v>385000</v>
      </c>
      <c r="F42" s="24">
        <v>5644.4849999999997</v>
      </c>
      <c r="G42" s="25">
        <v>6.7999999999999996E-3</v>
      </c>
      <c r="H42" s="26"/>
    </row>
    <row r="43" spans="1:8" ht="12.95" customHeight="1">
      <c r="A43" s="21" t="s">
        <v>125</v>
      </c>
      <c r="B43" s="22" t="s">
        <v>149</v>
      </c>
      <c r="C43" s="17" t="s">
        <v>150</v>
      </c>
      <c r="D43" s="17" t="s">
        <v>100</v>
      </c>
      <c r="E43" s="23">
        <v>187565</v>
      </c>
      <c r="F43" s="24">
        <v>5565.2411149999998</v>
      </c>
      <c r="G43" s="25">
        <v>6.7000000000000002E-3</v>
      </c>
      <c r="H43" s="26"/>
    </row>
    <row r="44" spans="1:8" ht="12.95" customHeight="1">
      <c r="A44" s="21" t="s">
        <v>128</v>
      </c>
      <c r="B44" s="22" t="s">
        <v>126</v>
      </c>
      <c r="C44" s="17" t="s">
        <v>127</v>
      </c>
      <c r="D44" s="17" t="s">
        <v>14</v>
      </c>
      <c r="E44" s="23">
        <v>291817</v>
      </c>
      <c r="F44" s="24">
        <v>5568.1601770000007</v>
      </c>
      <c r="G44" s="25">
        <v>6.7000000000000002E-3</v>
      </c>
      <c r="H44" s="26"/>
    </row>
    <row r="45" spans="1:8" ht="12.95" customHeight="1">
      <c r="A45" s="21" t="s">
        <v>132</v>
      </c>
      <c r="B45" s="22" t="s">
        <v>158</v>
      </c>
      <c r="C45" s="17" t="s">
        <v>159</v>
      </c>
      <c r="D45" s="17" t="s">
        <v>28</v>
      </c>
      <c r="E45" s="23">
        <v>200000</v>
      </c>
      <c r="F45" s="24">
        <v>5479.5</v>
      </c>
      <c r="G45" s="25">
        <v>6.6E-3</v>
      </c>
      <c r="H45" s="26"/>
    </row>
    <row r="46" spans="1:8" ht="12.95" customHeight="1">
      <c r="A46" s="21" t="s">
        <v>135</v>
      </c>
      <c r="B46" s="22" t="s">
        <v>123</v>
      </c>
      <c r="C46" s="17" t="s">
        <v>124</v>
      </c>
      <c r="D46" s="17" t="s">
        <v>96</v>
      </c>
      <c r="E46" s="23">
        <v>414712</v>
      </c>
      <c r="F46" s="24">
        <v>5398.3061039999993</v>
      </c>
      <c r="G46" s="25">
        <v>6.4999999999999997E-3</v>
      </c>
      <c r="H46" s="26"/>
    </row>
    <row r="47" spans="1:8" ht="12.95" customHeight="1">
      <c r="A47" s="21" t="s">
        <v>138</v>
      </c>
      <c r="B47" s="22" t="s">
        <v>136</v>
      </c>
      <c r="C47" s="17" t="s">
        <v>137</v>
      </c>
      <c r="D47" s="17" t="s">
        <v>54</v>
      </c>
      <c r="E47" s="23">
        <v>267374</v>
      </c>
      <c r="F47" s="24">
        <v>5416.4624920000006</v>
      </c>
      <c r="G47" s="25">
        <v>6.4999999999999997E-3</v>
      </c>
      <c r="H47" s="26"/>
    </row>
    <row r="48" spans="1:8" ht="12.95" customHeight="1">
      <c r="A48" s="21" t="s">
        <v>141</v>
      </c>
      <c r="B48" s="22" t="s">
        <v>142</v>
      </c>
      <c r="C48" s="17" t="s">
        <v>143</v>
      </c>
      <c r="D48" s="17" t="s">
        <v>80</v>
      </c>
      <c r="E48" s="23">
        <v>49500</v>
      </c>
      <c r="F48" s="24">
        <v>5199.0097500000002</v>
      </c>
      <c r="G48" s="25">
        <v>6.3E-3</v>
      </c>
      <c r="H48" s="26"/>
    </row>
    <row r="49" spans="1:8" ht="12.95" customHeight="1">
      <c r="A49" s="21" t="s">
        <v>144</v>
      </c>
      <c r="B49" s="22" t="s">
        <v>86</v>
      </c>
      <c r="C49" s="17" t="s">
        <v>87</v>
      </c>
      <c r="D49" s="17" t="s">
        <v>88</v>
      </c>
      <c r="E49" s="23">
        <v>255315</v>
      </c>
      <c r="F49" s="24">
        <v>5053.1944800000001</v>
      </c>
      <c r="G49" s="25">
        <v>6.1000000000000004E-3</v>
      </c>
      <c r="H49" s="26"/>
    </row>
    <row r="50" spans="1:8" ht="12.95" customHeight="1">
      <c r="A50" s="21" t="s">
        <v>148</v>
      </c>
      <c r="B50" s="22" t="s">
        <v>139</v>
      </c>
      <c r="C50" s="17" t="s">
        <v>140</v>
      </c>
      <c r="D50" s="17" t="s">
        <v>117</v>
      </c>
      <c r="E50" s="23">
        <v>534555</v>
      </c>
      <c r="F50" s="24">
        <v>5101.2583649999997</v>
      </c>
      <c r="G50" s="25">
        <v>6.1000000000000004E-3</v>
      </c>
      <c r="H50" s="26"/>
    </row>
    <row r="51" spans="1:8" ht="12.95" customHeight="1">
      <c r="A51" s="21" t="s">
        <v>151</v>
      </c>
      <c r="B51" s="22" t="s">
        <v>155</v>
      </c>
      <c r="C51" s="17" t="s">
        <v>156</v>
      </c>
      <c r="D51" s="17" t="s">
        <v>73</v>
      </c>
      <c r="E51" s="23">
        <v>926892</v>
      </c>
      <c r="F51" s="24">
        <v>4969.0680119999997</v>
      </c>
      <c r="G51" s="25">
        <v>6.0000000000000001E-3</v>
      </c>
      <c r="H51" s="26"/>
    </row>
    <row r="52" spans="1:8" ht="12.95" customHeight="1">
      <c r="A52" s="21" t="s">
        <v>154</v>
      </c>
      <c r="B52" s="22" t="s">
        <v>161</v>
      </c>
      <c r="C52" s="17" t="s">
        <v>162</v>
      </c>
      <c r="D52" s="17" t="s">
        <v>96</v>
      </c>
      <c r="E52" s="23">
        <v>131953</v>
      </c>
      <c r="F52" s="24">
        <v>4849.8665385000004</v>
      </c>
      <c r="G52" s="25">
        <v>5.7999999999999996E-3</v>
      </c>
      <c r="H52" s="26"/>
    </row>
    <row r="53" spans="1:8" ht="12.95" customHeight="1">
      <c r="A53" s="21" t="s">
        <v>157</v>
      </c>
      <c r="B53" s="22" t="s">
        <v>145</v>
      </c>
      <c r="C53" s="17" t="s">
        <v>146</v>
      </c>
      <c r="D53" s="17" t="s">
        <v>147</v>
      </c>
      <c r="E53" s="23">
        <v>270054</v>
      </c>
      <c r="F53" s="24">
        <v>4708.2564629999997</v>
      </c>
      <c r="G53" s="25">
        <v>5.7000000000000002E-3</v>
      </c>
      <c r="H53" s="26"/>
    </row>
    <row r="54" spans="1:8" ht="12.95" customHeight="1">
      <c r="A54" s="21" t="s">
        <v>160</v>
      </c>
      <c r="B54" s="22" t="s">
        <v>418</v>
      </c>
      <c r="C54" s="17" t="s">
        <v>423</v>
      </c>
      <c r="D54" s="17" t="s">
        <v>113</v>
      </c>
      <c r="E54" s="23">
        <v>394001</v>
      </c>
      <c r="F54" s="24">
        <v>4456.9393119999995</v>
      </c>
      <c r="G54" s="25">
        <v>5.4000000000000003E-3</v>
      </c>
      <c r="H54" s="26"/>
    </row>
    <row r="55" spans="1:8" ht="12.95" customHeight="1">
      <c r="A55" s="21" t="s">
        <v>163</v>
      </c>
      <c r="B55" s="22" t="s">
        <v>184</v>
      </c>
      <c r="C55" s="17" t="s">
        <v>185</v>
      </c>
      <c r="D55" s="17" t="s">
        <v>186</v>
      </c>
      <c r="E55" s="23">
        <v>728712</v>
      </c>
      <c r="F55" s="24">
        <v>4480.4857320000001</v>
      </c>
      <c r="G55" s="25">
        <v>5.4000000000000003E-3</v>
      </c>
      <c r="H55" s="26"/>
    </row>
    <row r="56" spans="1:8" ht="12.95" customHeight="1">
      <c r="A56" s="21" t="s">
        <v>166</v>
      </c>
      <c r="B56" s="22" t="s">
        <v>188</v>
      </c>
      <c r="C56" s="17" t="s">
        <v>189</v>
      </c>
      <c r="D56" s="17" t="s">
        <v>58</v>
      </c>
      <c r="E56" s="23">
        <v>193542</v>
      </c>
      <c r="F56" s="24">
        <v>4462.2075810000006</v>
      </c>
      <c r="G56" s="25">
        <v>5.4000000000000003E-3</v>
      </c>
      <c r="H56" s="26"/>
    </row>
    <row r="57" spans="1:8" ht="12.95" customHeight="1">
      <c r="A57" s="21" t="s">
        <v>170</v>
      </c>
      <c r="B57" s="22" t="s">
        <v>174</v>
      </c>
      <c r="C57" s="17" t="s">
        <v>175</v>
      </c>
      <c r="D57" s="17" t="s">
        <v>96</v>
      </c>
      <c r="E57" s="23">
        <v>1419098</v>
      </c>
      <c r="F57" s="24">
        <v>4411.9756820000002</v>
      </c>
      <c r="G57" s="25">
        <v>5.3E-3</v>
      </c>
      <c r="H57" s="26"/>
    </row>
    <row r="58" spans="1:8" ht="12.95" customHeight="1">
      <c r="A58" s="21" t="s">
        <v>173</v>
      </c>
      <c r="B58" s="22" t="s">
        <v>180</v>
      </c>
      <c r="C58" s="17" t="s">
        <v>181</v>
      </c>
      <c r="D58" s="17" t="s">
        <v>182</v>
      </c>
      <c r="E58" s="23">
        <v>1645552</v>
      </c>
      <c r="F58" s="24">
        <v>4279.2579759999999</v>
      </c>
      <c r="G58" s="25">
        <v>5.1999999999999998E-3</v>
      </c>
      <c r="H58" s="26"/>
    </row>
    <row r="59" spans="1:8" ht="12.95" customHeight="1">
      <c r="A59" s="21" t="s">
        <v>176</v>
      </c>
      <c r="B59" s="22" t="s">
        <v>177</v>
      </c>
      <c r="C59" s="17" t="s">
        <v>178</v>
      </c>
      <c r="D59" s="17" t="s">
        <v>131</v>
      </c>
      <c r="E59" s="23">
        <v>2090026</v>
      </c>
      <c r="F59" s="24">
        <v>4272.0131439999996</v>
      </c>
      <c r="G59" s="25">
        <v>5.1000000000000004E-3</v>
      </c>
      <c r="H59" s="26"/>
    </row>
    <row r="60" spans="1:8" ht="12.95" customHeight="1">
      <c r="A60" s="21" t="s">
        <v>179</v>
      </c>
      <c r="B60" s="22" t="s">
        <v>191</v>
      </c>
      <c r="C60" s="17" t="s">
        <v>192</v>
      </c>
      <c r="D60" s="17" t="s">
        <v>100</v>
      </c>
      <c r="E60" s="23">
        <v>4042828</v>
      </c>
      <c r="F60" s="24">
        <v>4196.4554639999997</v>
      </c>
      <c r="G60" s="25">
        <v>5.1000000000000004E-3</v>
      </c>
      <c r="H60" s="26"/>
    </row>
    <row r="61" spans="1:8" ht="12.95" customHeight="1">
      <c r="A61" s="21" t="s">
        <v>183</v>
      </c>
      <c r="B61" s="22" t="s">
        <v>167</v>
      </c>
      <c r="C61" s="17" t="s">
        <v>168</v>
      </c>
      <c r="D61" s="17" t="s">
        <v>169</v>
      </c>
      <c r="E61" s="23">
        <v>520619</v>
      </c>
      <c r="F61" s="24">
        <v>4252.6763014999997</v>
      </c>
      <c r="G61" s="25">
        <v>5.1000000000000004E-3</v>
      </c>
      <c r="H61" s="26"/>
    </row>
    <row r="62" spans="1:8" ht="12.95" customHeight="1">
      <c r="A62" s="21" t="s">
        <v>187</v>
      </c>
      <c r="B62" s="22" t="s">
        <v>417</v>
      </c>
      <c r="C62" s="17" t="s">
        <v>194</v>
      </c>
      <c r="D62" s="17" t="s">
        <v>14</v>
      </c>
      <c r="E62" s="23">
        <v>2474602</v>
      </c>
      <c r="F62" s="24">
        <v>3864.091023</v>
      </c>
      <c r="G62" s="25">
        <v>4.7000000000000002E-3</v>
      </c>
      <c r="H62" s="26"/>
    </row>
    <row r="63" spans="1:8" ht="12.95" customHeight="1">
      <c r="A63" s="21" t="s">
        <v>190</v>
      </c>
      <c r="B63" s="22" t="s">
        <v>416</v>
      </c>
      <c r="C63" s="17" t="s">
        <v>422</v>
      </c>
      <c r="D63" s="17" t="s">
        <v>424</v>
      </c>
      <c r="E63" s="23">
        <v>1020000</v>
      </c>
      <c r="F63" s="24">
        <v>3835.2</v>
      </c>
      <c r="G63" s="25">
        <v>4.5999999999999999E-3</v>
      </c>
      <c r="H63" s="26"/>
    </row>
    <row r="64" spans="1:8" ht="12.95" customHeight="1">
      <c r="A64" s="21" t="s">
        <v>193</v>
      </c>
      <c r="B64" s="22" t="s">
        <v>203</v>
      </c>
      <c r="C64" s="17" t="s">
        <v>204</v>
      </c>
      <c r="D64" s="17" t="s">
        <v>62</v>
      </c>
      <c r="E64" s="23">
        <v>595486</v>
      </c>
      <c r="F64" s="24">
        <v>3837.9072700000002</v>
      </c>
      <c r="G64" s="25">
        <v>4.5999999999999999E-3</v>
      </c>
      <c r="H64" s="26"/>
    </row>
    <row r="65" spans="1:8" ht="12.95" customHeight="1">
      <c r="A65" s="21" t="s">
        <v>195</v>
      </c>
      <c r="B65" s="22" t="s">
        <v>164</v>
      </c>
      <c r="C65" s="17" t="s">
        <v>165</v>
      </c>
      <c r="D65" s="17" t="s">
        <v>73</v>
      </c>
      <c r="E65" s="23">
        <v>368596</v>
      </c>
      <c r="F65" s="24">
        <v>3833.5826980000002</v>
      </c>
      <c r="G65" s="25">
        <v>4.5999999999999999E-3</v>
      </c>
      <c r="H65" s="26"/>
    </row>
    <row r="66" spans="1:8" ht="12.95" customHeight="1">
      <c r="A66" s="21" t="s">
        <v>198</v>
      </c>
      <c r="B66" s="22" t="s">
        <v>196</v>
      </c>
      <c r="C66" s="17" t="s">
        <v>197</v>
      </c>
      <c r="D66" s="17" t="s">
        <v>147</v>
      </c>
      <c r="E66" s="23">
        <v>230380</v>
      </c>
      <c r="F66" s="24">
        <v>3690.2268399999998</v>
      </c>
      <c r="G66" s="25">
        <v>4.4000000000000003E-3</v>
      </c>
      <c r="H66" s="26"/>
    </row>
    <row r="67" spans="1:8" ht="12.95" customHeight="1">
      <c r="A67" s="21" t="s">
        <v>202</v>
      </c>
      <c r="B67" s="22" t="s">
        <v>199</v>
      </c>
      <c r="C67" s="17" t="s">
        <v>200</v>
      </c>
      <c r="D67" s="17" t="s">
        <v>201</v>
      </c>
      <c r="E67" s="23">
        <v>8922</v>
      </c>
      <c r="F67" s="24">
        <v>3436.107555</v>
      </c>
      <c r="G67" s="25">
        <v>4.1000000000000003E-3</v>
      </c>
      <c r="H67" s="26"/>
    </row>
    <row r="68" spans="1:8" ht="12.95" customHeight="1">
      <c r="A68" s="21" t="s">
        <v>205</v>
      </c>
      <c r="B68" s="22" t="s">
        <v>206</v>
      </c>
      <c r="C68" s="17" t="s">
        <v>207</v>
      </c>
      <c r="D68" s="17" t="s">
        <v>73</v>
      </c>
      <c r="E68" s="23">
        <v>428838</v>
      </c>
      <c r="F68" s="24">
        <v>3257.6678669999997</v>
      </c>
      <c r="G68" s="25">
        <v>3.8999999999999998E-3</v>
      </c>
      <c r="H68" s="26"/>
    </row>
    <row r="69" spans="1:8" ht="12.95" customHeight="1">
      <c r="A69" s="21" t="s">
        <v>208</v>
      </c>
      <c r="B69" s="22" t="s">
        <v>407</v>
      </c>
      <c r="C69" s="17" t="s">
        <v>408</v>
      </c>
      <c r="D69" s="17" t="s">
        <v>54</v>
      </c>
      <c r="E69" s="23">
        <v>66721</v>
      </c>
      <c r="F69" s="24">
        <v>2764.5846350000002</v>
      </c>
      <c r="G69" s="25">
        <v>3.3E-3</v>
      </c>
      <c r="H69" s="26"/>
    </row>
    <row r="70" spans="1:8" ht="12.95" customHeight="1">
      <c r="A70" s="21" t="s">
        <v>212</v>
      </c>
      <c r="B70" s="22" t="s">
        <v>214</v>
      </c>
      <c r="C70" s="17" t="s">
        <v>215</v>
      </c>
      <c r="D70" s="17" t="s">
        <v>131</v>
      </c>
      <c r="E70" s="23">
        <v>160000</v>
      </c>
      <c r="F70" s="24">
        <v>2002.72</v>
      </c>
      <c r="G70" s="25">
        <v>2.3999999999999998E-3</v>
      </c>
      <c r="H70" s="26"/>
    </row>
    <row r="71" spans="1:8" ht="12.95" customHeight="1">
      <c r="A71" s="21" t="s">
        <v>213</v>
      </c>
      <c r="B71" s="22" t="s">
        <v>222</v>
      </c>
      <c r="C71" s="17" t="s">
        <v>223</v>
      </c>
      <c r="D71" s="17" t="s">
        <v>169</v>
      </c>
      <c r="E71" s="23">
        <v>1360564</v>
      </c>
      <c r="F71" s="24">
        <v>1967.375544</v>
      </c>
      <c r="G71" s="25">
        <v>2.3999999999999998E-3</v>
      </c>
      <c r="H71" s="26"/>
    </row>
    <row r="72" spans="1:8" ht="12.95" customHeight="1">
      <c r="A72" s="21" t="s">
        <v>216</v>
      </c>
      <c r="B72" s="22" t="s">
        <v>225</v>
      </c>
      <c r="C72" s="17" t="s">
        <v>226</v>
      </c>
      <c r="D72" s="17" t="s">
        <v>113</v>
      </c>
      <c r="E72" s="23">
        <v>300210</v>
      </c>
      <c r="F72" s="24">
        <v>1692.4338749999999</v>
      </c>
      <c r="G72" s="25">
        <v>2E-3</v>
      </c>
      <c r="H72" s="26"/>
    </row>
    <row r="73" spans="1:8" ht="12.95" customHeight="1">
      <c r="A73" s="21" t="s">
        <v>217</v>
      </c>
      <c r="B73" s="22" t="s">
        <v>228</v>
      </c>
      <c r="C73" s="17" t="s">
        <v>229</v>
      </c>
      <c r="D73" s="17" t="s">
        <v>182</v>
      </c>
      <c r="E73" s="23">
        <v>256042</v>
      </c>
      <c r="F73" s="24">
        <v>1411.0474619999998</v>
      </c>
      <c r="G73" s="25">
        <v>1.6999999999999999E-3</v>
      </c>
      <c r="H73" s="26"/>
    </row>
    <row r="74" spans="1:8" ht="12.95" customHeight="1">
      <c r="A74" s="21" t="s">
        <v>221</v>
      </c>
      <c r="B74" s="22" t="s">
        <v>218</v>
      </c>
      <c r="C74" s="17" t="s">
        <v>219</v>
      </c>
      <c r="D74" s="17" t="s">
        <v>220</v>
      </c>
      <c r="E74" s="23">
        <v>196316</v>
      </c>
      <c r="F74" s="24">
        <v>1247.490022</v>
      </c>
      <c r="G74" s="25">
        <v>1.5E-3</v>
      </c>
      <c r="H74" s="26"/>
    </row>
    <row r="75" spans="1:8" ht="12.95" customHeight="1">
      <c r="A75" s="21" t="s">
        <v>224</v>
      </c>
      <c r="B75" s="22" t="s">
        <v>171</v>
      </c>
      <c r="C75" s="17" t="s">
        <v>172</v>
      </c>
      <c r="D75" s="17" t="s">
        <v>73</v>
      </c>
      <c r="E75" s="23">
        <v>30635</v>
      </c>
      <c r="F75" s="24">
        <v>516.44483000000002</v>
      </c>
      <c r="G75" s="25">
        <v>5.9999999999999995E-4</v>
      </c>
      <c r="H75" s="26"/>
    </row>
    <row r="76" spans="1:8" ht="12.95" customHeight="1">
      <c r="A76" s="21" t="s">
        <v>227</v>
      </c>
      <c r="B76" s="22" t="s">
        <v>209</v>
      </c>
      <c r="C76" s="17" t="s">
        <v>210</v>
      </c>
      <c r="D76" s="17" t="s">
        <v>211</v>
      </c>
      <c r="E76" s="23">
        <v>1</v>
      </c>
      <c r="F76" s="24">
        <v>0.26580300000000001</v>
      </c>
      <c r="G76" s="25">
        <v>0</v>
      </c>
      <c r="H76" s="26"/>
    </row>
    <row r="77" spans="1:8" ht="12.95" customHeight="1">
      <c r="A77" s="2"/>
      <c r="B77" s="16" t="s">
        <v>230</v>
      </c>
      <c r="C77" s="17"/>
      <c r="D77" s="17"/>
      <c r="E77" s="17"/>
      <c r="F77" s="27">
        <f>SUM(F11:F76)</f>
        <v>600725.46239249967</v>
      </c>
      <c r="G77" s="28">
        <f>SUM(G11:G76)</f>
        <v>0.72309999999999997</v>
      </c>
      <c r="H77" s="29"/>
    </row>
    <row r="78" spans="1:8" ht="12.95" customHeight="1">
      <c r="A78" s="2"/>
      <c r="B78" s="30" t="s">
        <v>231</v>
      </c>
      <c r="C78" s="31"/>
      <c r="D78" s="31"/>
      <c r="E78" s="31"/>
      <c r="F78" s="32" t="s">
        <v>232</v>
      </c>
      <c r="G78" s="28" t="s">
        <v>232</v>
      </c>
      <c r="H78" s="29"/>
    </row>
    <row r="79" spans="1:8" ht="12.95" customHeight="1">
      <c r="A79" s="2"/>
      <c r="B79" s="30" t="s">
        <v>230</v>
      </c>
      <c r="C79" s="31"/>
      <c r="D79" s="31"/>
      <c r="E79" s="31"/>
      <c r="F79" s="32" t="s">
        <v>232</v>
      </c>
      <c r="G79" s="28" t="s">
        <v>232</v>
      </c>
      <c r="H79" s="29"/>
    </row>
    <row r="80" spans="1:8" ht="12.95" customHeight="1">
      <c r="A80" s="2"/>
      <c r="B80" s="30" t="s">
        <v>233</v>
      </c>
      <c r="C80" s="33"/>
      <c r="D80" s="31"/>
      <c r="E80" s="33"/>
      <c r="F80" s="27">
        <f t="shared" ref="F80:G80" si="0">F77</f>
        <v>600725.46239249967</v>
      </c>
      <c r="G80" s="28">
        <f t="shared" si="0"/>
        <v>0.72309999999999997</v>
      </c>
      <c r="H80" s="29"/>
    </row>
    <row r="81" spans="1:8" ht="12.95" customHeight="1">
      <c r="A81" s="2"/>
      <c r="B81" s="16" t="s">
        <v>234</v>
      </c>
      <c r="C81" s="17"/>
      <c r="D81" s="17"/>
      <c r="E81" s="17"/>
      <c r="F81" s="18"/>
      <c r="G81" s="19"/>
      <c r="H81" s="20"/>
    </row>
    <row r="82" spans="1:8" ht="12.95" customHeight="1">
      <c r="A82" s="2"/>
      <c r="B82" s="16" t="s">
        <v>235</v>
      </c>
      <c r="C82" s="17"/>
      <c r="D82" s="17"/>
      <c r="E82" s="17"/>
      <c r="F82" s="18"/>
      <c r="G82" s="19"/>
      <c r="H82" s="20"/>
    </row>
    <row r="83" spans="1:8" ht="12.95" customHeight="1">
      <c r="A83" s="21" t="s">
        <v>236</v>
      </c>
      <c r="B83" s="22" t="s">
        <v>468</v>
      </c>
      <c r="C83" s="17" t="s">
        <v>237</v>
      </c>
      <c r="D83" s="17" t="s">
        <v>238</v>
      </c>
      <c r="E83" s="23">
        <v>24000000</v>
      </c>
      <c r="F83" s="24">
        <v>24107.4</v>
      </c>
      <c r="G83" s="25">
        <v>2.9000000000000001E-2</v>
      </c>
      <c r="H83" s="26">
        <v>7.319880910449994E-2</v>
      </c>
    </row>
    <row r="84" spans="1:8" ht="12.95" customHeight="1">
      <c r="A84" s="21" t="s">
        <v>239</v>
      </c>
      <c r="B84" s="22" t="s">
        <v>465</v>
      </c>
      <c r="C84" s="17" t="s">
        <v>240</v>
      </c>
      <c r="D84" s="17" t="s">
        <v>238</v>
      </c>
      <c r="E84" s="23">
        <v>13600000</v>
      </c>
      <c r="F84" s="24">
        <v>13720.564</v>
      </c>
      <c r="G84" s="25">
        <v>1.6500000000000001E-2</v>
      </c>
      <c r="H84" s="26">
        <v>7.2116160165124871E-2</v>
      </c>
    </row>
    <row r="85" spans="1:8" ht="12.95" customHeight="1">
      <c r="A85" s="21" t="s">
        <v>241</v>
      </c>
      <c r="B85" s="22" t="s">
        <v>466</v>
      </c>
      <c r="C85" s="17" t="s">
        <v>242</v>
      </c>
      <c r="D85" s="17" t="s">
        <v>238</v>
      </c>
      <c r="E85" s="23">
        <v>8850000</v>
      </c>
      <c r="F85" s="24">
        <v>8875.5853499999994</v>
      </c>
      <c r="G85" s="25">
        <v>1.0699999999999999E-2</v>
      </c>
      <c r="H85" s="26">
        <v>7.3424233922000065E-2</v>
      </c>
    </row>
    <row r="86" spans="1:8" ht="12.95" customHeight="1">
      <c r="A86" s="21" t="s">
        <v>243</v>
      </c>
      <c r="B86" s="22" t="s">
        <v>469</v>
      </c>
      <c r="C86" s="17" t="s">
        <v>250</v>
      </c>
      <c r="D86" s="17" t="s">
        <v>238</v>
      </c>
      <c r="E86" s="23">
        <v>5400000</v>
      </c>
      <c r="F86" s="24">
        <v>5394.3894</v>
      </c>
      <c r="G86" s="25">
        <v>6.4999999999999997E-3</v>
      </c>
      <c r="H86" s="26">
        <v>7.2098859042000016E-2</v>
      </c>
    </row>
    <row r="87" spans="1:8" ht="12.95" customHeight="1">
      <c r="A87" s="21" t="s">
        <v>246</v>
      </c>
      <c r="B87" s="22" t="s">
        <v>473</v>
      </c>
      <c r="C87" s="17" t="s">
        <v>247</v>
      </c>
      <c r="D87" s="17" t="s">
        <v>248</v>
      </c>
      <c r="E87" s="23">
        <v>5000000</v>
      </c>
      <c r="F87" s="24">
        <v>5421.0950000000003</v>
      </c>
      <c r="G87" s="25">
        <v>6.4999999999999997E-3</v>
      </c>
      <c r="H87" s="26">
        <v>8.6599999999999996E-2</v>
      </c>
    </row>
    <row r="88" spans="1:8" ht="12.95" customHeight="1">
      <c r="A88" s="21" t="s">
        <v>249</v>
      </c>
      <c r="B88" s="22" t="s">
        <v>429</v>
      </c>
      <c r="C88" s="17" t="s">
        <v>475</v>
      </c>
      <c r="D88" s="17" t="s">
        <v>248</v>
      </c>
      <c r="E88" s="23">
        <v>5000000</v>
      </c>
      <c r="F88" s="24">
        <v>4996.1350000000002</v>
      </c>
      <c r="G88" s="25">
        <v>6.0000000000000001E-3</v>
      </c>
      <c r="H88" s="26">
        <v>8.5221999999999992E-2</v>
      </c>
    </row>
    <row r="89" spans="1:8" ht="12.95" customHeight="1">
      <c r="A89" s="21" t="s">
        <v>251</v>
      </c>
      <c r="B89" s="22" t="s">
        <v>445</v>
      </c>
      <c r="C89" s="17" t="s">
        <v>258</v>
      </c>
      <c r="D89" s="17" t="s">
        <v>253</v>
      </c>
      <c r="E89" s="23">
        <v>5000000</v>
      </c>
      <c r="F89" s="24">
        <v>4967.5950000000003</v>
      </c>
      <c r="G89" s="25">
        <v>6.0000000000000001E-3</v>
      </c>
      <c r="H89" s="26">
        <v>8.5199999999999998E-2</v>
      </c>
    </row>
    <row r="90" spans="1:8" ht="12.95" customHeight="1">
      <c r="A90" s="21" t="s">
        <v>254</v>
      </c>
      <c r="B90" s="22" t="s">
        <v>446</v>
      </c>
      <c r="C90" s="17" t="s">
        <v>256</v>
      </c>
      <c r="D90" s="17" t="s">
        <v>253</v>
      </c>
      <c r="E90" s="23">
        <v>5000000</v>
      </c>
      <c r="F90" s="24">
        <v>4959.7950000000001</v>
      </c>
      <c r="G90" s="25">
        <v>6.0000000000000001E-3</v>
      </c>
      <c r="H90" s="26">
        <v>8.7499999999999994E-2</v>
      </c>
    </row>
    <row r="91" spans="1:8" ht="12.95" customHeight="1">
      <c r="A91" s="21" t="s">
        <v>255</v>
      </c>
      <c r="B91" s="22" t="s">
        <v>450</v>
      </c>
      <c r="C91" s="17" t="s">
        <v>262</v>
      </c>
      <c r="D91" s="17" t="s">
        <v>245</v>
      </c>
      <c r="E91" s="23">
        <v>5000000</v>
      </c>
      <c r="F91" s="24">
        <v>4956.92</v>
      </c>
      <c r="G91" s="25">
        <v>6.0000000000000001E-3</v>
      </c>
      <c r="H91" s="26">
        <v>7.8E-2</v>
      </c>
    </row>
    <row r="92" spans="1:8" ht="12.95" customHeight="1">
      <c r="A92" s="21" t="s">
        <v>257</v>
      </c>
      <c r="B92" s="22" t="s">
        <v>462</v>
      </c>
      <c r="C92" s="17" t="s">
        <v>252</v>
      </c>
      <c r="D92" s="17" t="s">
        <v>253</v>
      </c>
      <c r="E92" s="23">
        <v>5000000</v>
      </c>
      <c r="F92" s="24">
        <v>5002.12</v>
      </c>
      <c r="G92" s="25">
        <v>6.0000000000000001E-3</v>
      </c>
      <c r="H92" s="26">
        <v>8.8999999999999996E-2</v>
      </c>
    </row>
    <row r="93" spans="1:8" ht="12.95" customHeight="1">
      <c r="A93" s="21" t="s">
        <v>259</v>
      </c>
      <c r="B93" s="22" t="s">
        <v>455</v>
      </c>
      <c r="C93" s="17" t="s">
        <v>264</v>
      </c>
      <c r="D93" s="17" t="s">
        <v>245</v>
      </c>
      <c r="E93" s="23">
        <v>5000000</v>
      </c>
      <c r="F93" s="24">
        <v>4918.33</v>
      </c>
      <c r="G93" s="25">
        <v>5.8999999999999999E-3</v>
      </c>
      <c r="H93" s="26">
        <v>7.6749999999999999E-2</v>
      </c>
    </row>
    <row r="94" spans="1:8" ht="12.95" customHeight="1">
      <c r="A94" s="21" t="s">
        <v>261</v>
      </c>
      <c r="B94" s="22" t="s">
        <v>471</v>
      </c>
      <c r="C94" s="17" t="s">
        <v>355</v>
      </c>
      <c r="D94" s="17" t="s">
        <v>238</v>
      </c>
      <c r="E94" s="23">
        <v>4250000</v>
      </c>
      <c r="F94" s="24">
        <v>4250.6757500000003</v>
      </c>
      <c r="G94" s="25">
        <v>5.1000000000000004E-3</v>
      </c>
      <c r="H94" s="26">
        <v>7.3047187199999877E-2</v>
      </c>
    </row>
    <row r="95" spans="1:8" ht="12.95" customHeight="1">
      <c r="A95" s="21" t="s">
        <v>263</v>
      </c>
      <c r="B95" s="22" t="s">
        <v>467</v>
      </c>
      <c r="C95" s="17" t="s">
        <v>266</v>
      </c>
      <c r="D95" s="17" t="s">
        <v>238</v>
      </c>
      <c r="E95" s="23">
        <v>4000000</v>
      </c>
      <c r="F95" s="24">
        <v>4047.788</v>
      </c>
      <c r="G95" s="25">
        <v>4.8999999999999998E-3</v>
      </c>
      <c r="H95" s="26">
        <v>7.3976879956125036E-2</v>
      </c>
    </row>
    <row r="96" spans="1:8" ht="12.95" customHeight="1">
      <c r="A96" s="21" t="s">
        <v>265</v>
      </c>
      <c r="B96" s="22" t="s">
        <v>430</v>
      </c>
      <c r="C96" s="17" t="s">
        <v>270</v>
      </c>
      <c r="D96" s="17" t="s">
        <v>248</v>
      </c>
      <c r="E96" s="23">
        <v>4000000</v>
      </c>
      <c r="F96" s="24">
        <v>3972.02</v>
      </c>
      <c r="G96" s="25">
        <v>4.7999999999999996E-3</v>
      </c>
      <c r="H96" s="26">
        <v>8.3858999999999989E-2</v>
      </c>
    </row>
    <row r="97" spans="1:8" ht="12.95" customHeight="1">
      <c r="A97" s="21" t="s">
        <v>267</v>
      </c>
      <c r="B97" s="22" t="s">
        <v>433</v>
      </c>
      <c r="C97" s="17" t="s">
        <v>268</v>
      </c>
      <c r="D97" s="17" t="s">
        <v>248</v>
      </c>
      <c r="E97" s="23">
        <v>4000000</v>
      </c>
      <c r="F97" s="24">
        <v>3979.7280000000001</v>
      </c>
      <c r="G97" s="25">
        <v>4.7999999999999996E-3</v>
      </c>
      <c r="H97" s="26">
        <v>8.4857999999999989E-2</v>
      </c>
    </row>
    <row r="98" spans="1:8" ht="12.95" customHeight="1">
      <c r="A98" s="21" t="s">
        <v>269</v>
      </c>
      <c r="B98" s="22" t="s">
        <v>458</v>
      </c>
      <c r="C98" s="17" t="s">
        <v>272</v>
      </c>
      <c r="D98" s="17" t="s">
        <v>245</v>
      </c>
      <c r="E98" s="23">
        <v>4000000</v>
      </c>
      <c r="F98" s="24">
        <v>3810.3560000000002</v>
      </c>
      <c r="G98" s="25">
        <v>4.5999999999999999E-3</v>
      </c>
      <c r="H98" s="26">
        <v>7.7130000000000004E-2</v>
      </c>
    </row>
    <row r="99" spans="1:8" ht="12.95" customHeight="1">
      <c r="A99" s="21" t="s">
        <v>271</v>
      </c>
      <c r="B99" s="22" t="s">
        <v>447</v>
      </c>
      <c r="C99" s="17" t="s">
        <v>274</v>
      </c>
      <c r="D99" s="17" t="s">
        <v>253</v>
      </c>
      <c r="E99" s="23">
        <v>3500000</v>
      </c>
      <c r="F99" s="24">
        <v>3472.0875000000001</v>
      </c>
      <c r="G99" s="25">
        <v>4.1999999999999997E-3</v>
      </c>
      <c r="H99" s="26">
        <v>8.7499999999999994E-2</v>
      </c>
    </row>
    <row r="100" spans="1:8" ht="12.95" customHeight="1">
      <c r="A100" s="21" t="s">
        <v>273</v>
      </c>
      <c r="B100" s="22" t="s">
        <v>444</v>
      </c>
      <c r="C100" s="17" t="s">
        <v>276</v>
      </c>
      <c r="D100" s="17" t="s">
        <v>277</v>
      </c>
      <c r="E100" s="23">
        <v>3000000</v>
      </c>
      <c r="F100" s="24">
        <v>2997.7379999999998</v>
      </c>
      <c r="G100" s="25">
        <v>3.5999999999999999E-3</v>
      </c>
      <c r="H100" s="26">
        <v>9.4899999999999998E-2</v>
      </c>
    </row>
    <row r="101" spans="1:8" ht="12.95" customHeight="1">
      <c r="A101" s="21" t="s">
        <v>275</v>
      </c>
      <c r="B101" s="22" t="s">
        <v>461</v>
      </c>
      <c r="C101" s="17" t="s">
        <v>244</v>
      </c>
      <c r="D101" s="17" t="s">
        <v>245</v>
      </c>
      <c r="E101" s="23">
        <v>2800000</v>
      </c>
      <c r="F101" s="24">
        <v>2797.998</v>
      </c>
      <c r="G101" s="25">
        <v>3.3999999999999998E-3</v>
      </c>
      <c r="H101" s="26">
        <v>7.9000000000000001E-2</v>
      </c>
    </row>
    <row r="102" spans="1:8" ht="12.95" customHeight="1">
      <c r="A102" s="21" t="s">
        <v>278</v>
      </c>
      <c r="B102" s="22" t="s">
        <v>427</v>
      </c>
      <c r="C102" s="17" t="s">
        <v>474</v>
      </c>
      <c r="D102" s="17" t="s">
        <v>253</v>
      </c>
      <c r="E102" s="23">
        <v>2500000</v>
      </c>
      <c r="F102" s="24">
        <v>2507.2325000000001</v>
      </c>
      <c r="G102" s="25">
        <v>3.0000000000000001E-3</v>
      </c>
      <c r="H102" s="26">
        <v>8.7150000000000005E-2</v>
      </c>
    </row>
    <row r="103" spans="1:8" ht="12.95" customHeight="1">
      <c r="A103" s="21" t="s">
        <v>280</v>
      </c>
      <c r="B103" s="22" t="s">
        <v>432</v>
      </c>
      <c r="C103" s="17" t="s">
        <v>286</v>
      </c>
      <c r="D103" s="17" t="s">
        <v>245</v>
      </c>
      <c r="E103" s="23">
        <v>2500000</v>
      </c>
      <c r="F103" s="24">
        <v>2486.8874999999998</v>
      </c>
      <c r="G103" s="25">
        <v>3.0000000000000001E-3</v>
      </c>
      <c r="H103" s="26">
        <v>8.4192000000000003E-2</v>
      </c>
    </row>
    <row r="104" spans="1:8" ht="12.95" customHeight="1">
      <c r="A104" s="21" t="s">
        <v>283</v>
      </c>
      <c r="B104" s="22" t="s">
        <v>437</v>
      </c>
      <c r="C104" s="17" t="s">
        <v>281</v>
      </c>
      <c r="D104" s="17" t="s">
        <v>282</v>
      </c>
      <c r="E104" s="23">
        <v>2500000</v>
      </c>
      <c r="F104" s="24">
        <v>2494.7224999999999</v>
      </c>
      <c r="G104" s="25">
        <v>3.0000000000000001E-3</v>
      </c>
      <c r="H104" s="26">
        <v>9.3299999999999994E-2</v>
      </c>
    </row>
    <row r="105" spans="1:8" ht="12.95" customHeight="1">
      <c r="A105" s="21" t="s">
        <v>285</v>
      </c>
      <c r="B105" s="22" t="s">
        <v>439</v>
      </c>
      <c r="C105" s="17" t="s">
        <v>279</v>
      </c>
      <c r="D105" s="17" t="s">
        <v>245</v>
      </c>
      <c r="E105" s="23">
        <v>2500000</v>
      </c>
      <c r="F105" s="24">
        <v>2499.3175000000001</v>
      </c>
      <c r="G105" s="25">
        <v>3.0000000000000001E-3</v>
      </c>
      <c r="H105" s="26">
        <v>7.7149999999999996E-2</v>
      </c>
    </row>
    <row r="106" spans="1:8" ht="12.95" customHeight="1">
      <c r="A106" s="21" t="s">
        <v>287</v>
      </c>
      <c r="B106" s="22" t="s">
        <v>459</v>
      </c>
      <c r="C106" s="17" t="s">
        <v>284</v>
      </c>
      <c r="D106" s="17" t="s">
        <v>245</v>
      </c>
      <c r="E106" s="23">
        <v>2500000</v>
      </c>
      <c r="F106" s="24">
        <v>2492.1875</v>
      </c>
      <c r="G106" s="25">
        <v>3.0000000000000001E-3</v>
      </c>
      <c r="H106" s="26">
        <v>7.7399999999999997E-2</v>
      </c>
    </row>
    <row r="107" spans="1:8" ht="12.95" customHeight="1">
      <c r="A107" s="21" t="s">
        <v>290</v>
      </c>
      <c r="B107" s="22" t="s">
        <v>460</v>
      </c>
      <c r="C107" s="17" t="s">
        <v>293</v>
      </c>
      <c r="D107" s="17" t="s">
        <v>245</v>
      </c>
      <c r="E107" s="23">
        <v>2500000</v>
      </c>
      <c r="F107" s="24">
        <v>2472.2424999999998</v>
      </c>
      <c r="G107" s="25">
        <v>3.0000000000000001E-3</v>
      </c>
      <c r="H107" s="26">
        <v>7.6880000000000004E-2</v>
      </c>
    </row>
    <row r="108" spans="1:8" ht="12.95" customHeight="1">
      <c r="A108" s="21" t="s">
        <v>292</v>
      </c>
      <c r="B108" s="22" t="s">
        <v>464</v>
      </c>
      <c r="C108" s="17" t="s">
        <v>291</v>
      </c>
      <c r="D108" s="17" t="s">
        <v>260</v>
      </c>
      <c r="E108" s="23">
        <v>2500000</v>
      </c>
      <c r="F108" s="24">
        <v>2478.96</v>
      </c>
      <c r="G108" s="25">
        <v>3.0000000000000001E-3</v>
      </c>
      <c r="H108" s="26">
        <v>7.7483999999999997E-2</v>
      </c>
    </row>
    <row r="109" spans="1:8" ht="12.95" customHeight="1">
      <c r="A109" s="21" t="s">
        <v>294</v>
      </c>
      <c r="B109" s="22" t="s">
        <v>288</v>
      </c>
      <c r="C109" s="17" t="s">
        <v>289</v>
      </c>
      <c r="D109" s="17" t="s">
        <v>238</v>
      </c>
      <c r="E109" s="23">
        <v>2500000</v>
      </c>
      <c r="F109" s="24">
        <v>2500.9450000000002</v>
      </c>
      <c r="G109" s="25">
        <v>3.0000000000000001E-3</v>
      </c>
      <c r="H109" s="26">
        <v>7.6176175391999973E-2</v>
      </c>
    </row>
    <row r="110" spans="1:8" ht="12.95" customHeight="1">
      <c r="A110" s="21" t="s">
        <v>296</v>
      </c>
      <c r="B110" s="22" t="s">
        <v>428</v>
      </c>
      <c r="C110" s="17" t="s">
        <v>295</v>
      </c>
      <c r="D110" s="17" t="s">
        <v>245</v>
      </c>
      <c r="E110" s="23">
        <v>2200000</v>
      </c>
      <c r="F110" s="24">
        <v>2195.6242000000002</v>
      </c>
      <c r="G110" s="25">
        <v>2.5999999999999999E-3</v>
      </c>
      <c r="H110" s="26">
        <v>0.08</v>
      </c>
    </row>
    <row r="111" spans="1:8" ht="12.95" customHeight="1">
      <c r="A111" s="21" t="s">
        <v>298</v>
      </c>
      <c r="B111" s="22" t="s">
        <v>425</v>
      </c>
      <c r="C111" s="17" t="s">
        <v>297</v>
      </c>
      <c r="D111" s="17" t="s">
        <v>245</v>
      </c>
      <c r="E111" s="23">
        <v>2000000</v>
      </c>
      <c r="F111" s="24">
        <v>1992.962</v>
      </c>
      <c r="G111" s="25">
        <v>2.3999999999999998E-3</v>
      </c>
      <c r="H111" s="26">
        <v>8.09E-2</v>
      </c>
    </row>
    <row r="112" spans="1:8" ht="12.95" customHeight="1">
      <c r="A112" s="21" t="s">
        <v>300</v>
      </c>
      <c r="B112" s="22" t="s">
        <v>470</v>
      </c>
      <c r="C112" s="17" t="s">
        <v>476</v>
      </c>
      <c r="D112" s="17" t="s">
        <v>238</v>
      </c>
      <c r="E112" s="23">
        <v>2000000</v>
      </c>
      <c r="F112" s="24">
        <v>1980.6120000000001</v>
      </c>
      <c r="G112" s="25">
        <v>2.3999999999999998E-3</v>
      </c>
      <c r="H112" s="26">
        <v>7.425882988012486E-2</v>
      </c>
    </row>
    <row r="113" spans="1:8" ht="12.95" customHeight="1">
      <c r="A113" s="21" t="s">
        <v>302</v>
      </c>
      <c r="B113" s="22" t="s">
        <v>452</v>
      </c>
      <c r="C113" s="17" t="s">
        <v>299</v>
      </c>
      <c r="D113" s="17" t="s">
        <v>260</v>
      </c>
      <c r="E113" s="23">
        <v>1800000</v>
      </c>
      <c r="F113" s="24">
        <v>1794.7601999999999</v>
      </c>
      <c r="G113" s="25">
        <v>2.2000000000000001E-3</v>
      </c>
      <c r="H113" s="26">
        <v>7.4051999999999993E-2</v>
      </c>
    </row>
    <row r="114" spans="1:8" ht="12.95" customHeight="1">
      <c r="A114" s="21" t="s">
        <v>304</v>
      </c>
      <c r="B114" s="22" t="s">
        <v>443</v>
      </c>
      <c r="C114" s="17" t="s">
        <v>301</v>
      </c>
      <c r="D114" s="17" t="s">
        <v>245</v>
      </c>
      <c r="E114" s="23">
        <v>1500000</v>
      </c>
      <c r="F114" s="24">
        <v>1493.0640000000001</v>
      </c>
      <c r="G114" s="25">
        <v>1.8E-3</v>
      </c>
      <c r="H114" s="26">
        <v>7.9500000000000001E-2</v>
      </c>
    </row>
    <row r="115" spans="1:8" ht="12.95" customHeight="1">
      <c r="A115" s="21" t="s">
        <v>306</v>
      </c>
      <c r="B115" s="22" t="s">
        <v>448</v>
      </c>
      <c r="C115" s="17" t="s">
        <v>307</v>
      </c>
      <c r="D115" s="17" t="s">
        <v>245</v>
      </c>
      <c r="E115" s="23">
        <v>1500000</v>
      </c>
      <c r="F115" s="24">
        <v>1460.9745</v>
      </c>
      <c r="G115" s="25">
        <v>1.8E-3</v>
      </c>
      <c r="H115" s="26">
        <v>7.8149999999999997E-2</v>
      </c>
    </row>
    <row r="116" spans="1:8" ht="12.95" customHeight="1">
      <c r="A116" s="21" t="s">
        <v>308</v>
      </c>
      <c r="B116" s="22" t="s">
        <v>449</v>
      </c>
      <c r="C116" s="17" t="s">
        <v>409</v>
      </c>
      <c r="D116" s="17" t="s">
        <v>245</v>
      </c>
      <c r="E116" s="23">
        <v>1500000</v>
      </c>
      <c r="F116" s="24">
        <v>1489.1234999999999</v>
      </c>
      <c r="G116" s="25">
        <v>1.8E-3</v>
      </c>
      <c r="H116" s="26">
        <v>7.7800000000000008E-2</v>
      </c>
    </row>
    <row r="117" spans="1:8" ht="12.95" customHeight="1">
      <c r="A117" s="21" t="s">
        <v>310</v>
      </c>
      <c r="B117" s="22" t="s">
        <v>457</v>
      </c>
      <c r="C117" s="17" t="s">
        <v>305</v>
      </c>
      <c r="D117" s="17" t="s">
        <v>245</v>
      </c>
      <c r="E117" s="23">
        <v>1500000</v>
      </c>
      <c r="F117" s="24">
        <v>1484.4105</v>
      </c>
      <c r="G117" s="25">
        <v>1.8E-3</v>
      </c>
      <c r="H117" s="26">
        <v>7.7899999999999997E-2</v>
      </c>
    </row>
    <row r="118" spans="1:8" ht="12.95" customHeight="1">
      <c r="A118" s="21" t="s">
        <v>312</v>
      </c>
      <c r="B118" s="22" t="s">
        <v>472</v>
      </c>
      <c r="C118" s="17" t="s">
        <v>303</v>
      </c>
      <c r="D118" s="17" t="s">
        <v>245</v>
      </c>
      <c r="E118" s="23">
        <v>150000000</v>
      </c>
      <c r="F118" s="24">
        <v>1492.5764999999999</v>
      </c>
      <c r="G118" s="25">
        <v>1.8E-3</v>
      </c>
      <c r="H118" s="26">
        <v>7.6100000000000001E-2</v>
      </c>
    </row>
    <row r="119" spans="1:8" ht="12.95" customHeight="1">
      <c r="A119" s="21" t="s">
        <v>315</v>
      </c>
      <c r="B119" s="22" t="s">
        <v>426</v>
      </c>
      <c r="C119" s="17" t="s">
        <v>309</v>
      </c>
      <c r="D119" s="17" t="s">
        <v>253</v>
      </c>
      <c r="E119" s="23">
        <v>1250000</v>
      </c>
      <c r="F119" s="24">
        <v>1249.075</v>
      </c>
      <c r="G119" s="25">
        <v>1.5E-3</v>
      </c>
      <c r="H119" s="26">
        <v>8.7050000000000002E-2</v>
      </c>
    </row>
    <row r="120" spans="1:8" ht="12.95" customHeight="1">
      <c r="A120" s="21" t="s">
        <v>318</v>
      </c>
      <c r="B120" s="22" t="s">
        <v>451</v>
      </c>
      <c r="C120" s="17" t="s">
        <v>311</v>
      </c>
      <c r="D120" s="17" t="s">
        <v>245</v>
      </c>
      <c r="E120" s="23">
        <v>1250000</v>
      </c>
      <c r="F120" s="24">
        <v>1244.2462499999999</v>
      </c>
      <c r="G120" s="25">
        <v>1.5E-3</v>
      </c>
      <c r="H120" s="26">
        <v>7.7800000000000008E-2</v>
      </c>
    </row>
    <row r="121" spans="1:8" ht="12.95" customHeight="1">
      <c r="A121" s="21" t="s">
        <v>321</v>
      </c>
      <c r="B121" s="22" t="s">
        <v>313</v>
      </c>
      <c r="C121" s="17" t="s">
        <v>314</v>
      </c>
      <c r="D121" s="17" t="s">
        <v>238</v>
      </c>
      <c r="E121" s="23">
        <v>1100000</v>
      </c>
      <c r="F121" s="24">
        <v>1081.8588</v>
      </c>
      <c r="G121" s="25">
        <v>1.2999999999999999E-3</v>
      </c>
      <c r="H121" s="26">
        <v>7.5691272755125022E-2</v>
      </c>
    </row>
    <row r="122" spans="1:8" ht="12.95" customHeight="1">
      <c r="A122" s="21" t="s">
        <v>323</v>
      </c>
      <c r="B122" s="22" t="s">
        <v>431</v>
      </c>
      <c r="C122" s="17" t="s">
        <v>410</v>
      </c>
      <c r="D122" s="17" t="s">
        <v>245</v>
      </c>
      <c r="E122" s="23">
        <v>1000000</v>
      </c>
      <c r="F122" s="24">
        <v>985.31500000000005</v>
      </c>
      <c r="G122" s="25">
        <v>1.1999999999999999E-3</v>
      </c>
      <c r="H122" s="26">
        <v>8.4338999999999997E-2</v>
      </c>
    </row>
    <row r="123" spans="1:8" ht="12.95" customHeight="1">
      <c r="A123" s="21" t="s">
        <v>325</v>
      </c>
      <c r="B123" s="22" t="s">
        <v>434</v>
      </c>
      <c r="C123" s="17" t="s">
        <v>322</v>
      </c>
      <c r="D123" s="17" t="s">
        <v>245</v>
      </c>
      <c r="E123" s="23">
        <v>1000000</v>
      </c>
      <c r="F123" s="24">
        <v>998.21199999999999</v>
      </c>
      <c r="G123" s="25">
        <v>1.1999999999999999E-3</v>
      </c>
      <c r="H123" s="26">
        <v>8.0387E-2</v>
      </c>
    </row>
    <row r="124" spans="1:8" ht="12.95" customHeight="1">
      <c r="A124" s="21" t="s">
        <v>326</v>
      </c>
      <c r="B124" s="22" t="s">
        <v>442</v>
      </c>
      <c r="C124" s="17" t="s">
        <v>335</v>
      </c>
      <c r="D124" s="17" t="s">
        <v>245</v>
      </c>
      <c r="E124" s="23">
        <v>1000000</v>
      </c>
      <c r="F124" s="24">
        <v>967.04399999999998</v>
      </c>
      <c r="G124" s="25">
        <v>1.1999999999999999E-3</v>
      </c>
      <c r="H124" s="26">
        <v>7.9000000000000001E-2</v>
      </c>
    </row>
    <row r="125" spans="1:8" ht="12.95" customHeight="1">
      <c r="A125" s="21" t="s">
        <v>327</v>
      </c>
      <c r="B125" s="22" t="s">
        <v>453</v>
      </c>
      <c r="C125" s="17" t="s">
        <v>337</v>
      </c>
      <c r="D125" s="17" t="s">
        <v>245</v>
      </c>
      <c r="E125" s="23">
        <v>1000000</v>
      </c>
      <c r="F125" s="24">
        <v>961.572</v>
      </c>
      <c r="G125" s="25">
        <v>1.1999999999999999E-3</v>
      </c>
      <c r="H125" s="26">
        <v>7.7249999999999999E-2</v>
      </c>
    </row>
    <row r="126" spans="1:8" ht="12.95" customHeight="1">
      <c r="A126" s="21" t="s">
        <v>330</v>
      </c>
      <c r="B126" s="22" t="s">
        <v>454</v>
      </c>
      <c r="C126" s="17" t="s">
        <v>332</v>
      </c>
      <c r="D126" s="17" t="s">
        <v>245</v>
      </c>
      <c r="E126" s="23">
        <v>1000000</v>
      </c>
      <c r="F126" s="24">
        <v>990.29600000000005</v>
      </c>
      <c r="G126" s="25">
        <v>1.1999999999999999E-3</v>
      </c>
      <c r="H126" s="26">
        <v>7.7549999999999994E-2</v>
      </c>
    </row>
    <row r="127" spans="1:8" ht="12.95" customHeight="1">
      <c r="A127" s="21" t="s">
        <v>331</v>
      </c>
      <c r="B127" s="22" t="s">
        <v>456</v>
      </c>
      <c r="C127" s="17" t="s">
        <v>324</v>
      </c>
      <c r="D127" s="17" t="s">
        <v>245</v>
      </c>
      <c r="E127" s="23">
        <v>1000000</v>
      </c>
      <c r="F127" s="24">
        <v>999.52300000000002</v>
      </c>
      <c r="G127" s="25">
        <v>1.1999999999999999E-3</v>
      </c>
      <c r="H127" s="26">
        <v>7.7199999999999991E-2</v>
      </c>
    </row>
    <row r="128" spans="1:8" ht="12.95" customHeight="1">
      <c r="A128" s="21" t="s">
        <v>333</v>
      </c>
      <c r="B128" s="22" t="s">
        <v>463</v>
      </c>
      <c r="C128" s="17" t="s">
        <v>328</v>
      </c>
      <c r="D128" s="17" t="s">
        <v>329</v>
      </c>
      <c r="E128" s="23">
        <v>1000000</v>
      </c>
      <c r="F128" s="24">
        <v>994.24699999999996</v>
      </c>
      <c r="G128" s="25">
        <v>1.1999999999999999E-3</v>
      </c>
      <c r="H128" s="26">
        <v>7.46E-2</v>
      </c>
    </row>
    <row r="129" spans="1:8" ht="12.95" customHeight="1">
      <c r="A129" s="21" t="s">
        <v>334</v>
      </c>
      <c r="B129" s="22" t="s">
        <v>316</v>
      </c>
      <c r="C129" s="17" t="s">
        <v>317</v>
      </c>
      <c r="D129" s="17" t="s">
        <v>238</v>
      </c>
      <c r="E129" s="23">
        <v>1000000</v>
      </c>
      <c r="F129" s="24">
        <v>1000.51</v>
      </c>
      <c r="G129" s="25">
        <v>1.1999999999999999E-3</v>
      </c>
      <c r="H129" s="26">
        <v>7.1375999999999995E-2</v>
      </c>
    </row>
    <row r="130" spans="1:8" ht="12.95" customHeight="1">
      <c r="A130" s="21" t="s">
        <v>336</v>
      </c>
      <c r="B130" s="22" t="s">
        <v>319</v>
      </c>
      <c r="C130" s="17" t="s">
        <v>320</v>
      </c>
      <c r="D130" s="17" t="s">
        <v>238</v>
      </c>
      <c r="E130" s="23">
        <v>1000000</v>
      </c>
      <c r="F130" s="24">
        <v>1004.508</v>
      </c>
      <c r="G130" s="25">
        <v>1.1999999999999999E-3</v>
      </c>
      <c r="H130" s="26">
        <v>7.5835126350125029E-2</v>
      </c>
    </row>
    <row r="131" spans="1:8" ht="12.95" customHeight="1">
      <c r="A131" s="21" t="s">
        <v>338</v>
      </c>
      <c r="B131" s="22" t="s">
        <v>440</v>
      </c>
      <c r="C131" s="17" t="s">
        <v>342</v>
      </c>
      <c r="D131" s="17" t="s">
        <v>245</v>
      </c>
      <c r="E131" s="23">
        <v>500000</v>
      </c>
      <c r="F131" s="24">
        <v>504.86849999999998</v>
      </c>
      <c r="G131" s="25">
        <v>5.9999999999999995E-4</v>
      </c>
      <c r="H131" s="26">
        <v>7.9500000000000001E-2</v>
      </c>
    </row>
    <row r="132" spans="1:8" ht="12.95" customHeight="1">
      <c r="A132" s="21" t="s">
        <v>339</v>
      </c>
      <c r="B132" s="22" t="s">
        <v>441</v>
      </c>
      <c r="C132" s="17" t="s">
        <v>340</v>
      </c>
      <c r="D132" s="17" t="s">
        <v>245</v>
      </c>
      <c r="E132" s="23">
        <v>500000</v>
      </c>
      <c r="F132" s="24">
        <v>505.37950000000001</v>
      </c>
      <c r="G132" s="25">
        <v>5.9999999999999995E-4</v>
      </c>
      <c r="H132" s="26">
        <v>7.9500000000000001E-2</v>
      </c>
    </row>
    <row r="133" spans="1:8" ht="12.95" customHeight="1">
      <c r="A133" s="21" t="s">
        <v>341</v>
      </c>
      <c r="B133" s="22" t="s">
        <v>435</v>
      </c>
      <c r="C133" s="17" t="s">
        <v>348</v>
      </c>
      <c r="D133" s="17" t="s">
        <v>248</v>
      </c>
      <c r="E133" s="23">
        <v>390000</v>
      </c>
      <c r="F133" s="24">
        <v>391.13490000000002</v>
      </c>
      <c r="G133" s="25">
        <v>5.0000000000000001E-4</v>
      </c>
      <c r="H133" s="26">
        <v>8.6449999999999999E-2</v>
      </c>
    </row>
    <row r="134" spans="1:8" ht="12.95" customHeight="1">
      <c r="A134" s="21" t="s">
        <v>343</v>
      </c>
      <c r="B134" s="22" t="s">
        <v>436</v>
      </c>
      <c r="C134" s="17" t="s">
        <v>350</v>
      </c>
      <c r="D134" s="17" t="s">
        <v>248</v>
      </c>
      <c r="E134" s="23">
        <v>390000</v>
      </c>
      <c r="F134" s="24">
        <v>390.44108999999997</v>
      </c>
      <c r="G134" s="25">
        <v>5.0000000000000001E-4</v>
      </c>
      <c r="H134" s="26">
        <v>8.6449999999999999E-2</v>
      </c>
    </row>
    <row r="135" spans="1:8" ht="12.95" customHeight="1">
      <c r="A135" s="21" t="s">
        <v>344</v>
      </c>
      <c r="B135" s="22" t="s">
        <v>345</v>
      </c>
      <c r="C135" s="17" t="s">
        <v>346</v>
      </c>
      <c r="D135" s="17" t="s">
        <v>238</v>
      </c>
      <c r="E135" s="23">
        <v>400000</v>
      </c>
      <c r="F135" s="24">
        <v>401.72519999999997</v>
      </c>
      <c r="G135" s="25">
        <v>5.0000000000000001E-4</v>
      </c>
      <c r="H135" s="26">
        <v>7.5699108371124993E-2</v>
      </c>
    </row>
    <row r="136" spans="1:8" ht="12.95" customHeight="1">
      <c r="A136" s="21" t="s">
        <v>347</v>
      </c>
      <c r="B136" s="22" t="s">
        <v>352</v>
      </c>
      <c r="C136" s="17" t="s">
        <v>353</v>
      </c>
      <c r="D136" s="17" t="s">
        <v>238</v>
      </c>
      <c r="E136" s="23">
        <v>300000</v>
      </c>
      <c r="F136" s="24">
        <v>297.92489999999998</v>
      </c>
      <c r="G136" s="25">
        <v>4.0000000000000002E-4</v>
      </c>
      <c r="H136" s="26">
        <v>7.6190193811124907E-2</v>
      </c>
    </row>
    <row r="137" spans="1:8" ht="12.95" customHeight="1">
      <c r="A137" s="21" t="s">
        <v>349</v>
      </c>
      <c r="B137" s="22" t="s">
        <v>438</v>
      </c>
      <c r="C137" s="17" t="s">
        <v>356</v>
      </c>
      <c r="D137" s="17" t="s">
        <v>245</v>
      </c>
      <c r="E137" s="23">
        <v>160000</v>
      </c>
      <c r="F137" s="24">
        <v>153.91104000000001</v>
      </c>
      <c r="G137" s="25">
        <v>2.0000000000000001E-4</v>
      </c>
      <c r="H137" s="26">
        <v>7.6600000000000001E-2</v>
      </c>
    </row>
    <row r="138" spans="1:8" ht="12.95" customHeight="1">
      <c r="A138" s="21" t="s">
        <v>351</v>
      </c>
      <c r="B138" s="22" t="s">
        <v>361</v>
      </c>
      <c r="C138" s="17" t="s">
        <v>362</v>
      </c>
      <c r="D138" s="17" t="s">
        <v>238</v>
      </c>
      <c r="E138" s="23">
        <v>125000</v>
      </c>
      <c r="F138" s="24">
        <v>127.26775000000001</v>
      </c>
      <c r="G138" s="25">
        <v>2.0000000000000001E-4</v>
      </c>
      <c r="H138" s="26">
        <v>7.5620801224499948E-2</v>
      </c>
    </row>
    <row r="139" spans="1:8" ht="12.95" customHeight="1">
      <c r="A139" s="21" t="s">
        <v>354</v>
      </c>
      <c r="B139" s="22" t="s">
        <v>358</v>
      </c>
      <c r="C139" s="17" t="s">
        <v>359</v>
      </c>
      <c r="D139" s="17" t="s">
        <v>238</v>
      </c>
      <c r="E139" s="23">
        <v>150000</v>
      </c>
      <c r="F139" s="24">
        <v>151.67865</v>
      </c>
      <c r="G139" s="25">
        <v>2.0000000000000001E-4</v>
      </c>
      <c r="H139" s="26">
        <v>7.5835126350125029E-2</v>
      </c>
    </row>
    <row r="140" spans="1:8" ht="12.95" customHeight="1">
      <c r="A140" s="21" t="s">
        <v>357</v>
      </c>
      <c r="B140" s="16" t="s">
        <v>230</v>
      </c>
      <c r="C140" s="17"/>
      <c r="D140" s="17"/>
      <c r="E140" s="17"/>
      <c r="F140" s="27">
        <f>SUM(F83:F139)</f>
        <v>167365.66097999999</v>
      </c>
      <c r="G140" s="46">
        <f>SUM(G83:G139)</f>
        <v>0.20190000000000013</v>
      </c>
      <c r="H140" s="29"/>
    </row>
    <row r="141" spans="1:8" ht="12.95" customHeight="1">
      <c r="A141" s="21" t="s">
        <v>360</v>
      </c>
      <c r="B141" s="30" t="s">
        <v>363</v>
      </c>
      <c r="C141" s="31"/>
      <c r="D141" s="31"/>
      <c r="E141" s="31"/>
      <c r="F141" s="32" t="s">
        <v>232</v>
      </c>
      <c r="G141" s="28" t="s">
        <v>232</v>
      </c>
      <c r="H141" s="29"/>
    </row>
    <row r="142" spans="1:8" ht="12.95" customHeight="1">
      <c r="A142" s="2"/>
      <c r="B142" s="30" t="s">
        <v>230</v>
      </c>
      <c r="C142" s="31"/>
      <c r="D142" s="31"/>
      <c r="E142" s="31"/>
      <c r="F142" s="32" t="s">
        <v>232</v>
      </c>
      <c r="G142" s="28" t="s">
        <v>232</v>
      </c>
      <c r="H142" s="29"/>
    </row>
    <row r="143" spans="1:8" ht="12.95" customHeight="1">
      <c r="A143" s="2"/>
      <c r="B143" s="30" t="s">
        <v>233</v>
      </c>
      <c r="C143" s="33"/>
      <c r="D143" s="31"/>
      <c r="E143" s="33"/>
      <c r="F143" s="27">
        <f t="shared" ref="F143:G143" si="1">F140</f>
        <v>167365.66097999999</v>
      </c>
      <c r="G143" s="28">
        <f t="shared" si="1"/>
        <v>0.20190000000000013</v>
      </c>
      <c r="H143" s="29"/>
    </row>
    <row r="144" spans="1:8" ht="12.95" customHeight="1">
      <c r="A144" s="2"/>
      <c r="B144" s="16" t="s">
        <v>364</v>
      </c>
      <c r="C144" s="17"/>
      <c r="D144" s="17"/>
      <c r="E144" s="17"/>
      <c r="F144" s="18"/>
      <c r="G144" s="19"/>
      <c r="H144" s="20"/>
    </row>
    <row r="145" spans="1:8" ht="12.95" customHeight="1">
      <c r="A145" s="2"/>
      <c r="B145" s="16" t="s">
        <v>365</v>
      </c>
      <c r="C145" s="17"/>
      <c r="D145" s="17"/>
      <c r="E145" s="17"/>
      <c r="F145" s="18"/>
      <c r="G145" s="19"/>
      <c r="H145" s="20"/>
    </row>
    <row r="146" spans="1:8" ht="12.95" customHeight="1">
      <c r="A146" s="2"/>
      <c r="B146" s="22" t="s">
        <v>478</v>
      </c>
      <c r="C146" s="17" t="s">
        <v>367</v>
      </c>
      <c r="D146" s="17" t="s">
        <v>368</v>
      </c>
      <c r="E146" s="23">
        <v>3300000</v>
      </c>
      <c r="F146" s="24">
        <v>3191.4497999999999</v>
      </c>
      <c r="G146" s="25">
        <v>3.8E-3</v>
      </c>
      <c r="H146" s="26">
        <v>7.5699000000000002E-2</v>
      </c>
    </row>
    <row r="147" spans="1:8" ht="12.95" customHeight="1">
      <c r="A147" s="2"/>
      <c r="B147" s="22" t="s">
        <v>479</v>
      </c>
      <c r="C147" s="17" t="s">
        <v>411</v>
      </c>
      <c r="D147" s="17" t="s">
        <v>368</v>
      </c>
      <c r="E147" s="23">
        <v>1500000</v>
      </c>
      <c r="F147" s="24">
        <v>1408.9005</v>
      </c>
      <c r="G147" s="25">
        <v>1.6999999999999999E-3</v>
      </c>
      <c r="H147" s="26">
        <v>7.8148999999999996E-2</v>
      </c>
    </row>
    <row r="148" spans="1:8" ht="12.95" customHeight="1">
      <c r="A148" s="21" t="s">
        <v>366</v>
      </c>
      <c r="B148" s="22" t="s">
        <v>482</v>
      </c>
      <c r="C148" s="17" t="s">
        <v>412</v>
      </c>
      <c r="D148" s="17" t="s">
        <v>372</v>
      </c>
      <c r="E148" s="23">
        <v>1500000</v>
      </c>
      <c r="F148" s="24">
        <v>1447.7249999999999</v>
      </c>
      <c r="G148" s="25">
        <v>1.6999999999999999E-3</v>
      </c>
      <c r="H148" s="26">
        <v>7.6624999999999999E-2</v>
      </c>
    </row>
    <row r="149" spans="1:8" ht="12.95" customHeight="1">
      <c r="A149" s="21" t="s">
        <v>369</v>
      </c>
      <c r="B149" s="22" t="s">
        <v>481</v>
      </c>
      <c r="C149" s="17" t="s">
        <v>413</v>
      </c>
      <c r="D149" s="17" t="s">
        <v>370</v>
      </c>
      <c r="E149" s="23">
        <v>1000000</v>
      </c>
      <c r="F149" s="24">
        <v>965.13900000000001</v>
      </c>
      <c r="G149" s="25">
        <v>1.1999999999999999E-3</v>
      </c>
      <c r="H149" s="26">
        <v>7.6649999999999996E-2</v>
      </c>
    </row>
    <row r="150" spans="1:8" ht="12.95" customHeight="1">
      <c r="A150" s="21" t="s">
        <v>371</v>
      </c>
      <c r="B150" s="22" t="s">
        <v>477</v>
      </c>
      <c r="C150" s="17" t="s">
        <v>374</v>
      </c>
      <c r="D150" s="17" t="s">
        <v>370</v>
      </c>
      <c r="E150" s="23">
        <v>1000000</v>
      </c>
      <c r="F150" s="24">
        <v>948.24099999999999</v>
      </c>
      <c r="G150" s="25">
        <v>1.1000000000000001E-3</v>
      </c>
      <c r="H150" s="26">
        <v>7.7824999999999991E-2</v>
      </c>
    </row>
    <row r="151" spans="1:8" ht="12.95" customHeight="1">
      <c r="A151" s="21" t="s">
        <v>373</v>
      </c>
      <c r="B151" s="22" t="s">
        <v>480</v>
      </c>
      <c r="C151" s="17" t="s">
        <v>376</v>
      </c>
      <c r="D151" s="17" t="s">
        <v>372</v>
      </c>
      <c r="E151" s="23">
        <v>900000</v>
      </c>
      <c r="F151" s="24">
        <v>888.50250000000005</v>
      </c>
      <c r="G151" s="25">
        <v>1.1000000000000001E-3</v>
      </c>
      <c r="H151" s="26">
        <v>7.3800999999999992E-2</v>
      </c>
    </row>
    <row r="152" spans="1:8" ht="12.95" customHeight="1">
      <c r="A152" s="21" t="s">
        <v>375</v>
      </c>
      <c r="B152" s="16" t="s">
        <v>230</v>
      </c>
      <c r="C152" s="17"/>
      <c r="D152" s="17"/>
      <c r="E152" s="17"/>
      <c r="F152" s="27">
        <f>SUM(F146:F151)</f>
        <v>8849.9578000000001</v>
      </c>
      <c r="G152" s="46">
        <f>SUM(G146:G151)</f>
        <v>1.06E-2</v>
      </c>
      <c r="H152" s="29"/>
    </row>
    <row r="153" spans="1:8" ht="12.95" customHeight="1">
      <c r="A153" s="21" t="s">
        <v>377</v>
      </c>
      <c r="B153" s="16" t="s">
        <v>378</v>
      </c>
      <c r="C153" s="17"/>
      <c r="D153" s="17"/>
      <c r="E153" s="17"/>
      <c r="F153" s="18"/>
      <c r="G153" s="19"/>
      <c r="H153" s="20"/>
    </row>
    <row r="154" spans="1:8" ht="12.95" customHeight="1">
      <c r="A154" s="21"/>
      <c r="B154" s="22" t="s">
        <v>484</v>
      </c>
      <c r="C154" s="17" t="s">
        <v>491</v>
      </c>
      <c r="D154" s="17" t="s">
        <v>368</v>
      </c>
      <c r="E154" s="23">
        <v>5000000</v>
      </c>
      <c r="F154" s="24">
        <v>4934.6149999999998</v>
      </c>
      <c r="G154" s="25">
        <v>5.8999999999999999E-3</v>
      </c>
      <c r="H154" s="26">
        <v>9.1252E-2</v>
      </c>
    </row>
    <row r="155" spans="1:8" ht="12.95" customHeight="1">
      <c r="A155" s="21"/>
      <c r="B155" s="22" t="s">
        <v>486</v>
      </c>
      <c r="C155" s="17" t="s">
        <v>380</v>
      </c>
      <c r="D155" s="17" t="s">
        <v>372</v>
      </c>
      <c r="E155" s="23">
        <v>4200000</v>
      </c>
      <c r="F155" s="24">
        <v>4078.0446000000002</v>
      </c>
      <c r="G155" s="25">
        <v>4.8999999999999998E-3</v>
      </c>
      <c r="H155" s="26">
        <v>9.5749999999999988E-2</v>
      </c>
    </row>
    <row r="156" spans="1:8" ht="12.95" customHeight="1">
      <c r="A156" s="2"/>
      <c r="B156" s="22" t="s">
        <v>483</v>
      </c>
      <c r="C156" s="17" t="s">
        <v>382</v>
      </c>
      <c r="D156" s="17" t="s">
        <v>372</v>
      </c>
      <c r="E156" s="23">
        <v>3600000</v>
      </c>
      <c r="F156" s="24">
        <v>3542.5944</v>
      </c>
      <c r="G156" s="25">
        <v>4.3E-3</v>
      </c>
      <c r="H156" s="26">
        <v>8.2150000000000001E-2</v>
      </c>
    </row>
    <row r="157" spans="1:8" ht="12.95" customHeight="1">
      <c r="A157" s="2"/>
      <c r="B157" s="22" t="s">
        <v>487</v>
      </c>
      <c r="C157" s="17" t="s">
        <v>384</v>
      </c>
      <c r="D157" s="17" t="s">
        <v>372</v>
      </c>
      <c r="E157" s="23">
        <v>3500000</v>
      </c>
      <c r="F157" s="24">
        <v>3303.9789999999998</v>
      </c>
      <c r="G157" s="25">
        <v>4.0000000000000001E-3</v>
      </c>
      <c r="H157" s="26">
        <v>9.2149999999999996E-2</v>
      </c>
    </row>
    <row r="158" spans="1:8" ht="12.95" customHeight="1">
      <c r="A158" s="21" t="s">
        <v>379</v>
      </c>
      <c r="B158" s="22" t="s">
        <v>488</v>
      </c>
      <c r="C158" s="17" t="s">
        <v>492</v>
      </c>
      <c r="D158" s="17" t="s">
        <v>372</v>
      </c>
      <c r="E158" s="23">
        <v>2500000</v>
      </c>
      <c r="F158" s="24">
        <v>2460.7775000000001</v>
      </c>
      <c r="G158" s="25">
        <v>3.0000000000000001E-3</v>
      </c>
      <c r="H158" s="26">
        <v>8.8150999999999993E-2</v>
      </c>
    </row>
    <row r="159" spans="1:8" ht="12.95" customHeight="1">
      <c r="A159" s="21" t="s">
        <v>381</v>
      </c>
      <c r="B159" s="22" t="s">
        <v>489</v>
      </c>
      <c r="C159" s="17" t="s">
        <v>387</v>
      </c>
      <c r="D159" s="17" t="s">
        <v>368</v>
      </c>
      <c r="E159" s="23">
        <v>1600000</v>
      </c>
      <c r="F159" s="24">
        <v>1549.8992000000001</v>
      </c>
      <c r="G159" s="25">
        <v>1.9E-3</v>
      </c>
      <c r="H159" s="26">
        <v>8.7399000000000004E-2</v>
      </c>
    </row>
    <row r="160" spans="1:8" ht="12.95" customHeight="1">
      <c r="A160" s="21" t="s">
        <v>383</v>
      </c>
      <c r="B160" s="22" t="s">
        <v>490</v>
      </c>
      <c r="C160" s="17" t="s">
        <v>389</v>
      </c>
      <c r="D160" s="17" t="s">
        <v>372</v>
      </c>
      <c r="E160" s="23">
        <v>1500000</v>
      </c>
      <c r="F160" s="24">
        <v>1486.4385</v>
      </c>
      <c r="G160" s="25">
        <v>1.8E-3</v>
      </c>
      <c r="H160" s="26">
        <v>7.3998999999999995E-2</v>
      </c>
    </row>
    <row r="161" spans="1:8" ht="12.95" customHeight="1">
      <c r="A161" s="21" t="s">
        <v>385</v>
      </c>
      <c r="B161" s="22" t="s">
        <v>485</v>
      </c>
      <c r="C161" s="17" t="s">
        <v>391</v>
      </c>
      <c r="D161" s="17" t="s">
        <v>372</v>
      </c>
      <c r="E161" s="23">
        <v>1100000</v>
      </c>
      <c r="F161" s="24">
        <v>1079.8887</v>
      </c>
      <c r="G161" s="25">
        <v>1.2999999999999999E-3</v>
      </c>
      <c r="H161" s="26">
        <v>8.7148000000000003E-2</v>
      </c>
    </row>
    <row r="162" spans="1:8" ht="12.95" customHeight="1">
      <c r="A162" s="21" t="s">
        <v>386</v>
      </c>
      <c r="B162" s="16" t="s">
        <v>230</v>
      </c>
      <c r="C162" s="17"/>
      <c r="D162" s="17"/>
      <c r="E162" s="17"/>
      <c r="F162" s="27">
        <f>SUM(F154:F161)</f>
        <v>22436.236899999996</v>
      </c>
      <c r="G162" s="46">
        <f>SUM(G154:G161)</f>
        <v>2.7099999999999996E-2</v>
      </c>
      <c r="H162" s="29"/>
    </row>
    <row r="163" spans="1:8" ht="12.95" customHeight="1">
      <c r="A163" s="21" t="s">
        <v>388</v>
      </c>
      <c r="B163" s="30" t="s">
        <v>233</v>
      </c>
      <c r="C163" s="33"/>
      <c r="D163" s="31"/>
      <c r="E163" s="33"/>
      <c r="F163" s="27">
        <f>F143+F152+F162</f>
        <v>198651.85567999998</v>
      </c>
      <c r="G163" s="46">
        <f>G143+G152+G162</f>
        <v>0.23960000000000012</v>
      </c>
      <c r="H163" s="29"/>
    </row>
    <row r="164" spans="1:8" ht="12.95" customHeight="1">
      <c r="A164" s="21" t="s">
        <v>390</v>
      </c>
      <c r="B164" s="16" t="s">
        <v>493</v>
      </c>
      <c r="C164" s="17"/>
      <c r="D164" s="17"/>
      <c r="E164" s="17"/>
      <c r="F164" s="18"/>
      <c r="G164" s="19"/>
      <c r="H164" s="51"/>
    </row>
    <row r="165" spans="1:8" ht="12.95" customHeight="1">
      <c r="A165" s="2"/>
      <c r="B165" s="22" t="s">
        <v>494</v>
      </c>
      <c r="C165" s="17"/>
      <c r="D165" s="17" t="s">
        <v>395</v>
      </c>
      <c r="E165" s="23">
        <v>1135000</v>
      </c>
      <c r="F165" s="24">
        <v>3684.7775000000001</v>
      </c>
      <c r="G165" s="25">
        <v>4.4000000000000003E-3</v>
      </c>
      <c r="H165" s="51"/>
    </row>
    <row r="166" spans="1:8" ht="12.95" customHeight="1">
      <c r="A166" s="2"/>
      <c r="B166" s="16" t="s">
        <v>230</v>
      </c>
      <c r="C166" s="17"/>
      <c r="D166" s="17"/>
      <c r="E166" s="17"/>
      <c r="F166" s="27">
        <f t="shared" ref="F166" si="2">F165</f>
        <v>3684.7775000000001</v>
      </c>
      <c r="G166" s="28">
        <f t="shared" ref="G166" si="3">G165</f>
        <v>4.4000000000000003E-3</v>
      </c>
      <c r="H166" s="51"/>
    </row>
    <row r="167" spans="1:8" ht="12.95" customHeight="1">
      <c r="A167" s="2"/>
      <c r="B167" s="16" t="s">
        <v>392</v>
      </c>
      <c r="C167" s="17"/>
      <c r="D167" s="17"/>
      <c r="E167" s="17"/>
      <c r="F167" s="18"/>
      <c r="G167" s="19"/>
      <c r="H167" s="20"/>
    </row>
    <row r="168" spans="1:8" ht="12.95" customHeight="1">
      <c r="A168" s="21" t="s">
        <v>393</v>
      </c>
      <c r="B168" s="22" t="s">
        <v>394</v>
      </c>
      <c r="C168" s="17"/>
      <c r="D168" s="17" t="s">
        <v>395</v>
      </c>
      <c r="E168" s="23"/>
      <c r="F168" s="24">
        <v>21677.446</v>
      </c>
      <c r="G168" s="25">
        <v>2.6100000000000002E-2</v>
      </c>
      <c r="H168" s="26"/>
    </row>
    <row r="169" spans="1:8" ht="12.95" customHeight="1">
      <c r="A169" s="2"/>
      <c r="B169" s="16" t="s">
        <v>230</v>
      </c>
      <c r="C169" s="17"/>
      <c r="D169" s="17"/>
      <c r="E169" s="17"/>
      <c r="F169" s="27">
        <f t="shared" ref="F169:G169" si="4">F168</f>
        <v>21677.446</v>
      </c>
      <c r="G169" s="28">
        <f t="shared" si="4"/>
        <v>2.6100000000000002E-2</v>
      </c>
      <c r="H169" s="29"/>
    </row>
    <row r="170" spans="1:8" ht="12.95" customHeight="1">
      <c r="A170" s="2"/>
      <c r="B170" s="30" t="s">
        <v>363</v>
      </c>
      <c r="C170" s="31"/>
      <c r="D170" s="31"/>
      <c r="E170" s="31"/>
      <c r="F170" s="32" t="s">
        <v>232</v>
      </c>
      <c r="G170" s="28" t="s">
        <v>232</v>
      </c>
      <c r="H170" s="29"/>
    </row>
    <row r="171" spans="1:8" ht="12.95" customHeight="1">
      <c r="A171" s="2"/>
      <c r="B171" s="30" t="s">
        <v>230</v>
      </c>
      <c r="C171" s="31"/>
      <c r="D171" s="31"/>
      <c r="E171" s="31"/>
      <c r="F171" s="32" t="s">
        <v>232</v>
      </c>
      <c r="G171" s="28" t="s">
        <v>232</v>
      </c>
      <c r="H171" s="29"/>
    </row>
    <row r="172" spans="1:8" ht="12.95" customHeight="1">
      <c r="A172" s="2"/>
      <c r="B172" s="30" t="s">
        <v>233</v>
      </c>
      <c r="C172" s="33"/>
      <c r="D172" s="31"/>
      <c r="E172" s="33"/>
      <c r="F172" s="27">
        <f t="shared" ref="F172:G172" si="5">F168</f>
        <v>21677.446</v>
      </c>
      <c r="G172" s="28">
        <f t="shared" si="5"/>
        <v>2.6100000000000002E-2</v>
      </c>
      <c r="H172" s="29"/>
    </row>
    <row r="173" spans="1:8" ht="12.95" customHeight="1">
      <c r="A173" s="2"/>
      <c r="B173" s="30" t="s">
        <v>396</v>
      </c>
      <c r="C173" s="17"/>
      <c r="D173" s="31"/>
      <c r="E173" s="17"/>
      <c r="F173" s="27">
        <v>6098.4453268397519</v>
      </c>
      <c r="G173" s="28">
        <v>6.7999999999999996E-3</v>
      </c>
      <c r="H173" s="29"/>
    </row>
    <row r="174" spans="1:8" ht="12.95" customHeight="1" thickBot="1">
      <c r="A174" s="2"/>
      <c r="B174" s="34" t="s">
        <v>397</v>
      </c>
      <c r="C174" s="35"/>
      <c r="D174" s="35"/>
      <c r="E174" s="35"/>
      <c r="F174" s="36">
        <f>F173+F172+F163+F80+F166</f>
        <v>830837.98689933936</v>
      </c>
      <c r="G174" s="47">
        <f>G173+G172+G163+G80+G166</f>
        <v>1</v>
      </c>
      <c r="H174" s="37"/>
    </row>
    <row r="175" spans="1:8" ht="12.95" customHeight="1">
      <c r="A175" s="2"/>
      <c r="B175" s="8"/>
      <c r="C175" s="2"/>
      <c r="D175" s="2"/>
      <c r="E175" s="2"/>
      <c r="F175" s="4"/>
      <c r="G175" s="5"/>
      <c r="H175" s="2"/>
    </row>
    <row r="176" spans="1:8" ht="12.95" customHeight="1">
      <c r="A176" s="2"/>
      <c r="B176" s="3" t="s">
        <v>398</v>
      </c>
      <c r="C176" s="2"/>
      <c r="D176" s="2"/>
      <c r="E176" s="2"/>
      <c r="F176" s="4"/>
      <c r="G176" s="5"/>
      <c r="H176" s="2"/>
    </row>
    <row r="177" spans="1:8" ht="12.95" customHeight="1">
      <c r="A177" s="2"/>
      <c r="B177" s="3" t="s">
        <v>399</v>
      </c>
      <c r="C177" s="2"/>
      <c r="D177" s="2"/>
      <c r="E177" s="2"/>
      <c r="F177" s="4"/>
      <c r="G177" s="5"/>
      <c r="H177" s="2"/>
    </row>
    <row r="178" spans="1:8" ht="12.95" customHeight="1">
      <c r="A178" s="2"/>
      <c r="B178" s="3" t="s">
        <v>400</v>
      </c>
      <c r="C178" s="2"/>
      <c r="D178" s="2"/>
      <c r="E178" s="2"/>
      <c r="F178" s="4"/>
      <c r="G178" s="5"/>
      <c r="H178" s="2"/>
    </row>
    <row r="179" spans="1:8">
      <c r="B179" s="3" t="s">
        <v>401</v>
      </c>
      <c r="C179" s="2"/>
      <c r="D179" s="2"/>
      <c r="E179" s="2"/>
      <c r="F179" s="4"/>
      <c r="G179" s="5"/>
      <c r="H179" s="2"/>
    </row>
    <row r="180" spans="1:8" ht="15.75" thickBot="1">
      <c r="B180" s="3"/>
      <c r="C180" s="2"/>
      <c r="D180" s="2"/>
      <c r="E180" s="2"/>
      <c r="F180" s="4"/>
      <c r="G180" s="5"/>
      <c r="H180" s="2"/>
    </row>
    <row r="181" spans="1:8" ht="15.75" thickBot="1">
      <c r="B181" s="38" t="s">
        <v>402</v>
      </c>
      <c r="C181" s="39">
        <v>3.57</v>
      </c>
      <c r="D181" s="2"/>
      <c r="E181" s="2"/>
      <c r="F181" s="4"/>
      <c r="G181" s="5"/>
      <c r="H181" s="2"/>
    </row>
    <row r="182" spans="1:8" ht="15.75" thickBot="1">
      <c r="B182" s="38" t="s">
        <v>403</v>
      </c>
      <c r="C182" s="40">
        <v>7.8600000000000003E-2</v>
      </c>
    </row>
    <row r="183" spans="1:8" ht="16.5" thickBot="1">
      <c r="B183" s="38" t="s">
        <v>404</v>
      </c>
      <c r="C183" s="43">
        <v>2.63</v>
      </c>
      <c r="E183" s="48"/>
    </row>
    <row r="184" spans="1:8" ht="15.75" thickBot="1">
      <c r="B184" s="38" t="s">
        <v>405</v>
      </c>
      <c r="C184" s="50">
        <v>2.76</v>
      </c>
      <c r="E184" s="49"/>
    </row>
    <row r="185" spans="1:8" ht="15.75" thickBot="1">
      <c r="B185" s="44" t="s">
        <v>406</v>
      </c>
      <c r="C185" s="45" t="s">
        <v>414</v>
      </c>
    </row>
  </sheetData>
  <sortState ref="B154:H161">
    <sortCondition descending="1" ref="G154:G161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MAIPF</vt:lpstr>
      <vt:lpstr>JR_PAGE_ANCHOR_0_24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2023-11-10T04:44:11Z</dcterms:created>
  <dcterms:modified xsi:type="dcterms:W3CDTF">2024-01-08T06:03:46Z</dcterms:modified>
</cp:coreProperties>
</file>