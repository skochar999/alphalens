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FF" sheetId="1" r:id="rId1"/>
  </sheets>
  <definedNames>
    <definedName name="_xlnm._FilterDatabase" localSheetId="0" hidden="1">MAFF!$H$8:$J$428</definedName>
    <definedName name="JR_PAGE_ANCHOR_0_16">MAFF!$A$5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G47" i="1"/>
  <c r="F46" i="1"/>
  <c r="G46" i="1"/>
  <c r="G40" i="1" l="1"/>
  <c r="G43" i="1" s="1"/>
  <c r="G49" i="1" s="1"/>
  <c r="F40" i="1"/>
  <c r="F43" i="1" s="1"/>
  <c r="F49" i="1" s="1"/>
</calcChain>
</file>

<file path=xl/sharedStrings.xml><?xml version="1.0" encoding="utf-8"?>
<sst xmlns="http://schemas.openxmlformats.org/spreadsheetml/2006/main" count="148" uniqueCount="132">
  <si>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</si>
  <si>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</si>
  <si>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</si>
  <si>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</si>
  <si>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</si>
  <si>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</si>
  <si>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</si>
  <si>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</si>
  <si>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</si>
  <si>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</si>
  <si>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</si>
  <si>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</si>
  <si>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</si>
  <si>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</si>
  <si>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</si>
  <si>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</si>
  <si>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</si>
  <si>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</si>
  <si>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</si>
  <si>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</si>
  <si>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</si>
  <si>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</si>
  <si>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</si>
  <si>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</si>
  <si>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</si>
  <si>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</si>
  <si>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</si>
  <si>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</si>
  <si>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</si>
  <si>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</si>
  <si>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</si>
  <si>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</si>
  <si>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</si>
  <si>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</si>
  <si>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</si>
  <si>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</si>
  <si>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</si>
  <si>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</si>
  <si>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</si>
  <si>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</si>
  <si>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</si>
  <si>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</si>
  <si>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</si>
  <si>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</si>
  <si>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</si>
  <si>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</si>
  <si>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</si>
  <si>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</si>
  <si>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</si>
  <si>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</si>
  <si>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</si>
  <si>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</si>
  <si>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</si>
  <si>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Healthcare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</si>
  <si>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</si>
  <si>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</si>
  <si>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</si>
  <si>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</si>
  <si>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</si>
  <si>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</si>
  <si>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</si>
  <si>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</si>
  <si>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SONB01</t>
  </si>
  <si>
    <t>Sona BLW Precision Forgings Limited</t>
  </si>
  <si>
    <t>INE073K01018</t>
  </si>
  <si>
    <t>Auto Components</t>
  </si>
  <si>
    <t>GLAN02</t>
  </si>
  <si>
    <t>Gland Pharma Limited</t>
  </si>
  <si>
    <t>INE068V01023</t>
  </si>
  <si>
    <t>Pharmaceuticals &amp; Biotechnology</t>
  </si>
  <si>
    <t>JKCE01</t>
  </si>
  <si>
    <t>JK Cement Limited</t>
  </si>
  <si>
    <t>INE823G01014</t>
  </si>
  <si>
    <t>Cement &amp; Cement Products</t>
  </si>
  <si>
    <t>OREL01</t>
  </si>
  <si>
    <t>Orient Electric Limited</t>
  </si>
  <si>
    <t>INE142Z01019</t>
  </si>
  <si>
    <t>Consumer Durables</t>
  </si>
  <si>
    <t>SBAI02</t>
  </si>
  <si>
    <t>State Bank of India</t>
  </si>
  <si>
    <t>INE062A01020</t>
  </si>
  <si>
    <t>INOF01</t>
  </si>
  <si>
    <t>Gujarat Fluorochemicals Limited</t>
  </si>
  <si>
    <t>INE09N301011</t>
  </si>
  <si>
    <t>Chemicals &amp; Petrochemicals</t>
  </si>
  <si>
    <t>SKFB02</t>
  </si>
  <si>
    <t>SKF India Limited</t>
  </si>
  <si>
    <t>INE640A01023</t>
  </si>
  <si>
    <t>Industrial Products</t>
  </si>
  <si>
    <t>GSPL01</t>
  </si>
  <si>
    <t>Gujarat State Petronet Limited</t>
  </si>
  <si>
    <t>INE246F01010</t>
  </si>
  <si>
    <t>Gas</t>
  </si>
  <si>
    <t>ASHL02</t>
  </si>
  <si>
    <t>KOMA02</t>
  </si>
  <si>
    <t>Kotak Mahindra Bank Limited</t>
  </si>
  <si>
    <t>INE237A01028</t>
  </si>
  <si>
    <t>IEEL02</t>
  </si>
  <si>
    <t>Indian Energy Exchange Limited</t>
  </si>
  <si>
    <t>INE022Q01020</t>
  </si>
  <si>
    <t>Capital Markets</t>
  </si>
  <si>
    <t>BFLS01</t>
  </si>
  <si>
    <t>MphasiS Limited</t>
  </si>
  <si>
    <t>INE356A01018</t>
  </si>
  <si>
    <t>SRFL01</t>
  </si>
  <si>
    <t>SRF Limited</t>
  </si>
  <si>
    <t>INE647A01010</t>
  </si>
  <si>
    <t>VOLT02</t>
  </si>
  <si>
    <t>Voltas Limited</t>
  </si>
  <si>
    <t>INE226A01021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</si>
  <si>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</si>
  <si>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</si>
  <si>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</si>
  <si>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</si>
  <si>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</si>
  <si>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</si>
  <si>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</si>
  <si>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Chemplast Sanmar Limited</t>
  </si>
  <si>
    <t>INE488A01050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</si>
  <si>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</si>
  <si>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</si>
  <si>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</si>
  <si>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</si>
  <si>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</si>
  <si>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</si>
  <si>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</si>
  <si>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</si>
  <si>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</si>
  <si>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</si>
  <si>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</si>
  <si>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0.26 Times</t>
  </si>
  <si>
    <t>Monthly Portfolio Statement as on December 31,2023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</si>
</sst>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10" fillId="2" borderId="23" xfId="0" applyFont="1" applyFill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1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19050</xdr:rowOff>
    </xdr:from>
    <xdr:to>
      <xdr:col>1</xdr:col>
      <xdr:colOff>1266825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10482A2-AFD3-472B-83F8-2784731DC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"/>
          <a:ext cx="11525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52</xdr:row>
      <xdr:rowOff>19050</xdr:rowOff>
    </xdr:from>
    <xdr:to>
      <xdr:col>4</xdr:col>
      <xdr:colOff>371475</xdr:colOff>
      <xdr:row>59</xdr:row>
      <xdr:rowOff>47625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B5129F8-C361-49D7-8821-8F786CE4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8963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I53"/>
  <sheetViews>
    <sheetView tabSelected="1" topLeftCell="A13" workbookViewId="0">
      <selection activeCell="I31" sqref="I3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44" t="s">
        <v>1</v>
      </c>
      <c r="C1" s="45"/>
      <c r="D1" s="45"/>
      <c r="E1" s="45"/>
      <c r="F1" s="45"/>
      <c r="G1" s="45"/>
      <c r="H1" s="46"/>
      <c r="I1"/>
    </row>
    <row r="2" spans="1:9" ht="12.95" customHeight="1">
      <c r="A2" s="2"/>
      <c r="B2" s="47"/>
      <c r="C2" s="48"/>
      <c r="D2" s="48"/>
      <c r="E2" s="48"/>
      <c r="F2" s="48"/>
      <c r="G2" s="48"/>
      <c r="H2" s="49"/>
      <c r="I2"/>
    </row>
    <row r="3" spans="1:9">
      <c r="A3" s="2"/>
      <c r="B3" s="50" t="s">
        <v>2</v>
      </c>
      <c r="C3" s="51"/>
      <c r="D3" s="51"/>
      <c r="E3" s="51"/>
      <c r="F3" s="51"/>
      <c r="G3" s="51"/>
      <c r="H3" s="52"/>
      <c r="I3"/>
    </row>
    <row r="4" spans="1:9" ht="12.95" customHeight="1" thickBot="1">
      <c r="A4" s="2"/>
      <c r="B4" s="53"/>
      <c r="C4" s="54"/>
      <c r="D4" s="54"/>
      <c r="E4" s="54"/>
      <c r="F4" s="54"/>
      <c r="G4" s="54"/>
      <c r="H4" s="55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131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5392828</v>
      </c>
      <c r="F11" s="24">
        <v>92176.912590000007</v>
      </c>
      <c r="G11" s="25">
        <v>9.9400000000000002E-2</v>
      </c>
      <c r="H11" s="26"/>
    </row>
    <row r="12" spans="1:9" ht="12.95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7982126</v>
      </c>
      <c r="F12" s="24">
        <v>79549.867716000008</v>
      </c>
      <c r="G12" s="25">
        <v>8.5800000000000001E-2</v>
      </c>
      <c r="H12" s="26"/>
    </row>
    <row r="13" spans="1:9" ht="12.95" customHeight="1">
      <c r="A13" s="21" t="s">
        <v>19</v>
      </c>
      <c r="B13" s="22" t="s">
        <v>20</v>
      </c>
      <c r="C13" s="17" t="s">
        <v>21</v>
      </c>
      <c r="D13" s="17" t="s">
        <v>22</v>
      </c>
      <c r="E13" s="23">
        <v>5098184</v>
      </c>
      <c r="F13" s="24">
        <v>78659.880936000001</v>
      </c>
      <c r="G13" s="25">
        <v>8.48E-2</v>
      </c>
      <c r="H13" s="26"/>
    </row>
    <row r="14" spans="1:9" ht="12.95" customHeight="1">
      <c r="A14" s="21" t="s">
        <v>23</v>
      </c>
      <c r="B14" s="22" t="s">
        <v>24</v>
      </c>
      <c r="C14" s="17" t="s">
        <v>25</v>
      </c>
      <c r="D14" s="17" t="s">
        <v>26</v>
      </c>
      <c r="E14" s="23">
        <v>2081546</v>
      </c>
      <c r="F14" s="24">
        <v>53806.923326999997</v>
      </c>
      <c r="G14" s="25">
        <v>5.8000000000000003E-2</v>
      </c>
      <c r="H14" s="26"/>
    </row>
    <row r="15" spans="1:9" ht="12.95" customHeight="1">
      <c r="A15" s="21" t="s">
        <v>27</v>
      </c>
      <c r="B15" s="22" t="s">
        <v>28</v>
      </c>
      <c r="C15" s="17" t="s">
        <v>29</v>
      </c>
      <c r="D15" s="17" t="s">
        <v>15</v>
      </c>
      <c r="E15" s="23">
        <v>4011655</v>
      </c>
      <c r="F15" s="24">
        <v>44220.473064999998</v>
      </c>
      <c r="G15" s="25">
        <v>4.7699999999999999E-2</v>
      </c>
      <c r="H15" s="26"/>
    </row>
    <row r="16" spans="1:9" ht="12.95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4046010</v>
      </c>
      <c r="F16" s="24">
        <v>41762.915220000003</v>
      </c>
      <c r="G16" s="25">
        <v>4.4999999999999998E-2</v>
      </c>
      <c r="H16" s="26"/>
    </row>
    <row r="17" spans="1:8" ht="12.95" customHeight="1">
      <c r="A17" s="21" t="s">
        <v>34</v>
      </c>
      <c r="B17" s="22" t="s">
        <v>39</v>
      </c>
      <c r="C17" s="17" t="s">
        <v>40</v>
      </c>
      <c r="D17" s="17" t="s">
        <v>41</v>
      </c>
      <c r="E17" s="23">
        <v>2467495</v>
      </c>
      <c r="F17" s="24">
        <v>35065.571445000001</v>
      </c>
      <c r="G17" s="25">
        <v>3.78E-2</v>
      </c>
      <c r="H17" s="26"/>
    </row>
    <row r="18" spans="1:8" ht="12.95" customHeight="1">
      <c r="A18" s="21" t="s">
        <v>38</v>
      </c>
      <c r="B18" s="22" t="s">
        <v>43</v>
      </c>
      <c r="C18" s="17" t="s">
        <v>44</v>
      </c>
      <c r="D18" s="17" t="s">
        <v>45</v>
      </c>
      <c r="E18" s="23">
        <v>19700501</v>
      </c>
      <c r="F18" s="24">
        <v>34269.021489499995</v>
      </c>
      <c r="G18" s="25">
        <v>3.6900000000000002E-2</v>
      </c>
      <c r="H18" s="26"/>
    </row>
    <row r="19" spans="1:8" ht="12.95" customHeight="1">
      <c r="A19" s="21" t="s">
        <v>42</v>
      </c>
      <c r="B19" s="22" t="s">
        <v>63</v>
      </c>
      <c r="C19" s="17" t="s">
        <v>64</v>
      </c>
      <c r="D19" s="17" t="s">
        <v>65</v>
      </c>
      <c r="E19" s="23">
        <v>4458931</v>
      </c>
      <c r="F19" s="24">
        <v>28737.810294999999</v>
      </c>
      <c r="G19" s="25">
        <v>3.1E-2</v>
      </c>
      <c r="H19" s="26"/>
    </row>
    <row r="20" spans="1:8" ht="12.95" customHeight="1">
      <c r="A20" s="21" t="s">
        <v>46</v>
      </c>
      <c r="B20" s="22" t="s">
        <v>35</v>
      </c>
      <c r="C20" s="17" t="s">
        <v>36</v>
      </c>
      <c r="D20" s="17" t="s">
        <v>37</v>
      </c>
      <c r="E20" s="23">
        <v>4235151</v>
      </c>
      <c r="F20" s="24">
        <v>26912.267029499999</v>
      </c>
      <c r="G20" s="25">
        <v>2.9000000000000001E-2</v>
      </c>
      <c r="H20" s="26"/>
    </row>
    <row r="21" spans="1:8" ht="12.95" customHeight="1">
      <c r="A21" s="21" t="s">
        <v>50</v>
      </c>
      <c r="B21" s="22" t="s">
        <v>51</v>
      </c>
      <c r="C21" s="17" t="s">
        <v>52</v>
      </c>
      <c r="D21" s="17" t="s">
        <v>53</v>
      </c>
      <c r="E21" s="23">
        <v>3831558</v>
      </c>
      <c r="F21" s="24">
        <v>26876.463591</v>
      </c>
      <c r="G21" s="25">
        <v>2.9000000000000001E-2</v>
      </c>
      <c r="H21" s="26"/>
    </row>
    <row r="22" spans="1:8" ht="12.95" customHeight="1">
      <c r="A22" s="21" t="s">
        <v>54</v>
      </c>
      <c r="B22" s="22" t="s">
        <v>59</v>
      </c>
      <c r="C22" s="17" t="s">
        <v>60</v>
      </c>
      <c r="D22" s="17" t="s">
        <v>61</v>
      </c>
      <c r="E22" s="23">
        <v>3377897</v>
      </c>
      <c r="F22" s="24">
        <v>25660.194560500004</v>
      </c>
      <c r="G22" s="25">
        <v>2.7699999999999999E-2</v>
      </c>
      <c r="H22" s="26"/>
    </row>
    <row r="23" spans="1:8" ht="12.95" customHeight="1">
      <c r="A23" s="21" t="s">
        <v>58</v>
      </c>
      <c r="B23" s="22" t="s">
        <v>71</v>
      </c>
      <c r="C23" s="17" t="s">
        <v>72</v>
      </c>
      <c r="D23" s="17" t="s">
        <v>73</v>
      </c>
      <c r="E23" s="23">
        <v>663686</v>
      </c>
      <c r="F23" s="24">
        <v>25142.084895</v>
      </c>
      <c r="G23" s="25">
        <v>2.7099999999999999E-2</v>
      </c>
      <c r="H23" s="26"/>
    </row>
    <row r="24" spans="1:8" ht="12.95" customHeight="1">
      <c r="A24" s="21" t="s">
        <v>62</v>
      </c>
      <c r="B24" s="22" t="s">
        <v>55</v>
      </c>
      <c r="C24" s="17" t="s">
        <v>56</v>
      </c>
      <c r="D24" s="17" t="s">
        <v>57</v>
      </c>
      <c r="E24" s="23">
        <v>241787</v>
      </c>
      <c r="F24" s="24">
        <v>24909.742994499997</v>
      </c>
      <c r="G24" s="25">
        <v>2.69E-2</v>
      </c>
      <c r="H24" s="26"/>
    </row>
    <row r="25" spans="1:8" ht="12.95" customHeight="1">
      <c r="A25" s="21" t="s">
        <v>66</v>
      </c>
      <c r="B25" s="22" t="s">
        <v>82</v>
      </c>
      <c r="C25" s="17" t="s">
        <v>83</v>
      </c>
      <c r="D25" s="17" t="s">
        <v>84</v>
      </c>
      <c r="E25" s="23">
        <v>661962</v>
      </c>
      <c r="F25" s="24">
        <v>24487.629284999999</v>
      </c>
      <c r="G25" s="25">
        <v>2.64E-2</v>
      </c>
      <c r="H25" s="26"/>
    </row>
    <row r="26" spans="1:8" ht="12.95" customHeight="1">
      <c r="A26" s="21" t="s">
        <v>70</v>
      </c>
      <c r="B26" s="22" t="s">
        <v>90</v>
      </c>
      <c r="C26" s="17" t="s">
        <v>91</v>
      </c>
      <c r="D26" s="17" t="s">
        <v>92</v>
      </c>
      <c r="E26" s="23">
        <v>7832043</v>
      </c>
      <c r="F26" s="24">
        <v>23966.051579999999</v>
      </c>
      <c r="G26" s="25">
        <v>2.58E-2</v>
      </c>
      <c r="H26" s="26"/>
    </row>
    <row r="27" spans="1:8" ht="12.95" customHeight="1">
      <c r="A27" s="21" t="s">
        <v>74</v>
      </c>
      <c r="B27" s="22" t="s">
        <v>75</v>
      </c>
      <c r="C27" s="17" t="s">
        <v>76</v>
      </c>
      <c r="D27" s="17" t="s">
        <v>77</v>
      </c>
      <c r="E27" s="23">
        <v>10496738</v>
      </c>
      <c r="F27" s="24">
        <v>23822.346890999997</v>
      </c>
      <c r="G27" s="25">
        <v>2.5700000000000001E-2</v>
      </c>
      <c r="H27" s="26"/>
    </row>
    <row r="28" spans="1:8" ht="12.95" customHeight="1">
      <c r="A28" s="21" t="s">
        <v>78</v>
      </c>
      <c r="B28" s="22" t="s">
        <v>86</v>
      </c>
      <c r="C28" s="17" t="s">
        <v>87</v>
      </c>
      <c r="D28" s="17" t="s">
        <v>88</v>
      </c>
      <c r="E28" s="23">
        <v>493390</v>
      </c>
      <c r="F28" s="24">
        <v>22696.433389999998</v>
      </c>
      <c r="G28" s="25">
        <v>2.4500000000000001E-2</v>
      </c>
      <c r="H28" s="26"/>
    </row>
    <row r="29" spans="1:8" ht="12.95" customHeight="1">
      <c r="A29" s="21" t="s">
        <v>81</v>
      </c>
      <c r="B29" s="22" t="s">
        <v>67</v>
      </c>
      <c r="C29" s="17" t="s">
        <v>68</v>
      </c>
      <c r="D29" s="17" t="s">
        <v>69</v>
      </c>
      <c r="E29" s="23">
        <v>1105306</v>
      </c>
      <c r="F29" s="24">
        <v>21271.613969999999</v>
      </c>
      <c r="G29" s="25">
        <v>2.29E-2</v>
      </c>
      <c r="H29" s="26"/>
    </row>
    <row r="30" spans="1:8" ht="12.95" customHeight="1">
      <c r="A30" s="21" t="s">
        <v>85</v>
      </c>
      <c r="B30" s="22" t="s">
        <v>47</v>
      </c>
      <c r="C30" s="17" t="s">
        <v>48</v>
      </c>
      <c r="D30" s="17" t="s">
        <v>49</v>
      </c>
      <c r="E30" s="23">
        <v>2222161</v>
      </c>
      <c r="F30" s="24">
        <v>21206.082423</v>
      </c>
      <c r="G30" s="25">
        <v>2.29E-2</v>
      </c>
      <c r="H30" s="26"/>
    </row>
    <row r="31" spans="1:8" ht="12.95" customHeight="1">
      <c r="A31" s="21" t="s">
        <v>89</v>
      </c>
      <c r="B31" s="22" t="s">
        <v>95</v>
      </c>
      <c r="C31" s="17" t="s">
        <v>96</v>
      </c>
      <c r="D31" s="17" t="s">
        <v>15</v>
      </c>
      <c r="E31" s="23">
        <v>1074767</v>
      </c>
      <c r="F31" s="24">
        <v>20507.629127</v>
      </c>
      <c r="G31" s="25">
        <v>2.2100000000000002E-2</v>
      </c>
      <c r="H31" s="26"/>
    </row>
    <row r="32" spans="1:8" ht="12.95" customHeight="1">
      <c r="A32" s="21" t="s">
        <v>93</v>
      </c>
      <c r="B32" s="22" t="s">
        <v>102</v>
      </c>
      <c r="C32" s="17" t="s">
        <v>103</v>
      </c>
      <c r="D32" s="17" t="s">
        <v>22</v>
      </c>
      <c r="E32" s="23">
        <v>723229</v>
      </c>
      <c r="F32" s="24">
        <v>19814.666527500001</v>
      </c>
      <c r="G32" s="25">
        <v>2.1399999999999999E-2</v>
      </c>
      <c r="H32" s="26"/>
    </row>
    <row r="33" spans="1:8" ht="12.95" customHeight="1">
      <c r="A33" s="21" t="s">
        <v>94</v>
      </c>
      <c r="B33" s="22" t="s">
        <v>98</v>
      </c>
      <c r="C33" s="17" t="s">
        <v>99</v>
      </c>
      <c r="D33" s="17" t="s">
        <v>100</v>
      </c>
      <c r="E33" s="23">
        <v>11435774</v>
      </c>
      <c r="F33" s="24">
        <v>19212.100320000001</v>
      </c>
      <c r="G33" s="25">
        <v>2.07E-2</v>
      </c>
      <c r="H33" s="26"/>
    </row>
    <row r="34" spans="1:8" ht="12.95" customHeight="1">
      <c r="A34" s="21" t="s">
        <v>97</v>
      </c>
      <c r="B34" s="22" t="s">
        <v>79</v>
      </c>
      <c r="C34" s="17" t="s">
        <v>80</v>
      </c>
      <c r="D34" s="17" t="s">
        <v>15</v>
      </c>
      <c r="E34" s="23">
        <v>2785976</v>
      </c>
      <c r="F34" s="24">
        <v>17887.358907999998</v>
      </c>
      <c r="G34" s="25">
        <v>1.9300000000000001E-2</v>
      </c>
      <c r="H34" s="26"/>
    </row>
    <row r="35" spans="1:8" ht="12.95" customHeight="1">
      <c r="A35" s="21" t="s">
        <v>101</v>
      </c>
      <c r="B35" s="22" t="s">
        <v>105</v>
      </c>
      <c r="C35" s="17" t="s">
        <v>106</v>
      </c>
      <c r="D35" s="17" t="s">
        <v>84</v>
      </c>
      <c r="E35" s="23">
        <v>683209</v>
      </c>
      <c r="F35" s="24">
        <v>16938.4591325</v>
      </c>
      <c r="G35" s="25">
        <v>1.83E-2</v>
      </c>
      <c r="H35" s="26"/>
    </row>
    <row r="36" spans="1:8" ht="12.95" customHeight="1">
      <c r="A36" s="21" t="s">
        <v>104</v>
      </c>
      <c r="B36" s="22" t="s">
        <v>111</v>
      </c>
      <c r="C36" s="17" t="s">
        <v>112</v>
      </c>
      <c r="D36" s="17" t="s">
        <v>113</v>
      </c>
      <c r="E36" s="23">
        <v>2599653</v>
      </c>
      <c r="F36" s="24">
        <v>14485.266516</v>
      </c>
      <c r="G36" s="25">
        <v>1.5599999999999999E-2</v>
      </c>
      <c r="H36" s="26"/>
    </row>
    <row r="37" spans="1:8" ht="12.95" customHeight="1">
      <c r="A37" s="21" t="s">
        <v>107</v>
      </c>
      <c r="B37" s="22" t="s">
        <v>108</v>
      </c>
      <c r="C37" s="17" t="s">
        <v>109</v>
      </c>
      <c r="D37" s="17" t="s">
        <v>77</v>
      </c>
      <c r="E37" s="23">
        <v>1382115</v>
      </c>
      <c r="F37" s="24">
        <v>13521.922102500001</v>
      </c>
      <c r="G37" s="25">
        <v>1.46E-2</v>
      </c>
      <c r="H37" s="26"/>
    </row>
    <row r="38" spans="1:8" ht="12.95" customHeight="1">
      <c r="A38" s="21" t="s">
        <v>110</v>
      </c>
      <c r="B38" s="22" t="s">
        <v>117</v>
      </c>
      <c r="C38" s="17" t="s">
        <v>118</v>
      </c>
      <c r="D38" s="17" t="s">
        <v>84</v>
      </c>
      <c r="E38" s="23">
        <v>1193673</v>
      </c>
      <c r="F38" s="24">
        <v>5967.7681634999999</v>
      </c>
      <c r="G38" s="25">
        <v>6.4000000000000003E-3</v>
      </c>
      <c r="H38" s="26"/>
    </row>
    <row r="39" spans="1:8" ht="12.95" customHeight="1">
      <c r="A39" s="21" t="s">
        <v>114</v>
      </c>
      <c r="B39" s="22" t="s">
        <v>115</v>
      </c>
      <c r="C39" s="17" t="s">
        <v>116</v>
      </c>
      <c r="D39" s="17" t="s">
        <v>45</v>
      </c>
      <c r="E39" s="23">
        <v>3960843</v>
      </c>
      <c r="F39" s="24">
        <v>4899.5627910000003</v>
      </c>
      <c r="G39" s="25">
        <v>5.3E-3</v>
      </c>
      <c r="H39" s="26"/>
    </row>
    <row r="40" spans="1:8" ht="12.95" customHeight="1">
      <c r="A40" s="2"/>
      <c r="B40" s="16" t="s">
        <v>119</v>
      </c>
      <c r="C40" s="17"/>
      <c r="D40" s="17"/>
      <c r="E40" s="17"/>
      <c r="F40" s="27">
        <f>SUM(F11:F39)</f>
        <v>888435.02028100006</v>
      </c>
      <c r="G40" s="28">
        <f>SUM(G11:G39)</f>
        <v>0.95799999999999985</v>
      </c>
      <c r="H40" s="29"/>
    </row>
    <row r="41" spans="1:8" ht="12.95" customHeight="1">
      <c r="A41" s="2"/>
      <c r="B41" s="30" t="s">
        <v>120</v>
      </c>
      <c r="C41" s="31"/>
      <c r="D41" s="31"/>
      <c r="E41" s="31"/>
      <c r="F41" s="32" t="s">
        <v>121</v>
      </c>
      <c r="G41" s="28" t="s">
        <v>121</v>
      </c>
      <c r="H41" s="29"/>
    </row>
    <row r="42" spans="1:8" ht="12.95" customHeight="1">
      <c r="A42" s="2"/>
      <c r="B42" s="30" t="s">
        <v>119</v>
      </c>
      <c r="C42" s="31"/>
      <c r="D42" s="31"/>
      <c r="E42" s="31"/>
      <c r="F42" s="32" t="s">
        <v>121</v>
      </c>
      <c r="G42" s="28" t="s">
        <v>121</v>
      </c>
      <c r="H42" s="29"/>
    </row>
    <row r="43" spans="1:8" ht="12.95" customHeight="1">
      <c r="A43" s="2"/>
      <c r="B43" s="30" t="s">
        <v>122</v>
      </c>
      <c r="C43" s="33"/>
      <c r="D43" s="31"/>
      <c r="E43" s="33"/>
      <c r="F43" s="27">
        <f t="shared" ref="F43:G43" si="0">F40</f>
        <v>888435.02028100006</v>
      </c>
      <c r="G43" s="28">
        <f t="shared" si="0"/>
        <v>0.95799999999999985</v>
      </c>
      <c r="H43" s="29"/>
    </row>
    <row r="44" spans="1:8" ht="12.95" customHeight="1">
      <c r="A44" s="2"/>
      <c r="B44" s="16" t="s">
        <v>123</v>
      </c>
      <c r="C44" s="17"/>
      <c r="D44" s="17"/>
      <c r="E44" s="17"/>
      <c r="F44" s="18"/>
      <c r="G44" s="19"/>
      <c r="H44" s="20"/>
    </row>
    <row r="45" spans="1:8" ht="12.95" customHeight="1">
      <c r="A45" s="21" t="s">
        <v>124</v>
      </c>
      <c r="B45" s="22" t="s">
        <v>125</v>
      </c>
      <c r="C45" s="17"/>
      <c r="D45" s="17" t="s">
        <v>126</v>
      </c>
      <c r="E45" s="23"/>
      <c r="F45" s="24">
        <v>39508.375</v>
      </c>
      <c r="G45" s="25">
        <v>4.2599999999999999E-2</v>
      </c>
      <c r="H45" s="26"/>
    </row>
    <row r="46" spans="1:8" ht="12.95" customHeight="1">
      <c r="A46" s="2"/>
      <c r="B46" s="16" t="s">
        <v>119</v>
      </c>
      <c r="C46" s="17"/>
      <c r="D46" s="17"/>
      <c r="E46" s="17"/>
      <c r="F46" s="27">
        <f t="shared" ref="F46:G46" si="1">F45</f>
        <v>39508.375</v>
      </c>
      <c r="G46" s="28">
        <f t="shared" si="1"/>
        <v>4.2599999999999999E-2</v>
      </c>
      <c r="H46" s="29"/>
    </row>
    <row r="47" spans="1:8" ht="12.95" customHeight="1">
      <c r="A47" s="2"/>
      <c r="B47" s="30" t="s">
        <v>122</v>
      </c>
      <c r="C47" s="33"/>
      <c r="D47" s="31"/>
      <c r="E47" s="33"/>
      <c r="F47" s="27">
        <f t="shared" ref="F47:G47" si="2">F45</f>
        <v>39508.375</v>
      </c>
      <c r="G47" s="28">
        <f t="shared" si="2"/>
        <v>4.2599999999999999E-2</v>
      </c>
      <c r="H47" s="29"/>
    </row>
    <row r="48" spans="1:8" ht="12.95" customHeight="1">
      <c r="A48" s="2"/>
      <c r="B48" s="30" t="s">
        <v>127</v>
      </c>
      <c r="C48" s="17"/>
      <c r="D48" s="31"/>
      <c r="E48" s="17"/>
      <c r="F48" s="27">
        <v>-297.40342142037963</v>
      </c>
      <c r="G48" s="28">
        <v>-5.9999999999999995E-4</v>
      </c>
      <c r="H48" s="29"/>
    </row>
    <row r="49" spans="1:8" ht="12.95" customHeight="1" thickBot="1">
      <c r="A49" s="2"/>
      <c r="B49" s="34" t="s">
        <v>128</v>
      </c>
      <c r="C49" s="35"/>
      <c r="D49" s="35"/>
      <c r="E49" s="35"/>
      <c r="F49" s="36">
        <f>F43+F46+F48</f>
        <v>927645.99185957969</v>
      </c>
      <c r="G49" s="42">
        <f>G43+G46+G48</f>
        <v>0.99999999999999989</v>
      </c>
      <c r="H49" s="37"/>
    </row>
    <row r="50" spans="1:8" ht="12.95" customHeight="1" thickBot="1">
      <c r="A50" s="2"/>
      <c r="B50" s="8"/>
      <c r="C50" s="2"/>
      <c r="D50" s="2"/>
      <c r="E50" s="2"/>
      <c r="F50" s="4"/>
      <c r="G50" s="5"/>
      <c r="H50" s="2"/>
    </row>
    <row r="51" spans="1:8" ht="12.95" customHeight="1" thickBot="1">
      <c r="A51" s="2"/>
      <c r="B51" s="38" t="s">
        <v>129</v>
      </c>
      <c r="C51" s="39" t="s">
        <v>130</v>
      </c>
      <c r="D51" s="2"/>
      <c r="E51" s="2"/>
      <c r="F51" s="43"/>
      <c r="G51" s="5"/>
      <c r="H51" s="2"/>
    </row>
    <row r="52" spans="1:8" ht="12.95" customHeight="1">
      <c r="A52" s="2"/>
      <c r="B52" s="3"/>
      <c r="C52" s="2"/>
      <c r="D52" s="2"/>
      <c r="E52" s="2"/>
      <c r="F52" s="4"/>
      <c r="G52" s="5"/>
      <c r="H52" s="2"/>
    </row>
    <row r="53" spans="1:8" ht="12.95" customHeight="1">
      <c r="A53" s="2"/>
      <c r="B53" s="3"/>
      <c r="C53" s="2"/>
      <c r="D53" s="2"/>
      <c r="E53" s="2"/>
      <c r="F53" s="4"/>
      <c r="G53" s="5"/>
      <c r="H53" s="2"/>
    </row>
  </sheetData>
  <sortState ref="B11:H39">
    <sortCondition descending="1" ref="G11:G39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2023-11-10T04:44:03Z</dcterms:created>
  <dcterms:modified xsi:type="dcterms:W3CDTF">2024-01-04T09:16:58Z</dcterms:modified>
</cp:coreProperties>
</file>