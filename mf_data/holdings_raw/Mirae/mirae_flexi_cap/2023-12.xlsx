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January\Monthly Work\MIRAE Portfolio\Monthly\New folder\"/>
    </mc:Choice>
  </mc:AlternateContent>
  <bookViews>
    <workbookView xWindow="0" yWindow="0" windowWidth="28800" windowHeight="12135"/>
  </bookViews>
  <sheets>
    <sheet name="MAFCF" sheetId="1" r:id="rId1"/>
  </sheets>
  <definedNames>
    <definedName name="_xlnm._FilterDatabase" localSheetId="0" hidden="1">MAFCF!$H$8:$J$427</definedName>
    <definedName name="JR_PAGE_ANCHOR_0_15">MAFCF!$A$5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5" i="1" l="1"/>
  <c r="G85" i="1"/>
  <c r="F84" i="1"/>
  <c r="G84" i="1"/>
  <c r="G87" i="1" l="1"/>
  <c r="G78" i="1"/>
  <c r="G81" i="1" s="1"/>
  <c r="F78" i="1"/>
  <c r="F81" i="1" s="1"/>
  <c r="F87" i="1" s="1"/>
</calcChain>
</file>

<file path=xl/sharedStrings.xml><?xml version="1.0" encoding="utf-8"?>
<sst xmlns="http://schemas.openxmlformats.org/spreadsheetml/2006/main" count="299" uniqueCount="253">
  <si>
    <t>Home</t>
  </si>
  <si>
    <t>Mirae Asset Flexi Cap Fund</t>
  </si>
  <si>
    <t>(An open-ended dynamic equity scheme investing across large cap, mid cap, small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</si>
  <si>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</si>
  <si>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</si>
  <si>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</si>
  <si>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</si>
  <si>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</si>
  <si>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</si>
  <si>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</si>
  <si>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</si>
  <si>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</si>
  <si>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</si>
  <si>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</si>
  <si>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</si>
  <si>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</si>
  <si>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</si>
  <si>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</si>
  <si>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</si>
  <si>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</si>
  <si>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</si>
  <si>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</si>
  <si>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</si>
  <si>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</si>
  <si>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</si>
  <si>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</si>
  <si>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</si>
  <si>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</si>
  <si>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</si>
  <si>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</si>
  <si>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</si>
  <si>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</si>
  <si>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</si>
  <si>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</si>
  <si>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</si>
  <si>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</si>
  <si>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</si>
  <si>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</si>
  <si>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</si>
  <si>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</si>
  <si>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</si>
  <si>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</si>
  <si>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</si>
  <si>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</si>
  <si>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</si>
  <si>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</si>
  <si>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</si>
  <si>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</si>
  <si>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</si>
  <si>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</si>
  <si>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</si>
  <si>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</si>
  <si>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AUPH03</t>
  </si>
  <si>
    <t>Aurobindo Pharma Limited</t>
  </si>
  <si>
    <t>INE406A01037</t>
  </si>
  <si>
    <t>Pharmaceuticals &amp; Biotechnology</t>
  </si>
  <si>
    <t>TELC03</t>
  </si>
  <si>
    <t>Tata Motors Limited</t>
  </si>
  <si>
    <t>INE155A01022</t>
  </si>
  <si>
    <t>Automobiles</t>
  </si>
  <si>
    <t>JSPL03</t>
  </si>
  <si>
    <t>Jindal Steel &amp; Power Limited</t>
  </si>
  <si>
    <t>INE749A01030</t>
  </si>
  <si>
    <t>Ferrous Metals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</si>
  <si>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</si>
  <si>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</si>
  <si>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</si>
  <si>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</si>
  <si>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</si>
  <si>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</si>
  <si>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</si>
  <si>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</si>
  <si>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</si>
  <si>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</si>
  <si>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</si>
  <si>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FEBA02</t>
  </si>
  <si>
    <t>INE171A01029</t>
  </si>
  <si>
    <t>JKCE01</t>
  </si>
  <si>
    <t>JK Cement Limited</t>
  </si>
  <si>
    <t>INE823G01014</t>
  </si>
  <si>
    <t>Cement &amp; Cement Products</t>
  </si>
  <si>
    <t>MOSU03</t>
  </si>
  <si>
    <t>Samvardhana Motherson International Limited</t>
  </si>
  <si>
    <t>INE775A01035</t>
  </si>
  <si>
    <t>Auto Components</t>
  </si>
  <si>
    <t>SYNI01</t>
  </si>
  <si>
    <t>Syngene International Limited</t>
  </si>
  <si>
    <t>INE398R01022</t>
  </si>
  <si>
    <t>Healthcare Services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</si>
  <si>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</si>
  <si>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</si>
  <si>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</si>
  <si>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</si>
  <si>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</si>
  <si>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</si>
  <si>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MTAR01</t>
  </si>
  <si>
    <t>MTAR Technologies Limited</t>
  </si>
  <si>
    <t>INE864I01014</t>
  </si>
  <si>
    <t>Aerospace &amp; Defense</t>
  </si>
  <si>
    <t>FMPL01</t>
  </si>
  <si>
    <t>Fusion Micro Finance Limited</t>
  </si>
  <si>
    <t>INE139R01012</t>
  </si>
  <si>
    <t>IIBL01</t>
  </si>
  <si>
    <t>IndusInd Bank Limited</t>
  </si>
  <si>
    <t>INE095A01012</t>
  </si>
  <si>
    <t>SSNL02</t>
  </si>
  <si>
    <t>Delhivery Limited</t>
  </si>
  <si>
    <t>INE148O01028</t>
  </si>
  <si>
    <t>Transport Services</t>
  </si>
  <si>
    <t>CANB01</t>
  </si>
  <si>
    <t>Canara Bank</t>
  </si>
  <si>
    <t>INE476A01014</t>
  </si>
  <si>
    <t>SPIL03</t>
  </si>
  <si>
    <t>Sun Pharmaceutical Industries Limited</t>
  </si>
  <si>
    <t>INE044A01036</t>
  </si>
  <si>
    <t>MAXI02</t>
  </si>
  <si>
    <t>Max Financial Services Limited</t>
  </si>
  <si>
    <t>INE180A01020</t>
  </si>
  <si>
    <t>Insurance</t>
  </si>
  <si>
    <t>MAUD01</t>
  </si>
  <si>
    <t>Maruti Suzuki India Limited</t>
  </si>
  <si>
    <t>INE585B01010</t>
  </si>
  <si>
    <t>HAIL03</t>
  </si>
  <si>
    <t>Havells India Limited</t>
  </si>
  <si>
    <t>INE176B01034</t>
  </si>
  <si>
    <t>Consumer Durables</t>
  </si>
  <si>
    <t>FAGP02</t>
  </si>
  <si>
    <t>Schaeffler India Limited</t>
  </si>
  <si>
    <t>INE513A01022</t>
  </si>
  <si>
    <t>KACE03</t>
  </si>
  <si>
    <t>Kajaria Ceramics Limited</t>
  </si>
  <si>
    <t>INE217B01036</t>
  </si>
  <si>
    <t>BHEL02</t>
  </si>
  <si>
    <t>Bharat Electronics Limited</t>
  </si>
  <si>
    <t>INE263A01024</t>
  </si>
  <si>
    <t>BIOC01</t>
  </si>
  <si>
    <t>DABU02</t>
  </si>
  <si>
    <t>Dabur India Limited</t>
  </si>
  <si>
    <t>INE016A01026</t>
  </si>
  <si>
    <t>Personal Products</t>
  </si>
  <si>
    <t>LTIL01</t>
  </si>
  <si>
    <t>LTIMindtree Limited</t>
  </si>
  <si>
    <t>INE214T01019</t>
  </si>
  <si>
    <t>BFSL02</t>
  </si>
  <si>
    <t>Bajaj Finserv Limited</t>
  </si>
  <si>
    <t>INE918I01026</t>
  </si>
  <si>
    <t>BALI02</t>
  </si>
  <si>
    <t>Balkrishna Industries Limited</t>
  </si>
  <si>
    <t>INE787D01026</t>
  </si>
  <si>
    <t>GSPL01</t>
  </si>
  <si>
    <t>Gujarat State Petronet Limited</t>
  </si>
  <si>
    <t>INE246F01010</t>
  </si>
  <si>
    <t>Gas</t>
  </si>
  <si>
    <t>YATR01</t>
  </si>
  <si>
    <t>Yatra Online Limited</t>
  </si>
  <si>
    <t>INE0JR601024</t>
  </si>
  <si>
    <t>Leisure Services</t>
  </si>
  <si>
    <t>ILOM01</t>
  </si>
  <si>
    <t>ICICI Lombard General Insurance Company Limited</t>
  </si>
  <si>
    <t>INE765G01017</t>
  </si>
  <si>
    <t>SAEL02</t>
  </si>
  <si>
    <t>TVS Motor Company Limited</t>
  </si>
  <si>
    <t>INE494B01023</t>
  </si>
  <si>
    <t>TDPS02</t>
  </si>
  <si>
    <t>TD Power Systems Limited</t>
  </si>
  <si>
    <t>INE419M01027</t>
  </si>
  <si>
    <t>Electrical Equipment</t>
  </si>
  <si>
    <t>GFPL01</t>
  </si>
  <si>
    <t>Go Fashion (India) Limited</t>
  </si>
  <si>
    <t>INE0BJS01011</t>
  </si>
  <si>
    <t>INAV01</t>
  </si>
  <si>
    <t>InterGlobe Aviation Limited</t>
  </si>
  <si>
    <t>INE646L01027</t>
  </si>
  <si>
    <t>SONB01</t>
  </si>
  <si>
    <t>Sona BLW Precision Forgings Limited</t>
  </si>
  <si>
    <t>INE073K01018</t>
  </si>
  <si>
    <t>BFLS01</t>
  </si>
  <si>
    <t>MphasiS Limited</t>
  </si>
  <si>
    <t>INE356A01018</t>
  </si>
  <si>
    <t>ULCC01</t>
  </si>
  <si>
    <t>UltraTech Cement Limited</t>
  </si>
  <si>
    <t>INE481G01011</t>
  </si>
  <si>
    <t>KCUL02</t>
  </si>
  <si>
    <t>Cummins India Limited</t>
  </si>
  <si>
    <t>INE298A01020</t>
  </si>
  <si>
    <t>Industrial Products</t>
  </si>
  <si>
    <t>TOPH02</t>
  </si>
  <si>
    <t>Torrent Pharmaceuticals Limited</t>
  </si>
  <si>
    <t>INE685A01028</t>
  </si>
  <si>
    <t>KIMS01</t>
  </si>
  <si>
    <t>Krishna Institute Of Medical Sciences Limited</t>
  </si>
  <si>
    <t>INE967H01017</t>
  </si>
  <si>
    <t>TWAT02</t>
  </si>
  <si>
    <t>Titan Company Limited</t>
  </si>
  <si>
    <t>INE280A01028</t>
  </si>
  <si>
    <t>HINI02</t>
  </si>
  <si>
    <t>Hindalco Industries Limited</t>
  </si>
  <si>
    <t>INE038A01020</t>
  </si>
  <si>
    <t>Non - Ferrous Metals</t>
  </si>
  <si>
    <t>NEST01</t>
  </si>
  <si>
    <t>TINV04</t>
  </si>
  <si>
    <t>Cholamandalam Financial Holdings Limited</t>
  </si>
  <si>
    <t>INE149A01033</t>
  </si>
  <si>
    <t>PPFL01</t>
  </si>
  <si>
    <t>INE689W01016</t>
  </si>
  <si>
    <t>ELMA01</t>
  </si>
  <si>
    <t>Electronics Mart India Limited</t>
  </si>
  <si>
    <t>INE02YR01019</t>
  </si>
  <si>
    <t>SAPF01</t>
  </si>
  <si>
    <t>Sapphire Foods India Limited</t>
  </si>
  <si>
    <t>INE806T01012</t>
  </si>
  <si>
    <t>VEDF01</t>
  </si>
  <si>
    <t>Vedant Fashions Limited</t>
  </si>
  <si>
    <t>INE825V01034</t>
  </si>
  <si>
    <t>EIML02</t>
  </si>
  <si>
    <t>Eicher Motors Limited</t>
  </si>
  <si>
    <t>INE066A01021</t>
  </si>
  <si>
    <t>NECH01</t>
  </si>
  <si>
    <t>Neogen Chemicals Limited</t>
  </si>
  <si>
    <t>INE136S01016</t>
  </si>
  <si>
    <t>Chemicals &amp; Petrochemicals</t>
  </si>
  <si>
    <t>DODL01</t>
  </si>
  <si>
    <t>AVAT01</t>
  </si>
  <si>
    <t>Avalon Technologies Limited</t>
  </si>
  <si>
    <t>INE0LCL01028</t>
  </si>
  <si>
    <t>IEEL02</t>
  </si>
  <si>
    <t>VOLT02</t>
  </si>
  <si>
    <t>Paradeep Phosphates Limited</t>
  </si>
  <si>
    <t>INE088F01024</t>
  </si>
  <si>
    <t>Fertilizers &amp; Agrochemicals</t>
  </si>
  <si>
    <t>Ideaforge Technology Limited</t>
  </si>
  <si>
    <t>INE349Y01013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</si>
  <si>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</si>
  <si>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</si>
  <si>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</si>
  <si>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</si>
  <si>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</si>
  <si>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</si>
  <si>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</si>
  <si>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</si>
  <si>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</si>
  <si>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</si>
  <si>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Tata Technologies Ltd</t>
  </si>
  <si>
    <t>INE142M01025</t>
  </si>
  <si>
    <t>IT - Services</t>
  </si>
  <si>
    <t>Coal India Limited</t>
  </si>
  <si>
    <t>The Federal Bank Limited</t>
  </si>
  <si>
    <t>Godrej Consumer Products Limited</t>
  </si>
  <si>
    <t>Prince Pipes And Fittings Limited</t>
  </si>
  <si>
    <t>INE522F01014</t>
  </si>
  <si>
    <t>INE102D01028</t>
  </si>
  <si>
    <t>Consumable Fuels</t>
  </si>
  <si>
    <t>Monthly Portfolio Statement as on December 31,2023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</si>
</sst>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4" fontId="6" fillId="0" borderId="13" xfId="0" applyNumberFormat="1" applyFont="1" applyBorder="1" applyAlignment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4" fontId="0" fillId="0" borderId="0" xfId="0" applyNumberFormat="1"/>
    <xf numFmtId="10" fontId="0" fillId="0" borderId="0" xfId="1" applyNumberFormat="1" applyFont="1"/>
    <xf numFmtId="10" fontId="5" fillId="0" borderId="16" xfId="1" applyNumberFormat="1" applyFont="1" applyFill="1" applyBorder="1" applyAlignment="1">
      <alignment horizontal="right" vertical="top" wrapText="1"/>
    </xf>
    <xf numFmtId="10" fontId="5" fillId="0" borderId="21" xfId="1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1228725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70323FBD-507E-4D8A-B707-AE0DDE78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239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88</xdr:row>
      <xdr:rowOff>19050</xdr:rowOff>
    </xdr:from>
    <xdr:to>
      <xdr:col>3</xdr:col>
      <xdr:colOff>1762125</xdr:colOff>
      <xdr:row>97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5AC4772-3032-42BC-9F1B-ACB864276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897100"/>
          <a:ext cx="6210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I91"/>
  <sheetViews>
    <sheetView tabSelected="1" topLeftCell="A4" workbookViewId="0">
      <selection activeCell="J27" sqref="J2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38" customWidth="1"/>
    <col min="7" max="7" width="16.7109375" style="39" customWidth="1"/>
    <col min="8" max="8" width="16.7109375" customWidth="1"/>
    <col min="9" max="9" width="9.140625" style="6"/>
  </cols>
  <sheetData>
    <row r="1" spans="1:9" ht="15.95" customHeight="1">
      <c r="A1" s="1" t="s">
        <v>0</v>
      </c>
      <c r="B1" s="42" t="s">
        <v>1</v>
      </c>
      <c r="C1" s="43"/>
      <c r="D1" s="43"/>
      <c r="E1" s="43"/>
      <c r="F1" s="43"/>
      <c r="G1" s="43"/>
      <c r="H1" s="44"/>
      <c r="I1"/>
    </row>
    <row r="2" spans="1:9" ht="12.95" customHeight="1">
      <c r="A2" s="2"/>
      <c r="B2" s="45"/>
      <c r="C2" s="46"/>
      <c r="D2" s="46"/>
      <c r="E2" s="46"/>
      <c r="F2" s="46"/>
      <c r="G2" s="46"/>
      <c r="H2" s="47"/>
      <c r="I2"/>
    </row>
    <row r="3" spans="1:9" ht="12.95" customHeight="1">
      <c r="A3" s="2"/>
      <c r="B3" s="48" t="s">
        <v>2</v>
      </c>
      <c r="C3" s="49"/>
      <c r="D3" s="49"/>
      <c r="E3" s="49"/>
      <c r="F3" s="49"/>
      <c r="G3" s="49"/>
      <c r="H3" s="50"/>
      <c r="I3"/>
    </row>
    <row r="4" spans="1:9" ht="15.75" thickBot="1">
      <c r="A4" s="2"/>
      <c r="B4" s="51"/>
      <c r="C4" s="52"/>
      <c r="D4" s="52"/>
      <c r="E4" s="52"/>
      <c r="F4" s="52"/>
      <c r="G4" s="52"/>
      <c r="H4" s="53"/>
      <c r="I4"/>
    </row>
    <row r="5" spans="1:9" ht="15.95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5" customHeight="1">
      <c r="A6" s="2"/>
      <c r="B6" s="7"/>
      <c r="C6" s="2"/>
      <c r="D6" s="2"/>
      <c r="E6" s="2"/>
      <c r="F6" s="4"/>
      <c r="G6" s="5"/>
      <c r="H6" s="2"/>
    </row>
    <row r="7" spans="1:9" ht="12.95" customHeight="1" thickBot="1">
      <c r="A7" s="8"/>
      <c r="B7" s="9" t="s">
        <v>252</v>
      </c>
      <c r="C7" s="2"/>
      <c r="D7" s="2"/>
      <c r="E7" s="2"/>
      <c r="F7" s="4"/>
      <c r="G7" s="5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1" t="s">
        <v>12</v>
      </c>
      <c r="B11" s="22" t="s">
        <v>13</v>
      </c>
      <c r="C11" s="17" t="s">
        <v>14</v>
      </c>
      <c r="D11" s="17" t="s">
        <v>15</v>
      </c>
      <c r="E11" s="23">
        <v>743525</v>
      </c>
      <c r="F11" s="24">
        <v>12708.7010625</v>
      </c>
      <c r="G11" s="25">
        <v>8.4199999999999997E-2</v>
      </c>
      <c r="H11" s="26"/>
    </row>
    <row r="12" spans="1:9" ht="12.95" customHeight="1">
      <c r="A12" s="21" t="s">
        <v>16</v>
      </c>
      <c r="B12" s="22" t="s">
        <v>17</v>
      </c>
      <c r="C12" s="17" t="s">
        <v>18</v>
      </c>
      <c r="D12" s="17" t="s">
        <v>15</v>
      </c>
      <c r="E12" s="23">
        <v>856000</v>
      </c>
      <c r="F12" s="24">
        <v>8530.8960000000006</v>
      </c>
      <c r="G12" s="25">
        <v>5.6500000000000002E-2</v>
      </c>
      <c r="H12" s="26"/>
    </row>
    <row r="13" spans="1:9" ht="12.95" customHeight="1">
      <c r="A13" s="21" t="s">
        <v>19</v>
      </c>
      <c r="B13" s="22" t="s">
        <v>20</v>
      </c>
      <c r="C13" s="17" t="s">
        <v>21</v>
      </c>
      <c r="D13" s="17" t="s">
        <v>15</v>
      </c>
      <c r="E13" s="23">
        <v>1054844</v>
      </c>
      <c r="F13" s="24">
        <v>6772.6259020000007</v>
      </c>
      <c r="G13" s="25">
        <v>4.4900000000000002E-2</v>
      </c>
      <c r="H13" s="26"/>
    </row>
    <row r="14" spans="1:9" ht="12.95" customHeight="1">
      <c r="A14" s="21" t="s">
        <v>22</v>
      </c>
      <c r="B14" s="22" t="s">
        <v>23</v>
      </c>
      <c r="C14" s="17" t="s">
        <v>24</v>
      </c>
      <c r="D14" s="17" t="s">
        <v>25</v>
      </c>
      <c r="E14" s="23">
        <v>207750</v>
      </c>
      <c r="F14" s="24">
        <v>5370.2336249999998</v>
      </c>
      <c r="G14" s="25">
        <v>3.56E-2</v>
      </c>
      <c r="H14" s="26"/>
    </row>
    <row r="15" spans="1:9" ht="12.95" customHeight="1">
      <c r="A15" s="21" t="s">
        <v>26</v>
      </c>
      <c r="B15" s="22" t="s">
        <v>27</v>
      </c>
      <c r="C15" s="17" t="s">
        <v>28</v>
      </c>
      <c r="D15" s="17" t="s">
        <v>29</v>
      </c>
      <c r="E15" s="23">
        <v>337500</v>
      </c>
      <c r="F15" s="24">
        <v>5207.2875000000004</v>
      </c>
      <c r="G15" s="25">
        <v>3.4500000000000003E-2</v>
      </c>
      <c r="H15" s="26"/>
    </row>
    <row r="16" spans="1:9" ht="12.95" customHeight="1">
      <c r="A16" s="21" t="s">
        <v>30</v>
      </c>
      <c r="B16" s="22" t="s">
        <v>31</v>
      </c>
      <c r="C16" s="17" t="s">
        <v>32</v>
      </c>
      <c r="D16" s="17" t="s">
        <v>33</v>
      </c>
      <c r="E16" s="23">
        <v>143714</v>
      </c>
      <c r="F16" s="24">
        <v>5067.3556399999998</v>
      </c>
      <c r="G16" s="25">
        <v>3.3599999999999998E-2</v>
      </c>
      <c r="H16" s="26"/>
    </row>
    <row r="17" spans="1:8" ht="12.95" customHeight="1">
      <c r="A17" s="21" t="s">
        <v>34</v>
      </c>
      <c r="B17" s="22" t="s">
        <v>38</v>
      </c>
      <c r="C17" s="17" t="s">
        <v>39</v>
      </c>
      <c r="D17" s="17" t="s">
        <v>40</v>
      </c>
      <c r="E17" s="23">
        <v>1335105</v>
      </c>
      <c r="F17" s="24">
        <v>4154.1792075000003</v>
      </c>
      <c r="G17" s="25">
        <v>2.75E-2</v>
      </c>
      <c r="H17" s="26"/>
    </row>
    <row r="18" spans="1:8" ht="12.95" customHeight="1">
      <c r="A18" s="21" t="s">
        <v>37</v>
      </c>
      <c r="B18" s="22" t="s">
        <v>35</v>
      </c>
      <c r="C18" s="17" t="s">
        <v>36</v>
      </c>
      <c r="D18" s="17" t="s">
        <v>15</v>
      </c>
      <c r="E18" s="23">
        <v>357500</v>
      </c>
      <c r="F18" s="24">
        <v>3940.7224999999999</v>
      </c>
      <c r="G18" s="25">
        <v>2.6100000000000002E-2</v>
      </c>
      <c r="H18" s="26"/>
    </row>
    <row r="19" spans="1:8" ht="12.95" customHeight="1">
      <c r="A19" s="21" t="s">
        <v>41</v>
      </c>
      <c r="B19" s="22" t="s">
        <v>42</v>
      </c>
      <c r="C19" s="17" t="s">
        <v>43</v>
      </c>
      <c r="D19" s="17" t="s">
        <v>29</v>
      </c>
      <c r="E19" s="23">
        <v>210849</v>
      </c>
      <c r="F19" s="24">
        <v>3091.2571889999999</v>
      </c>
      <c r="G19" s="25">
        <v>2.0500000000000001E-2</v>
      </c>
      <c r="H19" s="26"/>
    </row>
    <row r="20" spans="1:8" ht="12.95" customHeight="1">
      <c r="A20" s="21" t="s">
        <v>44</v>
      </c>
      <c r="B20" s="22" t="s">
        <v>53</v>
      </c>
      <c r="C20" s="17" t="s">
        <v>54</v>
      </c>
      <c r="D20" s="17" t="s">
        <v>55</v>
      </c>
      <c r="E20" s="23">
        <v>281803</v>
      </c>
      <c r="F20" s="24">
        <v>3054.7445200000002</v>
      </c>
      <c r="G20" s="25">
        <v>2.0199999999999999E-2</v>
      </c>
      <c r="H20" s="26"/>
    </row>
    <row r="21" spans="1:8" ht="12.95" customHeight="1">
      <c r="A21" s="21" t="s">
        <v>48</v>
      </c>
      <c r="B21" s="22" t="s">
        <v>49</v>
      </c>
      <c r="C21" s="17" t="s">
        <v>50</v>
      </c>
      <c r="D21" s="17" t="s">
        <v>51</v>
      </c>
      <c r="E21" s="23">
        <v>262500</v>
      </c>
      <c r="F21" s="24">
        <v>2709.5250000000001</v>
      </c>
      <c r="G21" s="25">
        <v>1.7999999999999999E-2</v>
      </c>
      <c r="H21" s="26"/>
    </row>
    <row r="22" spans="1:8" ht="12.95" customHeight="1">
      <c r="A22" s="21" t="s">
        <v>52</v>
      </c>
      <c r="B22" s="22" t="s">
        <v>45</v>
      </c>
      <c r="C22" s="17" t="s">
        <v>46</v>
      </c>
      <c r="D22" s="17" t="s">
        <v>47</v>
      </c>
      <c r="E22" s="23">
        <v>568831</v>
      </c>
      <c r="F22" s="24">
        <v>2628.5680509999997</v>
      </c>
      <c r="G22" s="25">
        <v>1.7399999999999999E-2</v>
      </c>
      <c r="H22" s="26"/>
    </row>
    <row r="23" spans="1:8" ht="12.95" customHeight="1">
      <c r="A23" s="21" t="s">
        <v>56</v>
      </c>
      <c r="B23" s="22" t="s">
        <v>247</v>
      </c>
      <c r="C23" s="17" t="s">
        <v>250</v>
      </c>
      <c r="D23" s="17" t="s">
        <v>139</v>
      </c>
      <c r="E23" s="23">
        <v>209670</v>
      </c>
      <c r="F23" s="24">
        <v>2371.7870400000002</v>
      </c>
      <c r="G23" s="25">
        <v>1.5699999999999999E-2</v>
      </c>
      <c r="H23" s="26"/>
    </row>
    <row r="24" spans="1:8" ht="12.95" customHeight="1">
      <c r="A24" s="21" t="s">
        <v>60</v>
      </c>
      <c r="B24" s="22" t="s">
        <v>61</v>
      </c>
      <c r="C24" s="17" t="s">
        <v>62</v>
      </c>
      <c r="D24" s="17" t="s">
        <v>63</v>
      </c>
      <c r="E24" s="23">
        <v>312161</v>
      </c>
      <c r="F24" s="24">
        <v>2335.276441</v>
      </c>
      <c r="G24" s="25">
        <v>1.55E-2</v>
      </c>
      <c r="H24" s="26"/>
    </row>
    <row r="25" spans="1:8" ht="12.95" customHeight="1">
      <c r="A25" s="21" t="s">
        <v>64</v>
      </c>
      <c r="B25" s="22" t="s">
        <v>65</v>
      </c>
      <c r="C25" s="17" t="s">
        <v>66</v>
      </c>
      <c r="D25" s="17" t="s">
        <v>67</v>
      </c>
      <c r="E25" s="23">
        <v>1819116</v>
      </c>
      <c r="F25" s="24">
        <v>2250.2464919999998</v>
      </c>
      <c r="G25" s="25">
        <v>1.49E-2</v>
      </c>
      <c r="H25" s="26"/>
    </row>
    <row r="26" spans="1:8" ht="12.95" customHeight="1">
      <c r="A26" s="21" t="s">
        <v>68</v>
      </c>
      <c r="B26" s="22" t="s">
        <v>246</v>
      </c>
      <c r="C26" s="17" t="s">
        <v>76</v>
      </c>
      <c r="D26" s="17" t="s">
        <v>15</v>
      </c>
      <c r="E26" s="23">
        <v>1396606</v>
      </c>
      <c r="F26" s="24">
        <v>2180.8002689999998</v>
      </c>
      <c r="G26" s="25">
        <v>1.4500000000000001E-2</v>
      </c>
      <c r="H26" s="26"/>
    </row>
    <row r="27" spans="1:8" ht="12.95" customHeight="1">
      <c r="A27" s="21" t="s">
        <v>71</v>
      </c>
      <c r="B27" s="22" t="s">
        <v>123</v>
      </c>
      <c r="C27" s="17" t="s">
        <v>124</v>
      </c>
      <c r="D27" s="17" t="s">
        <v>125</v>
      </c>
      <c r="E27" s="23">
        <v>152883</v>
      </c>
      <c r="F27" s="24">
        <v>2091.3629984999998</v>
      </c>
      <c r="G27" s="25">
        <v>1.3899999999999999E-2</v>
      </c>
      <c r="H27" s="26"/>
    </row>
    <row r="28" spans="1:8" ht="12.95" customHeight="1">
      <c r="A28" s="21" t="s">
        <v>75</v>
      </c>
      <c r="B28" s="22" t="s">
        <v>78</v>
      </c>
      <c r="C28" s="17" t="s">
        <v>79</v>
      </c>
      <c r="D28" s="17" t="s">
        <v>80</v>
      </c>
      <c r="E28" s="23">
        <v>53192</v>
      </c>
      <c r="F28" s="24">
        <v>2015.04594</v>
      </c>
      <c r="G28" s="25">
        <v>1.34E-2</v>
      </c>
      <c r="H28" s="26"/>
    </row>
    <row r="29" spans="1:8" ht="12.95" customHeight="1">
      <c r="A29" s="21" t="s">
        <v>77</v>
      </c>
      <c r="B29" s="22" t="s">
        <v>72</v>
      </c>
      <c r="C29" s="17" t="s">
        <v>73</v>
      </c>
      <c r="D29" s="17" t="s">
        <v>74</v>
      </c>
      <c r="E29" s="23">
        <v>96221</v>
      </c>
      <c r="F29" s="24">
        <v>1975.7057930000001</v>
      </c>
      <c r="G29" s="25">
        <v>1.3100000000000001E-2</v>
      </c>
      <c r="H29" s="26"/>
    </row>
    <row r="30" spans="1:8" ht="12.95" customHeight="1">
      <c r="A30" s="21" t="s">
        <v>81</v>
      </c>
      <c r="B30" s="22" t="s">
        <v>69</v>
      </c>
      <c r="C30" s="17" t="s">
        <v>70</v>
      </c>
      <c r="D30" s="17" t="s">
        <v>29</v>
      </c>
      <c r="E30" s="23">
        <v>49152</v>
      </c>
      <c r="F30" s="24">
        <v>1864.531968</v>
      </c>
      <c r="G30" s="25">
        <v>1.24E-2</v>
      </c>
      <c r="H30" s="26"/>
    </row>
    <row r="31" spans="1:8" ht="12.95" customHeight="1">
      <c r="A31" s="21" t="s">
        <v>85</v>
      </c>
      <c r="B31" s="22" t="s">
        <v>100</v>
      </c>
      <c r="C31" s="17" t="s">
        <v>101</v>
      </c>
      <c r="D31" s="17" t="s">
        <v>74</v>
      </c>
      <c r="E31" s="23">
        <v>321613</v>
      </c>
      <c r="F31" s="24">
        <v>1853.7773319999999</v>
      </c>
      <c r="G31" s="25">
        <v>1.23E-2</v>
      </c>
      <c r="H31" s="26"/>
    </row>
    <row r="32" spans="1:8" ht="12.95" customHeight="1">
      <c r="A32" s="21" t="s">
        <v>89</v>
      </c>
      <c r="B32" s="22" t="s">
        <v>82</v>
      </c>
      <c r="C32" s="17" t="s">
        <v>83</v>
      </c>
      <c r="D32" s="17" t="s">
        <v>84</v>
      </c>
      <c r="E32" s="23">
        <v>1817580</v>
      </c>
      <c r="F32" s="24">
        <v>1853.0228099999999</v>
      </c>
      <c r="G32" s="25">
        <v>1.23E-2</v>
      </c>
      <c r="H32" s="26"/>
    </row>
    <row r="33" spans="1:8" ht="12.95" customHeight="1">
      <c r="A33" s="21" t="s">
        <v>92</v>
      </c>
      <c r="B33" s="22" t="s">
        <v>93</v>
      </c>
      <c r="C33" s="17" t="s">
        <v>94</v>
      </c>
      <c r="D33" s="17" t="s">
        <v>47</v>
      </c>
      <c r="E33" s="23">
        <v>67750</v>
      </c>
      <c r="F33" s="24">
        <v>1804.826125</v>
      </c>
      <c r="G33" s="25">
        <v>1.2E-2</v>
      </c>
      <c r="H33" s="26"/>
    </row>
    <row r="34" spans="1:8" ht="12.95" customHeight="1">
      <c r="A34" s="21" t="s">
        <v>95</v>
      </c>
      <c r="B34" s="22" t="s">
        <v>57</v>
      </c>
      <c r="C34" s="17" t="s">
        <v>58</v>
      </c>
      <c r="D34" s="17" t="s">
        <v>59</v>
      </c>
      <c r="E34" s="23">
        <v>230000</v>
      </c>
      <c r="F34" s="24">
        <v>1793.885</v>
      </c>
      <c r="G34" s="25">
        <v>1.1900000000000001E-2</v>
      </c>
      <c r="H34" s="26"/>
    </row>
    <row r="35" spans="1:8" ht="12.95" customHeight="1">
      <c r="A35" s="21" t="s">
        <v>99</v>
      </c>
      <c r="B35" s="22" t="s">
        <v>133</v>
      </c>
      <c r="C35" s="17" t="s">
        <v>134</v>
      </c>
      <c r="D35" s="17" t="s">
        <v>98</v>
      </c>
      <c r="E35" s="23">
        <v>960000</v>
      </c>
      <c r="F35" s="24">
        <v>1768.32</v>
      </c>
      <c r="G35" s="25">
        <v>1.17E-2</v>
      </c>
      <c r="H35" s="26"/>
    </row>
    <row r="36" spans="1:8" ht="12.95" customHeight="1">
      <c r="A36" s="21" t="s">
        <v>102</v>
      </c>
      <c r="B36" s="22" t="s">
        <v>113</v>
      </c>
      <c r="C36" s="17" t="s">
        <v>114</v>
      </c>
      <c r="D36" s="17" t="s">
        <v>55</v>
      </c>
      <c r="E36" s="23">
        <v>137995</v>
      </c>
      <c r="F36" s="24">
        <v>1737.9780275000001</v>
      </c>
      <c r="G36" s="25">
        <v>1.15E-2</v>
      </c>
      <c r="H36" s="26"/>
    </row>
    <row r="37" spans="1:8" ht="12.95" customHeight="1">
      <c r="A37" s="21" t="s">
        <v>105</v>
      </c>
      <c r="B37" s="22" t="s">
        <v>90</v>
      </c>
      <c r="C37" s="17" t="s">
        <v>91</v>
      </c>
      <c r="D37" s="17" t="s">
        <v>15</v>
      </c>
      <c r="E37" s="23">
        <v>90000</v>
      </c>
      <c r="F37" s="24">
        <v>1717.29</v>
      </c>
      <c r="G37" s="25">
        <v>1.14E-2</v>
      </c>
      <c r="H37" s="26"/>
    </row>
    <row r="38" spans="1:8" ht="12.95" customHeight="1">
      <c r="A38" s="21" t="s">
        <v>109</v>
      </c>
      <c r="B38" s="22" t="s">
        <v>86</v>
      </c>
      <c r="C38" s="17" t="s">
        <v>87</v>
      </c>
      <c r="D38" s="17" t="s">
        <v>88</v>
      </c>
      <c r="E38" s="23">
        <v>239088</v>
      </c>
      <c r="F38" s="24">
        <v>1677.082776</v>
      </c>
      <c r="G38" s="25">
        <v>1.11E-2</v>
      </c>
      <c r="H38" s="26"/>
    </row>
    <row r="39" spans="1:8" ht="12.95" customHeight="1">
      <c r="A39" s="21" t="s">
        <v>112</v>
      </c>
      <c r="B39" s="22" t="s">
        <v>110</v>
      </c>
      <c r="C39" s="17" t="s">
        <v>111</v>
      </c>
      <c r="D39" s="17" t="s">
        <v>15</v>
      </c>
      <c r="E39" s="23">
        <v>374000</v>
      </c>
      <c r="F39" s="24">
        <v>1636.25</v>
      </c>
      <c r="G39" s="25">
        <v>1.0800000000000001E-2</v>
      </c>
      <c r="H39" s="26"/>
    </row>
    <row r="40" spans="1:8" ht="12.95" customHeight="1">
      <c r="A40" s="21" t="s">
        <v>115</v>
      </c>
      <c r="B40" s="22" t="s">
        <v>103</v>
      </c>
      <c r="C40" s="17" t="s">
        <v>104</v>
      </c>
      <c r="D40" s="17" t="s">
        <v>15</v>
      </c>
      <c r="E40" s="23">
        <v>100500</v>
      </c>
      <c r="F40" s="24">
        <v>1606.9447500000001</v>
      </c>
      <c r="G40" s="25">
        <v>1.0699999999999999E-2</v>
      </c>
      <c r="H40" s="26"/>
    </row>
    <row r="41" spans="1:8" ht="12.95" customHeight="1">
      <c r="A41" s="21" t="s">
        <v>119</v>
      </c>
      <c r="B41" s="22" t="s">
        <v>106</v>
      </c>
      <c r="C41" s="17" t="s">
        <v>107</v>
      </c>
      <c r="D41" s="17" t="s">
        <v>108</v>
      </c>
      <c r="E41" s="23">
        <v>409143</v>
      </c>
      <c r="F41" s="24">
        <v>1592.5891274999999</v>
      </c>
      <c r="G41" s="25">
        <v>1.06E-2</v>
      </c>
      <c r="H41" s="26"/>
    </row>
    <row r="42" spans="1:8" ht="12.95" customHeight="1">
      <c r="A42" s="21" t="s">
        <v>122</v>
      </c>
      <c r="B42" s="22" t="s">
        <v>127</v>
      </c>
      <c r="C42" s="17" t="s">
        <v>128</v>
      </c>
      <c r="D42" s="17" t="s">
        <v>84</v>
      </c>
      <c r="E42" s="23">
        <v>46920</v>
      </c>
      <c r="F42" s="24">
        <v>1502.8476000000001</v>
      </c>
      <c r="G42" s="25">
        <v>0.01</v>
      </c>
      <c r="H42" s="26"/>
    </row>
    <row r="43" spans="1:8" ht="12.95" customHeight="1">
      <c r="A43" s="21" t="s">
        <v>126</v>
      </c>
      <c r="B43" s="22" t="s">
        <v>141</v>
      </c>
      <c r="C43" s="17" t="s">
        <v>142</v>
      </c>
      <c r="D43" s="17" t="s">
        <v>29</v>
      </c>
      <c r="E43" s="23">
        <v>24087</v>
      </c>
      <c r="F43" s="24">
        <v>1516.2646065000001</v>
      </c>
      <c r="G43" s="25">
        <v>0.01</v>
      </c>
      <c r="H43" s="26"/>
    </row>
    <row r="44" spans="1:8" ht="12.95" customHeight="1">
      <c r="A44" s="21" t="s">
        <v>129</v>
      </c>
      <c r="B44" s="22" t="s">
        <v>150</v>
      </c>
      <c r="C44" s="17" t="s">
        <v>151</v>
      </c>
      <c r="D44" s="17" t="s">
        <v>152</v>
      </c>
      <c r="E44" s="23">
        <v>487676</v>
      </c>
      <c r="F44" s="24">
        <v>1492.28856</v>
      </c>
      <c r="G44" s="25">
        <v>9.9000000000000008E-3</v>
      </c>
      <c r="H44" s="26"/>
    </row>
    <row r="45" spans="1:8" ht="12.95" customHeight="1">
      <c r="A45" s="21" t="s">
        <v>132</v>
      </c>
      <c r="B45" s="22" t="s">
        <v>215</v>
      </c>
      <c r="C45" s="17" t="s">
        <v>216</v>
      </c>
      <c r="D45" s="17" t="s">
        <v>59</v>
      </c>
      <c r="E45" s="23">
        <v>35393</v>
      </c>
      <c r="F45" s="24">
        <v>1466.508955</v>
      </c>
      <c r="G45" s="25">
        <v>9.7000000000000003E-3</v>
      </c>
      <c r="H45" s="26"/>
    </row>
    <row r="46" spans="1:8" ht="12.95" customHeight="1">
      <c r="A46" s="21" t="s">
        <v>135</v>
      </c>
      <c r="B46" s="22" t="s">
        <v>116</v>
      </c>
      <c r="C46" s="17" t="s">
        <v>117</v>
      </c>
      <c r="D46" s="17" t="s">
        <v>118</v>
      </c>
      <c r="E46" s="23">
        <v>153980</v>
      </c>
      <c r="F46" s="24">
        <v>1469.4311399999999</v>
      </c>
      <c r="G46" s="25">
        <v>9.7000000000000003E-3</v>
      </c>
      <c r="H46" s="26"/>
    </row>
    <row r="47" spans="1:8" ht="12.95" customHeight="1">
      <c r="A47" s="21" t="s">
        <v>136</v>
      </c>
      <c r="B47" s="22" t="s">
        <v>161</v>
      </c>
      <c r="C47" s="17" t="s">
        <v>162</v>
      </c>
      <c r="D47" s="17" t="s">
        <v>59</v>
      </c>
      <c r="E47" s="23">
        <v>71000</v>
      </c>
      <c r="F47" s="24">
        <v>1438.318</v>
      </c>
      <c r="G47" s="25">
        <v>9.4999999999999998E-3</v>
      </c>
      <c r="H47" s="26"/>
    </row>
    <row r="48" spans="1:8" ht="12.95" customHeight="1">
      <c r="A48" s="21" t="s">
        <v>140</v>
      </c>
      <c r="B48" s="22" t="s">
        <v>177</v>
      </c>
      <c r="C48" s="17" t="s">
        <v>178</v>
      </c>
      <c r="D48" s="17" t="s">
        <v>29</v>
      </c>
      <c r="E48" s="23">
        <v>50401</v>
      </c>
      <c r="F48" s="24">
        <v>1380.8613975000001</v>
      </c>
      <c r="G48" s="25">
        <v>9.1999999999999998E-3</v>
      </c>
      <c r="H48" s="26"/>
    </row>
    <row r="49" spans="1:8" ht="12.95" customHeight="1">
      <c r="A49" s="21" t="s">
        <v>143</v>
      </c>
      <c r="B49" s="22" t="s">
        <v>168</v>
      </c>
      <c r="C49" s="17" t="s">
        <v>169</v>
      </c>
      <c r="D49" s="17" t="s">
        <v>67</v>
      </c>
      <c r="E49" s="23">
        <v>108130</v>
      </c>
      <c r="F49" s="24">
        <v>1353.4632099999999</v>
      </c>
      <c r="G49" s="25">
        <v>8.9999999999999993E-3</v>
      </c>
      <c r="H49" s="26"/>
    </row>
    <row r="50" spans="1:8" ht="12.95" customHeight="1">
      <c r="A50" s="21" t="s">
        <v>146</v>
      </c>
      <c r="B50" s="22" t="s">
        <v>96</v>
      </c>
      <c r="C50" s="17" t="s">
        <v>97</v>
      </c>
      <c r="D50" s="17" t="s">
        <v>98</v>
      </c>
      <c r="E50" s="23">
        <v>61559</v>
      </c>
      <c r="F50" s="24">
        <v>1359.4073969999999</v>
      </c>
      <c r="G50" s="25">
        <v>8.9999999999999993E-3</v>
      </c>
      <c r="H50" s="26"/>
    </row>
    <row r="51" spans="1:8" ht="12.95" customHeight="1">
      <c r="A51" s="21" t="s">
        <v>149</v>
      </c>
      <c r="B51" s="22" t="s">
        <v>130</v>
      </c>
      <c r="C51" s="17" t="s">
        <v>131</v>
      </c>
      <c r="D51" s="17" t="s">
        <v>125</v>
      </c>
      <c r="E51" s="23">
        <v>101971</v>
      </c>
      <c r="F51" s="24">
        <v>1327.356507</v>
      </c>
      <c r="G51" s="25">
        <v>8.8000000000000005E-3</v>
      </c>
      <c r="H51" s="26"/>
    </row>
    <row r="52" spans="1:8" ht="12.95" customHeight="1">
      <c r="A52" s="21" t="s">
        <v>153</v>
      </c>
      <c r="B52" s="22" t="s">
        <v>171</v>
      </c>
      <c r="C52" s="17" t="s">
        <v>172</v>
      </c>
      <c r="D52" s="17" t="s">
        <v>108</v>
      </c>
      <c r="E52" s="23">
        <v>44208</v>
      </c>
      <c r="F52" s="24">
        <v>1311.6955679999999</v>
      </c>
      <c r="G52" s="25">
        <v>8.6999999999999994E-3</v>
      </c>
      <c r="H52" s="26"/>
    </row>
    <row r="53" spans="1:8" ht="12.95" customHeight="1">
      <c r="A53" s="21" t="s">
        <v>157</v>
      </c>
      <c r="B53" s="22" t="s">
        <v>245</v>
      </c>
      <c r="C53" s="17" t="s">
        <v>249</v>
      </c>
      <c r="D53" s="17" t="s">
        <v>251</v>
      </c>
      <c r="E53" s="23">
        <v>345000</v>
      </c>
      <c r="F53" s="24">
        <v>1297.2</v>
      </c>
      <c r="G53" s="25">
        <v>8.6E-3</v>
      </c>
      <c r="H53" s="26"/>
    </row>
    <row r="54" spans="1:8" ht="12.95" customHeight="1">
      <c r="A54" s="21" t="s">
        <v>160</v>
      </c>
      <c r="B54" s="22" t="s">
        <v>137</v>
      </c>
      <c r="C54" s="17" t="s">
        <v>138</v>
      </c>
      <c r="D54" s="17" t="s">
        <v>139</v>
      </c>
      <c r="E54" s="23">
        <v>232000</v>
      </c>
      <c r="F54" s="24">
        <v>1292.704</v>
      </c>
      <c r="G54" s="25">
        <v>8.6E-3</v>
      </c>
      <c r="H54" s="26"/>
    </row>
    <row r="55" spans="1:8" ht="12.95" customHeight="1">
      <c r="A55" s="21" t="s">
        <v>163</v>
      </c>
      <c r="B55" s="22" t="s">
        <v>154</v>
      </c>
      <c r="C55" s="17" t="s">
        <v>155</v>
      </c>
      <c r="D55" s="17" t="s">
        <v>156</v>
      </c>
      <c r="E55" s="23">
        <v>894130</v>
      </c>
      <c r="F55" s="24">
        <v>1292.9119800000001</v>
      </c>
      <c r="G55" s="25">
        <v>8.6E-3</v>
      </c>
      <c r="H55" s="26"/>
    </row>
    <row r="56" spans="1:8" ht="12.95" customHeight="1">
      <c r="A56" s="21" t="s">
        <v>167</v>
      </c>
      <c r="B56" s="22" t="s">
        <v>144</v>
      </c>
      <c r="C56" s="17" t="s">
        <v>145</v>
      </c>
      <c r="D56" s="17" t="s">
        <v>74</v>
      </c>
      <c r="E56" s="23">
        <v>76000</v>
      </c>
      <c r="F56" s="24">
        <v>1281.2080000000001</v>
      </c>
      <c r="G56" s="25">
        <v>8.5000000000000006E-3</v>
      </c>
      <c r="H56" s="26"/>
    </row>
    <row r="57" spans="1:8" ht="12.95" customHeight="1">
      <c r="A57" s="21" t="s">
        <v>170</v>
      </c>
      <c r="B57" s="22" t="s">
        <v>174</v>
      </c>
      <c r="C57" s="17" t="s">
        <v>175</v>
      </c>
      <c r="D57" s="17" t="s">
        <v>84</v>
      </c>
      <c r="E57" s="23">
        <v>198017</v>
      </c>
      <c r="F57" s="24">
        <v>1276.2195650000001</v>
      </c>
      <c r="G57" s="25">
        <v>8.5000000000000006E-3</v>
      </c>
      <c r="H57" s="26"/>
    </row>
    <row r="58" spans="1:8" ht="12.95" customHeight="1">
      <c r="A58" s="21" t="s">
        <v>173</v>
      </c>
      <c r="B58" s="22" t="s">
        <v>196</v>
      </c>
      <c r="C58" s="17" t="s">
        <v>197</v>
      </c>
      <c r="D58" s="17" t="s">
        <v>198</v>
      </c>
      <c r="E58" s="23">
        <v>205000</v>
      </c>
      <c r="F58" s="24">
        <v>1260.4425000000001</v>
      </c>
      <c r="G58" s="25">
        <v>8.3999999999999995E-3</v>
      </c>
      <c r="H58" s="26"/>
    </row>
    <row r="59" spans="1:8" ht="12.95" customHeight="1">
      <c r="A59" s="21" t="s">
        <v>176</v>
      </c>
      <c r="B59" s="22" t="s">
        <v>187</v>
      </c>
      <c r="C59" s="17" t="s">
        <v>188</v>
      </c>
      <c r="D59" s="17" t="s">
        <v>55</v>
      </c>
      <c r="E59" s="23">
        <v>53584</v>
      </c>
      <c r="F59" s="24">
        <v>1235.4059119999999</v>
      </c>
      <c r="G59" s="25">
        <v>8.2000000000000007E-3</v>
      </c>
      <c r="H59" s="26"/>
    </row>
    <row r="60" spans="1:8" ht="12.95" customHeight="1">
      <c r="A60" s="21" t="s">
        <v>179</v>
      </c>
      <c r="B60" s="22" t="s">
        <v>147</v>
      </c>
      <c r="C60" s="17" t="s">
        <v>148</v>
      </c>
      <c r="D60" s="17" t="s">
        <v>84</v>
      </c>
      <c r="E60" s="23">
        <v>46676</v>
      </c>
      <c r="F60" s="24">
        <v>1198.8963979999999</v>
      </c>
      <c r="G60" s="25">
        <v>7.9000000000000008E-3</v>
      </c>
      <c r="H60" s="26"/>
    </row>
    <row r="61" spans="1:8" ht="12.95" customHeight="1">
      <c r="A61" s="21" t="s">
        <v>182</v>
      </c>
      <c r="B61" s="22" t="s">
        <v>164</v>
      </c>
      <c r="C61" s="17" t="s">
        <v>165</v>
      </c>
      <c r="D61" s="17" t="s">
        <v>166</v>
      </c>
      <c r="E61" s="23">
        <v>452500</v>
      </c>
      <c r="F61" s="24">
        <v>1176.7262499999999</v>
      </c>
      <c r="G61" s="25">
        <v>7.7999999999999996E-3</v>
      </c>
      <c r="H61" s="26"/>
    </row>
    <row r="62" spans="1:8" ht="12.95" customHeight="1">
      <c r="A62" s="21" t="s">
        <v>186</v>
      </c>
      <c r="B62" s="22" t="s">
        <v>183</v>
      </c>
      <c r="C62" s="17" t="s">
        <v>184</v>
      </c>
      <c r="D62" s="17" t="s">
        <v>185</v>
      </c>
      <c r="E62" s="23">
        <v>59250</v>
      </c>
      <c r="F62" s="24">
        <v>1163.6403749999999</v>
      </c>
      <c r="G62" s="25">
        <v>7.7000000000000002E-3</v>
      </c>
      <c r="H62" s="26"/>
    </row>
    <row r="63" spans="1:8" ht="12.95" customHeight="1">
      <c r="A63" s="21" t="s">
        <v>189</v>
      </c>
      <c r="B63" s="22" t="s">
        <v>193</v>
      </c>
      <c r="C63" s="17" t="s">
        <v>194</v>
      </c>
      <c r="D63" s="17" t="s">
        <v>125</v>
      </c>
      <c r="E63" s="23">
        <v>30000</v>
      </c>
      <c r="F63" s="24">
        <v>1102.635</v>
      </c>
      <c r="G63" s="25">
        <v>7.3000000000000001E-3</v>
      </c>
      <c r="H63" s="26"/>
    </row>
    <row r="64" spans="1:8" ht="12.95" customHeight="1">
      <c r="A64" s="21" t="s">
        <v>192</v>
      </c>
      <c r="B64" s="22" t="s">
        <v>190</v>
      </c>
      <c r="C64" s="17" t="s">
        <v>191</v>
      </c>
      <c r="D64" s="17" t="s">
        <v>88</v>
      </c>
      <c r="E64" s="23">
        <v>51422</v>
      </c>
      <c r="F64" s="24">
        <v>1017.744224</v>
      </c>
      <c r="G64" s="25">
        <v>6.7000000000000002E-3</v>
      </c>
      <c r="H64" s="26"/>
    </row>
    <row r="65" spans="1:8" ht="12.95" customHeight="1">
      <c r="A65" s="21" t="s">
        <v>195</v>
      </c>
      <c r="B65" s="22" t="s">
        <v>120</v>
      </c>
      <c r="C65" s="17" t="s">
        <v>121</v>
      </c>
      <c r="D65" s="17" t="s">
        <v>59</v>
      </c>
      <c r="E65" s="23">
        <v>9700</v>
      </c>
      <c r="F65" s="24">
        <v>999.32794999999999</v>
      </c>
      <c r="G65" s="25">
        <v>6.6E-3</v>
      </c>
      <c r="H65" s="26"/>
    </row>
    <row r="66" spans="1:8" ht="12.95" customHeight="1">
      <c r="A66" s="21" t="s">
        <v>199</v>
      </c>
      <c r="B66" s="22" t="s">
        <v>180</v>
      </c>
      <c r="C66" s="17" t="s">
        <v>181</v>
      </c>
      <c r="D66" s="17" t="s">
        <v>80</v>
      </c>
      <c r="E66" s="23">
        <v>9421</v>
      </c>
      <c r="F66" s="24">
        <v>989.49234049999995</v>
      </c>
      <c r="G66" s="25">
        <v>6.6E-3</v>
      </c>
      <c r="H66" s="26"/>
    </row>
    <row r="67" spans="1:8" ht="12.95" customHeight="1">
      <c r="A67" s="21" t="s">
        <v>200</v>
      </c>
      <c r="B67" s="22" t="s">
        <v>248</v>
      </c>
      <c r="C67" s="17" t="s">
        <v>204</v>
      </c>
      <c r="D67" s="17" t="s">
        <v>185</v>
      </c>
      <c r="E67" s="23">
        <v>131110</v>
      </c>
      <c r="F67" s="24">
        <v>973.819525</v>
      </c>
      <c r="G67" s="25">
        <v>6.4999999999999997E-3</v>
      </c>
      <c r="H67" s="26"/>
    </row>
    <row r="68" spans="1:8" ht="12.95" customHeight="1">
      <c r="A68" s="21" t="s">
        <v>203</v>
      </c>
      <c r="B68" s="22" t="s">
        <v>242</v>
      </c>
      <c r="C68" s="17" t="s">
        <v>243</v>
      </c>
      <c r="D68" s="17" t="s">
        <v>244</v>
      </c>
      <c r="E68" s="23">
        <v>80010</v>
      </c>
      <c r="F68" s="24">
        <v>944.23801500000002</v>
      </c>
      <c r="G68" s="25">
        <v>6.3E-3</v>
      </c>
      <c r="H68" s="26"/>
    </row>
    <row r="69" spans="1:8" ht="12.95" customHeight="1">
      <c r="A69" s="21" t="s">
        <v>205</v>
      </c>
      <c r="B69" s="22" t="s">
        <v>209</v>
      </c>
      <c r="C69" s="17" t="s">
        <v>210</v>
      </c>
      <c r="D69" s="17" t="s">
        <v>156</v>
      </c>
      <c r="E69" s="23">
        <v>62233</v>
      </c>
      <c r="F69" s="24">
        <v>884.39316299999996</v>
      </c>
      <c r="G69" s="25">
        <v>5.8999999999999999E-3</v>
      </c>
      <c r="H69" s="26"/>
    </row>
    <row r="70" spans="1:8" ht="12.95" customHeight="1">
      <c r="A70" s="21" t="s">
        <v>208</v>
      </c>
      <c r="B70" s="22" t="s">
        <v>158</v>
      </c>
      <c r="C70" s="17" t="s">
        <v>159</v>
      </c>
      <c r="D70" s="17" t="s">
        <v>118</v>
      </c>
      <c r="E70" s="23">
        <v>60301</v>
      </c>
      <c r="F70" s="24">
        <v>856.33450099999993</v>
      </c>
      <c r="G70" s="25">
        <v>5.7000000000000002E-3</v>
      </c>
      <c r="H70" s="26"/>
    </row>
    <row r="71" spans="1:8" ht="12.95" customHeight="1">
      <c r="A71" s="21" t="s">
        <v>211</v>
      </c>
      <c r="B71" s="22" t="s">
        <v>206</v>
      </c>
      <c r="C71" s="17" t="s">
        <v>207</v>
      </c>
      <c r="D71" s="17" t="s">
        <v>67</v>
      </c>
      <c r="E71" s="23">
        <v>416121</v>
      </c>
      <c r="F71" s="24">
        <v>850.55132400000002</v>
      </c>
      <c r="G71" s="25">
        <v>5.5999999999999999E-3</v>
      </c>
      <c r="H71" s="26"/>
    </row>
    <row r="72" spans="1:8" ht="12.95" customHeight="1">
      <c r="A72" s="21" t="s">
        <v>214</v>
      </c>
      <c r="B72" s="22" t="s">
        <v>201</v>
      </c>
      <c r="C72" s="17" t="s">
        <v>202</v>
      </c>
      <c r="D72" s="17" t="s">
        <v>74</v>
      </c>
      <c r="E72" s="23">
        <v>78226</v>
      </c>
      <c r="F72" s="24">
        <v>813.58951300000001</v>
      </c>
      <c r="G72" s="25">
        <v>5.4000000000000003E-3</v>
      </c>
      <c r="H72" s="26"/>
    </row>
    <row r="73" spans="1:8" ht="12.95" customHeight="1">
      <c r="A73" s="21" t="s">
        <v>217</v>
      </c>
      <c r="B73" s="22" t="s">
        <v>212</v>
      </c>
      <c r="C73" s="17" t="s">
        <v>213</v>
      </c>
      <c r="D73" s="17" t="s">
        <v>67</v>
      </c>
      <c r="E73" s="23">
        <v>59944</v>
      </c>
      <c r="F73" s="24">
        <v>760.02997599999992</v>
      </c>
      <c r="G73" s="25">
        <v>5.0000000000000001E-3</v>
      </c>
      <c r="H73" s="26"/>
    </row>
    <row r="74" spans="1:8" ht="12.95" customHeight="1">
      <c r="A74" s="21" t="s">
        <v>221</v>
      </c>
      <c r="B74" s="22" t="s">
        <v>218</v>
      </c>
      <c r="C74" s="17" t="s">
        <v>219</v>
      </c>
      <c r="D74" s="17" t="s">
        <v>220</v>
      </c>
      <c r="E74" s="23">
        <v>49751</v>
      </c>
      <c r="F74" s="24">
        <v>736.3396755</v>
      </c>
      <c r="G74" s="25">
        <v>4.8999999999999998E-3</v>
      </c>
      <c r="H74" s="26"/>
    </row>
    <row r="75" spans="1:8" ht="12.95" customHeight="1">
      <c r="A75" s="21" t="s">
        <v>222</v>
      </c>
      <c r="B75" s="22" t="s">
        <v>227</v>
      </c>
      <c r="C75" s="17" t="s">
        <v>228</v>
      </c>
      <c r="D75" s="17" t="s">
        <v>229</v>
      </c>
      <c r="E75" s="23">
        <v>970588</v>
      </c>
      <c r="F75" s="24">
        <v>658.54395799999998</v>
      </c>
      <c r="G75" s="25">
        <v>4.4000000000000003E-3</v>
      </c>
      <c r="H75" s="26"/>
    </row>
    <row r="76" spans="1:8" ht="12.95" customHeight="1">
      <c r="A76" s="21" t="s">
        <v>225</v>
      </c>
      <c r="B76" s="22" t="s">
        <v>223</v>
      </c>
      <c r="C76" s="17" t="s">
        <v>224</v>
      </c>
      <c r="D76" s="17" t="s">
        <v>166</v>
      </c>
      <c r="E76" s="23">
        <v>117112</v>
      </c>
      <c r="F76" s="24">
        <v>645.40423199999998</v>
      </c>
      <c r="G76" s="25">
        <v>4.3E-3</v>
      </c>
      <c r="H76" s="26"/>
    </row>
    <row r="77" spans="1:8" ht="12.95" customHeight="1">
      <c r="A77" s="21" t="s">
        <v>226</v>
      </c>
      <c r="B77" s="22" t="s">
        <v>230</v>
      </c>
      <c r="C77" s="17" t="s">
        <v>231</v>
      </c>
      <c r="D77" s="17" t="s">
        <v>98</v>
      </c>
      <c r="E77" s="23">
        <v>40000</v>
      </c>
      <c r="F77" s="24">
        <v>332.06</v>
      </c>
      <c r="G77" s="25">
        <v>2.2000000000000001E-3</v>
      </c>
      <c r="H77" s="26"/>
    </row>
    <row r="78" spans="1:8" ht="12.95" customHeight="1">
      <c r="A78" s="2"/>
      <c r="B78" s="16" t="s">
        <v>232</v>
      </c>
      <c r="C78" s="17"/>
      <c r="D78" s="17"/>
      <c r="E78" s="17"/>
      <c r="F78" s="27">
        <f>SUM(F11:F77)</f>
        <v>140021.12040449999</v>
      </c>
      <c r="G78" s="40">
        <f>SUM(G11:G77)</f>
        <v>0.92840000000000045</v>
      </c>
      <c r="H78" s="29"/>
    </row>
    <row r="79" spans="1:8" ht="12.95" customHeight="1">
      <c r="A79" s="2"/>
      <c r="B79" s="30" t="s">
        <v>233</v>
      </c>
      <c r="C79" s="31"/>
      <c r="D79" s="31"/>
      <c r="E79" s="31"/>
      <c r="F79" s="32" t="s">
        <v>234</v>
      </c>
      <c r="G79" s="28" t="s">
        <v>234</v>
      </c>
      <c r="H79" s="29"/>
    </row>
    <row r="80" spans="1:8" ht="12.95" customHeight="1">
      <c r="A80" s="2"/>
      <c r="B80" s="30" t="s">
        <v>232</v>
      </c>
      <c r="C80" s="31"/>
      <c r="D80" s="31"/>
      <c r="E80" s="31"/>
      <c r="F80" s="32" t="s">
        <v>234</v>
      </c>
      <c r="G80" s="28" t="s">
        <v>234</v>
      </c>
      <c r="H80" s="29"/>
    </row>
    <row r="81" spans="1:8" ht="12.95" customHeight="1">
      <c r="A81" s="2"/>
      <c r="B81" s="30" t="s">
        <v>235</v>
      </c>
      <c r="C81" s="33"/>
      <c r="D81" s="31"/>
      <c r="E81" s="33"/>
      <c r="F81" s="27">
        <f t="shared" ref="F81:G81" si="0">F78</f>
        <v>140021.12040449999</v>
      </c>
      <c r="G81" s="28">
        <f t="shared" si="0"/>
        <v>0.92840000000000045</v>
      </c>
      <c r="H81" s="29"/>
    </row>
    <row r="82" spans="1:8" ht="12.95" customHeight="1">
      <c r="A82" s="2"/>
      <c r="B82" s="16" t="s">
        <v>236</v>
      </c>
      <c r="C82" s="17"/>
      <c r="D82" s="17"/>
      <c r="E82" s="17"/>
      <c r="F82" s="18"/>
      <c r="G82" s="19"/>
      <c r="H82" s="20"/>
    </row>
    <row r="83" spans="1:8" ht="12.95" customHeight="1">
      <c r="A83" s="21" t="s">
        <v>237</v>
      </c>
      <c r="B83" s="22" t="s">
        <v>238</v>
      </c>
      <c r="C83" s="17"/>
      <c r="D83" s="17" t="s">
        <v>239</v>
      </c>
      <c r="E83" s="23"/>
      <c r="F83" s="24">
        <v>10920.771000000001</v>
      </c>
      <c r="G83" s="25">
        <v>7.2400000000000006E-2</v>
      </c>
      <c r="H83" s="26"/>
    </row>
    <row r="84" spans="1:8" ht="12.95" customHeight="1">
      <c r="A84" s="2"/>
      <c r="B84" s="16" t="s">
        <v>232</v>
      </c>
      <c r="C84" s="17"/>
      <c r="D84" s="17"/>
      <c r="E84" s="17"/>
      <c r="F84" s="27">
        <f t="shared" ref="F84:G84" si="1">F83</f>
        <v>10920.771000000001</v>
      </c>
      <c r="G84" s="28">
        <f t="shared" si="1"/>
        <v>7.2400000000000006E-2</v>
      </c>
      <c r="H84" s="29"/>
    </row>
    <row r="85" spans="1:8" ht="12.95" customHeight="1">
      <c r="A85" s="2"/>
      <c r="B85" s="30" t="s">
        <v>235</v>
      </c>
      <c r="C85" s="33"/>
      <c r="D85" s="31"/>
      <c r="E85" s="33"/>
      <c r="F85" s="27">
        <f t="shared" ref="F85:G85" si="2">F83</f>
        <v>10920.771000000001</v>
      </c>
      <c r="G85" s="28">
        <f t="shared" si="2"/>
        <v>7.2400000000000006E-2</v>
      </c>
      <c r="H85" s="29"/>
    </row>
    <row r="86" spans="1:8" ht="12.95" customHeight="1">
      <c r="A86" s="2"/>
      <c r="B86" s="30" t="s">
        <v>240</v>
      </c>
      <c r="C86" s="17"/>
      <c r="D86" s="31"/>
      <c r="E86" s="17"/>
      <c r="F86" s="27">
        <v>-60.925154702808385</v>
      </c>
      <c r="G86" s="28">
        <v>-8.0000000000000004E-4</v>
      </c>
      <c r="H86" s="29"/>
    </row>
    <row r="87" spans="1:8" ht="12.95" customHeight="1" thickBot="1">
      <c r="A87" s="2"/>
      <c r="B87" s="34" t="s">
        <v>241</v>
      </c>
      <c r="C87" s="35"/>
      <c r="D87" s="35"/>
      <c r="E87" s="35"/>
      <c r="F87" s="36">
        <f>F81+F85+F86</f>
        <v>150880.9662497972</v>
      </c>
      <c r="G87" s="41">
        <f>G81+G85+G86</f>
        <v>1.0000000000000004</v>
      </c>
      <c r="H87" s="37"/>
    </row>
    <row r="88" spans="1:8" ht="12.95" customHeight="1">
      <c r="A88" s="2"/>
      <c r="B88" s="8"/>
      <c r="C88" s="2"/>
      <c r="D88" s="2"/>
      <c r="E88" s="2"/>
      <c r="F88" s="4"/>
      <c r="G88" s="5"/>
      <c r="H88" s="2"/>
    </row>
    <row r="89" spans="1:8" ht="12.95" customHeight="1">
      <c r="A89" s="2"/>
      <c r="B89" s="3" t="s">
        <v>239</v>
      </c>
      <c r="C89" s="2"/>
      <c r="D89" s="2"/>
      <c r="E89" s="2"/>
      <c r="F89" s="4"/>
      <c r="G89" s="5"/>
      <c r="H89" s="2"/>
    </row>
    <row r="90" spans="1:8" ht="12.95" customHeight="1">
      <c r="A90" s="2"/>
      <c r="B90" s="3"/>
      <c r="C90" s="2"/>
      <c r="D90" s="2"/>
      <c r="E90" s="2"/>
      <c r="F90" s="4"/>
      <c r="G90" s="5"/>
      <c r="H90" s="2"/>
    </row>
    <row r="91" spans="1:8" ht="12.95" customHeight="1">
      <c r="A91" s="2"/>
      <c r="B91" s="3"/>
      <c r="C91" s="2"/>
      <c r="D91" s="2"/>
      <c r="E91" s="2"/>
      <c r="F91" s="4"/>
      <c r="G91" s="5"/>
      <c r="H91" s="2"/>
    </row>
  </sheetData>
  <sortState ref="B11:H77">
    <sortCondition descending="1" ref="G11:G77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2023-11-10T04:44:02Z</dcterms:created>
  <dcterms:modified xsi:type="dcterms:W3CDTF">2024-01-04T09:16:51Z</dcterms:modified>
</cp:coreProperties>
</file>